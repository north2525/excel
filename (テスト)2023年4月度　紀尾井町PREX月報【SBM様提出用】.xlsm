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mc:AlternateContent xmlns:mc="http://schemas.openxmlformats.org/markup-compatibility/2006">
    <mc:Choice Requires="x15">
      <x15ac:absPath xmlns:x15ac="http://schemas.microsoft.com/office/spreadsheetml/2010/11/ac" url="C:\Users\user\Box Sync\chatGPT\月報資料\VORT紀尾井町\2023年度\"/>
    </mc:Choice>
  </mc:AlternateContent>
  <xr:revisionPtr revIDLastSave="0" documentId="13_ncr:1_{74F01711-54F1-4BE5-98B8-6B54DAF18A35}" xr6:coauthVersionLast="47" xr6:coauthVersionMax="47" xr10:uidLastSave="{00000000-0000-0000-0000-000000000000}"/>
  <bookViews>
    <workbookView xWindow="-108" yWindow="492" windowWidth="22176" windowHeight="12576" tabRatio="812" firstSheet="3" activeTab="5" xr2:uid="{00000000-000D-0000-FFFF-FFFF00000000}"/>
  </bookViews>
  <sheets>
    <sheet name="SBM表紙" sheetId="105" r:id="rId1"/>
    <sheet name="SBM目次" sheetId="125" r:id="rId2"/>
    <sheet name="所見" sheetId="132" r:id="rId3"/>
    <sheet name="SBM管理概要①" sheetId="113" r:id="rId4"/>
    <sheet name="SBM管理概要②" sheetId="127" r:id="rId5"/>
    <sheet name="SBM管理概要③" sheetId="111" r:id="rId6"/>
    <sheet name="SBM管理概要④" sheetId="141" r:id="rId7"/>
    <sheet name="SBM管理概要⑤、その他⑥" sheetId="110" r:id="rId8"/>
    <sheet name="水道光熱使用量" sheetId="108" r:id="rId9"/>
    <sheet name="来月度作業予定" sheetId="109" r:id="rId10"/>
    <sheet name="2023年度管理計画（業者） " sheetId="134" r:id="rId11"/>
    <sheet name="2023年度管理計画（設備）" sheetId="136" r:id="rId12"/>
    <sheet name="2023年度年間管理表(基準表)" sheetId="143" r:id="rId13"/>
    <sheet name="各種データ" sheetId="144" r:id="rId14"/>
  </sheets>
  <externalReferences>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s>
  <definedNames>
    <definedName name="__1p">#N/A</definedName>
    <definedName name="__2z">#N/A</definedName>
    <definedName name="__aeg1">#REF!</definedName>
    <definedName name="__aeg2">#REF!</definedName>
    <definedName name="__aeg3">#REF!</definedName>
    <definedName name="__aeg4">#REF!</definedName>
    <definedName name="__aeg5">#REF!</definedName>
    <definedName name="__aeg6">#REF!</definedName>
    <definedName name="__arg1">#REF!</definedName>
    <definedName name="__arg2">#REF!</definedName>
    <definedName name="__arg3">#REF!</definedName>
    <definedName name="__arg4">#REF!</definedName>
    <definedName name="__arg5">#REF!</definedName>
    <definedName name="__arg6">#REF!</definedName>
    <definedName name="__exp2">#N/A</definedName>
    <definedName name="__TA2">#REF!</definedName>
    <definedName name="_1p">#N/A</definedName>
    <definedName name="_2z">#N/A</definedName>
    <definedName name="_96BUD">#N/A</definedName>
    <definedName name="_aeg1">#REF!</definedName>
    <definedName name="_aeg2">#REF!</definedName>
    <definedName name="_aeg3">#REF!</definedName>
    <definedName name="_aeg4">#REF!</definedName>
    <definedName name="_aeg5">#REF!</definedName>
    <definedName name="_aeg6">#REF!</definedName>
    <definedName name="_arg1">#REF!</definedName>
    <definedName name="_arg2">#REF!</definedName>
    <definedName name="_arg3">#REF!</definedName>
    <definedName name="_arg4">#REF!</definedName>
    <definedName name="_arg5">#REF!</definedName>
    <definedName name="_arg6">#REF!</definedName>
    <definedName name="_exp2">#N/A</definedName>
    <definedName name="_xlnm._FilterDatabase" localSheetId="12" hidden="1">'2023年度年間管理表(基準表)'!$A$38:$AH$158</definedName>
    <definedName name="_xlnm._FilterDatabase" localSheetId="9" hidden="1">来月度作業予定!$A$1:$AF$41</definedName>
    <definedName name="_Key1" hidden="1">#N/A</definedName>
    <definedName name="_Order1" hidden="1">255</definedName>
    <definedName name="_Order2" hidden="1">0</definedName>
    <definedName name="_Sort" hidden="1">#N/A</definedName>
    <definedName name="_TA2">#REF!</definedName>
    <definedName name="②">#N/A</definedName>
    <definedName name="A" localSheetId="10">#REF!</definedName>
    <definedName name="A" localSheetId="11">#REF!</definedName>
    <definedName name="Ａ" localSheetId="12">#N/A</definedName>
    <definedName name="A" localSheetId="4">#REF!</definedName>
    <definedName name="A" localSheetId="6">#REF!</definedName>
    <definedName name="A" localSheetId="1">#REF!</definedName>
    <definedName name="A" localSheetId="2">#REF!</definedName>
    <definedName name="A">#REF!</definedName>
    <definedName name="ＡＡ" localSheetId="10">#REF!</definedName>
    <definedName name="ＡＡ" localSheetId="11">#REF!</definedName>
    <definedName name="aa" localSheetId="12">#REF!</definedName>
    <definedName name="ＡＡ" localSheetId="4">#REF!</definedName>
    <definedName name="ＡＡ" localSheetId="6">#REF!</definedName>
    <definedName name="ＡＡ" localSheetId="1">#REF!</definedName>
    <definedName name="ＡＡ" localSheetId="2">#REF!</definedName>
    <definedName name="ＡＡ">#REF!</definedName>
    <definedName name="aaa">#REF!</definedName>
    <definedName name="aaaa" localSheetId="12">#N/A</definedName>
    <definedName name="AAAA" localSheetId="6">#REF!</definedName>
    <definedName name="AAAA">#REF!</definedName>
    <definedName name="ＡＢ" localSheetId="10">#REF!</definedName>
    <definedName name="ＡＢ" localSheetId="11">#REF!</definedName>
    <definedName name="ＡＢ" localSheetId="12">#REF!</definedName>
    <definedName name="ＡＢ" localSheetId="4">#REF!</definedName>
    <definedName name="ＡＢ" localSheetId="6">#REF!</definedName>
    <definedName name="ＡＢ" localSheetId="1">#REF!</definedName>
    <definedName name="ＡＢ" localSheetId="2">#REF!</definedName>
    <definedName name="ＡＢ">#REF!</definedName>
    <definedName name="accost">#REF!</definedName>
    <definedName name="accosta">#REF!</definedName>
    <definedName name="ACCT">#N/A</definedName>
    <definedName name="AIGS" localSheetId="10">#REF!</definedName>
    <definedName name="AIGS" localSheetId="11">#REF!</definedName>
    <definedName name="AIGS" localSheetId="12">#REF!</definedName>
    <definedName name="AIGS" localSheetId="4">#REF!</definedName>
    <definedName name="AIGS" localSheetId="6">#REF!</definedName>
    <definedName name="AIGS" localSheetId="1">#REF!</definedName>
    <definedName name="AIGS" localSheetId="2">#REF!</definedName>
    <definedName name="AIGS">#REF!</definedName>
    <definedName name="Alertflag">#N/A</definedName>
    <definedName name="altv">#REF!</definedName>
    <definedName name="AMOUNT">#N/A</definedName>
    <definedName name="apl">#REF!</definedName>
    <definedName name="ASD">#N/A</definedName>
    <definedName name="b_master">[1]マスタ!$N$1:$AH$25</definedName>
    <definedName name="Backup" localSheetId="10">#REF!</definedName>
    <definedName name="Backup" localSheetId="11">#REF!</definedName>
    <definedName name="Backup" localSheetId="12">#REF!</definedName>
    <definedName name="Backup" localSheetId="4">#REF!</definedName>
    <definedName name="Backup" localSheetId="6">#REF!</definedName>
    <definedName name="Backup" localSheetId="1">#REF!</definedName>
    <definedName name="Backup" localSheetId="2">#REF!</definedName>
    <definedName name="Backup">#REF!</definedName>
    <definedName name="BASE">#N/A</definedName>
    <definedName name="bb">#REF!</definedName>
    <definedName name="bltv">#REF!</definedName>
    <definedName name="Cal">#N/A</definedName>
    <definedName name="CALEVEL1">#N/A</definedName>
    <definedName name="capres">#REF!</definedName>
    <definedName name="Collection">#N/A</definedName>
    <definedName name="_xlnm.Criteria">#REF!</definedName>
    <definedName name="D">[2]入力!$B$1:$AJ$65536</definedName>
    <definedName name="DATA">#N/A</definedName>
    <definedName name="_xlnm.Database">#N/A</definedName>
    <definedName name="date">#N/A</definedName>
    <definedName name="datebase">#REF!</definedName>
    <definedName name="datefile">#N/A</definedName>
    <definedName name="day">#N/A</definedName>
    <definedName name="ddddddddd">#REF!</definedName>
    <definedName name="debt">#REF!</definedName>
    <definedName name="discount">#REF!</definedName>
    <definedName name="downtime">#REF!</definedName>
    <definedName name="ds">#N/A</definedName>
    <definedName name="dscr">#REF!</definedName>
    <definedName name="dsfds">#N/A</definedName>
    <definedName name="earth">#REF!</definedName>
    <definedName name="ecap">#REF!</definedName>
    <definedName name="ee">#REF!</definedName>
    <definedName name="eff">#REF!</definedName>
    <definedName name="efficient">#REF!</definedName>
    <definedName name="ELE">#REF!</definedName>
    <definedName name="Elect" localSheetId="10">#REF!</definedName>
    <definedName name="Elect" localSheetId="11">#REF!</definedName>
    <definedName name="Elect" localSheetId="12">#REF!</definedName>
    <definedName name="Elect" localSheetId="4">#REF!</definedName>
    <definedName name="Elect" localSheetId="6">#REF!</definedName>
    <definedName name="Elect" localSheetId="1">#REF!</definedName>
    <definedName name="Elect" localSheetId="2">#REF!</definedName>
    <definedName name="Elect">#REF!</definedName>
    <definedName name="Electdetail" localSheetId="10">#REF!</definedName>
    <definedName name="Electdetail" localSheetId="11">#REF!</definedName>
    <definedName name="Electdetail" localSheetId="12">#REF!</definedName>
    <definedName name="Electdetail" localSheetId="4">#REF!</definedName>
    <definedName name="Electdetail" localSheetId="6">#REF!</definedName>
    <definedName name="Electdetail" localSheetId="1">#REF!</definedName>
    <definedName name="Electdetail" localSheetId="2">#REF!</definedName>
    <definedName name="Electdetail">#REF!</definedName>
    <definedName name="equity">#REF!</definedName>
    <definedName name="er">#REF!</definedName>
    <definedName name="Errorflag">#N/A</definedName>
    <definedName name="etc">#N/A</definedName>
    <definedName name="ewsr">#N/A</definedName>
    <definedName name="excap">#REF!</definedName>
    <definedName name="exp">#REF!</definedName>
    <definedName name="_xlnm.Extract">#REF!</definedName>
    <definedName name="ｆｇｇｇ">#REF!</definedName>
    <definedName name="Fire">#REF!</definedName>
    <definedName name="folderfile">#N/A</definedName>
    <definedName name="ｆｓｆｆ">#REF!</definedName>
    <definedName name="gcap">#REF!</definedName>
    <definedName name="GFA">#REF!</definedName>
    <definedName name="HA">#N/A</definedName>
    <definedName name="hedge">#REF!</definedName>
    <definedName name="ｈｈ">#REF!</definedName>
    <definedName name="ｈｈｈｈｈｈ">#REF!</definedName>
    <definedName name="HIYOIU">#REF!,#REF!,#REF!,#REF!,#REF!,#REF!,#REF!,#REF!,#REF!,#REF!,#REF!,#REF!,#REF!,#REF!,#REF!,#REF!,#REF!,#REF!,#REF!,#REF!,#REF!,#REF!,#REF!,#REF!,#REF!,#REF!,#REF!,#REF!,#REF!,#REF!,#REF!,#REF!,#REF!,#REF!,#REF!,#REF!,#REF!</definedName>
    <definedName name="HIYOU">#REF!,#REF!,#REF!,#REF!,#REF!,#REF!,#REF!,#REF!,#REF!,#REF!,#REF!,#REF!,#REF!,#REF!,#REF!,#REF!,#REF!,#REF!,#REF!,#REF!,#REF!,#REF!,#REF!,#REF!,#REF!,#REF!,#REF!,#REF!,#REF!,#REF!,#REF!,#REF!,#REF!,#REF!,#REF!,#REF!,#REF!</definedName>
    <definedName name="Hotwater">#REF!</definedName>
    <definedName name="HVAC" localSheetId="10">#REF!</definedName>
    <definedName name="HVAC" localSheetId="11">#REF!</definedName>
    <definedName name="HVAC" localSheetId="12">#REF!</definedName>
    <definedName name="HVAC" localSheetId="4">#REF!</definedName>
    <definedName name="HVAC" localSheetId="6">#REF!</definedName>
    <definedName name="HVAC" localSheetId="1">#REF!</definedName>
    <definedName name="HVAC" localSheetId="2">#REF!</definedName>
    <definedName name="HVAC">#REF!</definedName>
    <definedName name="HVACDetail" localSheetId="10">#REF!</definedName>
    <definedName name="HVACDetail" localSheetId="11">#REF!</definedName>
    <definedName name="HVACDetail" localSheetId="12">#REF!</definedName>
    <definedName name="HVACDetail" localSheetId="4">#REF!</definedName>
    <definedName name="HVACDetail" localSheetId="6">#REF!</definedName>
    <definedName name="HVACDetail" localSheetId="1">#REF!</definedName>
    <definedName name="HVACDetail" localSheetId="2">#REF!</definedName>
    <definedName name="HVACDetail">#REF!</definedName>
    <definedName name="HVACtotal" localSheetId="10">#REF!</definedName>
    <definedName name="HVACtotal" localSheetId="11">#REF!</definedName>
    <definedName name="HVACtotal" localSheetId="12">#REF!</definedName>
    <definedName name="HVACtotal" localSheetId="4">#REF!</definedName>
    <definedName name="HVACtotal" localSheetId="6">#REF!</definedName>
    <definedName name="HVACtotal" localSheetId="1">#REF!</definedName>
    <definedName name="HVACtotal" localSheetId="2">#REF!</definedName>
    <definedName name="HVACtotal">#REF!</definedName>
    <definedName name="Icewater">#REF!</definedName>
    <definedName name="InsertNo">#N/A</definedName>
    <definedName name="int">#REF!</definedName>
    <definedName name="interest">#REF!</definedName>
    <definedName name="iu" localSheetId="6">#REF!</definedName>
    <definedName name="iu">#REF!</definedName>
    <definedName name="ji">'[3]11年間修繕計画（12～13期）'!$BA$1:$BA$2</definedName>
    <definedName name="jun" localSheetId="10">#REF!</definedName>
    <definedName name="jun" localSheetId="11">#REF!</definedName>
    <definedName name="jun" localSheetId="12">#REF!</definedName>
    <definedName name="jun" localSheetId="4">#REF!</definedName>
    <definedName name="jun" localSheetId="6">#REF!</definedName>
    <definedName name="jun" localSheetId="1">#REF!</definedName>
    <definedName name="jun" localSheetId="2">#REF!</definedName>
    <definedName name="jun">#REF!</definedName>
    <definedName name="KA">#N/A</definedName>
    <definedName name="kannri">#REF!</definedName>
    <definedName name="kk" localSheetId="10">#REF!</definedName>
    <definedName name="kk" localSheetId="11">#REF!</definedName>
    <definedName name="kk" localSheetId="12">#REF!</definedName>
    <definedName name="kk" localSheetId="4">#REF!</definedName>
    <definedName name="kk" localSheetId="6">#REF!</definedName>
    <definedName name="kk" localSheetId="1">#REF!</definedName>
    <definedName name="kk" localSheetId="2">#REF!</definedName>
    <definedName name="kk">#REF!</definedName>
    <definedName name="ltv">#REF!</definedName>
    <definedName name="MA">#N/A</definedName>
    <definedName name="master">[1]マスタ!$D$1:$L$34</definedName>
    <definedName name="maturity">#REF!</definedName>
    <definedName name="Meisho_Budget">#REF!</definedName>
    <definedName name="Meisho_Fiscal_Actuals">#REF!</definedName>
    <definedName name="Meisho_Fiscal_Budget">#REF!</definedName>
    <definedName name="Meisho_Futsuu">#REF!</definedName>
    <definedName name="Meisho_Internal_Report">#REF!</definedName>
    <definedName name="Meisho_Touza">#REF!</definedName>
    <definedName name="month">#N/A</definedName>
    <definedName name="NA">#N/A</definedName>
    <definedName name="newequity">#REF!</definedName>
    <definedName name="noda" localSheetId="10">#REF!</definedName>
    <definedName name="noda" localSheetId="11">#REF!</definedName>
    <definedName name="noda" localSheetId="12">#REF!</definedName>
    <definedName name="noda" localSheetId="4">#REF!</definedName>
    <definedName name="noda" localSheetId="6">#REF!</definedName>
    <definedName name="noda" localSheetId="1">#REF!</definedName>
    <definedName name="noda" localSheetId="2">#REF!</definedName>
    <definedName name="noda">#REF!</definedName>
    <definedName name="NOI">#REF!</definedName>
    <definedName name="nonaka">#REF!</definedName>
    <definedName name="NRA">#REF!</definedName>
    <definedName name="NvsASD">"V1999-12-31"</definedName>
    <definedName name="NvsAutoDrillOk">"VN"</definedName>
    <definedName name="NvsElapsedTime">0.000276620368822478</definedName>
    <definedName name="NvsEndTime">36530.7883702546</definedName>
    <definedName name="NvsInstSpec">"%"</definedName>
    <definedName name="NvsLayoutType">"M3"</definedName>
    <definedName name="NvsNplSpec">"%,X,RZF.ACCOUNT.nPlosion,CZF.."</definedName>
    <definedName name="NvsPanelEffdt">"V1999-08-01"</definedName>
    <definedName name="NvsPanelSetid">"VGMAC"</definedName>
    <definedName name="NvsParentRef">#N/A</definedName>
    <definedName name="NvsReqBU">"V02000"</definedName>
    <definedName name="NvsReqBUOnly">"VN"</definedName>
    <definedName name="NvsTransLed">"VN"</definedName>
    <definedName name="NvsTreeASD">"V1999-12-31"</definedName>
    <definedName name="NvsValTbl.ACCOUNT">"GL_ACCOUNT_TBL"</definedName>
    <definedName name="NvsValTbl.BUSINESS_UNIT">"BUS_UNIT_TBL_GL"</definedName>
    <definedName name="other">#N/A</definedName>
    <definedName name="Part1End">#N/A</definedName>
    <definedName name="Part2End">#N/A</definedName>
    <definedName name="Part3End">#N/A</definedName>
    <definedName name="ＰＪ番号">#REF!</definedName>
    <definedName name="ＰＪ番号明証">#REF!</definedName>
    <definedName name="ＰＬ">[4]マスタ!$N$1:$AH$25</definedName>
    <definedName name="pml">#REF!</definedName>
    <definedName name="points">#REF!</definedName>
    <definedName name="PRIME">#N/A</definedName>
    <definedName name="_xlnm.Print_Area" localSheetId="11">'2023年度管理計画（設備）'!$A$1:$AC$40</definedName>
    <definedName name="_xlnm.Print_Area" localSheetId="12">'2023年度年間管理表(基準表)'!$A$1:$AH$201</definedName>
    <definedName name="_xlnm.Print_Area" localSheetId="3">SBM管理概要①!$A$1:$X$50</definedName>
    <definedName name="_xlnm.Print_Area" localSheetId="4">SBM管理概要②!$A$1:$X$40</definedName>
    <definedName name="_xlnm.Print_Area" localSheetId="5">SBM管理概要③!$A$1:$V$46</definedName>
    <definedName name="_xlnm.Print_Area" localSheetId="6">SBM管理概要④!$A$1:$V$41</definedName>
    <definedName name="_xlnm.Print_Area" localSheetId="7">'SBM管理概要⑤、その他⑥'!$A$1:$AB$68</definedName>
    <definedName name="_xlnm.Print_Area" localSheetId="0">SBM表紙!$A$1:$Q$29</definedName>
    <definedName name="_xlnm.Print_Area" localSheetId="1">SBM目次!$A$1:$M$27</definedName>
    <definedName name="_xlnm.Print_Area" localSheetId="2">所見!$A$1:$T$28</definedName>
    <definedName name="_xlnm.Print_Area" localSheetId="8">水道光熱使用量!$A$1:$J$31</definedName>
    <definedName name="_xlnm.Print_Area" localSheetId="9">来月度作業予定!$A$1:$AF$40</definedName>
    <definedName name="_xlnm.Print_Area">#N/A</definedName>
    <definedName name="Print_Area_MI">#N/A</definedName>
    <definedName name="purch">#REF!</definedName>
    <definedName name="RA">#N/A</definedName>
    <definedName name="rao">#REF!</definedName>
    <definedName name="ratio">#REF!</definedName>
    <definedName name="RBN">#N/A</definedName>
    <definedName name="RBU">#N/A</definedName>
    <definedName name="reno">#REF!</definedName>
    <definedName name="repcost">#REF!</definedName>
    <definedName name="Reporting_Date">#N/A</definedName>
    <definedName name="revier">#REF!</definedName>
    <definedName name="ROUNDDOWN">#N/A</definedName>
    <definedName name="s">#REF!</definedName>
    <definedName name="SA">#N/A</definedName>
    <definedName name="sads">#N/A</definedName>
    <definedName name="Sample1">#N/A</definedName>
    <definedName name="SB">#REF!</definedName>
    <definedName name="scenario">#REF!</definedName>
    <definedName name="secdep">#REF!</definedName>
    <definedName name="shihi">#REF!</definedName>
    <definedName name="spread">#REF!</definedName>
    <definedName name="sqft">#REF!</definedName>
    <definedName name="ss">#REF!</definedName>
    <definedName name="Steam">#REF!</definedName>
    <definedName name="swap">#REF!</definedName>
    <definedName name="T101_RDY">#REF!</definedName>
    <definedName name="T102_RDY">#REF!</definedName>
    <definedName name="TA">#REF!</definedName>
    <definedName name="TAB">#REF!</definedName>
    <definedName name="tax">#REF!</definedName>
    <definedName name="trust">#REF!</definedName>
    <definedName name="tsubo">#REF!</definedName>
    <definedName name="turn">#REF!</definedName>
    <definedName name="type">#REF!</definedName>
    <definedName name="UpdateNo">#N/A</definedName>
    <definedName name="Utility" localSheetId="10">#REF!</definedName>
    <definedName name="Utility" localSheetId="11">#REF!</definedName>
    <definedName name="Utility" localSheetId="12">#REF!</definedName>
    <definedName name="Utility" localSheetId="4">#REF!</definedName>
    <definedName name="Utility" localSheetId="6">#REF!</definedName>
    <definedName name="Utility" localSheetId="1">#REF!</definedName>
    <definedName name="Utility" localSheetId="2">#REF!</definedName>
    <definedName name="Utility">#REF!</definedName>
    <definedName name="UtilityDetail" localSheetId="10">#REF!</definedName>
    <definedName name="UtilityDetail" localSheetId="11">#REF!</definedName>
    <definedName name="UtilityDetail" localSheetId="12">#REF!</definedName>
    <definedName name="UtilityDetail" localSheetId="4">#REF!</definedName>
    <definedName name="UtilityDetail" localSheetId="6">#REF!</definedName>
    <definedName name="UtilityDetail" localSheetId="1">#REF!</definedName>
    <definedName name="UtilityDetail" localSheetId="2">#REF!</definedName>
    <definedName name="UtilityDetail">#REF!</definedName>
    <definedName name="WA">#N/A</definedName>
    <definedName name="Water">#REF!</definedName>
    <definedName name="XOUT">#N/A</definedName>
    <definedName name="xrate">'[5]Approved Renov Payment Schedule'!#REF!</definedName>
    <definedName name="YA">#N/A</definedName>
    <definedName name="year">#N/A</definedName>
    <definedName name="yearlydiscount">#REF!</definedName>
    <definedName name="yr2or">#REF!</definedName>
    <definedName name="ｚ" localSheetId="10">#REF!</definedName>
    <definedName name="ｚ" localSheetId="11">#REF!</definedName>
    <definedName name="ｚ" localSheetId="12">#REF!</definedName>
    <definedName name="ｚ" localSheetId="4">#REF!</definedName>
    <definedName name="ｚ" localSheetId="6">#REF!</definedName>
    <definedName name="ｚ" localSheetId="1">#REF!</definedName>
    <definedName name="ｚ" localSheetId="2">#REF!</definedName>
    <definedName name="ｚ">#REF!</definedName>
    <definedName name="い">#REF!</definedName>
    <definedName name="が">#REF!</definedName>
    <definedName name="カウント">#N/A</definedName>
    <definedName name="ｸﾗｽ2">#N/A</definedName>
    <definedName name="システム２・１">#REF!</definedName>
    <definedName name="すけ">#REF!</definedName>
    <definedName name="その他収益">#N/A</definedName>
    <definedName name="その他収入">#N/A</definedName>
    <definedName name="データ型">[6]リスト!$B$2:$B$9</definedName>
    <definedName name="トランクルーム種類">#N/A</definedName>
    <definedName name="ﾆｼﾔﾏ">#N/A</definedName>
    <definedName name="ﾆｼﾔﾏ2">#N/A</definedName>
    <definedName name="ファイルアドレス">#N/A</definedName>
    <definedName name="ファイル名">#N/A</definedName>
    <definedName name="レポート" hidden="1">#N/A</definedName>
    <definedName name="科目リスト">[7]準備ｼｰﾄ!$C$6:$C$34</definedName>
    <definedName name="科目リスト②">#REF!</definedName>
    <definedName name="稼働率">#N/A</definedName>
    <definedName name="会計期間初め">#REF!</definedName>
    <definedName name="会計期間末">#REF!</definedName>
    <definedName name="回転">#N/A</definedName>
    <definedName name="確度">#REF!</definedName>
    <definedName name="確度Ａ">'[8]③年間修繕計画(9～14期) (2)'!$AY$1:$AY$3</definedName>
    <definedName name="勘定科目">#N/A</definedName>
    <definedName name="管理概要">#REF!</definedName>
    <definedName name="管理概要⑦ー１">#REF!</definedName>
    <definedName name="管理業務スケジュール01">#REF!</definedName>
    <definedName name="管理業務スケジュール2016">#REF!</definedName>
    <definedName name="管理業務スケジュール表">#REF!</definedName>
    <definedName name="管理体制">#REF!</definedName>
    <definedName name="基準日">#N/A</definedName>
    <definedName name="菊本">#REF!</definedName>
    <definedName name="給与明細クエリー">#N/A</definedName>
    <definedName name="業種一覧">[9]Errorcode!$I$2:$I$14</definedName>
    <definedName name="業態">#N/A</definedName>
    <definedName name="契約者名0012">#N/A</definedName>
    <definedName name="契約単価">#REF!</definedName>
    <definedName name="契約電力">#REF!</definedName>
    <definedName name="形態">#REF!</definedName>
    <definedName name="計上科目">[10]Sheet1!$A$4:$A$19</definedName>
    <definedName name="計上科目1">[11]Sheet2!$A$4:$A$21</definedName>
    <definedName name="月">#REF!</definedName>
    <definedName name="月次" localSheetId="10">#REF!</definedName>
    <definedName name="月次" localSheetId="11">#REF!</definedName>
    <definedName name="月次" localSheetId="12">#REF!</definedName>
    <definedName name="月次" localSheetId="4">#REF!</definedName>
    <definedName name="月次" localSheetId="6">#REF!</definedName>
    <definedName name="月次" localSheetId="1">#REF!</definedName>
    <definedName name="月次" localSheetId="2">#REF!</definedName>
    <definedName name="月次">#REF!</definedName>
    <definedName name="現況flag">#N/A</definedName>
    <definedName name="現在">#N/A</definedName>
    <definedName name="工事管理表第５期">[12]マスタ!$D$1:$L$34</definedName>
    <definedName name="工事種別">#REF!</definedName>
    <definedName name="工事種別2">#REF!</definedName>
    <definedName name="工事種別ｄ">#REF!</definedName>
    <definedName name="更新料設定切替">[13]Upgrade!$F$1</definedName>
    <definedName name="合計">#REF!</definedName>
    <definedName name="最大需要電力">#REF!</definedName>
    <definedName name="作成区分">[6]リスト!$B$10:$B$13</definedName>
    <definedName name="残高0012">#N/A</definedName>
    <definedName name="四谷">#REF!</definedName>
    <definedName name="四谷2">#REF!</definedName>
    <definedName name="四谷概要">#REF!</definedName>
    <definedName name="市場概要">#REF!</definedName>
    <definedName name="指示数">#REF!</definedName>
    <definedName name="支払い関係">#N/A</definedName>
    <definedName name="施設2課実行予算">[14]検針表!#REF!</definedName>
    <definedName name="事業形態">#N/A</definedName>
    <definedName name="実績データ">#N/A</definedName>
    <definedName name="需要家">#REF!</definedName>
    <definedName name="収益科目">#REF!</definedName>
    <definedName name="修繕進捗">#REF!</definedName>
    <definedName name="出金口座一覧">#REF!</definedName>
    <definedName name="順番">#N/A</definedName>
    <definedName name="償却資産">#REF!</definedName>
    <definedName name="償却資産税">#REF!</definedName>
    <definedName name="乗率">#REF!</definedName>
    <definedName name="新規行check">#N/A</definedName>
    <definedName name="新規追加行数">#N/A</definedName>
    <definedName name="水道料">#N/A</definedName>
    <definedName name="整列check">#N/A</definedName>
    <definedName name="請求書">#REF!</definedName>
    <definedName name="税区分">[6]リスト!$B$14</definedName>
    <definedName name="設備">#REF!</definedName>
    <definedName name="前回解約日">#N/A</definedName>
    <definedName name="総合管理">#REF!</definedName>
    <definedName name="打つ">#REF!,#REF!,#REF!,#REF!,#REF!,#REF!,#REF!,#REF!,#REF!,#REF!,#REF!,#REF!,#REF!,#REF!,#REF!,#REF!,#REF!,#REF!,#REF!,#REF!,#REF!,#REF!,#REF!,#REF!,#REF!,#REF!,#REF!,#REF!,#REF!,#REF!,#REF!,#REF!,#REF!,#REF!,#REF!,#REF!,#REF!,#REF!,#REF!,#REF!,#REF!,#REF!,#REF!</definedName>
    <definedName name="打つべし①">#REF!,#REF!,#REF!,#REF!,#REF!,#REF!,#REF!,#REF!,#REF!,#REF!,#REF!,#REF!,#REF!,#REF!,#REF!,#REF!,#REF!,#REF!,#REF!,#REF!,#REF!,#REF!,#REF!,#REF!,#REF!,#REF!,#REF!,#REF!,#REF!,#REF!,#REF!,#REF!,#REF!,#REF!,#REF!,#REF!,#REF!,#REF!,#REF!,#REF!,#REF!,#REF!,#REF!</definedName>
    <definedName name="貸室種別">#REF!</definedName>
    <definedName name="大項目">#REF!</definedName>
    <definedName name="大山">#N/A</definedName>
    <definedName name="第５期">#REF!</definedName>
    <definedName name="駐車場収入">#N/A</definedName>
    <definedName name="賃貸可能">#N/A</definedName>
    <definedName name="賃貸収入">#N/A</definedName>
    <definedName name="賃貸面積">#N/A</definedName>
    <definedName name="賃料">#N/A</definedName>
    <definedName name="賃料共益費">#N/A</definedName>
    <definedName name="賃料収入">#N/A</definedName>
    <definedName name="賃料単価">#N/A</definedName>
    <definedName name="定義">'[15]③年間修繕計画（12～13期）'!$BC$1:$BC$12</definedName>
    <definedName name="電気料金">#REF!</definedName>
    <definedName name="電力量">#REF!</definedName>
    <definedName name="電力量単価">#REF!</definedName>
    <definedName name="登録免許税">#N/A</definedName>
    <definedName name="当月">#N/A</definedName>
    <definedName name="年間計画">#REF!</definedName>
    <definedName name="燃料調整費">#REF!</definedName>
    <definedName name="費用を打つ①">[16]支払明細!$A$7,[16]支払明細!$H$7,[16]支払明細!$I$7,[16]支払明細!$F$7,[16]支払明細!$K$7,[16]支払明細!$N$7,[16]支払明細!$P$7,[16]支払明細!$R$7,[16]支払明細!$S$7,[16]支払明細!$A$8,[16]支払明細!$H$8,[16]支払明細!$I$8,[16]支払明細!$F$8,[16]支払明細!$K$8,[16]支払明細!$N$8,[16]支払明細!$P$8,[16]支払明細!$R$8,[16]支払明細!$S$8,[16]支払明細!$A$9,[16]支払明細!$H$9,[16]支払明細!$I$9,[16]支払明細!$F$9,[16]支払明細!$K$9,[16]支払明細!$N$9,[16]支払明細!$P$9,[16]支払明細!$R$9,[16]支払明細!$S$9,[16]支払明細!$A$10,[16]支払明細!$H$10,[16]支払明細!$I$10,[16]支払明細!$F$10,[16]支払明細!$K$10,[16]支払明細!$N$10,[16]支払明細!$P$10,[16]支払明細!$R$10,[16]支払明細!$S$10,[16]支払明細!$A$7</definedName>
    <definedName name="費用を打つ②">[16]支払明細!$A$11,[16]支払明細!$H$11,[16]支払明細!$I$11,[16]支払明細!$F$11,[16]支払明細!$K$11,[16]支払明細!$N$11,[16]支払明細!$P$11,[16]支払明細!$R$11,[16]支払明細!$S$11,[16]支払明細!$A$12,[16]支払明細!$H$12,[16]支払明細!$I$12,[16]支払明細!$F$12,[16]支払明細!$K$12,[16]支払明細!$N$12,[16]支払明細!$P$12,[16]支払明細!$R$12,[16]支払明細!$S$12,[16]支払明細!$A$13,[16]支払明細!$H$13,[16]支払明細!$I$13,[16]支払明細!$F$13,[16]支払明細!$K$13,[16]支払明細!$N$13,[16]支払明細!$P$13,[16]支払明細!$R$13,[16]支払明細!$S$13,[16]支払明細!$A$14,[16]支払明細!$H$14,[16]支払明細!$I$14,[16]支払明細!$F$14,[16]支払明細!$K$14,[16]支払明細!$N$14,[16]支払明細!$P$14,[16]支払明細!$R$14,[16]支払明細!$S$14,[16]支払明細!$A$11</definedName>
    <definedName name="費用を打つ③">[16]支払明細!$A$15,[16]支払明細!$H$15,[16]支払明細!$I$15,[16]支払明細!$F$15,[16]支払明細!$K$15,[16]支払明細!$N$15,[16]支払明細!$P$15,[16]支払明細!$R$15,[16]支払明細!$S$15,[16]支払明細!$A$16,[16]支払明細!$H$16,[16]支払明細!$I$16,[16]支払明細!$F$16,[16]支払明細!$K$16,[16]支払明細!$N$16,[16]支払明細!$P$16,[16]支払明細!$R$16,[16]支払明細!$S$16,[16]支払明細!$A$17,[16]支払明細!$H$17,[16]支払明細!$I$17,[16]支払明細!$F$17,[16]支払明細!$K$17,[16]支払明細!$N$17,[16]支払明細!$P$17,[16]支払明細!$R$17,[16]支払明細!$S$17,[16]支払明細!$A$18,[16]支払明細!$H$18,[16]支払明細!$I$18,[16]支払明細!$F$18,[16]支払明細!$K$18,[16]支払明細!$N$18,[16]支払明細!$P$18,[16]支払明細!$R$18,[16]支払明細!$S$18,[16]支払明細!$A$15</definedName>
    <definedName name="費用を打つ④">[16]支払明細!$A$19,[16]支払明細!$H$19,[16]支払明細!$I$19,[16]支払明細!$F$19,[16]支払明細!$K$19,[16]支払明細!$N$19,[16]支払明細!$P$19,[16]支払明細!$R$19,[16]支払明細!$S$19,[16]支払明細!$A$20,[16]支払明細!$H$20,[16]支払明細!$I$20,[16]支払明細!$F$20,[16]支払明細!$K$20,[16]支払明細!$N$20,[16]支払明細!$P$20,[16]支払明細!$R$20,[16]支払明細!$S$20,[16]支払明細!$A$21,[16]支払明細!$H$21,[16]支払明細!$I$21,[16]支払明細!$F$21,[16]支払明細!$K$21,[16]支払明細!$N$21,[16]支払明細!$P$21,[16]支払明細!$R$21,[16]支払明細!$S$21,[16]支払明細!$A$22,[16]支払明細!$H$22,[16]支払明細!$I$22,[16]支払明細!$F$22,[16]支払明細!$K$22,[16]支払明細!$N$22,[16]支払明細!$P$22,[16]支払明細!$R$22,[16]支払明細!$S$22,[16]支払明細!$A$19</definedName>
    <definedName name="費用を打つ⑤">[16]支払明細!$A$23,[16]支払明細!$H$23,[16]支払明細!$I$23,[16]支払明細!$F$23,[16]支払明細!$K$23,[16]支払明細!$N$23,[16]支払明細!$P$23,[16]支払明細!$R$23,[16]支払明細!$S$23,[16]支払明細!$A$24,[16]支払明細!$H$24,[16]支払明細!$I$24,[16]支払明細!$F$24,[16]支払明細!$K$24,[16]支払明細!$N$24,[16]支払明細!$P$24,[16]支払明細!$R$24,[16]支払明細!$S$24,[16]支払明細!$A$25,[16]支払明細!$H$25,[16]支払明細!$I$25,[16]支払明細!$F$25,[16]支払明細!$K$25,[16]支払明細!$N$25,[16]支払明細!$P$25,[16]支払明細!$R$25,[16]支払明細!$S$25,[16]支払明細!$A$26,[16]支払明細!$H$26,[16]支払明細!$I$26,[16]支払明細!$F$26,[16]支払明細!$K$26,[16]支払明細!$N$26,[16]支払明細!$P$26,[16]支払明細!$R$26,[16]支払明細!$S$26,[16]支払明細!$A$23</definedName>
    <definedName name="費用を打つ⑥">[16]支払明細!$A$27,[16]支払明細!$H$27,[16]支払明細!$I$27,[16]支払明細!$F$27,[16]支払明細!$K$27,[16]支払明細!$N$27,[16]支払明細!$P$27,[16]支払明細!$R$27,[16]支払明細!$S$27,[16]支払明細!$A$28,[16]支払明細!$H$28,[16]支払明細!$I$28,[16]支払明細!$F$28,[16]支払明細!$K$28,[16]支払明細!$N$28,[16]支払明細!$P$28,[16]支払明細!$R$28,[16]支払明細!$S$28,[16]支払明細!$A$29,[16]支払明細!$H$29,[16]支払明細!$I$29,[16]支払明細!$F$29,[16]支払明細!$K$29,[16]支払明細!$N$29,[16]支払明細!$P$29,[16]支払明細!$R$29,[16]支払明細!$S$29,[16]支払明細!$A$30,[16]支払明細!$H$30,[16]支払明細!$I$30,[16]支払明細!$F$30,[16]支払明細!$K$30,[16]支払明細!$N$30,[16]支払明細!$P$30,[16]支払明細!$R$30,[16]支払明細!$S$30,[16]支払明細!$A$27</definedName>
    <definedName name="費用科目">#REF!</definedName>
    <definedName name="浜町">#N/A</definedName>
    <definedName name="物件CD">#N/A</definedName>
    <definedName name="物件名">#REF!</definedName>
    <definedName name="平成05年8月23日">#REF!</definedName>
    <definedName name="未回収0009">#N/A</definedName>
    <definedName name="未回収0010">#N/A</definedName>
    <definedName name="無効電力量">#REF!</definedName>
    <definedName name="有無不明">#N/A</definedName>
    <definedName name="領収明細">#N/A</definedName>
    <definedName name="力率">#REF!</definedName>
  </definedNames>
  <calcPr calcId="181029" calcMode="manual"/>
</workbook>
</file>

<file path=xl/calcChain.xml><?xml version="1.0" encoding="utf-8"?>
<calcChain xmlns="http://schemas.openxmlformats.org/spreadsheetml/2006/main">
  <c r="H17" i="108" l="1"/>
  <c r="C17" i="108"/>
  <c r="G17" i="108"/>
  <c r="B17" i="108"/>
  <c r="D17" i="108" l="1"/>
  <c r="I17" i="108"/>
  <c r="J11" i="108" l="1"/>
  <c r="J7" i="108" l="1"/>
  <c r="V24" i="143" l="1"/>
  <c r="L24" i="143"/>
  <c r="T24" i="143" s="1"/>
  <c r="V23" i="143"/>
  <c r="L23" i="143"/>
  <c r="T23" i="143" s="1"/>
  <c r="V22" i="143"/>
  <c r="X22" i="143" s="1"/>
  <c r="L22" i="143"/>
  <c r="T22" i="143" s="1"/>
  <c r="V21" i="143"/>
  <c r="X21" i="143" s="1"/>
  <c r="L21" i="143"/>
  <c r="T21" i="143" s="1"/>
  <c r="V20" i="143"/>
  <c r="L20" i="143"/>
  <c r="P20" i="143" s="1"/>
  <c r="V19" i="143"/>
  <c r="L19" i="143"/>
  <c r="T19" i="143" s="1"/>
  <c r="V18" i="143"/>
  <c r="L18" i="143"/>
  <c r="T18" i="143" s="1"/>
  <c r="V17" i="143"/>
  <c r="X17" i="143" s="1"/>
  <c r="L17" i="143"/>
  <c r="T17" i="143" s="1"/>
  <c r="E8" i="143"/>
  <c r="AH2" i="143"/>
  <c r="X19" i="143" l="1"/>
  <c r="X23" i="143"/>
  <c r="P19" i="143"/>
  <c r="T20" i="143"/>
  <c r="X20" i="143"/>
  <c r="X18" i="143"/>
  <c r="X24" i="143"/>
  <c r="P18" i="143"/>
  <c r="P24" i="143"/>
  <c r="P17" i="143"/>
  <c r="P23" i="143"/>
  <c r="P22" i="143"/>
  <c r="P21" i="143"/>
  <c r="J16" i="108"/>
  <c r="J15" i="108"/>
  <c r="J14" i="108"/>
  <c r="J13" i="108"/>
  <c r="J12" i="108"/>
  <c r="J10" i="108"/>
  <c r="J9" i="108"/>
  <c r="J8" i="108"/>
  <c r="J6" i="108"/>
  <c r="J5" i="108"/>
  <c r="D16" i="108" l="1"/>
  <c r="I16" i="108" l="1"/>
  <c r="D15" i="108" l="1"/>
  <c r="I15" i="108"/>
  <c r="D14" i="108" l="1"/>
  <c r="I14" i="108" l="1"/>
  <c r="I13" i="108" l="1"/>
  <c r="D13" i="108"/>
  <c r="D12" i="108" l="1"/>
  <c r="I12" i="108" l="1"/>
  <c r="D11" i="108" l="1"/>
  <c r="I11" i="108" l="1"/>
  <c r="D10" i="108" l="1"/>
  <c r="I10" i="108" l="1"/>
  <c r="D9" i="108" l="1"/>
  <c r="I9" i="108" l="1"/>
  <c r="I8" i="108" l="1"/>
  <c r="D8" i="108" l="1"/>
  <c r="D7" i="108" l="1"/>
  <c r="I7" i="108" l="1"/>
  <c r="D6" i="108" l="1"/>
  <c r="I6" i="108" l="1"/>
  <c r="D5" i="108" l="1"/>
  <c r="I5" i="10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4" authorId="0" shapeId="0" xr:uid="{00000000-0006-0000-0300-000001000000}">
      <text>
        <r>
          <rPr>
            <b/>
            <sz val="9"/>
            <color indexed="12"/>
            <rFont val="ＭＳ Ｐゴシック"/>
            <family val="3"/>
            <charset val="128"/>
          </rPr>
          <t>業者作業の内容を入力する（定期・不定期含む）</t>
        </r>
        <r>
          <rPr>
            <sz val="9"/>
            <color indexed="81"/>
            <rFont val="ＭＳ Ｐゴシック"/>
            <family val="3"/>
            <charset val="128"/>
          </rPr>
          <t xml:space="preserve">
　・自社作業は管理概要②へ入力
　・設備月次点検は管理概要③へ入力
　・清掃月次業務は管理概要④へ入力
　・事故・故障は管理概要⑤へ入力
　・その他報告事項は管理概要⑥へ入力</t>
        </r>
      </text>
    </comment>
    <comment ref="J6" authorId="0" shapeId="0" xr:uid="{00000000-0006-0000-0300-000002000000}">
      <text>
        <r>
          <rPr>
            <b/>
            <sz val="9"/>
            <color indexed="12"/>
            <rFont val="ＭＳ Ｐゴシック"/>
            <family val="3"/>
            <charset val="128"/>
          </rPr>
          <t>「良」又は「否」で入力</t>
        </r>
      </text>
    </comment>
    <comment ref="V6" authorId="0" shapeId="0" xr:uid="{00000000-0006-0000-0300-000003000000}">
      <text>
        <r>
          <rPr>
            <b/>
            <sz val="9"/>
            <color indexed="12"/>
            <rFont val="ＭＳ Ｐゴシック"/>
            <family val="3"/>
            <charset val="128"/>
          </rPr>
          <t>「良」又は「否」で入力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kanda6</author>
    <author>*</author>
  </authors>
  <commentList>
    <comment ref="A4" authorId="0" shapeId="0" xr:uid="{00000000-0006-0000-0400-000001000000}">
      <text>
        <r>
          <rPr>
            <b/>
            <sz val="9"/>
            <color indexed="12"/>
            <rFont val="ＭＳ Ｐゴシック"/>
            <family val="3"/>
            <charset val="128"/>
          </rPr>
          <t>業者作業の内容を入力する（定期・不定期含む）</t>
        </r>
        <r>
          <rPr>
            <sz val="9"/>
            <color indexed="81"/>
            <rFont val="ＭＳ Ｐゴシック"/>
            <family val="3"/>
            <charset val="128"/>
          </rPr>
          <t xml:space="preserve">
　・自社作業は管理概要②へ入力
　・設備月次点検は管理概要③へ入力
　・清掃月次業務は管理概要④へ入力
　・事故・故障は管理概要⑤へ入力
　・その他報告事項は管理概要⑥へ入力</t>
        </r>
      </text>
    </comment>
    <comment ref="E6" authorId="1" shapeId="0" xr:uid="{00000000-0006-0000-0400-000002000000}">
      <text>
        <r>
          <rPr>
            <b/>
            <sz val="9"/>
            <color indexed="81"/>
            <rFont val="ＭＳ Ｐゴシック"/>
            <family val="3"/>
            <charset val="128"/>
          </rPr>
          <t>テナントからの要望で作業した場合は
（テナント要望）
と記載する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4" authorId="0" shapeId="0" xr:uid="{00000000-0006-0000-0500-000001000000}">
      <text>
        <r>
          <rPr>
            <b/>
            <sz val="9"/>
            <color indexed="12"/>
            <rFont val="ＭＳ Ｐゴシック"/>
            <family val="3"/>
            <charset val="128"/>
          </rPr>
          <t>設備月次点検の内容を入力する（定期・不定期含む）</t>
        </r>
        <r>
          <rPr>
            <sz val="9"/>
            <color indexed="81"/>
            <rFont val="ＭＳ Ｐゴシック"/>
            <family val="3"/>
            <charset val="128"/>
          </rPr>
          <t xml:space="preserve">
　・業者作業は管理概要①へ入力
　・自社作業は管理概要②へ入力
　・清掃月次業務は管理概要④へ入力
　・事故・故障は管理概要⑤へ入力
　・その他報告事項は管理概要⑥へ入力</t>
        </r>
      </text>
    </comment>
    <comment ref="K6" authorId="0" shapeId="0" xr:uid="{00000000-0006-0000-0500-000002000000}">
      <text>
        <r>
          <rPr>
            <b/>
            <sz val="9"/>
            <color indexed="12"/>
            <rFont val="ＭＳ Ｐゴシック"/>
            <family val="3"/>
            <charset val="128"/>
          </rPr>
          <t>「良」又は「否」で入力</t>
        </r>
      </text>
    </comment>
    <comment ref="V6" authorId="0" shapeId="0" xr:uid="{00000000-0006-0000-0500-000003000000}">
      <text>
        <r>
          <rPr>
            <b/>
            <sz val="9"/>
            <color indexed="12"/>
            <rFont val="ＭＳ Ｐゴシック"/>
            <family val="3"/>
            <charset val="128"/>
          </rPr>
          <t>「良」又は「否」で入力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4" authorId="0" shapeId="0" xr:uid="{00000000-0006-0000-0600-000001000000}">
      <text>
        <r>
          <rPr>
            <b/>
            <sz val="9"/>
            <color indexed="12"/>
            <rFont val="ＭＳ Ｐゴシック"/>
            <family val="3"/>
            <charset val="128"/>
          </rPr>
          <t>清掃業務月次の内容を入力する（定期・不定期含む）</t>
        </r>
        <r>
          <rPr>
            <sz val="9"/>
            <color indexed="81"/>
            <rFont val="ＭＳ Ｐゴシック"/>
            <family val="3"/>
            <charset val="128"/>
          </rPr>
          <t xml:space="preserve">
　・業者作業は管理概要①へ入力
　・自社作業は管理概要②へ入力
　・設備月次点検は管理概要③へ入力
　・事故・故障は管理概要⑤へ入力
　・その他報告事項はその他⑥へ入力</t>
        </r>
      </text>
    </comment>
    <comment ref="K6" authorId="0" shapeId="0" xr:uid="{00000000-0006-0000-0600-000002000000}">
      <text>
        <r>
          <rPr>
            <b/>
            <sz val="9"/>
            <color indexed="12"/>
            <rFont val="ＭＳ Ｐゴシック"/>
            <family val="3"/>
            <charset val="128"/>
          </rPr>
          <t>「良」又は「否」で入力</t>
        </r>
      </text>
    </comment>
    <comment ref="V6" authorId="0" shapeId="0" xr:uid="{00000000-0006-0000-0600-000003000000}">
      <text>
        <r>
          <rPr>
            <b/>
            <sz val="9"/>
            <color indexed="12"/>
            <rFont val="ＭＳ Ｐゴシック"/>
            <family val="3"/>
            <charset val="128"/>
          </rPr>
          <t>「良」又は「否」で入力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kanda6</author>
    <author>植原　和浩</author>
  </authors>
  <commentList>
    <comment ref="A4" authorId="0" shapeId="0" xr:uid="{00000000-0006-0000-0700-000001000000}">
      <text>
        <r>
          <rPr>
            <b/>
            <sz val="9"/>
            <color indexed="12"/>
            <rFont val="ＭＳ Ｐゴシック"/>
            <family val="3"/>
            <charset val="128"/>
          </rPr>
          <t xml:space="preserve">事故・故障の内容を入力する
</t>
        </r>
        <r>
          <rPr>
            <b/>
            <sz val="9"/>
            <color indexed="10"/>
            <rFont val="ＭＳ Ｐゴシック"/>
            <family val="3"/>
            <charset val="128"/>
          </rPr>
          <t>※特に注釈が必要な場合は「備考」欄へ入力する</t>
        </r>
        <r>
          <rPr>
            <sz val="9"/>
            <color indexed="81"/>
            <rFont val="ＭＳ Ｐゴシック"/>
            <family val="3"/>
            <charset val="128"/>
          </rPr>
          <t xml:space="preserve">
　・業者作業は管理概要①へ入力
　・自社作業は管理概要②へ入力
　・設備月次点検は管理概要③へ入力
　・清掃月次業務は管理概要④へ入力
　・その他報告事項は管理概要⑥へ入力</t>
        </r>
      </text>
    </comment>
    <comment ref="K6" authorId="1" shapeId="0" xr:uid="{00000000-0006-0000-0700-000002000000}">
      <text>
        <r>
          <rPr>
            <b/>
            <sz val="9"/>
            <color indexed="12"/>
            <rFont val="ＭＳ Ｐゴシック"/>
            <family val="3"/>
            <charset val="128"/>
          </rPr>
          <t>枠欄に収まらない場合は「備考」欄に入力する</t>
        </r>
      </text>
    </comment>
    <comment ref="N6" authorId="1" shapeId="0" xr:uid="{00000000-0006-0000-0700-000003000000}">
      <text>
        <r>
          <rPr>
            <b/>
            <sz val="9"/>
            <color indexed="12"/>
            <rFont val="ＭＳ Ｐゴシック"/>
            <family val="3"/>
            <charset val="128"/>
          </rPr>
          <t>「未」又は「済」で入力</t>
        </r>
      </text>
    </comment>
    <comment ref="Y6" authorId="1" shapeId="0" xr:uid="{00000000-0006-0000-0700-000004000000}">
      <text>
        <r>
          <rPr>
            <b/>
            <sz val="9"/>
            <color indexed="12"/>
            <rFont val="ＭＳ Ｐゴシック"/>
            <family val="3"/>
            <charset val="128"/>
          </rPr>
          <t>枠欄に収まらない場合は「備考」欄に入力する</t>
        </r>
      </text>
    </comment>
    <comment ref="AB6" authorId="1" shapeId="0" xr:uid="{00000000-0006-0000-0700-000005000000}">
      <text>
        <r>
          <rPr>
            <b/>
            <sz val="9"/>
            <color indexed="12"/>
            <rFont val="ＭＳ Ｐゴシック"/>
            <family val="3"/>
            <charset val="128"/>
          </rPr>
          <t>「未」又は「済」で入力</t>
        </r>
      </text>
    </comment>
    <comment ref="A41" authorId="0" shapeId="0" xr:uid="{00000000-0006-0000-0700-000006000000}">
      <text>
        <r>
          <rPr>
            <b/>
            <sz val="9"/>
            <color indexed="12"/>
            <rFont val="ＭＳ Ｐゴシック"/>
            <family val="3"/>
            <charset val="128"/>
          </rPr>
          <t xml:space="preserve">その他報告事項の内容を入力する
</t>
        </r>
        <r>
          <rPr>
            <b/>
            <sz val="9"/>
            <color indexed="10"/>
            <rFont val="ＭＳ Ｐゴシック"/>
            <family val="3"/>
            <charset val="128"/>
          </rPr>
          <t>※特にない場合は不要</t>
        </r>
        <r>
          <rPr>
            <b/>
            <sz val="9"/>
            <color indexed="12"/>
            <rFont val="ＭＳ Ｐゴシック"/>
            <family val="3"/>
            <charset val="128"/>
          </rPr>
          <t xml:space="preserve">
</t>
        </r>
      </text>
    </comment>
    <comment ref="A55" authorId="0" shapeId="0" xr:uid="{00000000-0006-0000-0700-000007000000}">
      <text>
        <r>
          <rPr>
            <b/>
            <sz val="9"/>
            <color indexed="12"/>
            <rFont val="ＭＳ Ｐゴシック"/>
            <family val="3"/>
            <charset val="128"/>
          </rPr>
          <t xml:space="preserve">上記「⑥事故・故障」の内容に関わる注釈を入力する
</t>
        </r>
        <r>
          <rPr>
            <b/>
            <sz val="9"/>
            <color indexed="10"/>
            <rFont val="ＭＳ Ｐゴシック"/>
            <family val="3"/>
            <charset val="128"/>
          </rPr>
          <t>※特に注釈が必要ない場合は不要</t>
        </r>
        <r>
          <rPr>
            <b/>
            <sz val="9"/>
            <color indexed="12"/>
            <rFont val="ＭＳ Ｐゴシック"/>
            <family val="3"/>
            <charset val="128"/>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1" authorId="0" shapeId="0" xr:uid="{00000000-0006-0000-0800-000001000000}">
      <text>
        <r>
          <rPr>
            <b/>
            <sz val="9"/>
            <color indexed="12"/>
            <rFont val="ＭＳ Ｐゴシック"/>
            <family val="3"/>
            <charset val="128"/>
          </rPr>
          <t>検針表を参照し入力</t>
        </r>
        <r>
          <rPr>
            <b/>
            <sz val="9"/>
            <color indexed="81"/>
            <rFont val="ＭＳ Ｐゴシック"/>
            <family val="3"/>
            <charset val="128"/>
          </rPr>
          <t xml:space="preserve">
</t>
        </r>
        <r>
          <rPr>
            <b/>
            <sz val="9"/>
            <color indexed="10"/>
            <rFont val="ＭＳ Ｐゴシック"/>
            <family val="3"/>
            <charset val="128"/>
          </rPr>
          <t>※対前年比が許容範囲外（１３０％以上又は７０％未満）の場合は「備考」欄に理由を入力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1" authorId="0" shapeId="0" xr:uid="{00000000-0006-0000-0900-000001000000}">
      <text>
        <r>
          <rPr>
            <b/>
            <sz val="10"/>
            <color indexed="12"/>
            <rFont val="ＭＳ Ｐゴシック"/>
            <family val="3"/>
            <charset val="128"/>
          </rPr>
          <t>来月の自社作業及び業者作業の内容を作成時点で判明している範囲で入力</t>
        </r>
        <r>
          <rPr>
            <b/>
            <sz val="10"/>
            <color indexed="81"/>
            <rFont val="ＭＳ Ｐゴシック"/>
            <family val="3"/>
            <charset val="128"/>
          </rPr>
          <t xml:space="preserve">
</t>
        </r>
        <r>
          <rPr>
            <b/>
            <sz val="10"/>
            <color indexed="10"/>
            <rFont val="ＭＳ Ｐゴシック"/>
            <family val="3"/>
            <charset val="128"/>
          </rPr>
          <t>※特に重要な項目は「重点項目」欄に入力</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satoshi fukutomi</author>
  </authors>
  <commentList>
    <comment ref="B6" authorId="0" shapeId="0" xr:uid="{EA7B0B6B-2A62-49A0-90D1-2CD3E5A52EB2}">
      <text>
        <r>
          <rPr>
            <b/>
            <sz val="9"/>
            <color indexed="81"/>
            <rFont val="ＭＳ Ｐゴシック"/>
            <family val="3"/>
            <charset val="128"/>
          </rPr>
          <t>入力は半角数値のみ。
月、日に</t>
        </r>
        <r>
          <rPr>
            <b/>
            <sz val="9"/>
            <color indexed="81"/>
            <rFont val="MS P ゴシック"/>
            <family val="3"/>
            <charset val="128"/>
          </rPr>
          <t>0</t>
        </r>
        <r>
          <rPr>
            <b/>
            <sz val="9"/>
            <color indexed="81"/>
            <rFont val="ＭＳ Ｐゴシック"/>
            <family val="3"/>
            <charset val="128"/>
          </rPr>
          <t>は入れない。
入力例
〇</t>
        </r>
        <r>
          <rPr>
            <b/>
            <sz val="9"/>
            <color indexed="81"/>
            <rFont val="MS P ゴシック"/>
            <family val="3"/>
            <charset val="128"/>
          </rPr>
          <t xml:space="preserve">2023/5/5
</t>
        </r>
        <r>
          <rPr>
            <b/>
            <sz val="9"/>
            <color indexed="81"/>
            <rFont val="ＭＳ Ｐゴシック"/>
            <family val="3"/>
            <charset val="128"/>
          </rPr>
          <t>✖</t>
        </r>
        <r>
          <rPr>
            <b/>
            <sz val="9"/>
            <color indexed="81"/>
            <rFont val="MS P ゴシック"/>
            <family val="3"/>
            <charset val="128"/>
          </rPr>
          <t>2023/05/05</t>
        </r>
      </text>
    </comment>
    <comment ref="D6" authorId="0" shapeId="0" xr:uid="{4A3203E6-E2B4-433B-8122-172DF7B02301}">
      <text>
        <r>
          <rPr>
            <b/>
            <sz val="9"/>
            <color indexed="81"/>
            <rFont val="MS P ゴシック"/>
            <family val="3"/>
            <charset val="128"/>
          </rPr>
          <t>表に空白セルを作らない！</t>
        </r>
        <r>
          <rPr>
            <sz val="9"/>
            <color indexed="81"/>
            <rFont val="MS P ゴシック"/>
            <family val="3"/>
            <charset val="128"/>
          </rPr>
          <t xml:space="preserve">
</t>
        </r>
      </text>
    </comment>
  </commentList>
</comments>
</file>

<file path=xl/sharedStrings.xml><?xml version="1.0" encoding="utf-8"?>
<sst xmlns="http://schemas.openxmlformats.org/spreadsheetml/2006/main" count="2609" uniqueCount="782">
  <si>
    <t>【水道使用量】</t>
    <rPh sb="1" eb="3">
      <t>スイドウ</t>
    </rPh>
    <rPh sb="3" eb="6">
      <t>シヨウリョウ</t>
    </rPh>
    <phoneticPr fontId="7"/>
  </si>
  <si>
    <t>【電気使用量】</t>
    <rPh sb="1" eb="3">
      <t>デンキ</t>
    </rPh>
    <rPh sb="3" eb="6">
      <t>シヨウリョウ</t>
    </rPh>
    <phoneticPr fontId="7"/>
  </si>
  <si>
    <t>検針月累計</t>
    <rPh sb="0" eb="2">
      <t>ケンシン</t>
    </rPh>
    <rPh sb="2" eb="3">
      <t>ヅキ</t>
    </rPh>
    <rPh sb="3" eb="5">
      <t>ルイケイ</t>
    </rPh>
    <phoneticPr fontId="7"/>
  </si>
  <si>
    <t>備　考：</t>
    <rPh sb="0" eb="1">
      <t>ビ</t>
    </rPh>
    <rPh sb="2" eb="3">
      <t>コウ</t>
    </rPh>
    <phoneticPr fontId="7"/>
  </si>
  <si>
    <t>重点項目</t>
    <rPh sb="0" eb="2">
      <t>ジュウテン</t>
    </rPh>
    <rPh sb="2" eb="4">
      <t>コウモク</t>
    </rPh>
    <phoneticPr fontId="7"/>
  </si>
  <si>
    <t>日</t>
    <rPh sb="0" eb="1">
      <t>ヒヅケ</t>
    </rPh>
    <phoneticPr fontId="7"/>
  </si>
  <si>
    <t>曜</t>
    <rPh sb="0" eb="1">
      <t>ヨウ</t>
    </rPh>
    <phoneticPr fontId="7"/>
  </si>
  <si>
    <t>設備区分</t>
    <rPh sb="0" eb="2">
      <t>セツビ</t>
    </rPh>
    <rPh sb="2" eb="4">
      <t>クブン</t>
    </rPh>
    <phoneticPr fontId="7"/>
  </si>
  <si>
    <t>施　　工　　内　　容</t>
    <rPh sb="0" eb="4">
      <t>セコウ</t>
    </rPh>
    <rPh sb="6" eb="10">
      <t>ナイヨウ</t>
    </rPh>
    <phoneticPr fontId="7"/>
  </si>
  <si>
    <t>施工会社</t>
    <rPh sb="0" eb="2">
      <t>セコウ</t>
    </rPh>
    <rPh sb="2" eb="4">
      <t>カイシャ</t>
    </rPh>
    <phoneticPr fontId="7"/>
  </si>
  <si>
    <t>日</t>
  </si>
  <si>
    <t>事故・故障の内容</t>
    <rPh sb="0" eb="2">
      <t>ジコ</t>
    </rPh>
    <rPh sb="3" eb="5">
      <t>コショウ</t>
    </rPh>
    <rPh sb="6" eb="8">
      <t>ナイヨウ</t>
    </rPh>
    <phoneticPr fontId="7"/>
  </si>
  <si>
    <t>対　　応</t>
    <rPh sb="0" eb="1">
      <t>タイショ</t>
    </rPh>
    <rPh sb="3" eb="4">
      <t>オウ</t>
    </rPh>
    <phoneticPr fontId="7"/>
  </si>
  <si>
    <t>確認</t>
    <rPh sb="0" eb="2">
      <t>カクニン</t>
    </rPh>
    <phoneticPr fontId="7"/>
  </si>
  <si>
    <t>曜</t>
  </si>
  <si>
    <t>業　　　務　　　内　　　容</t>
  </si>
  <si>
    <t>結果</t>
  </si>
  <si>
    <t>備　　　考</t>
    <rPh sb="0" eb="1">
      <t>ソナエ</t>
    </rPh>
    <rPh sb="4" eb="5">
      <t>コウ</t>
    </rPh>
    <phoneticPr fontId="7"/>
  </si>
  <si>
    <t>エス・シー・ビルサービス株式会社</t>
    <rPh sb="12" eb="16">
      <t>カブシキガイシャ</t>
    </rPh>
    <phoneticPr fontId="7"/>
  </si>
  <si>
    <t>Ｓ　Ｂ　Ｍ</t>
    <phoneticPr fontId="7"/>
  </si>
  <si>
    <t>Ｓ　Ｃ　Ｂ</t>
    <phoneticPr fontId="7"/>
  </si>
  <si>
    <t>《目　　　　次》</t>
    <rPh sb="1" eb="7">
      <t>モクジ</t>
    </rPh>
    <phoneticPr fontId="7"/>
  </si>
  <si>
    <t>対前年比</t>
    <rPh sb="0" eb="1">
      <t>タイ</t>
    </rPh>
    <rPh sb="1" eb="4">
      <t>ゼンネンヒ</t>
    </rPh>
    <phoneticPr fontId="7"/>
  </si>
  <si>
    <t>管理概要　</t>
    <phoneticPr fontId="7"/>
  </si>
  <si>
    <t>管理概要　</t>
    <phoneticPr fontId="7"/>
  </si>
  <si>
    <t>前年度使用量</t>
    <rPh sb="0" eb="3">
      <t>ゼンネンド</t>
    </rPh>
    <rPh sb="3" eb="6">
      <t>シヨウリョウ</t>
    </rPh>
    <phoneticPr fontId="7"/>
  </si>
  <si>
    <t>本年度使用量</t>
    <rPh sb="0" eb="3">
      <t>ホンネンド</t>
    </rPh>
    <rPh sb="3" eb="6">
      <t>シヨウリョウ</t>
    </rPh>
    <phoneticPr fontId="7"/>
  </si>
  <si>
    <t>月</t>
  </si>
  <si>
    <t>火</t>
  </si>
  <si>
    <t>水</t>
  </si>
  <si>
    <t>木</t>
  </si>
  <si>
    <t>金</t>
  </si>
  <si>
    <t>土</t>
  </si>
  <si>
    <t>5月</t>
  </si>
  <si>
    <t>6月</t>
  </si>
  <si>
    <t>7月</t>
  </si>
  <si>
    <t>8月</t>
  </si>
  <si>
    <t>9月</t>
  </si>
  <si>
    <t>10月</t>
  </si>
  <si>
    <t>11月</t>
  </si>
  <si>
    <t>12月</t>
  </si>
  <si>
    <t>2月</t>
    <rPh sb="1" eb="2">
      <t>ガツ</t>
    </rPh>
    <phoneticPr fontId="7"/>
  </si>
  <si>
    <t>⑤　事故・故障報告</t>
    <rPh sb="2" eb="4">
      <t>ジコ</t>
    </rPh>
    <rPh sb="5" eb="7">
      <t>コショウ</t>
    </rPh>
    <rPh sb="7" eb="9">
      <t>ホウコク</t>
    </rPh>
    <phoneticPr fontId="7"/>
  </si>
  <si>
    <t>⑥　その他報告事項</t>
    <phoneticPr fontId="7"/>
  </si>
  <si>
    <t>　　　　　　　　　　　　　　　　　　　　　　　　　　　　⑤　事故・故障関係報告</t>
    <rPh sb="30" eb="32">
      <t>ジコ</t>
    </rPh>
    <rPh sb="33" eb="35">
      <t>コショウ</t>
    </rPh>
    <rPh sb="35" eb="37">
      <t>カンケイ</t>
    </rPh>
    <rPh sb="37" eb="39">
      <t>ホウコク</t>
    </rPh>
    <phoneticPr fontId="7"/>
  </si>
  <si>
    <t>　　　　　　　　　　　　　　　　　　　　　　　　　　　　⑥　その他報告</t>
    <rPh sb="32" eb="33">
      <t>タ</t>
    </rPh>
    <rPh sb="33" eb="35">
      <t>ホウコク</t>
    </rPh>
    <phoneticPr fontId="7"/>
  </si>
  <si>
    <t>　　　　　　　　　　　　　　　　　　　　　　　　　　　　④　清掃業務月次報告</t>
    <rPh sb="30" eb="32">
      <t>セイソウ</t>
    </rPh>
    <rPh sb="32" eb="34">
      <t>ギョウム</t>
    </rPh>
    <rPh sb="34" eb="36">
      <t>ゲツジ</t>
    </rPh>
    <rPh sb="36" eb="38">
      <t>ホウコク</t>
    </rPh>
    <phoneticPr fontId="7"/>
  </si>
  <si>
    <t>④　清掃業務月次報告</t>
    <rPh sb="2" eb="4">
      <t>セイソウ</t>
    </rPh>
    <rPh sb="4" eb="6">
      <t>ギョウム</t>
    </rPh>
    <rPh sb="6" eb="8">
      <t>ゲツジ</t>
    </rPh>
    <rPh sb="8" eb="10">
      <t>ホウコク</t>
    </rPh>
    <phoneticPr fontId="7"/>
  </si>
  <si>
    <t>　　　　　　　　　　　　　　　　　　　　　　　　　　１．所見</t>
    <rPh sb="28" eb="30">
      <t>ショケン</t>
    </rPh>
    <phoneticPr fontId="7"/>
  </si>
  <si>
    <t>　　　　　　　　　　　　　　　　　　　　　　　　　　２．今月実施業務報告</t>
    <rPh sb="28" eb="30">
      <t>コンゲツ</t>
    </rPh>
    <rPh sb="30" eb="32">
      <t>ジッシ</t>
    </rPh>
    <rPh sb="32" eb="34">
      <t>ギョウム</t>
    </rPh>
    <rPh sb="34" eb="36">
      <t>ホウコク</t>
    </rPh>
    <phoneticPr fontId="7"/>
  </si>
  <si>
    <t>　　　　　　　　　　　　　　　　　　　　　　　　　　４．来月度作業予定表</t>
    <rPh sb="28" eb="30">
      <t>ライゲツ</t>
    </rPh>
    <rPh sb="30" eb="31">
      <t>ド</t>
    </rPh>
    <rPh sb="31" eb="33">
      <t>サギョウ</t>
    </rPh>
    <rPh sb="33" eb="35">
      <t>ヨテイ</t>
    </rPh>
    <rPh sb="35" eb="36">
      <t>ヒョウ</t>
    </rPh>
    <phoneticPr fontId="7"/>
  </si>
  <si>
    <t>□エネルギー使用について</t>
    <rPh sb="6" eb="8">
      <t>シヨウ</t>
    </rPh>
    <phoneticPr fontId="7"/>
  </si>
  <si>
    <t>□その他</t>
    <rPh sb="3" eb="4">
      <t>タ</t>
    </rPh>
    <phoneticPr fontId="7"/>
  </si>
  <si>
    <t>備考</t>
    <rPh sb="0" eb="2">
      <t>ビコウ</t>
    </rPh>
    <phoneticPr fontId="7"/>
  </si>
  <si>
    <t>　　　　　　　　　　　　　　　　　　　　　　　　　　５．年間管理表</t>
    <rPh sb="28" eb="30">
      <t>ネンカン</t>
    </rPh>
    <rPh sb="30" eb="32">
      <t>カンリ</t>
    </rPh>
    <rPh sb="32" eb="33">
      <t>ヒョウ</t>
    </rPh>
    <phoneticPr fontId="7"/>
  </si>
  <si>
    <t>３．水道光熱使用量</t>
    <rPh sb="2" eb="4">
      <t>スイドウ</t>
    </rPh>
    <rPh sb="4" eb="6">
      <t>コウネツ</t>
    </rPh>
    <rPh sb="6" eb="9">
      <t>シヨウリョウ</t>
    </rPh>
    <phoneticPr fontId="7"/>
  </si>
  <si>
    <t>４．月間点検作業予定と重点項目</t>
    <rPh sb="8" eb="10">
      <t>ヨテイ</t>
    </rPh>
    <rPh sb="11" eb="13">
      <t>ジュウテン</t>
    </rPh>
    <rPh sb="13" eb="15">
      <t>コウモク</t>
    </rPh>
    <phoneticPr fontId="7"/>
  </si>
  <si>
    <t>　　　　　　　　　　　　　　　　　　　　　　　　　　３．水道光熱使用量</t>
    <rPh sb="28" eb="30">
      <t>スイドウ</t>
    </rPh>
    <rPh sb="30" eb="32">
      <t>コウネツ</t>
    </rPh>
    <rPh sb="32" eb="35">
      <t>シヨウリョウ</t>
    </rPh>
    <phoneticPr fontId="7"/>
  </si>
  <si>
    <t>①　定期保守業務</t>
    <rPh sb="4" eb="6">
      <t>ホシュ</t>
    </rPh>
    <rPh sb="6" eb="8">
      <t>ギョウム</t>
    </rPh>
    <phoneticPr fontId="7"/>
  </si>
  <si>
    <t>保守作業</t>
    <rPh sb="0" eb="2">
      <t>ホシュ</t>
    </rPh>
    <rPh sb="2" eb="4">
      <t>サギョウ</t>
    </rPh>
    <phoneticPr fontId="7"/>
  </si>
  <si>
    <t>巡回業務</t>
    <rPh sb="0" eb="2">
      <t>ジュンカイ</t>
    </rPh>
    <rPh sb="2" eb="4">
      <t>ギョウム</t>
    </rPh>
    <phoneticPr fontId="7"/>
  </si>
  <si>
    <t>　　　　　　　　　　　　　　　　　　　　　　　　　　　　①　定期保守業務</t>
    <rPh sb="30" eb="32">
      <t>テイキ</t>
    </rPh>
    <rPh sb="32" eb="34">
      <t>ホシュ</t>
    </rPh>
    <rPh sb="34" eb="36">
      <t>ギョウム</t>
    </rPh>
    <phoneticPr fontId="7"/>
  </si>
  <si>
    <t>　　　　　　　　　　　　　　　　　　　　　　　　　　　　②　スポット対応、テナント対応業務</t>
    <rPh sb="34" eb="36">
      <t>タイオウ</t>
    </rPh>
    <rPh sb="41" eb="43">
      <t>タイオウ</t>
    </rPh>
    <rPh sb="43" eb="45">
      <t>ギョウム</t>
    </rPh>
    <phoneticPr fontId="7"/>
  </si>
  <si>
    <t>③　設備巡回業務月次点検報告</t>
    <rPh sb="2" eb="4">
      <t>セツビ</t>
    </rPh>
    <rPh sb="4" eb="6">
      <t>ジュンカイ</t>
    </rPh>
    <rPh sb="6" eb="8">
      <t>ギョウム</t>
    </rPh>
    <rPh sb="8" eb="10">
      <t>ゲツジ</t>
    </rPh>
    <rPh sb="10" eb="12">
      <t>テンケン</t>
    </rPh>
    <rPh sb="12" eb="14">
      <t>ホウコク</t>
    </rPh>
    <phoneticPr fontId="7"/>
  </si>
  <si>
    <t>　　　　　　　　　　　　　　　　　　　　　　　　　　　　③　設備巡回業務月次点検報告</t>
    <rPh sb="30" eb="32">
      <t>セツビ</t>
    </rPh>
    <rPh sb="32" eb="34">
      <t>ジュンカイ</t>
    </rPh>
    <rPh sb="34" eb="36">
      <t>ギョウム</t>
    </rPh>
    <rPh sb="36" eb="38">
      <t>ゲツジ</t>
    </rPh>
    <rPh sb="38" eb="40">
      <t>テンケン</t>
    </rPh>
    <rPh sb="40" eb="42">
      <t>ホウコク</t>
    </rPh>
    <phoneticPr fontId="7"/>
  </si>
  <si>
    <t>最大需要電力
（デマンド値）</t>
    <rPh sb="12" eb="13">
      <t>チ</t>
    </rPh>
    <phoneticPr fontId="7"/>
  </si>
  <si>
    <t>検針月累計</t>
    <phoneticPr fontId="7"/>
  </si>
  <si>
    <t>入力用</t>
    <rPh sb="0" eb="2">
      <t>ニュウリョク</t>
    </rPh>
    <rPh sb="2" eb="3">
      <t>ヨウ</t>
    </rPh>
    <phoneticPr fontId="7"/>
  </si>
  <si>
    <t>②スポット対応、テナント対応業務</t>
    <rPh sb="5" eb="7">
      <t>タイオウ</t>
    </rPh>
    <rPh sb="12" eb="14">
      <t>タイオウ</t>
    </rPh>
    <rPh sb="14" eb="16">
      <t>ギョウム</t>
    </rPh>
    <phoneticPr fontId="7"/>
  </si>
  <si>
    <t>□トラブルについて</t>
    <phoneticPr fontId="7"/>
  </si>
  <si>
    <t>1)</t>
    <phoneticPr fontId="7"/>
  </si>
  <si>
    <t>１)</t>
    <phoneticPr fontId="7"/>
  </si>
  <si>
    <t>紀　尾　井　町　P　R　E　X</t>
    <rPh sb="0" eb="1">
      <t>キ</t>
    </rPh>
    <rPh sb="2" eb="3">
      <t>オ</t>
    </rPh>
    <rPh sb="4" eb="5">
      <t>イ</t>
    </rPh>
    <rPh sb="6" eb="7">
      <t>マチ</t>
    </rPh>
    <phoneticPr fontId="7"/>
  </si>
  <si>
    <t>4月</t>
    <rPh sb="1" eb="2">
      <t>ガツ</t>
    </rPh>
    <phoneticPr fontId="7"/>
  </si>
  <si>
    <t>（電気：毎月18日　水道：奇数月10日）</t>
    <rPh sb="1" eb="3">
      <t>デンキ</t>
    </rPh>
    <rPh sb="4" eb="6">
      <t>マイツキ</t>
    </rPh>
    <rPh sb="8" eb="9">
      <t>ニチ</t>
    </rPh>
    <rPh sb="10" eb="12">
      <t>スイドウ</t>
    </rPh>
    <rPh sb="13" eb="15">
      <t>キスウ</t>
    </rPh>
    <rPh sb="15" eb="16">
      <t>ツキ</t>
    </rPh>
    <rPh sb="18" eb="19">
      <t>ニチ</t>
    </rPh>
    <phoneticPr fontId="7"/>
  </si>
  <si>
    <t>【　紀尾井町PREX　】</t>
    <rPh sb="2" eb="5">
      <t>キオイ</t>
    </rPh>
    <rPh sb="5" eb="6">
      <t>チョウ</t>
    </rPh>
    <phoneticPr fontId="7"/>
  </si>
  <si>
    <t>業 務 内 容</t>
  </si>
  <si>
    <t>実施回数</t>
  </si>
  <si>
    <t>2　月</t>
    <phoneticPr fontId="7"/>
  </si>
  <si>
    <t>3　月</t>
    <phoneticPr fontId="7"/>
  </si>
  <si>
    <t>4　月</t>
    <phoneticPr fontId="7"/>
  </si>
  <si>
    <t>5　月</t>
    <phoneticPr fontId="7"/>
  </si>
  <si>
    <t>6　月</t>
    <phoneticPr fontId="7"/>
  </si>
  <si>
    <t>7　月</t>
    <phoneticPr fontId="7"/>
  </si>
  <si>
    <t>8　月</t>
    <phoneticPr fontId="7"/>
  </si>
  <si>
    <t>9　月</t>
    <phoneticPr fontId="7"/>
  </si>
  <si>
    <t>10　月</t>
  </si>
  <si>
    <t>11　月</t>
  </si>
  <si>
    <t>12　月</t>
  </si>
  <si>
    <t>発　注　先</t>
    <phoneticPr fontId="7"/>
  </si>
  <si>
    <t>備　考</t>
  </si>
  <si>
    <t>予</t>
  </si>
  <si>
    <t>実</t>
  </si>
  <si>
    <t>（委託業者）</t>
    <rPh sb="1" eb="3">
      <t>イタク</t>
    </rPh>
    <rPh sb="3" eb="5">
      <t>ギョウシャ</t>
    </rPh>
    <phoneticPr fontId="7"/>
  </si>
  <si>
    <t>日常</t>
    <rPh sb="0" eb="2">
      <t>ニチジョウ</t>
    </rPh>
    <phoneticPr fontId="7"/>
  </si>
  <si>
    <t>保全業務</t>
    <rPh sb="0" eb="2">
      <t>ホゼン</t>
    </rPh>
    <rPh sb="2" eb="4">
      <t>ギョウム</t>
    </rPh>
    <phoneticPr fontId="7"/>
  </si>
  <si>
    <t>毎日</t>
    <rPh sb="0" eb="2">
      <t>マイニチ</t>
    </rPh>
    <phoneticPr fontId="7"/>
  </si>
  <si>
    <t>○</t>
  </si>
  <si>
    <t>SCB</t>
    <phoneticPr fontId="7"/>
  </si>
  <si>
    <t>清掃業務</t>
    <rPh sb="0" eb="2">
      <t>セイソウ</t>
    </rPh>
    <rPh sb="2" eb="4">
      <t>ギョウム</t>
    </rPh>
    <phoneticPr fontId="7"/>
  </si>
  <si>
    <t>保安業務</t>
    <rPh sb="0" eb="2">
      <t>ホアン</t>
    </rPh>
    <rPh sb="2" eb="4">
      <t>ギョウム</t>
    </rPh>
    <phoneticPr fontId="7"/>
  </si>
  <si>
    <t>機械警備及び遠隔監視</t>
    <rPh sb="0" eb="2">
      <t>キカイ</t>
    </rPh>
    <rPh sb="2" eb="4">
      <t>ケイビ</t>
    </rPh>
    <rPh sb="4" eb="5">
      <t>オヨ</t>
    </rPh>
    <rPh sb="6" eb="8">
      <t>エンカク</t>
    </rPh>
    <rPh sb="8" eb="10">
      <t>カンシ</t>
    </rPh>
    <phoneticPr fontId="7"/>
  </si>
  <si>
    <t>塵芥処理</t>
    <rPh sb="0" eb="2">
      <t>ジンカイ</t>
    </rPh>
    <rPh sb="2" eb="4">
      <t>ショリ</t>
    </rPh>
    <phoneticPr fontId="7"/>
  </si>
  <si>
    <t>都市環境エンジニアリング㈱</t>
    <rPh sb="0" eb="2">
      <t>トシ</t>
    </rPh>
    <rPh sb="2" eb="4">
      <t>カンキョウ</t>
    </rPh>
    <phoneticPr fontId="7"/>
  </si>
  <si>
    <t>建築</t>
    <rPh sb="0" eb="2">
      <t>ケンチク</t>
    </rPh>
    <phoneticPr fontId="7"/>
  </si>
  <si>
    <t>建築設備定期検査</t>
    <rPh sb="0" eb="2">
      <t>ケンチク</t>
    </rPh>
    <rPh sb="2" eb="4">
      <t>セツビ</t>
    </rPh>
    <rPh sb="4" eb="6">
      <t>テイキ</t>
    </rPh>
    <rPh sb="6" eb="8">
      <t>ケンサ</t>
    </rPh>
    <phoneticPr fontId="7"/>
  </si>
  <si>
    <t>1回／年</t>
    <phoneticPr fontId="7"/>
  </si>
  <si>
    <t>SCB（ビューローべリタスジャパン㈱）</t>
    <phoneticPr fontId="7"/>
  </si>
  <si>
    <t>※初回2020/12</t>
    <phoneticPr fontId="52"/>
  </si>
  <si>
    <t>特殊建築物定期検査</t>
    <rPh sb="0" eb="2">
      <t>トクシュ</t>
    </rPh>
    <rPh sb="2" eb="5">
      <t>ケンチクブツ</t>
    </rPh>
    <rPh sb="5" eb="7">
      <t>テイキ</t>
    </rPh>
    <rPh sb="7" eb="9">
      <t>ケンサ</t>
    </rPh>
    <phoneticPr fontId="7"/>
  </si>
  <si>
    <t>1回／3年</t>
    <rPh sb="1" eb="2">
      <t>カイ</t>
    </rPh>
    <rPh sb="4" eb="5">
      <t>ネン</t>
    </rPh>
    <phoneticPr fontId="7"/>
  </si>
  <si>
    <t>※初回2023年度</t>
    <rPh sb="7" eb="8">
      <t>ネン</t>
    </rPh>
    <rPh sb="8" eb="9">
      <t>ド</t>
    </rPh>
    <phoneticPr fontId="52"/>
  </si>
  <si>
    <t>防火設備定期検査</t>
    <rPh sb="0" eb="2">
      <t>ボウカ</t>
    </rPh>
    <rPh sb="2" eb="4">
      <t>セツビ</t>
    </rPh>
    <rPh sb="4" eb="6">
      <t>テイキ</t>
    </rPh>
    <rPh sb="6" eb="8">
      <t>ケンサ</t>
    </rPh>
    <phoneticPr fontId="7"/>
  </si>
  <si>
    <t>自動扉保守</t>
    <rPh sb="0" eb="2">
      <t>ジドウ</t>
    </rPh>
    <rPh sb="2" eb="3">
      <t>トビラ</t>
    </rPh>
    <rPh sb="3" eb="5">
      <t>ホシュ</t>
    </rPh>
    <phoneticPr fontId="7"/>
  </si>
  <si>
    <t>2回／年</t>
    <rPh sb="1" eb="2">
      <t>カイ</t>
    </rPh>
    <rPh sb="3" eb="4">
      <t>ネン</t>
    </rPh>
    <phoneticPr fontId="7"/>
  </si>
  <si>
    <t>SCB（フルテック㈱）</t>
    <phoneticPr fontId="7"/>
  </si>
  <si>
    <t>エレベーター保守</t>
    <rPh sb="6" eb="8">
      <t>ホシュ</t>
    </rPh>
    <phoneticPr fontId="7"/>
  </si>
  <si>
    <t>□</t>
    <phoneticPr fontId="7"/>
  </si>
  <si>
    <t>○</t>
    <phoneticPr fontId="7"/>
  </si>
  <si>
    <t>◎</t>
    <phoneticPr fontId="7"/>
  </si>
  <si>
    <t>SCB（三菱電機ビルテクノサービス㈱）</t>
    <rPh sb="4" eb="6">
      <t>ミツビシ</t>
    </rPh>
    <rPh sb="6" eb="8">
      <t>デンキ</t>
    </rPh>
    <phoneticPr fontId="7"/>
  </si>
  <si>
    <t>機械式駐車場保守点検業務</t>
    <rPh sb="0" eb="3">
      <t>キカイシキ</t>
    </rPh>
    <rPh sb="3" eb="6">
      <t>チュウシャジョウ</t>
    </rPh>
    <rPh sb="6" eb="8">
      <t>ホシュ</t>
    </rPh>
    <rPh sb="8" eb="10">
      <t>テンケン</t>
    </rPh>
    <rPh sb="10" eb="12">
      <t>ギョウム</t>
    </rPh>
    <phoneticPr fontId="7"/>
  </si>
  <si>
    <t>4回／年</t>
    <phoneticPr fontId="7"/>
  </si>
  <si>
    <t>SCB（IHI運搬機械㈱）</t>
    <rPh sb="7" eb="9">
      <t>ウンパン</t>
    </rPh>
    <rPh sb="9" eb="11">
      <t>キカイ</t>
    </rPh>
    <phoneticPr fontId="7"/>
  </si>
  <si>
    <t>電気</t>
    <rPh sb="0" eb="2">
      <t>デンキ</t>
    </rPh>
    <phoneticPr fontId="7"/>
  </si>
  <si>
    <t>電気工作物保守</t>
    <rPh sb="0" eb="2">
      <t>デンキ</t>
    </rPh>
    <rPh sb="2" eb="5">
      <t>コウサクブツ</t>
    </rPh>
    <rPh sb="5" eb="7">
      <t>ホシュ</t>
    </rPh>
    <phoneticPr fontId="7"/>
  </si>
  <si>
    <t>○</t>
    <phoneticPr fontId="7"/>
  </si>
  <si>
    <t>（財）関東電気保安協会</t>
    <rPh sb="1" eb="2">
      <t>ザイ</t>
    </rPh>
    <rPh sb="3" eb="5">
      <t>カントウ</t>
    </rPh>
    <rPh sb="5" eb="7">
      <t>デンキ</t>
    </rPh>
    <rPh sb="7" eb="9">
      <t>ホアン</t>
    </rPh>
    <rPh sb="9" eb="11">
      <t>キョウカイ</t>
    </rPh>
    <phoneticPr fontId="7"/>
  </si>
  <si>
    <t>非常用発電機点検</t>
    <rPh sb="0" eb="3">
      <t>ヒジョウヨウ</t>
    </rPh>
    <rPh sb="3" eb="6">
      <t>ハツデンキ</t>
    </rPh>
    <rPh sb="6" eb="8">
      <t>テンケン</t>
    </rPh>
    <phoneticPr fontId="7"/>
  </si>
  <si>
    <t>1回／年</t>
    <phoneticPr fontId="7"/>
  </si>
  <si>
    <t>SCB（多紀システック㈱）</t>
    <rPh sb="4" eb="6">
      <t>タキ</t>
    </rPh>
    <phoneticPr fontId="7"/>
  </si>
  <si>
    <t>非常用発電機負荷試験</t>
    <rPh sb="0" eb="3">
      <t>ヒジョウヨウ</t>
    </rPh>
    <rPh sb="3" eb="6">
      <t>ハツデンキ</t>
    </rPh>
    <rPh sb="6" eb="8">
      <t>フカ</t>
    </rPh>
    <rPh sb="8" eb="10">
      <t>シケン</t>
    </rPh>
    <phoneticPr fontId="7"/>
  </si>
  <si>
    <t>空調</t>
    <rPh sb="0" eb="2">
      <t>クウチョウ</t>
    </rPh>
    <phoneticPr fontId="7"/>
  </si>
  <si>
    <t>空調設備保守</t>
    <rPh sb="0" eb="2">
      <t>クウチョウ</t>
    </rPh>
    <rPh sb="2" eb="4">
      <t>セツビ</t>
    </rPh>
    <rPh sb="4" eb="6">
      <t>ホシュ</t>
    </rPh>
    <phoneticPr fontId="7"/>
  </si>
  <si>
    <t>特殊</t>
    <rPh sb="0" eb="2">
      <t>トクシュ</t>
    </rPh>
    <phoneticPr fontId="7"/>
  </si>
  <si>
    <t>SCB（ダイキン工業㈱）</t>
    <rPh sb="8" eb="10">
      <t>コウギョウ</t>
    </rPh>
    <phoneticPr fontId="7"/>
  </si>
  <si>
    <t>空調機フィルター清掃</t>
    <rPh sb="0" eb="2">
      <t>クウチョウ</t>
    </rPh>
    <rPh sb="2" eb="3">
      <t>キ</t>
    </rPh>
    <rPh sb="8" eb="10">
      <t>セイソウ</t>
    </rPh>
    <phoneticPr fontId="7"/>
  </si>
  <si>
    <t>4回／年</t>
    <rPh sb="1" eb="2">
      <t>カイ</t>
    </rPh>
    <rPh sb="3" eb="4">
      <t>ネン</t>
    </rPh>
    <phoneticPr fontId="7"/>
  </si>
  <si>
    <t>SCB（鹿島建物総合管理㈱）</t>
    <rPh sb="4" eb="6">
      <t>カジマ</t>
    </rPh>
    <rPh sb="6" eb="8">
      <t>タテモノ</t>
    </rPh>
    <rPh sb="8" eb="10">
      <t>ソウゴウ</t>
    </rPh>
    <rPh sb="10" eb="12">
      <t>カンリ</t>
    </rPh>
    <phoneticPr fontId="7"/>
  </si>
  <si>
    <t>衛生</t>
    <rPh sb="0" eb="2">
      <t>エイセイ</t>
    </rPh>
    <phoneticPr fontId="7"/>
  </si>
  <si>
    <t>給水ポンプ点検</t>
    <rPh sb="0" eb="2">
      <t>キュウスイ</t>
    </rPh>
    <rPh sb="5" eb="7">
      <t>テンケン</t>
    </rPh>
    <phoneticPr fontId="7"/>
  </si>
  <si>
    <t>1回／年</t>
    <rPh sb="1" eb="2">
      <t>カイ</t>
    </rPh>
    <rPh sb="3" eb="4">
      <t>ネン</t>
    </rPh>
    <phoneticPr fontId="7"/>
  </si>
  <si>
    <t>直結増圧給水ポンプ＆加湿用加圧給水ポンプ（断水）</t>
    <rPh sb="0" eb="2">
      <t>チョッケツ</t>
    </rPh>
    <rPh sb="2" eb="4">
      <t>ゾウアツ</t>
    </rPh>
    <rPh sb="4" eb="6">
      <t>キュウスイ</t>
    </rPh>
    <rPh sb="10" eb="12">
      <t>カシツ</t>
    </rPh>
    <rPh sb="12" eb="13">
      <t>ヨウ</t>
    </rPh>
    <rPh sb="13" eb="15">
      <t>カアツ</t>
    </rPh>
    <rPh sb="15" eb="17">
      <t>キュウスイ</t>
    </rPh>
    <rPh sb="21" eb="23">
      <t>ダンスイ</t>
    </rPh>
    <phoneticPr fontId="7"/>
  </si>
  <si>
    <t>害虫防除業務</t>
    <rPh sb="0" eb="2">
      <t>ガイチュウ</t>
    </rPh>
    <rPh sb="2" eb="4">
      <t>ボウジョ</t>
    </rPh>
    <rPh sb="4" eb="6">
      <t>ギョウム</t>
    </rPh>
    <phoneticPr fontId="7"/>
  </si>
  <si>
    <t>12回／年</t>
    <rPh sb="2" eb="3">
      <t>カイ</t>
    </rPh>
    <rPh sb="4" eb="5">
      <t>ネン</t>
    </rPh>
    <phoneticPr fontId="7"/>
  </si>
  <si>
    <t>◎全館調査薬剤散布</t>
    <rPh sb="1" eb="3">
      <t>ゼンカン</t>
    </rPh>
    <rPh sb="3" eb="5">
      <t>チョウサ</t>
    </rPh>
    <rPh sb="5" eb="7">
      <t>ヤクザイ</t>
    </rPh>
    <rPh sb="7" eb="9">
      <t>サンプ</t>
    </rPh>
    <phoneticPr fontId="7"/>
  </si>
  <si>
    <t>消防</t>
    <rPh sb="0" eb="2">
      <t>ショウボウ</t>
    </rPh>
    <phoneticPr fontId="7"/>
  </si>
  <si>
    <t>消防設備点検</t>
    <rPh sb="0" eb="2">
      <t>ショウボウ</t>
    </rPh>
    <rPh sb="2" eb="4">
      <t>セツビ</t>
    </rPh>
    <rPh sb="4" eb="6">
      <t>テンケン</t>
    </rPh>
    <phoneticPr fontId="7"/>
  </si>
  <si>
    <t>SCB（能美防災㈱）</t>
    <rPh sb="4" eb="5">
      <t>ノウ</t>
    </rPh>
    <rPh sb="5" eb="6">
      <t>ビ</t>
    </rPh>
    <rPh sb="6" eb="8">
      <t>ボウサイ</t>
    </rPh>
    <phoneticPr fontId="7"/>
  </si>
  <si>
    <t>○機器点検  ◎総合点検</t>
    <rPh sb="1" eb="3">
      <t>キキ</t>
    </rPh>
    <rPh sb="3" eb="5">
      <t>テンケン</t>
    </rPh>
    <phoneticPr fontId="7"/>
  </si>
  <si>
    <t>連結送水管耐圧試験</t>
    <rPh sb="0" eb="2">
      <t>レンケツ</t>
    </rPh>
    <rPh sb="2" eb="3">
      <t>ソウ</t>
    </rPh>
    <rPh sb="3" eb="5">
      <t>スイカン</t>
    </rPh>
    <rPh sb="5" eb="7">
      <t>タイアツ</t>
    </rPh>
    <rPh sb="7" eb="9">
      <t>シケン</t>
    </rPh>
    <phoneticPr fontId="7"/>
  </si>
  <si>
    <t>１回／3年</t>
    <rPh sb="1" eb="2">
      <t>カイ</t>
    </rPh>
    <rPh sb="4" eb="5">
      <t>ネン</t>
    </rPh>
    <phoneticPr fontId="7"/>
  </si>
  <si>
    <t>SCB（能美防災㈱）</t>
    <rPh sb="4" eb="6">
      <t>ノウミ</t>
    </rPh>
    <rPh sb="6" eb="8">
      <t>ボウサイ</t>
    </rPh>
    <phoneticPr fontId="7"/>
  </si>
  <si>
    <t>その他</t>
    <rPh sb="2" eb="3">
      <t>タ</t>
    </rPh>
    <phoneticPr fontId="7"/>
  </si>
  <si>
    <t>空気環境測定業務</t>
    <rPh sb="0" eb="2">
      <t>クウキ</t>
    </rPh>
    <rPh sb="2" eb="4">
      <t>カンキョウ</t>
    </rPh>
    <rPh sb="4" eb="6">
      <t>ソクテイ</t>
    </rPh>
    <rPh sb="6" eb="8">
      <t>ギョウム</t>
    </rPh>
    <phoneticPr fontId="7"/>
  </si>
  <si>
    <t>定期清掃業務</t>
    <rPh sb="0" eb="2">
      <t>テイキ</t>
    </rPh>
    <rPh sb="2" eb="4">
      <t>セイソウ</t>
    </rPh>
    <rPh sb="4" eb="6">
      <t>ギョウム</t>
    </rPh>
    <phoneticPr fontId="7"/>
  </si>
  <si>
    <t>ガラス清掃業務（外面）</t>
    <rPh sb="3" eb="5">
      <t>セイソウ</t>
    </rPh>
    <rPh sb="5" eb="7">
      <t>ギョウム</t>
    </rPh>
    <rPh sb="8" eb="9">
      <t>ソト</t>
    </rPh>
    <rPh sb="9" eb="10">
      <t>メン</t>
    </rPh>
    <phoneticPr fontId="7"/>
  </si>
  <si>
    <t>3回／年</t>
    <rPh sb="1" eb="2">
      <t>カイ</t>
    </rPh>
    <rPh sb="3" eb="4">
      <t>ネン</t>
    </rPh>
    <phoneticPr fontId="7"/>
  </si>
  <si>
    <t>植栽管理業務</t>
    <rPh sb="0" eb="2">
      <t>ショクサイ</t>
    </rPh>
    <rPh sb="2" eb="4">
      <t>カンリ</t>
    </rPh>
    <rPh sb="4" eb="6">
      <t>ギョウム</t>
    </rPh>
    <phoneticPr fontId="7"/>
  </si>
  <si>
    <t>SCB（アゴラ造園㈱）</t>
    <rPh sb="7" eb="9">
      <t>ゾウエン</t>
    </rPh>
    <phoneticPr fontId="7"/>
  </si>
  <si>
    <t>年間スケジュール入力</t>
    <rPh sb="0" eb="2">
      <t>ネンカン</t>
    </rPh>
    <rPh sb="8" eb="10">
      <t>ニュウリョク</t>
    </rPh>
    <phoneticPr fontId="7"/>
  </si>
  <si>
    <t>フロン簡易点検</t>
    <rPh sb="3" eb="5">
      <t>カンイ</t>
    </rPh>
    <rPh sb="5" eb="7">
      <t>テンケン</t>
    </rPh>
    <phoneticPr fontId="7"/>
  </si>
  <si>
    <t>ＡＥＤ設置業務</t>
    <rPh sb="3" eb="5">
      <t>セッチ</t>
    </rPh>
    <rPh sb="5" eb="7">
      <t>ギョウム</t>
    </rPh>
    <phoneticPr fontId="7"/>
  </si>
  <si>
    <t>◎法定検査○定期点検□遠隔点検</t>
    <rPh sb="1" eb="3">
      <t>ホウテイ</t>
    </rPh>
    <rPh sb="3" eb="5">
      <t>ケンサ</t>
    </rPh>
    <rPh sb="6" eb="8">
      <t>テイキ</t>
    </rPh>
    <rPh sb="8" eb="10">
      <t>テンケン</t>
    </rPh>
    <rPh sb="13" eb="15">
      <t>テンケン</t>
    </rPh>
    <phoneticPr fontId="7"/>
  </si>
  <si>
    <t>○定期点検</t>
    <rPh sb="1" eb="3">
      <t>テイキ</t>
    </rPh>
    <rPh sb="3" eb="5">
      <t>テンケン</t>
    </rPh>
    <phoneticPr fontId="7"/>
  </si>
  <si>
    <t>6回／年</t>
    <rPh sb="1" eb="2">
      <t>カイ</t>
    </rPh>
    <rPh sb="3" eb="4">
      <t>ネン</t>
    </rPh>
    <phoneticPr fontId="7"/>
  </si>
  <si>
    <t>◎年次点検（停電作業）　※初回2021年10月</t>
    <phoneticPr fontId="7"/>
  </si>
  <si>
    <t>◎</t>
    <phoneticPr fontId="7"/>
  </si>
  <si>
    <t>　◎オフライン点検○エアネット監視</t>
    <rPh sb="15" eb="17">
      <t>カンシ</t>
    </rPh>
    <phoneticPr fontId="7"/>
  </si>
  <si>
    <t>※フィルター清掃は入居状況により実施</t>
    <rPh sb="6" eb="8">
      <t>セイソウ</t>
    </rPh>
    <rPh sb="9" eb="11">
      <t>ニュウキョ</t>
    </rPh>
    <rPh sb="11" eb="13">
      <t>ジョウキョウ</t>
    </rPh>
    <rPh sb="16" eb="18">
      <t>ジッシ</t>
    </rPh>
    <phoneticPr fontId="7"/>
  </si>
  <si>
    <t>アロマ空調コーディネート業務</t>
    <phoneticPr fontId="7"/>
  </si>
  <si>
    <t>6回/年</t>
    <rPh sb="1" eb="2">
      <t>カイ</t>
    </rPh>
    <rPh sb="3" eb="4">
      <t>ネン</t>
    </rPh>
    <phoneticPr fontId="7"/>
  </si>
  <si>
    <t>SCB（東テク㈱）</t>
    <rPh sb="4" eb="5">
      <t>トウ</t>
    </rPh>
    <phoneticPr fontId="7"/>
  </si>
  <si>
    <t>SCB（㈱シー･アイ･シー）</t>
    <phoneticPr fontId="7"/>
  </si>
  <si>
    <t>※次回2029年実施予定</t>
    <rPh sb="10" eb="12">
      <t>ヨテイ</t>
    </rPh>
    <phoneticPr fontId="7"/>
  </si>
  <si>
    <t>SCB</t>
    <phoneticPr fontId="7"/>
  </si>
  <si>
    <t>SCB（オールマイティー㈱）</t>
    <phoneticPr fontId="7"/>
  </si>
  <si>
    <t>CSP㈱、ＳＣＢ</t>
    <phoneticPr fontId="7"/>
  </si>
  <si>
    <t>11回／年</t>
    <rPh sb="2" eb="3">
      <t>カイ</t>
    </rPh>
    <rPh sb="4" eb="5">
      <t>ネン</t>
    </rPh>
    <phoneticPr fontId="7"/>
  </si>
  <si>
    <t>業 務 内 容</t>
    <rPh sb="0" eb="1">
      <t>ギョウ</t>
    </rPh>
    <rPh sb="2" eb="3">
      <t>ツトム</t>
    </rPh>
    <rPh sb="4" eb="5">
      <t>ウチ</t>
    </rPh>
    <rPh sb="6" eb="7">
      <t>カタチ</t>
    </rPh>
    <phoneticPr fontId="7"/>
  </si>
  <si>
    <t>実施回数</t>
    <rPh sb="0" eb="2">
      <t>ジッシ</t>
    </rPh>
    <rPh sb="2" eb="4">
      <t>カイスウ</t>
    </rPh>
    <phoneticPr fontId="7"/>
  </si>
  <si>
    <t>４　月</t>
    <rPh sb="2" eb="3">
      <t>ガツ</t>
    </rPh>
    <phoneticPr fontId="7"/>
  </si>
  <si>
    <t>５　月</t>
    <rPh sb="2" eb="3">
      <t>ガツ</t>
    </rPh>
    <phoneticPr fontId="7"/>
  </si>
  <si>
    <t>６　月</t>
    <rPh sb="2" eb="3">
      <t>ガツ</t>
    </rPh>
    <phoneticPr fontId="7"/>
  </si>
  <si>
    <t>７　月</t>
    <rPh sb="2" eb="3">
      <t>ガツ</t>
    </rPh>
    <phoneticPr fontId="7"/>
  </si>
  <si>
    <t>８　月</t>
    <rPh sb="2" eb="3">
      <t>ガツ</t>
    </rPh>
    <phoneticPr fontId="7"/>
  </si>
  <si>
    <t>９　月</t>
    <rPh sb="2" eb="3">
      <t>ガツ</t>
    </rPh>
    <phoneticPr fontId="7"/>
  </si>
  <si>
    <t>１０　月</t>
    <rPh sb="3" eb="4">
      <t>ガツ</t>
    </rPh>
    <phoneticPr fontId="7"/>
  </si>
  <si>
    <t>１１　月</t>
    <rPh sb="3" eb="4">
      <t>ガツ</t>
    </rPh>
    <phoneticPr fontId="7"/>
  </si>
  <si>
    <t>１２　月</t>
    <rPh sb="3" eb="4">
      <t>ガツ</t>
    </rPh>
    <phoneticPr fontId="7"/>
  </si>
  <si>
    <t>１　月</t>
    <rPh sb="2" eb="3">
      <t>ガツ</t>
    </rPh>
    <phoneticPr fontId="7"/>
  </si>
  <si>
    <t>２　月</t>
    <rPh sb="2" eb="3">
      <t>ガツ</t>
    </rPh>
    <phoneticPr fontId="7"/>
  </si>
  <si>
    <t>３　月</t>
    <rPh sb="2" eb="3">
      <t>ガツ</t>
    </rPh>
    <phoneticPr fontId="7"/>
  </si>
  <si>
    <t>備　考</t>
    <rPh sb="0" eb="1">
      <t>ビ</t>
    </rPh>
    <rPh sb="2" eb="3">
      <t>コウ</t>
    </rPh>
    <phoneticPr fontId="7"/>
  </si>
  <si>
    <t>予</t>
    <rPh sb="0" eb="1">
      <t>ヨ</t>
    </rPh>
    <phoneticPr fontId="7"/>
  </si>
  <si>
    <t>実</t>
    <rPh sb="0" eb="1">
      <t>ジツ</t>
    </rPh>
    <phoneticPr fontId="7"/>
  </si>
  <si>
    <t>電　気</t>
    <rPh sb="0" eb="1">
      <t>デン</t>
    </rPh>
    <rPh sb="2" eb="3">
      <t>キ</t>
    </rPh>
    <phoneticPr fontId="7"/>
  </si>
  <si>
    <t>電気メーター検針</t>
    <rPh sb="0" eb="2">
      <t>デンキ</t>
    </rPh>
    <rPh sb="6" eb="8">
      <t>ケンシン</t>
    </rPh>
    <phoneticPr fontId="7"/>
  </si>
  <si>
    <t>毎月</t>
    <rPh sb="0" eb="2">
      <t>マイツキ</t>
    </rPh>
    <phoneticPr fontId="7"/>
  </si>
  <si>
    <t>18日締め</t>
    <rPh sb="2" eb="3">
      <t>ヒ</t>
    </rPh>
    <rPh sb="3" eb="4">
      <t>シ</t>
    </rPh>
    <phoneticPr fontId="52"/>
  </si>
  <si>
    <t>発電機設備点検</t>
    <rPh sb="0" eb="3">
      <t>ハツデンキ</t>
    </rPh>
    <rPh sb="3" eb="5">
      <t>セツビ</t>
    </rPh>
    <rPh sb="5" eb="7">
      <t>テンケン</t>
    </rPh>
    <phoneticPr fontId="7"/>
  </si>
  <si>
    <t>弱電盤点検</t>
    <rPh sb="0" eb="2">
      <t>ジャクデン</t>
    </rPh>
    <rPh sb="2" eb="3">
      <t>バン</t>
    </rPh>
    <rPh sb="3" eb="5">
      <t>テンケン</t>
    </rPh>
    <phoneticPr fontId="7"/>
  </si>
  <si>
    <t>1回/年</t>
    <phoneticPr fontId="7"/>
  </si>
  <si>
    <t>1回/年</t>
    <rPh sb="1" eb="2">
      <t>ネン</t>
    </rPh>
    <phoneticPr fontId="7"/>
  </si>
  <si>
    <t>ITV設備点検</t>
    <rPh sb="3" eb="5">
      <t>セツビ</t>
    </rPh>
    <rPh sb="5" eb="7">
      <t>テンケン</t>
    </rPh>
    <phoneticPr fontId="7"/>
  </si>
  <si>
    <t>毎月</t>
    <rPh sb="0" eb="1">
      <t>マイツキ</t>
    </rPh>
    <phoneticPr fontId="7"/>
  </si>
  <si>
    <t>空　調</t>
    <rPh sb="0" eb="1">
      <t>ゾラ</t>
    </rPh>
    <rPh sb="2" eb="3">
      <t>チョウ</t>
    </rPh>
    <phoneticPr fontId="7"/>
  </si>
  <si>
    <r>
      <t>空調設備点検</t>
    </r>
    <r>
      <rPr>
        <sz val="10"/>
        <rFont val="ＭＳ Ｐゴシック"/>
        <family val="3"/>
        <charset val="128"/>
      </rPr>
      <t>（室外機）</t>
    </r>
    <rPh sb="0" eb="2">
      <t>クウチョウ</t>
    </rPh>
    <rPh sb="2" eb="4">
      <t>セツビ</t>
    </rPh>
    <rPh sb="4" eb="6">
      <t>テンケン</t>
    </rPh>
    <rPh sb="7" eb="8">
      <t>シツ</t>
    </rPh>
    <rPh sb="8" eb="9">
      <t>ガイ</t>
    </rPh>
    <rPh sb="9" eb="10">
      <t>キ</t>
    </rPh>
    <phoneticPr fontId="7"/>
  </si>
  <si>
    <t>4回/年</t>
    <phoneticPr fontId="7"/>
  </si>
  <si>
    <t>排気ファン設備点検</t>
    <rPh sb="0" eb="2">
      <t>ハイキ</t>
    </rPh>
    <rPh sb="5" eb="7">
      <t>セツビ</t>
    </rPh>
    <rPh sb="7" eb="9">
      <t>テンケン</t>
    </rPh>
    <phoneticPr fontId="7"/>
  </si>
  <si>
    <t>1回/年</t>
    <rPh sb="1" eb="2">
      <t>カイ</t>
    </rPh>
    <rPh sb="3" eb="4">
      <t>ネン</t>
    </rPh>
    <phoneticPr fontId="7"/>
  </si>
  <si>
    <t>空調設備点検（室内機）全熱交換器含</t>
    <rPh sb="0" eb="2">
      <t>クウチョウ</t>
    </rPh>
    <rPh sb="2" eb="4">
      <t>セツビ</t>
    </rPh>
    <rPh sb="4" eb="6">
      <t>テンケン</t>
    </rPh>
    <rPh sb="7" eb="9">
      <t>シツナイ</t>
    </rPh>
    <rPh sb="9" eb="10">
      <t>キ</t>
    </rPh>
    <rPh sb="11" eb="12">
      <t>ゼン</t>
    </rPh>
    <rPh sb="12" eb="13">
      <t>ネツ</t>
    </rPh>
    <rPh sb="16" eb="17">
      <t>フクミ</t>
    </rPh>
    <phoneticPr fontId="7"/>
  </si>
  <si>
    <t>コントローラー点検</t>
    <rPh sb="7" eb="9">
      <t>テンケン</t>
    </rPh>
    <phoneticPr fontId="7"/>
  </si>
  <si>
    <t>加湿器点検</t>
    <rPh sb="0" eb="2">
      <t>カシツ</t>
    </rPh>
    <rPh sb="2" eb="3">
      <t>キ</t>
    </rPh>
    <rPh sb="3" eb="5">
      <t>テンケン</t>
    </rPh>
    <phoneticPr fontId="7"/>
  </si>
  <si>
    <t>6回／年</t>
    <phoneticPr fontId="7"/>
  </si>
  <si>
    <t>※加湿器使用の10・11・12・1・2・3月点検 
   シーズンイン・オフで水抜き・水張り 10月実施</t>
    <rPh sb="1" eb="3">
      <t>カシツ</t>
    </rPh>
    <rPh sb="3" eb="4">
      <t>キ</t>
    </rPh>
    <rPh sb="4" eb="6">
      <t>シヨウ</t>
    </rPh>
    <rPh sb="21" eb="22">
      <t>ガツ</t>
    </rPh>
    <rPh sb="22" eb="24">
      <t>テンケン</t>
    </rPh>
    <rPh sb="39" eb="41">
      <t>ミズヌ</t>
    </rPh>
    <rPh sb="43" eb="45">
      <t>ミズバ</t>
    </rPh>
    <rPh sb="49" eb="50">
      <t>ガツ</t>
    </rPh>
    <rPh sb="50" eb="52">
      <t>ジッシ</t>
    </rPh>
    <phoneticPr fontId="7"/>
  </si>
  <si>
    <t>衛　生</t>
    <rPh sb="0" eb="1">
      <t>マモル</t>
    </rPh>
    <rPh sb="2" eb="3">
      <t>ショウ</t>
    </rPh>
    <phoneticPr fontId="7"/>
  </si>
  <si>
    <t>直結増圧ポンプ点検</t>
    <rPh sb="0" eb="2">
      <t>チョッケツ</t>
    </rPh>
    <rPh sb="2" eb="4">
      <t>ゾウアツ</t>
    </rPh>
    <rPh sb="7" eb="9">
      <t>テンケン</t>
    </rPh>
    <phoneticPr fontId="7"/>
  </si>
  <si>
    <t>加湿給水ポンプ点検</t>
    <rPh sb="2" eb="4">
      <t>キュウスイ</t>
    </rPh>
    <rPh sb="7" eb="9">
      <t>テンケン</t>
    </rPh>
    <phoneticPr fontId="7"/>
  </si>
  <si>
    <t xml:space="preserve">※加湿器使用10月点検 </t>
    <rPh sb="1" eb="3">
      <t>カシツ</t>
    </rPh>
    <rPh sb="3" eb="4">
      <t>キ</t>
    </rPh>
    <rPh sb="4" eb="6">
      <t>シヨウ</t>
    </rPh>
    <rPh sb="8" eb="9">
      <t>ガツ</t>
    </rPh>
    <rPh sb="9" eb="11">
      <t>テンケン</t>
    </rPh>
    <phoneticPr fontId="7"/>
  </si>
  <si>
    <t>湧水槽点検</t>
    <rPh sb="0" eb="3">
      <t>ユウスイソウ</t>
    </rPh>
    <rPh sb="3" eb="5">
      <t>テンケン</t>
    </rPh>
    <phoneticPr fontId="7"/>
  </si>
  <si>
    <t>排水・湧水ポンプ点検</t>
    <rPh sb="0" eb="1">
      <t>ハイスイ</t>
    </rPh>
    <rPh sb="2" eb="4">
      <t>ユウスイ</t>
    </rPh>
    <rPh sb="7" eb="8">
      <t>テン</t>
    </rPh>
    <rPh sb="8" eb="10">
      <t>テンケン</t>
    </rPh>
    <phoneticPr fontId="7"/>
  </si>
  <si>
    <t>ポンプﾟ制御盤点検</t>
    <rPh sb="2" eb="4">
      <t>セイギョ</t>
    </rPh>
    <rPh sb="4" eb="5">
      <t>バン</t>
    </rPh>
    <rPh sb="5" eb="7">
      <t>テンケン</t>
    </rPh>
    <phoneticPr fontId="7"/>
  </si>
  <si>
    <t>トイレ・給湯設備点検</t>
    <rPh sb="3" eb="5">
      <t>キュウトウ</t>
    </rPh>
    <rPh sb="5" eb="7">
      <t>セツビ</t>
    </rPh>
    <rPh sb="7" eb="9">
      <t>テンケン</t>
    </rPh>
    <phoneticPr fontId="7"/>
  </si>
  <si>
    <t>2回/年</t>
    <phoneticPr fontId="7"/>
  </si>
  <si>
    <t>◎12月清掃ブロー実施</t>
    <rPh sb="3" eb="4">
      <t>ガツ</t>
    </rPh>
    <rPh sb="4" eb="6">
      <t>セイソウ</t>
    </rPh>
    <rPh sb="9" eb="11">
      <t>ジッシ</t>
    </rPh>
    <phoneticPr fontId="7"/>
  </si>
  <si>
    <t>散水設備点検</t>
    <rPh sb="0" eb="1">
      <t>サンスイ</t>
    </rPh>
    <rPh sb="1" eb="3">
      <t>セツビ</t>
    </rPh>
    <rPh sb="3" eb="5">
      <t>テンケン</t>
    </rPh>
    <phoneticPr fontId="7"/>
  </si>
  <si>
    <t>水道メーター検針</t>
    <rPh sb="0" eb="1">
      <t>スイドウ</t>
    </rPh>
    <rPh sb="5" eb="7">
      <t>ケンシン</t>
    </rPh>
    <phoneticPr fontId="7"/>
  </si>
  <si>
    <t>10日締め　水道検針◎　データ収集○</t>
    <rPh sb="6" eb="8">
      <t>スイドウ</t>
    </rPh>
    <rPh sb="8" eb="10">
      <t>ケンシン</t>
    </rPh>
    <rPh sb="15" eb="17">
      <t>シュウシュウ</t>
    </rPh>
    <phoneticPr fontId="7"/>
  </si>
  <si>
    <t>消　防</t>
    <rPh sb="0" eb="1">
      <t>ケ</t>
    </rPh>
    <rPh sb="2" eb="3">
      <t>ボウ</t>
    </rPh>
    <phoneticPr fontId="7"/>
  </si>
  <si>
    <t>自火報盤点検</t>
    <rPh sb="0" eb="1">
      <t>ジ</t>
    </rPh>
    <rPh sb="1" eb="2">
      <t>カ</t>
    </rPh>
    <rPh sb="2" eb="3">
      <t>ホウ</t>
    </rPh>
    <rPh sb="3" eb="4">
      <t>バン</t>
    </rPh>
    <rPh sb="4" eb="6">
      <t>テンケン</t>
    </rPh>
    <phoneticPr fontId="7"/>
  </si>
  <si>
    <t>2回/年</t>
    <rPh sb="2" eb="3">
      <t>ネン</t>
    </rPh>
    <phoneticPr fontId="7"/>
  </si>
  <si>
    <t>連結送水管点検</t>
    <rPh sb="0" eb="2">
      <t>レンケツ</t>
    </rPh>
    <rPh sb="2" eb="5">
      <t>ソウスイカン</t>
    </rPh>
    <rPh sb="5" eb="7">
      <t>テンケン</t>
    </rPh>
    <phoneticPr fontId="7"/>
  </si>
  <si>
    <t>消火器点検</t>
    <rPh sb="0" eb="3">
      <t>ショウカキ</t>
    </rPh>
    <rPh sb="3" eb="5">
      <t>テンケン</t>
    </rPh>
    <phoneticPr fontId="7"/>
  </si>
  <si>
    <t>誘導灯設備点検</t>
    <rPh sb="0" eb="3">
      <t>ユウドウトウ</t>
    </rPh>
    <rPh sb="3" eb="5">
      <t>セツビ</t>
    </rPh>
    <rPh sb="5" eb="7">
      <t>テンケン</t>
    </rPh>
    <phoneticPr fontId="7"/>
  </si>
  <si>
    <t>屋内消火栓設備点検</t>
    <rPh sb="0" eb="2">
      <t>オクナイ</t>
    </rPh>
    <rPh sb="2" eb="5">
      <t>ショウカセン</t>
    </rPh>
    <rPh sb="5" eb="7">
      <t>セツビ</t>
    </rPh>
    <rPh sb="7" eb="9">
      <t>テンケン</t>
    </rPh>
    <phoneticPr fontId="7"/>
  </si>
  <si>
    <t>建築設備点検</t>
    <rPh sb="0" eb="2">
      <t>ケンチク</t>
    </rPh>
    <rPh sb="2" eb="4">
      <t>セツビ</t>
    </rPh>
    <rPh sb="4" eb="6">
      <t>テンケン</t>
    </rPh>
    <phoneticPr fontId="7"/>
  </si>
  <si>
    <t>ルーフドレン点検</t>
    <rPh sb="6" eb="8">
      <t>テンケン</t>
    </rPh>
    <phoneticPr fontId="7"/>
  </si>
  <si>
    <t>特殊</t>
    <rPh sb="0" eb="1">
      <t>トクシュ</t>
    </rPh>
    <phoneticPr fontId="7"/>
  </si>
  <si>
    <t>自動扉点検</t>
    <rPh sb="2" eb="3">
      <t>トビラ</t>
    </rPh>
    <phoneticPr fontId="7"/>
  </si>
  <si>
    <t>シャッター点検</t>
    <phoneticPr fontId="7"/>
  </si>
  <si>
    <t>能美防災 消防設備点検と同日に実施</t>
    <phoneticPr fontId="7"/>
  </si>
  <si>
    <t>機械式駐車場点検</t>
    <rPh sb="0" eb="3">
      <t>キカイシキ</t>
    </rPh>
    <rPh sb="3" eb="6">
      <t>チュウシャジョウ</t>
    </rPh>
    <rPh sb="6" eb="8">
      <t>テンケン</t>
    </rPh>
    <phoneticPr fontId="7"/>
  </si>
  <si>
    <t>都度</t>
    <rPh sb="0" eb="1">
      <t>ツド</t>
    </rPh>
    <phoneticPr fontId="7"/>
  </si>
  <si>
    <t>メーター有効期限確認</t>
    <rPh sb="4" eb="6">
      <t>ユウコウ</t>
    </rPh>
    <rPh sb="6" eb="8">
      <t>キゲン</t>
    </rPh>
    <rPh sb="8" eb="10">
      <t>カクニン</t>
    </rPh>
    <phoneticPr fontId="7"/>
  </si>
  <si>
    <t>メーター読み合わせ</t>
    <rPh sb="4" eb="5">
      <t>ヨ</t>
    </rPh>
    <rPh sb="6" eb="7">
      <t>ア</t>
    </rPh>
    <phoneticPr fontId="7"/>
  </si>
  <si>
    <t>管理室内機器点検</t>
    <rPh sb="0" eb="3">
      <t>カンリシツ</t>
    </rPh>
    <rPh sb="3" eb="4">
      <t>ナイ</t>
    </rPh>
    <rPh sb="4" eb="6">
      <t>キキ</t>
    </rPh>
    <rPh sb="6" eb="8">
      <t>テンケン</t>
    </rPh>
    <phoneticPr fontId="7"/>
  </si>
  <si>
    <t>4回/年</t>
    <rPh sb="1" eb="2">
      <t>カイ</t>
    </rPh>
    <rPh sb="3" eb="4">
      <t>ネン</t>
    </rPh>
    <phoneticPr fontId="7"/>
  </si>
  <si>
    <t>6回/年</t>
    <rPh sb="0" eb="1">
      <t>カイ</t>
    </rPh>
    <rPh sb="2" eb="3">
      <t>ネン</t>
    </rPh>
    <phoneticPr fontId="7"/>
  </si>
  <si>
    <t>奇数月</t>
    <rPh sb="0" eb="2">
      <t>キスウ</t>
    </rPh>
    <rPh sb="2" eb="3">
      <t>ツキ</t>
    </rPh>
    <phoneticPr fontId="7"/>
  </si>
  <si>
    <t>Ⅰ．建物基本情報</t>
    <rPh sb="2" eb="4">
      <t>タテモノ</t>
    </rPh>
    <rPh sb="4" eb="6">
      <t>キホン</t>
    </rPh>
    <rPh sb="6" eb="8">
      <t>ジョウホウ</t>
    </rPh>
    <phoneticPr fontId="7"/>
  </si>
  <si>
    <t>建物概要</t>
    <rPh sb="0" eb="2">
      <t>タテモノ</t>
    </rPh>
    <rPh sb="2" eb="4">
      <t>ガイヨウ</t>
    </rPh>
    <phoneticPr fontId="7"/>
  </si>
  <si>
    <t>設備概要</t>
    <rPh sb="0" eb="2">
      <t>セツビ</t>
    </rPh>
    <rPh sb="2" eb="4">
      <t>ガイヨウ</t>
    </rPh>
    <phoneticPr fontId="7"/>
  </si>
  <si>
    <t>地域区分</t>
    <rPh sb="0" eb="2">
      <t>チイキ</t>
    </rPh>
    <rPh sb="2" eb="4">
      <t>クブン</t>
    </rPh>
    <phoneticPr fontId="7"/>
  </si>
  <si>
    <t>延床面積</t>
    <rPh sb="0" eb="1">
      <t>ノベ</t>
    </rPh>
    <rPh sb="1" eb="2">
      <t>ユカ</t>
    </rPh>
    <rPh sb="2" eb="4">
      <t>メンセキ</t>
    </rPh>
    <phoneticPr fontId="7"/>
  </si>
  <si>
    <t>竣工年月</t>
    <rPh sb="0" eb="2">
      <t>シュンコウ</t>
    </rPh>
    <rPh sb="2" eb="3">
      <t>ネン</t>
    </rPh>
    <rPh sb="3" eb="4">
      <t>ゲツ</t>
    </rPh>
    <phoneticPr fontId="7"/>
  </si>
  <si>
    <t>築年数</t>
    <rPh sb="0" eb="1">
      <t>チク</t>
    </rPh>
    <rPh sb="1" eb="3">
      <t>ネンスウ</t>
    </rPh>
    <phoneticPr fontId="7"/>
  </si>
  <si>
    <t>規模</t>
    <rPh sb="0" eb="2">
      <t>キボ</t>
    </rPh>
    <phoneticPr fontId="7"/>
  </si>
  <si>
    <t>昇降機等</t>
    <rPh sb="0" eb="3">
      <t>ショウコウキ</t>
    </rPh>
    <rPh sb="3" eb="4">
      <t>トウ</t>
    </rPh>
    <phoneticPr fontId="7"/>
  </si>
  <si>
    <t>空調熱源設備等</t>
    <rPh sb="0" eb="2">
      <t>クウチョウ</t>
    </rPh>
    <rPh sb="2" eb="4">
      <t>ネツゲン</t>
    </rPh>
    <rPh sb="4" eb="6">
      <t>セツビ</t>
    </rPh>
    <rPh sb="6" eb="7">
      <t>トウ</t>
    </rPh>
    <phoneticPr fontId="7"/>
  </si>
  <si>
    <t>給排水</t>
    <rPh sb="0" eb="3">
      <t>キュウハイスイ</t>
    </rPh>
    <phoneticPr fontId="7"/>
  </si>
  <si>
    <t>PCB</t>
  </si>
  <si>
    <t>アスベスト</t>
  </si>
  <si>
    <t>屋外広告</t>
    <rPh sb="0" eb="2">
      <t>オクガイ</t>
    </rPh>
    <rPh sb="2" eb="4">
      <t>コウコク</t>
    </rPh>
    <phoneticPr fontId="7"/>
  </si>
  <si>
    <t>地上</t>
    <rPh sb="0" eb="2">
      <t>チジョウ</t>
    </rPh>
    <phoneticPr fontId="7"/>
  </si>
  <si>
    <t>地下</t>
    <rPh sb="0" eb="2">
      <t>チカ</t>
    </rPh>
    <phoneticPr fontId="7"/>
  </si>
  <si>
    <t>塔屋</t>
    <rPh sb="0" eb="1">
      <t>トウ</t>
    </rPh>
    <rPh sb="1" eb="2">
      <t>ヤ</t>
    </rPh>
    <phoneticPr fontId="7"/>
  </si>
  <si>
    <t>高さ</t>
    <rPh sb="0" eb="1">
      <t>タカ</t>
    </rPh>
    <phoneticPr fontId="7"/>
  </si>
  <si>
    <t>ELV</t>
  </si>
  <si>
    <t>ESC</t>
  </si>
  <si>
    <t>ゴンドラ</t>
  </si>
  <si>
    <t>ボイラー</t>
  </si>
  <si>
    <t>圧力容器</t>
    <rPh sb="0" eb="2">
      <t>アツリョク</t>
    </rPh>
    <rPh sb="2" eb="4">
      <t>ヨウキ</t>
    </rPh>
    <phoneticPr fontId="7"/>
  </si>
  <si>
    <t>冷凍機等</t>
    <rPh sb="0" eb="3">
      <t>レイトウキ</t>
    </rPh>
    <rPh sb="3" eb="4">
      <t>トウ</t>
    </rPh>
    <phoneticPr fontId="7"/>
  </si>
  <si>
    <t>冷却塔</t>
    <rPh sb="0" eb="3">
      <t>レイキャクトウ</t>
    </rPh>
    <phoneticPr fontId="7"/>
  </si>
  <si>
    <t>水道方式</t>
    <rPh sb="0" eb="2">
      <t>スイドウ</t>
    </rPh>
    <rPh sb="2" eb="4">
      <t>ホウシキ</t>
    </rPh>
    <phoneticPr fontId="7"/>
  </si>
  <si>
    <t>貯水槽</t>
    <rPh sb="0" eb="3">
      <t>チョスイソウ</t>
    </rPh>
    <phoneticPr fontId="7"/>
  </si>
  <si>
    <t>雑用水槽</t>
    <rPh sb="0" eb="2">
      <t>ザツヨウ</t>
    </rPh>
    <rPh sb="2" eb="4">
      <t>スイソウ</t>
    </rPh>
    <phoneticPr fontId="7"/>
  </si>
  <si>
    <t>排水槽</t>
    <rPh sb="0" eb="2">
      <t>ハイスイ</t>
    </rPh>
    <rPh sb="2" eb="3">
      <t>ソウ</t>
    </rPh>
    <phoneticPr fontId="7"/>
  </si>
  <si>
    <t>東京</t>
  </si>
  <si>
    <t>有</t>
  </si>
  <si>
    <t>無</t>
  </si>
  <si>
    <t>Ⅱ．個別業法基本情報</t>
    <rPh sb="2" eb="4">
      <t>コベツ</t>
    </rPh>
    <rPh sb="4" eb="5">
      <t>ギョウ</t>
    </rPh>
    <rPh sb="5" eb="6">
      <t>ホウ</t>
    </rPh>
    <rPh sb="6" eb="8">
      <t>キホン</t>
    </rPh>
    <rPh sb="8" eb="10">
      <t>ジョウホウ</t>
    </rPh>
    <phoneticPr fontId="7"/>
  </si>
  <si>
    <t>消防法</t>
    <rPh sb="0" eb="3">
      <t>ショウボウホウ</t>
    </rPh>
    <phoneticPr fontId="7"/>
  </si>
  <si>
    <t>ビル管法</t>
    <rPh sb="2" eb="3">
      <t>カン</t>
    </rPh>
    <rPh sb="3" eb="4">
      <t>ホウ</t>
    </rPh>
    <phoneticPr fontId="7"/>
  </si>
  <si>
    <t>該当条項</t>
    <rPh sb="0" eb="2">
      <t>ガイトウ</t>
    </rPh>
    <rPh sb="2" eb="4">
      <t>ジョウコウ</t>
    </rPh>
    <phoneticPr fontId="7"/>
  </si>
  <si>
    <t>用途</t>
    <rPh sb="0" eb="2">
      <t>ヨウト</t>
    </rPh>
    <phoneticPr fontId="7"/>
  </si>
  <si>
    <t>特定／非特定</t>
    <rPh sb="0" eb="2">
      <t>トクテイ</t>
    </rPh>
    <rPh sb="3" eb="4">
      <t>ヒ</t>
    </rPh>
    <rPh sb="4" eb="6">
      <t>トクテイ</t>
    </rPh>
    <phoneticPr fontId="7"/>
  </si>
  <si>
    <t>共同防火（防災）管理</t>
    <rPh sb="0" eb="2">
      <t>キョウドウ</t>
    </rPh>
    <rPh sb="2" eb="4">
      <t>ボウカ</t>
    </rPh>
    <rPh sb="5" eb="7">
      <t>ボウサイ</t>
    </rPh>
    <rPh sb="8" eb="10">
      <t>カンリ</t>
    </rPh>
    <phoneticPr fontId="7"/>
  </si>
  <si>
    <t>共用部の防災管理</t>
    <rPh sb="0" eb="3">
      <t>キョウヨウブ</t>
    </rPh>
    <rPh sb="4" eb="6">
      <t>ボウサイ</t>
    </rPh>
    <rPh sb="6" eb="8">
      <t>カンリ</t>
    </rPh>
    <phoneticPr fontId="7"/>
  </si>
  <si>
    <t>共用部の特例認定</t>
    <rPh sb="4" eb="6">
      <t>トクレイ</t>
    </rPh>
    <rPh sb="6" eb="8">
      <t>ニンテイ</t>
    </rPh>
    <phoneticPr fontId="7"/>
  </si>
  <si>
    <t>特定建築物該当有無</t>
    <rPh sb="0" eb="2">
      <t>トクテイ</t>
    </rPh>
    <rPh sb="2" eb="5">
      <t>ケンチクブツ</t>
    </rPh>
    <rPh sb="5" eb="7">
      <t>ガイトウ</t>
    </rPh>
    <rPh sb="7" eb="9">
      <t>ウム</t>
    </rPh>
    <phoneticPr fontId="7"/>
  </si>
  <si>
    <t>15項</t>
  </si>
  <si>
    <t>Ⅲ．賃貸借契約リスト</t>
    <rPh sb="2" eb="5">
      <t>チンタイシャク</t>
    </rPh>
    <rPh sb="5" eb="7">
      <t>ケイヤク</t>
    </rPh>
    <phoneticPr fontId="7"/>
  </si>
  <si>
    <t>階数</t>
    <rPh sb="0" eb="2">
      <t>カイスウ</t>
    </rPh>
    <phoneticPr fontId="7"/>
  </si>
  <si>
    <t>テナント名</t>
    <rPh sb="4" eb="5">
      <t>メイ</t>
    </rPh>
    <phoneticPr fontId="7"/>
  </si>
  <si>
    <t>契約締結日</t>
    <rPh sb="0" eb="2">
      <t>ケイヤク</t>
    </rPh>
    <rPh sb="2" eb="4">
      <t>テイケツ</t>
    </rPh>
    <rPh sb="4" eb="5">
      <t>ビ</t>
    </rPh>
    <phoneticPr fontId="7"/>
  </si>
  <si>
    <t>契約開始日</t>
    <rPh sb="0" eb="2">
      <t>ケイヤク</t>
    </rPh>
    <rPh sb="2" eb="5">
      <t>カイシビ</t>
    </rPh>
    <phoneticPr fontId="7"/>
  </si>
  <si>
    <t>契約終了日</t>
    <rPh sb="0" eb="2">
      <t>ケイヤク</t>
    </rPh>
    <rPh sb="2" eb="5">
      <t>シュウリョウビ</t>
    </rPh>
    <phoneticPr fontId="7"/>
  </si>
  <si>
    <t>更新年数</t>
    <rPh sb="0" eb="2">
      <t>コウシン</t>
    </rPh>
    <rPh sb="2" eb="4">
      <t>ネンスウ</t>
    </rPh>
    <phoneticPr fontId="7"/>
  </si>
  <si>
    <t>解約予告</t>
    <rPh sb="0" eb="2">
      <t>カイヤク</t>
    </rPh>
    <rPh sb="2" eb="4">
      <t>ヨコク</t>
    </rPh>
    <phoneticPr fontId="7"/>
  </si>
  <si>
    <t>契約種別</t>
    <rPh sb="0" eb="2">
      <t>ケイヤク</t>
    </rPh>
    <rPh sb="2" eb="4">
      <t>シュベツ</t>
    </rPh>
    <phoneticPr fontId="7"/>
  </si>
  <si>
    <t>契約面積（㎡）</t>
    <rPh sb="0" eb="2">
      <t>ケイヤク</t>
    </rPh>
    <rPh sb="2" eb="4">
      <t>メンセキ</t>
    </rPh>
    <phoneticPr fontId="7"/>
  </si>
  <si>
    <t>契約面積（坪）</t>
    <rPh sb="0" eb="2">
      <t>ケイヤク</t>
    </rPh>
    <rPh sb="2" eb="4">
      <t>メンセキ</t>
    </rPh>
    <rPh sb="5" eb="6">
      <t>ツボ</t>
    </rPh>
    <phoneticPr fontId="7"/>
  </si>
  <si>
    <t>月額賃料</t>
    <rPh sb="0" eb="2">
      <t>ゲツガク</t>
    </rPh>
    <rPh sb="2" eb="4">
      <t>チンリョウ</t>
    </rPh>
    <phoneticPr fontId="7"/>
  </si>
  <si>
    <t>月額賃料単価（/坪）</t>
    <rPh sb="0" eb="2">
      <t>ゲツガク</t>
    </rPh>
    <rPh sb="2" eb="4">
      <t>チンリョウ</t>
    </rPh>
    <rPh sb="4" eb="6">
      <t>タンカ</t>
    </rPh>
    <rPh sb="8" eb="9">
      <t>ツボ</t>
    </rPh>
    <phoneticPr fontId="7"/>
  </si>
  <si>
    <t>月額共益費</t>
    <rPh sb="0" eb="2">
      <t>ゲツガク</t>
    </rPh>
    <rPh sb="2" eb="5">
      <t>キョウエキヒ</t>
    </rPh>
    <phoneticPr fontId="7"/>
  </si>
  <si>
    <t>月額共益費単価（/坪）</t>
    <rPh sb="0" eb="2">
      <t>ゲツガク</t>
    </rPh>
    <rPh sb="2" eb="5">
      <t>キョウエキヒ</t>
    </rPh>
    <rPh sb="5" eb="7">
      <t>タンカ</t>
    </rPh>
    <rPh sb="9" eb="10">
      <t>ツボ</t>
    </rPh>
    <phoneticPr fontId="7"/>
  </si>
  <si>
    <t>月総額</t>
    <rPh sb="0" eb="1">
      <t>ツキ</t>
    </rPh>
    <rPh sb="1" eb="3">
      <t>ソウガク</t>
    </rPh>
    <phoneticPr fontId="7"/>
  </si>
  <si>
    <t>月総額単価（/坪）</t>
    <rPh sb="0" eb="1">
      <t>ツキ</t>
    </rPh>
    <rPh sb="1" eb="3">
      <t>ソウガク</t>
    </rPh>
    <rPh sb="3" eb="5">
      <t>タンカ</t>
    </rPh>
    <rPh sb="7" eb="8">
      <t>ツボ</t>
    </rPh>
    <phoneticPr fontId="7"/>
  </si>
  <si>
    <t>12-6ヵ月の間</t>
    <rPh sb="5" eb="6">
      <t>ゲツ</t>
    </rPh>
    <rPh sb="7" eb="8">
      <t>カン</t>
    </rPh>
    <phoneticPr fontId="7"/>
  </si>
  <si>
    <t>定期建物賃貸借契約</t>
    <rPh sb="0" eb="2">
      <t>テイキ</t>
    </rPh>
    <rPh sb="2" eb="4">
      <t>タテモノ</t>
    </rPh>
    <rPh sb="4" eb="7">
      <t>チンタイシャク</t>
    </rPh>
    <rPh sb="7" eb="9">
      <t>ケイヤク</t>
    </rPh>
    <phoneticPr fontId="7"/>
  </si>
  <si>
    <t>(公社)東京都医師会</t>
    <rPh sb="1" eb="3">
      <t>コウシャ</t>
    </rPh>
    <rPh sb="4" eb="7">
      <t>トウキョウト</t>
    </rPh>
    <rPh sb="7" eb="10">
      <t>イシカイ</t>
    </rPh>
    <phoneticPr fontId="7"/>
  </si>
  <si>
    <t>㈱光邦</t>
    <rPh sb="1" eb="2">
      <t>コウ</t>
    </rPh>
    <rPh sb="2" eb="3">
      <t>ホウ</t>
    </rPh>
    <phoneticPr fontId="7"/>
  </si>
  <si>
    <t>㈱小学館</t>
    <rPh sb="1" eb="4">
      <t>ショウガッカン</t>
    </rPh>
    <phoneticPr fontId="7"/>
  </si>
  <si>
    <t>住友電設㈱</t>
    <rPh sb="0" eb="2">
      <t>スミトモ</t>
    </rPh>
    <rPh sb="2" eb="4">
      <t>デンセツ</t>
    </rPh>
    <phoneticPr fontId="7"/>
  </si>
  <si>
    <t>Ⅲ．業務スケジュール</t>
    <rPh sb="2" eb="4">
      <t>ギョウム</t>
    </rPh>
    <phoneticPr fontId="7"/>
  </si>
  <si>
    <t>業務内容</t>
    <rPh sb="0" eb="2">
      <t>ギョウム</t>
    </rPh>
    <rPh sb="2" eb="4">
      <t>ナイヨウ</t>
    </rPh>
    <phoneticPr fontId="7"/>
  </si>
  <si>
    <t>法定業務管理</t>
    <rPh sb="0" eb="2">
      <t>ホウテイ</t>
    </rPh>
    <rPh sb="2" eb="4">
      <t>ギョウム</t>
    </rPh>
    <rPh sb="4" eb="6">
      <t>カンリ</t>
    </rPh>
    <phoneticPr fontId="7"/>
  </si>
  <si>
    <t>特記事項</t>
    <rPh sb="0" eb="2">
      <t>トッキ</t>
    </rPh>
    <rPh sb="2" eb="4">
      <t>ジコウ</t>
    </rPh>
    <phoneticPr fontId="7"/>
  </si>
  <si>
    <t>1月</t>
  </si>
  <si>
    <t>2月</t>
  </si>
  <si>
    <t>3月</t>
  </si>
  <si>
    <t>該当法令</t>
    <rPh sb="0" eb="2">
      <t>ガイトウ</t>
    </rPh>
    <rPh sb="2" eb="4">
      <t>ホウレイ</t>
    </rPh>
    <phoneticPr fontId="7"/>
  </si>
  <si>
    <t>②定期管理業務スケジュール</t>
    <rPh sb="1" eb="3">
      <t>テイキ</t>
    </rPh>
    <rPh sb="3" eb="5">
      <t>カンリ</t>
    </rPh>
    <rPh sb="5" eb="7">
      <t>ギョウム</t>
    </rPh>
    <phoneticPr fontId="7"/>
  </si>
  <si>
    <t>分類</t>
    <rPh sb="0" eb="2">
      <t>ブンルイ</t>
    </rPh>
    <phoneticPr fontId="7"/>
  </si>
  <si>
    <t>委託業者</t>
    <rPh sb="0" eb="2">
      <t>イタク</t>
    </rPh>
    <rPh sb="2" eb="4">
      <t>ギョウシャ</t>
    </rPh>
    <phoneticPr fontId="7"/>
  </si>
  <si>
    <t>当ビル適用有無</t>
    <rPh sb="0" eb="1">
      <t>トウ</t>
    </rPh>
    <rPh sb="3" eb="5">
      <t>テキヨウ</t>
    </rPh>
    <rPh sb="5" eb="7">
      <t>ウム</t>
    </rPh>
    <phoneticPr fontId="7"/>
  </si>
  <si>
    <t>実施周期</t>
    <rPh sb="0" eb="2">
      <t>ジッシ</t>
    </rPh>
    <rPh sb="2" eb="4">
      <t>シュウキ</t>
    </rPh>
    <phoneticPr fontId="7"/>
  </si>
  <si>
    <t>法定周期</t>
    <rPh sb="0" eb="2">
      <t>ホウテイ</t>
    </rPh>
    <rPh sb="2" eb="4">
      <t>シュウキ</t>
    </rPh>
    <phoneticPr fontId="7"/>
  </si>
  <si>
    <t>当ﾋﾞﾙ周期</t>
    <rPh sb="0" eb="1">
      <t>トウ</t>
    </rPh>
    <rPh sb="4" eb="6">
      <t>シュウキ</t>
    </rPh>
    <phoneticPr fontId="7"/>
  </si>
  <si>
    <t>清掃・</t>
    <rPh sb="0" eb="2">
      <t>セイソウ</t>
    </rPh>
    <phoneticPr fontId="7"/>
  </si>
  <si>
    <t>-</t>
  </si>
  <si>
    <t>日常業務</t>
    <rPh sb="0" eb="2">
      <t>ニチジョウ</t>
    </rPh>
    <rPh sb="2" eb="4">
      <t>ギョウム</t>
    </rPh>
    <phoneticPr fontId="7"/>
  </si>
  <si>
    <t>法定</t>
    <rPh sb="0" eb="2">
      <t>ホウテイ</t>
    </rPh>
    <phoneticPr fontId="7"/>
  </si>
  <si>
    <t>建築基準法</t>
    <rPh sb="0" eb="2">
      <t>ケンチク</t>
    </rPh>
    <rPh sb="2" eb="5">
      <t>キジュンホウ</t>
    </rPh>
    <phoneticPr fontId="7"/>
  </si>
  <si>
    <t>1回/3年</t>
    <rPh sb="1" eb="2">
      <t>カイ</t>
    </rPh>
    <rPh sb="4" eb="5">
      <t>ネン</t>
    </rPh>
    <phoneticPr fontId="7"/>
  </si>
  <si>
    <t>エレベーター保守</t>
  </si>
  <si>
    <t>SCB(三菱電機ビルテクノサービス）</t>
    <rPh sb="4" eb="6">
      <t>ミツビシ</t>
    </rPh>
    <rPh sb="6" eb="8">
      <t>デンキ</t>
    </rPh>
    <phoneticPr fontId="7"/>
  </si>
  <si>
    <t>◇</t>
  </si>
  <si>
    <t>2回/年</t>
    <rPh sb="1" eb="2">
      <t>カイ</t>
    </rPh>
    <rPh sb="3" eb="4">
      <t>ネン</t>
    </rPh>
    <phoneticPr fontId="7"/>
  </si>
  <si>
    <t>電気事業法</t>
    <rPh sb="0" eb="2">
      <t>デンキ</t>
    </rPh>
    <rPh sb="2" eb="5">
      <t>ジギョウホウ</t>
    </rPh>
    <phoneticPr fontId="7"/>
  </si>
  <si>
    <t>関東電気保安協会</t>
    <rPh sb="0" eb="2">
      <t>カントウ</t>
    </rPh>
    <rPh sb="2" eb="4">
      <t>デンキ</t>
    </rPh>
    <rPh sb="4" eb="6">
      <t>ホアン</t>
    </rPh>
    <rPh sb="6" eb="8">
      <t>キョウカイ</t>
    </rPh>
    <phoneticPr fontId="7"/>
  </si>
  <si>
    <t>SCB</t>
  </si>
  <si>
    <t>関東電気保安協会へ委託</t>
    <rPh sb="0" eb="2">
      <t>カントウ</t>
    </rPh>
    <rPh sb="2" eb="4">
      <t>デンキ</t>
    </rPh>
    <rPh sb="4" eb="6">
      <t>ホアン</t>
    </rPh>
    <rPh sb="6" eb="8">
      <t>キョウカイ</t>
    </rPh>
    <rPh sb="9" eb="11">
      <t>イタク</t>
    </rPh>
    <phoneticPr fontId="7"/>
  </si>
  <si>
    <t>１回/年</t>
    <rPh sb="1" eb="2">
      <t>カイ</t>
    </rPh>
    <rPh sb="3" eb="4">
      <t>ネン</t>
    </rPh>
    <phoneticPr fontId="7"/>
  </si>
  <si>
    <t>空気環境測定業務</t>
  </si>
  <si>
    <t>ねずみ・害虫防除業務</t>
  </si>
  <si>
    <t>消防設備点検</t>
  </si>
  <si>
    <t>SCB(能美防災）</t>
    <rPh sb="4" eb="6">
      <t>ノウミ</t>
    </rPh>
    <rPh sb="6" eb="8">
      <t>ボウサイ</t>
    </rPh>
    <phoneticPr fontId="7"/>
  </si>
  <si>
    <t>消防訓練火災</t>
    <rPh sb="2" eb="4">
      <t>クンレン</t>
    </rPh>
    <rPh sb="4" eb="6">
      <t>カサイ</t>
    </rPh>
    <phoneticPr fontId="7"/>
  </si>
  <si>
    <t>〃　　　地震</t>
    <rPh sb="4" eb="6">
      <t>ジシン</t>
    </rPh>
    <phoneticPr fontId="7"/>
  </si>
  <si>
    <t>連結送水管耐圧試験</t>
    <rPh sb="0" eb="2">
      <t>レンケツ</t>
    </rPh>
    <rPh sb="2" eb="5">
      <t>ソウスイカン</t>
    </rPh>
    <rPh sb="5" eb="7">
      <t>タイアツ</t>
    </rPh>
    <rPh sb="7" eb="9">
      <t>シケン</t>
    </rPh>
    <phoneticPr fontId="44"/>
  </si>
  <si>
    <t>未定</t>
    <rPh sb="0" eb="2">
      <t>ミテイ</t>
    </rPh>
    <phoneticPr fontId="7"/>
  </si>
  <si>
    <t>マニフェスト交付等状況報告書</t>
  </si>
  <si>
    <t>廃棄物処理法</t>
    <rPh sb="0" eb="3">
      <t>ハイキブツ</t>
    </rPh>
    <rPh sb="3" eb="6">
      <t>ショリホウ</t>
    </rPh>
    <phoneticPr fontId="7"/>
  </si>
  <si>
    <t>許可証有効期限　　運搬業者</t>
    <rPh sb="0" eb="3">
      <t>キョカショウ</t>
    </rPh>
    <rPh sb="3" eb="5">
      <t>ユウコウ</t>
    </rPh>
    <rPh sb="5" eb="7">
      <t>キゲン</t>
    </rPh>
    <rPh sb="9" eb="11">
      <t>ウンパン</t>
    </rPh>
    <rPh sb="11" eb="13">
      <t>ギョウシャ</t>
    </rPh>
    <phoneticPr fontId="7"/>
  </si>
  <si>
    <t>　　〃　　　　　　　処分業者</t>
    <rPh sb="10" eb="12">
      <t>ショブン</t>
    </rPh>
    <rPh sb="12" eb="14">
      <t>ギョウシャ</t>
    </rPh>
    <phoneticPr fontId="7"/>
  </si>
  <si>
    <t>計量法</t>
    <rPh sb="0" eb="3">
      <t>ケイリョウホウ</t>
    </rPh>
    <phoneticPr fontId="7"/>
  </si>
  <si>
    <t>省エネ法</t>
    <rPh sb="0" eb="1">
      <t>ショウ</t>
    </rPh>
    <rPh sb="3" eb="4">
      <t>ホウ</t>
    </rPh>
    <phoneticPr fontId="7"/>
  </si>
  <si>
    <t>地球温暖化対策計画書（大規模）</t>
    <rPh sb="0" eb="2">
      <t>チキュウ</t>
    </rPh>
    <rPh sb="2" eb="5">
      <t>オンダンカ</t>
    </rPh>
    <rPh sb="5" eb="7">
      <t>タイサク</t>
    </rPh>
    <rPh sb="7" eb="10">
      <t>ケイカクショ</t>
    </rPh>
    <rPh sb="11" eb="14">
      <t>ダイキボ</t>
    </rPh>
    <phoneticPr fontId="7"/>
  </si>
  <si>
    <t>東京都条例</t>
    <rPh sb="0" eb="2">
      <t>トウキョウ</t>
    </rPh>
    <rPh sb="2" eb="3">
      <t>ト</t>
    </rPh>
    <rPh sb="3" eb="5">
      <t>ジョウレイ</t>
    </rPh>
    <phoneticPr fontId="7"/>
  </si>
  <si>
    <t>地球温暖化対策報告書（中規模）</t>
    <rPh sb="0" eb="2">
      <t>チキュウ</t>
    </rPh>
    <rPh sb="2" eb="5">
      <t>オンダンカ</t>
    </rPh>
    <rPh sb="5" eb="7">
      <t>タイサク</t>
    </rPh>
    <rPh sb="7" eb="10">
      <t>ホウコクショ</t>
    </rPh>
    <rPh sb="11" eb="14">
      <t>チュウキボ</t>
    </rPh>
    <phoneticPr fontId="7"/>
  </si>
  <si>
    <t>事業用家屋貸付等申告書</t>
    <rPh sb="0" eb="3">
      <t>ジギョウヨウ</t>
    </rPh>
    <rPh sb="3" eb="5">
      <t>カオク</t>
    </rPh>
    <rPh sb="5" eb="7">
      <t>カシツケ</t>
    </rPh>
    <rPh sb="7" eb="8">
      <t>ナド</t>
    </rPh>
    <rPh sb="8" eb="11">
      <t>シンコクショ</t>
    </rPh>
    <phoneticPr fontId="7"/>
  </si>
  <si>
    <t>地方税法</t>
    <rPh sb="0" eb="3">
      <t>チホウゼイ</t>
    </rPh>
    <rPh sb="3" eb="4">
      <t>ホウ</t>
    </rPh>
    <phoneticPr fontId="7"/>
  </si>
  <si>
    <t>都度</t>
    <rPh sb="0" eb="2">
      <t>ツド</t>
    </rPh>
    <phoneticPr fontId="7"/>
  </si>
  <si>
    <t>フロン簡易定期点検</t>
    <rPh sb="3" eb="5">
      <t>カンイ</t>
    </rPh>
    <rPh sb="5" eb="7">
      <t>テイキ</t>
    </rPh>
    <rPh sb="7" eb="9">
      <t>テンケン</t>
    </rPh>
    <phoneticPr fontId="7"/>
  </si>
  <si>
    <t>フロン排出抑制法</t>
    <rPh sb="3" eb="5">
      <t>ハイシュツ</t>
    </rPh>
    <rPh sb="5" eb="7">
      <t>ヨクセイ</t>
    </rPh>
    <rPh sb="7" eb="8">
      <t>ホウ</t>
    </rPh>
    <phoneticPr fontId="7"/>
  </si>
  <si>
    <t>1回/3ヵ月</t>
    <rPh sb="5" eb="6">
      <t>ゲツ</t>
    </rPh>
    <phoneticPr fontId="7"/>
  </si>
  <si>
    <t xml:space="preserve">紀尾井町ＰＲＥＸの契約電力について
当ビルは実量制で契約電力が決定しております。
実量制の契約電力は、当月を含む過去１年間の各月の最大需要電力（デマンド値）のうちで最も大きい値となります。 
ただし、電気使用開始から１年間の各月の契約電力は、電気使用開始月からその月までの最大需要電力
のうち最も大きい値となります。
※最大需要電力（デマンド値）は３０分毎の平均使用電力のうち、月間で最も大きい値を最大需要電力といいます。この値は、同時にお使いになる負荷設備が多いほど、大きくなります。
電気料金の計算方法
毎月の電気料金は、契約電力にもとづいて計算された基本料金と、使用電力量によって計算された電力量料金に、
再生可能エネルギー発電促進賦課金を加えたものになります。
 電力量料金は、燃料費の変動に応じて、燃料費調整額を加算あるいは差し引いて計算します。
電気料金の計算式
基本料金
基本料金単価(税込)×契約電力×(185－力率)/100 
電力量料金
電力量料金単価(税込)×使用電力量±燃料費調整額 
合計
基本料金＋電力量料金＋再生可能エネルギー発電促進賦課金 
</t>
    <rPh sb="0" eb="3">
      <t>キオイ</t>
    </rPh>
    <rPh sb="3" eb="4">
      <t>チョウ</t>
    </rPh>
    <rPh sb="18" eb="19">
      <t>トウ</t>
    </rPh>
    <rPh sb="76" eb="77">
      <t>チ</t>
    </rPh>
    <phoneticPr fontId="7"/>
  </si>
  <si>
    <t>良</t>
    <phoneticPr fontId="7"/>
  </si>
  <si>
    <t>-</t>
    <phoneticPr fontId="7"/>
  </si>
  <si>
    <t>脱臭装置点検</t>
    <rPh sb="0" eb="2">
      <t>ダッシュウ</t>
    </rPh>
    <rPh sb="2" eb="4">
      <t>ソウチ</t>
    </rPh>
    <rPh sb="4" eb="6">
      <t>テンケン</t>
    </rPh>
    <phoneticPr fontId="7"/>
  </si>
  <si>
    <t>16-14F</t>
    <phoneticPr fontId="7"/>
  </si>
  <si>
    <t>㈱ニューギン</t>
    <phoneticPr fontId="7"/>
  </si>
  <si>
    <t>13-12F</t>
    <phoneticPr fontId="7"/>
  </si>
  <si>
    <t>12-6ヵ月の間</t>
    <phoneticPr fontId="7"/>
  </si>
  <si>
    <t>12F</t>
    <phoneticPr fontId="7"/>
  </si>
  <si>
    <t>11,10,2F</t>
    <phoneticPr fontId="7"/>
  </si>
  <si>
    <t>㈱ＴＫＰ</t>
    <phoneticPr fontId="7"/>
  </si>
  <si>
    <t>9-4F</t>
    <phoneticPr fontId="7"/>
  </si>
  <si>
    <t>1F</t>
    <phoneticPr fontId="7"/>
  </si>
  <si>
    <t>ブランドパートナーズ㈱</t>
    <phoneticPr fontId="7"/>
  </si>
  <si>
    <t>B1F</t>
    <phoneticPr fontId="7"/>
  </si>
  <si>
    <t>㈱セブン-イレブン･ジャパン</t>
    <phoneticPr fontId="7"/>
  </si>
  <si>
    <t>SCB（ビューローベリタスジャパン）</t>
    <phoneticPr fontId="7"/>
  </si>
  <si>
    <t>※</t>
    <phoneticPr fontId="7"/>
  </si>
  <si>
    <t>◇</t>
    <phoneticPr fontId="7"/>
  </si>
  <si>
    <t>○◇</t>
    <phoneticPr fontId="7"/>
  </si>
  <si>
    <t>◎○◇</t>
    <phoneticPr fontId="7"/>
  </si>
  <si>
    <t>インターホン点検</t>
    <phoneticPr fontId="7"/>
  </si>
  <si>
    <t>○※</t>
    <phoneticPr fontId="7"/>
  </si>
  <si>
    <t>SCB（シー・アイ・シー）</t>
    <phoneticPr fontId="7"/>
  </si>
  <si>
    <t>◎全館調査薬剤散布</t>
    <phoneticPr fontId="7"/>
  </si>
  <si>
    <t>SBM</t>
    <phoneticPr fontId="7"/>
  </si>
  <si>
    <t>管理概要　</t>
    <phoneticPr fontId="7"/>
  </si>
  <si>
    <t>紀尾井町PREX</t>
    <rPh sb="0" eb="4">
      <t>キオイチョウ</t>
    </rPh>
    <phoneticPr fontId="7"/>
  </si>
  <si>
    <t>無し。</t>
    <rPh sb="0" eb="1">
      <t>ナ</t>
    </rPh>
    <phoneticPr fontId="7"/>
  </si>
  <si>
    <t>SCB（セントラル警備保障㈱）</t>
    <rPh sb="9" eb="11">
      <t>ケイビ</t>
    </rPh>
    <rPh sb="11" eb="13">
      <t>ホショウ</t>
    </rPh>
    <phoneticPr fontId="7"/>
  </si>
  <si>
    <t>無し。</t>
    <rPh sb="0" eb="1">
      <t>ナ</t>
    </rPh>
    <phoneticPr fontId="7"/>
  </si>
  <si>
    <t>6月</t>
    <rPh sb="1" eb="2">
      <t>ガツ</t>
    </rPh>
    <phoneticPr fontId="7"/>
  </si>
  <si>
    <t>10月</t>
    <rPh sb="2" eb="3">
      <t>ガツ</t>
    </rPh>
    <phoneticPr fontId="7"/>
  </si>
  <si>
    <t>衛生設備</t>
    <rPh sb="0" eb="2">
      <t>エイセイ</t>
    </rPh>
    <rPh sb="2" eb="4">
      <t>セツビ</t>
    </rPh>
    <phoneticPr fontId="7"/>
  </si>
  <si>
    <t>SCB（アットアロマ㈱）</t>
    <phoneticPr fontId="7"/>
  </si>
  <si>
    <t>2</t>
  </si>
  <si>
    <t>3</t>
  </si>
  <si>
    <t>4</t>
  </si>
  <si>
    <t>5</t>
  </si>
  <si>
    <t>6</t>
  </si>
  <si>
    <t>7</t>
  </si>
  <si>
    <t>8</t>
  </si>
  <si>
    <t>9</t>
  </si>
  <si>
    <t>10</t>
  </si>
  <si>
    <t>11</t>
  </si>
  <si>
    <t>12</t>
  </si>
  <si>
    <t>13</t>
  </si>
  <si>
    <t>14</t>
  </si>
  <si>
    <t>15</t>
  </si>
  <si>
    <t>良</t>
    <rPh sb="0" eb="1">
      <t>ヨ</t>
    </rPh>
    <phoneticPr fontId="7"/>
  </si>
  <si>
    <t>良</t>
    <rPh sb="0" eb="1">
      <t>イ</t>
    </rPh>
    <phoneticPr fontId="7"/>
  </si>
  <si>
    <t>○</t>
    <phoneticPr fontId="7"/>
  </si>
  <si>
    <t>〇</t>
    <phoneticPr fontId="7"/>
  </si>
  <si>
    <t>検針・空調遠隔装置点検</t>
    <rPh sb="0" eb="1">
      <t>ケンシン</t>
    </rPh>
    <rPh sb="3" eb="5">
      <t>クウチョウ</t>
    </rPh>
    <rPh sb="5" eb="7">
      <t>エンカク</t>
    </rPh>
    <rPh sb="7" eb="9">
      <t>ソウチ</t>
    </rPh>
    <rPh sb="9" eb="11">
      <t>テンケン</t>
    </rPh>
    <phoneticPr fontId="7"/>
  </si>
  <si>
    <t>建築設備</t>
    <rPh sb="0" eb="2">
      <t>ケンチク</t>
    </rPh>
    <rPh sb="2" eb="4">
      <t>セツビ</t>
    </rPh>
    <phoneticPr fontId="7"/>
  </si>
  <si>
    <t>〇</t>
    <phoneticPr fontId="7"/>
  </si>
  <si>
    <t>無し。</t>
    <rPh sb="0" eb="1">
      <t>ナ</t>
    </rPh>
    <phoneticPr fontId="7"/>
  </si>
  <si>
    <t>□</t>
    <phoneticPr fontId="7"/>
  </si>
  <si>
    <t>○</t>
    <phoneticPr fontId="7"/>
  </si>
  <si>
    <t>管理室内機器点検、ITV設備点検</t>
    <phoneticPr fontId="7"/>
  </si>
  <si>
    <t>直結増圧送水方式</t>
  </si>
  <si>
    <t>業務受託の有無</t>
    <phoneticPr fontId="7"/>
  </si>
  <si>
    <t>報告者</t>
    <rPh sb="0" eb="3">
      <t>ホウコクシャ</t>
    </rPh>
    <phoneticPr fontId="52"/>
  </si>
  <si>
    <t>報告範囲</t>
    <rPh sb="0" eb="2">
      <t>ホウコク</t>
    </rPh>
    <rPh sb="2" eb="4">
      <t>ハンイ</t>
    </rPh>
    <phoneticPr fontId="52"/>
  </si>
  <si>
    <t>2021年度排出量
（原油換算値）</t>
    <rPh sb="4" eb="6">
      <t>ネンド</t>
    </rPh>
    <rPh sb="6" eb="8">
      <t>ハイシュツ</t>
    </rPh>
    <rPh sb="8" eb="9">
      <t>リョウ</t>
    </rPh>
    <rPh sb="11" eb="13">
      <t>ゲンユ</t>
    </rPh>
    <rPh sb="13" eb="15">
      <t>カンサン</t>
    </rPh>
    <rPh sb="15" eb="16">
      <t>アタイ</t>
    </rPh>
    <phoneticPr fontId="52"/>
  </si>
  <si>
    <t>事務所</t>
    <rPh sb="0" eb="2">
      <t>ジム</t>
    </rPh>
    <rPh sb="2" eb="3">
      <t>ショ</t>
    </rPh>
    <phoneticPr fontId="52"/>
  </si>
  <si>
    <t>非特定</t>
  </si>
  <si>
    <t>三井住友信託銀行㈱</t>
    <rPh sb="0" eb="6">
      <t>ミツイスミトモシンタク</t>
    </rPh>
    <rPh sb="6" eb="8">
      <t>ギンコウ</t>
    </rPh>
    <phoneticPr fontId="52"/>
  </si>
  <si>
    <t>算出中</t>
    <rPh sb="0" eb="3">
      <t>サンシュツチュウ</t>
    </rPh>
    <phoneticPr fontId="52"/>
  </si>
  <si>
    <t>①年間イベントスケジュール</t>
    <rPh sb="1" eb="3">
      <t>ネンカン</t>
    </rPh>
    <phoneticPr fontId="7"/>
  </si>
  <si>
    <t>↓下請法対象企業はカラー着色すること。</t>
    <rPh sb="1" eb="4">
      <t>シタウケホウ</t>
    </rPh>
    <rPh sb="4" eb="6">
      <t>タイショウ</t>
    </rPh>
    <rPh sb="6" eb="8">
      <t>キギョウ</t>
    </rPh>
    <rPh sb="12" eb="14">
      <t>チャクショク</t>
    </rPh>
    <phoneticPr fontId="52"/>
  </si>
  <si>
    <t>建築設備定期検査</t>
    <phoneticPr fontId="52"/>
  </si>
  <si>
    <t>法定</t>
  </si>
  <si>
    <t>特定建築物定期検査</t>
    <rPh sb="0" eb="2">
      <t>トクテイ</t>
    </rPh>
    <rPh sb="4" eb="5">
      <t>ブツ</t>
    </rPh>
    <phoneticPr fontId="52"/>
  </si>
  <si>
    <t>※</t>
    <phoneticPr fontId="52"/>
  </si>
  <si>
    <t>※初回2023年度</t>
    <rPh sb="1" eb="3">
      <t>ショカイ</t>
    </rPh>
    <rPh sb="8" eb="9">
      <t>ド</t>
    </rPh>
    <phoneticPr fontId="7"/>
  </si>
  <si>
    <t>1回/年</t>
    <phoneticPr fontId="52"/>
  </si>
  <si>
    <t>◎：法定点検　○：定期点検　◇：遠隔</t>
    <rPh sb="2" eb="4">
      <t>ホウテイ</t>
    </rPh>
    <rPh sb="4" eb="6">
      <t>テンケン</t>
    </rPh>
    <rPh sb="9" eb="11">
      <t>テイキ</t>
    </rPh>
    <rPh sb="11" eb="13">
      <t>テンケン</t>
    </rPh>
    <rPh sb="16" eb="18">
      <t>エンカク</t>
    </rPh>
    <phoneticPr fontId="7"/>
  </si>
  <si>
    <t>エスカレーター保守</t>
    <phoneticPr fontId="52"/>
  </si>
  <si>
    <t>機械式駐車場保守</t>
    <rPh sb="0" eb="2">
      <t>キカイ</t>
    </rPh>
    <rPh sb="2" eb="3">
      <t>シキ</t>
    </rPh>
    <rPh sb="3" eb="6">
      <t>チュウシャジョウ</t>
    </rPh>
    <rPh sb="6" eb="8">
      <t>ホシュ</t>
    </rPh>
    <phoneticPr fontId="52"/>
  </si>
  <si>
    <t>4回/年</t>
    <rPh sb="1" eb="2">
      <t>カイ</t>
    </rPh>
    <rPh sb="3" eb="4">
      <t>ネン</t>
    </rPh>
    <phoneticPr fontId="52"/>
  </si>
  <si>
    <t>〇</t>
    <phoneticPr fontId="52"/>
  </si>
  <si>
    <t>厨房リフト（ダムウェーター）保守</t>
    <rPh sb="0" eb="2">
      <t>チュウボウ</t>
    </rPh>
    <rPh sb="14" eb="16">
      <t>ホシュ</t>
    </rPh>
    <phoneticPr fontId="52"/>
  </si>
  <si>
    <t>小荷物用専用エレベーター保守</t>
    <rPh sb="0" eb="3">
      <t>コニモツ</t>
    </rPh>
    <rPh sb="3" eb="4">
      <t>ヨウ</t>
    </rPh>
    <rPh sb="4" eb="6">
      <t>センヨウ</t>
    </rPh>
    <rPh sb="12" eb="14">
      <t>ホシュ</t>
    </rPh>
    <phoneticPr fontId="52"/>
  </si>
  <si>
    <t>カーリフト保守</t>
    <rPh sb="5" eb="7">
      <t>ホシュ</t>
    </rPh>
    <phoneticPr fontId="52"/>
  </si>
  <si>
    <t>電気工作物保守点検</t>
    <rPh sb="5" eb="7">
      <t>ホシュ</t>
    </rPh>
    <rPh sb="7" eb="9">
      <t>テンケン</t>
    </rPh>
    <phoneticPr fontId="52"/>
  </si>
  <si>
    <t>1回/年</t>
  </si>
  <si>
    <t>◎年次点検（無停電）　　※停電作業を伴う年次点検（1回/3年） ： 初回2021年10月、次回2024年10月（予定）</t>
    <rPh sb="1" eb="3">
      <t>ネンジ</t>
    </rPh>
    <rPh sb="3" eb="5">
      <t>テンケン</t>
    </rPh>
    <rPh sb="6" eb="9">
      <t>ムテイデン</t>
    </rPh>
    <rPh sb="13" eb="15">
      <t>テイデン</t>
    </rPh>
    <rPh sb="15" eb="17">
      <t>サギョウ</t>
    </rPh>
    <rPh sb="18" eb="19">
      <t>トモナ</t>
    </rPh>
    <rPh sb="20" eb="22">
      <t>ネンジ</t>
    </rPh>
    <rPh sb="22" eb="24">
      <t>テンケン</t>
    </rPh>
    <rPh sb="26" eb="27">
      <t>カイ</t>
    </rPh>
    <rPh sb="29" eb="30">
      <t>ネン</t>
    </rPh>
    <rPh sb="34" eb="36">
      <t>ショカイ</t>
    </rPh>
    <rPh sb="40" eb="41">
      <t>ネン</t>
    </rPh>
    <rPh sb="43" eb="44">
      <t>ガツ</t>
    </rPh>
    <rPh sb="45" eb="47">
      <t>ジカイ</t>
    </rPh>
    <rPh sb="51" eb="52">
      <t>ネン</t>
    </rPh>
    <rPh sb="54" eb="55">
      <t>ガツ</t>
    </rPh>
    <rPh sb="56" eb="58">
      <t>ヨテイ</t>
    </rPh>
    <phoneticPr fontId="7"/>
  </si>
  <si>
    <t>蓄電池設備（直流電源装置）点検</t>
    <rPh sb="0" eb="3">
      <t>チクデンチ</t>
    </rPh>
    <rPh sb="3" eb="5">
      <t>セツビ</t>
    </rPh>
    <rPh sb="6" eb="8">
      <t>チョクリュウ</t>
    </rPh>
    <rPh sb="8" eb="10">
      <t>デンゲン</t>
    </rPh>
    <rPh sb="10" eb="12">
      <t>ソウチ</t>
    </rPh>
    <rPh sb="13" eb="15">
      <t>テンケン</t>
    </rPh>
    <phoneticPr fontId="52"/>
  </si>
  <si>
    <t>電気事業法</t>
    <rPh sb="0" eb="2">
      <t>デンキ</t>
    </rPh>
    <rPh sb="2" eb="5">
      <t>ジギョウホウ</t>
    </rPh>
    <phoneticPr fontId="52"/>
  </si>
  <si>
    <t>▼ 選択</t>
    <phoneticPr fontId="52"/>
  </si>
  <si>
    <t>高濃度PCB管理状況届出書</t>
    <rPh sb="0" eb="3">
      <t>コウノウド</t>
    </rPh>
    <rPh sb="6" eb="8">
      <t>カンリ</t>
    </rPh>
    <rPh sb="8" eb="10">
      <t>ジョウキョウ</t>
    </rPh>
    <rPh sb="10" eb="12">
      <t>トドケデ</t>
    </rPh>
    <rPh sb="12" eb="13">
      <t>ショ</t>
    </rPh>
    <phoneticPr fontId="52"/>
  </si>
  <si>
    <t>ホルムアルデヒド測定(新築時)</t>
    <rPh sb="8" eb="10">
      <t>ソクテイ</t>
    </rPh>
    <rPh sb="11" eb="13">
      <t>シンチク</t>
    </rPh>
    <rPh sb="13" eb="14">
      <t>ジ</t>
    </rPh>
    <phoneticPr fontId="52"/>
  </si>
  <si>
    <t>最初に迎える6～9月の間に1回</t>
    <rPh sb="0" eb="2">
      <t>サイショ</t>
    </rPh>
    <rPh sb="3" eb="4">
      <t>ムカ</t>
    </rPh>
    <rPh sb="9" eb="10">
      <t>ガツ</t>
    </rPh>
    <rPh sb="11" eb="12">
      <t>アイダ</t>
    </rPh>
    <rPh sb="14" eb="15">
      <t>カイ</t>
    </rPh>
    <phoneticPr fontId="7"/>
  </si>
  <si>
    <t>ホルムアルデヒド測定(大規模修繕/模様替実施後)</t>
    <rPh sb="8" eb="10">
      <t>ソクテイ</t>
    </rPh>
    <rPh sb="11" eb="14">
      <t>ダイキボ</t>
    </rPh>
    <rPh sb="14" eb="16">
      <t>シュウゼン</t>
    </rPh>
    <rPh sb="17" eb="19">
      <t>モヨウ</t>
    </rPh>
    <rPh sb="19" eb="20">
      <t>ガ</t>
    </rPh>
    <rPh sb="20" eb="22">
      <t>ジッシ</t>
    </rPh>
    <rPh sb="22" eb="23">
      <t>アト</t>
    </rPh>
    <phoneticPr fontId="52"/>
  </si>
  <si>
    <t>空調機器点検</t>
    <rPh sb="0" eb="2">
      <t>クウチョウ</t>
    </rPh>
    <rPh sb="2" eb="4">
      <t>キキ</t>
    </rPh>
    <rPh sb="4" eb="6">
      <t>テンケン</t>
    </rPh>
    <phoneticPr fontId="52"/>
  </si>
  <si>
    <t>1回/月</t>
    <rPh sb="1" eb="2">
      <t>カイ</t>
    </rPh>
    <rPh sb="3" eb="4">
      <t>ツキ</t>
    </rPh>
    <phoneticPr fontId="7"/>
  </si>
  <si>
    <t>○</t>
    <phoneticPr fontId="52"/>
  </si>
  <si>
    <t>冷却塔清掃（点検）</t>
    <rPh sb="0" eb="3">
      <t>レイキャクトウ</t>
    </rPh>
    <rPh sb="3" eb="5">
      <t>セイソウ</t>
    </rPh>
    <phoneticPr fontId="7"/>
  </si>
  <si>
    <t>1回/年（1回/月）</t>
    <rPh sb="1" eb="2">
      <t>カイ</t>
    </rPh>
    <rPh sb="3" eb="4">
      <t>ネン</t>
    </rPh>
    <rPh sb="6" eb="7">
      <t>カイ</t>
    </rPh>
    <rPh sb="8" eb="9">
      <t>ツキ</t>
    </rPh>
    <phoneticPr fontId="7"/>
  </si>
  <si>
    <t>冷却水配管清掃</t>
    <rPh sb="0" eb="3">
      <t>レイキャクスイ</t>
    </rPh>
    <rPh sb="3" eb="5">
      <t>ハイカン</t>
    </rPh>
    <rPh sb="5" eb="7">
      <t>セイソウ</t>
    </rPh>
    <phoneticPr fontId="7"/>
  </si>
  <si>
    <t>加湿装置清掃（点検）</t>
    <rPh sb="0" eb="2">
      <t>カシツ</t>
    </rPh>
    <rPh sb="2" eb="4">
      <t>ソウチ</t>
    </rPh>
    <rPh sb="4" eb="6">
      <t>セイソウ</t>
    </rPh>
    <rPh sb="7" eb="9">
      <t>テンケン</t>
    </rPh>
    <phoneticPr fontId="52"/>
  </si>
  <si>
    <t>1回/年（1回/月）</t>
  </si>
  <si>
    <t>6回/年</t>
    <rPh sb="1" eb="2">
      <t>カイ</t>
    </rPh>
    <rPh sb="3" eb="4">
      <t>ネン</t>
    </rPh>
    <phoneticPr fontId="52"/>
  </si>
  <si>
    <t>※ シーズンイン・オフで水抜き・水張り</t>
    <phoneticPr fontId="7"/>
  </si>
  <si>
    <t>空調機排水受け（ドレンパン）点検（清掃）</t>
    <rPh sb="0" eb="3">
      <t>クウチョウキ</t>
    </rPh>
    <rPh sb="3" eb="5">
      <t>ハイスイ</t>
    </rPh>
    <rPh sb="5" eb="6">
      <t>ウ</t>
    </rPh>
    <rPh sb="14" eb="16">
      <t>テンケン</t>
    </rPh>
    <rPh sb="17" eb="19">
      <t>セイソウ</t>
    </rPh>
    <phoneticPr fontId="52"/>
  </si>
  <si>
    <t>受水槽清掃・高架水槽清掃</t>
    <rPh sb="0" eb="1">
      <t>ジュ</t>
    </rPh>
    <rPh sb="1" eb="3">
      <t>スイソウ</t>
    </rPh>
    <rPh sb="3" eb="5">
      <t>セイソウ</t>
    </rPh>
    <rPh sb="6" eb="8">
      <t>コウカ</t>
    </rPh>
    <rPh sb="8" eb="10">
      <t>スイソウ</t>
    </rPh>
    <rPh sb="10" eb="12">
      <t>セイソウ</t>
    </rPh>
    <phoneticPr fontId="7"/>
  </si>
  <si>
    <t>飲料水水質検査</t>
    <rPh sb="0" eb="3">
      <t>インリョウスイ</t>
    </rPh>
    <phoneticPr fontId="7"/>
  </si>
  <si>
    <t>給湯水質検査</t>
    <rPh sb="0" eb="2">
      <t>キュウトウ</t>
    </rPh>
    <rPh sb="2" eb="4">
      <t>スイシツ</t>
    </rPh>
    <rPh sb="4" eb="6">
      <t>ケンサ</t>
    </rPh>
    <phoneticPr fontId="52"/>
  </si>
  <si>
    <t>残留塩素測定(上水)</t>
    <rPh sb="0" eb="2">
      <t>ザンリュウ</t>
    </rPh>
    <rPh sb="2" eb="4">
      <t>エンソ</t>
    </rPh>
    <rPh sb="4" eb="6">
      <t>ソクテイ</t>
    </rPh>
    <rPh sb="7" eb="9">
      <t>ジョウスイ</t>
    </rPh>
    <phoneticPr fontId="7"/>
  </si>
  <si>
    <t>1回/週</t>
    <rPh sb="1" eb="2">
      <t>カイ</t>
    </rPh>
    <rPh sb="3" eb="4">
      <t>シュウ</t>
    </rPh>
    <phoneticPr fontId="7"/>
  </si>
  <si>
    <t>残留塩素測定(中水)</t>
    <rPh sb="0" eb="2">
      <t>ザンリュウ</t>
    </rPh>
    <rPh sb="2" eb="4">
      <t>エンソ</t>
    </rPh>
    <rPh sb="4" eb="6">
      <t>ソクテイ</t>
    </rPh>
    <rPh sb="7" eb="8">
      <t>チュウ</t>
    </rPh>
    <rPh sb="8" eb="9">
      <t>ミズ</t>
    </rPh>
    <phoneticPr fontId="7"/>
  </si>
  <si>
    <t>雑用水水質検査</t>
    <rPh sb="0" eb="2">
      <t>ザツヨウ</t>
    </rPh>
    <rPh sb="2" eb="3">
      <t>ミズ</t>
    </rPh>
    <rPh sb="3" eb="5">
      <t>スイシツ</t>
    </rPh>
    <rPh sb="5" eb="7">
      <t>ケンサ</t>
    </rPh>
    <phoneticPr fontId="7"/>
  </si>
  <si>
    <t>雑排水槽清掃</t>
    <rPh sb="0" eb="3">
      <t>ザツハイスイ</t>
    </rPh>
    <rPh sb="3" eb="4">
      <t>ソウ</t>
    </rPh>
    <rPh sb="4" eb="6">
      <t>セイソウ</t>
    </rPh>
    <phoneticPr fontId="7"/>
  </si>
  <si>
    <t>汚水槽清掃</t>
    <rPh sb="0" eb="1">
      <t>キタナ</t>
    </rPh>
    <rPh sb="1" eb="2">
      <t>ミズ</t>
    </rPh>
    <rPh sb="2" eb="3">
      <t>ソウ</t>
    </rPh>
    <rPh sb="3" eb="5">
      <t>セイソウ</t>
    </rPh>
    <phoneticPr fontId="7"/>
  </si>
  <si>
    <t>2回/年</t>
  </si>
  <si>
    <t>維持管理状況報告書</t>
    <rPh sb="0" eb="2">
      <t>イジ</t>
    </rPh>
    <phoneticPr fontId="7"/>
  </si>
  <si>
    <t>給湯器清掃・点検(中央式給湯設備：貯湯槽あり)</t>
    <rPh sb="0" eb="3">
      <t>キュウトウキ</t>
    </rPh>
    <rPh sb="3" eb="5">
      <t>セイソウ</t>
    </rPh>
    <rPh sb="6" eb="8">
      <t>テンケン</t>
    </rPh>
    <rPh sb="9" eb="11">
      <t>チュウオウ</t>
    </rPh>
    <rPh sb="11" eb="12">
      <t>シキ</t>
    </rPh>
    <rPh sb="12" eb="14">
      <t>キュウトウ</t>
    </rPh>
    <rPh sb="14" eb="16">
      <t>セツビ</t>
    </rPh>
    <rPh sb="17" eb="20">
      <t>チョトウソウ</t>
    </rPh>
    <phoneticPr fontId="52"/>
  </si>
  <si>
    <t>給湯器清掃・点検(局所式給湯設備：貯湯槽あり)
設備の構造上清掃できない場合、メーカーの取扱い説明に従い点検、メンテナンス実施</t>
    <rPh sb="0" eb="3">
      <t>キュウトウキ</t>
    </rPh>
    <rPh sb="3" eb="5">
      <t>セイソウ</t>
    </rPh>
    <rPh sb="6" eb="8">
      <t>テンケン</t>
    </rPh>
    <rPh sb="9" eb="11">
      <t>キョクショ</t>
    </rPh>
    <rPh sb="17" eb="20">
      <t>チョトウソウ</t>
    </rPh>
    <rPh sb="24" eb="26">
      <t>セツビ</t>
    </rPh>
    <rPh sb="27" eb="29">
      <t>コウゾウ</t>
    </rPh>
    <rPh sb="29" eb="30">
      <t>ジョウ</t>
    </rPh>
    <rPh sb="30" eb="32">
      <t>セイソウ</t>
    </rPh>
    <rPh sb="36" eb="38">
      <t>バアイ</t>
    </rPh>
    <rPh sb="44" eb="46">
      <t>トリアツカ</t>
    </rPh>
    <rPh sb="47" eb="49">
      <t>セツメイ</t>
    </rPh>
    <rPh sb="50" eb="51">
      <t>シタガ</t>
    </rPh>
    <rPh sb="52" eb="54">
      <t>テンケン</t>
    </rPh>
    <rPh sb="61" eb="63">
      <t>ジッシ</t>
    </rPh>
    <phoneticPr fontId="52"/>
  </si>
  <si>
    <t>防火対象物点検</t>
    <rPh sb="0" eb="2">
      <t>ボウカ</t>
    </rPh>
    <rPh sb="2" eb="5">
      <t>タイショウブツ</t>
    </rPh>
    <rPh sb="5" eb="7">
      <t>テンケン</t>
    </rPh>
    <phoneticPr fontId="7"/>
  </si>
  <si>
    <t>▼ 選択</t>
  </si>
  <si>
    <t>防災管理点検</t>
    <rPh sb="0" eb="2">
      <t>ボウサイ</t>
    </rPh>
    <rPh sb="2" eb="4">
      <t>カンリ</t>
    </rPh>
    <rPh sb="4" eb="6">
      <t>テンケン</t>
    </rPh>
    <phoneticPr fontId="7"/>
  </si>
  <si>
    <t>◎総合点検　○機器点検　■報告(1/3年)　： 初回2021年12月、次回2024年12月（予定）</t>
    <rPh sb="7" eb="9">
      <t>キキ</t>
    </rPh>
    <rPh sb="9" eb="11">
      <t>テンケン</t>
    </rPh>
    <rPh sb="35" eb="37">
      <t>ジカイ</t>
    </rPh>
    <rPh sb="41" eb="42">
      <t>ネン</t>
    </rPh>
    <rPh sb="44" eb="45">
      <t>ガツ</t>
    </rPh>
    <rPh sb="46" eb="48">
      <t>ヨテイ</t>
    </rPh>
    <phoneticPr fontId="7"/>
  </si>
  <si>
    <t>SCB（多紀システック）</t>
    <rPh sb="4" eb="5">
      <t>タ</t>
    </rPh>
    <rPh sb="5" eb="6">
      <t>キ</t>
    </rPh>
    <phoneticPr fontId="7"/>
  </si>
  <si>
    <t>非常電源負荷運転または内部観察等</t>
    <rPh sb="0" eb="2">
      <t>ヒジョウ</t>
    </rPh>
    <rPh sb="2" eb="4">
      <t>デンゲン</t>
    </rPh>
    <rPh sb="4" eb="6">
      <t>フカ</t>
    </rPh>
    <rPh sb="6" eb="8">
      <t>ウンテン</t>
    </rPh>
    <rPh sb="11" eb="13">
      <t>ナイブ</t>
    </rPh>
    <rPh sb="13" eb="15">
      <t>カンサツ</t>
    </rPh>
    <rPh sb="15" eb="16">
      <t>ナド</t>
    </rPh>
    <phoneticPr fontId="52"/>
  </si>
  <si>
    <t>SCB（多紀システック・能美防災）</t>
    <rPh sb="4" eb="5">
      <t>タ</t>
    </rPh>
    <rPh sb="5" eb="6">
      <t>キ</t>
    </rPh>
    <rPh sb="12" eb="14">
      <t>ノウミ</t>
    </rPh>
    <rPh sb="14" eb="16">
      <t>ボウサイ</t>
    </rPh>
    <phoneticPr fontId="7"/>
  </si>
  <si>
    <t>非常電源負荷運転及び内部観察等
（予防的な保全が講じられている場合）</t>
    <rPh sb="0" eb="2">
      <t>ヒジョウ</t>
    </rPh>
    <rPh sb="2" eb="4">
      <t>デンゲン</t>
    </rPh>
    <rPh sb="4" eb="6">
      <t>フカ</t>
    </rPh>
    <rPh sb="6" eb="8">
      <t>ウンテン</t>
    </rPh>
    <rPh sb="8" eb="9">
      <t>オヨ</t>
    </rPh>
    <rPh sb="10" eb="12">
      <t>ナイブ</t>
    </rPh>
    <rPh sb="12" eb="14">
      <t>カンサツ</t>
    </rPh>
    <rPh sb="14" eb="15">
      <t>ナド</t>
    </rPh>
    <rPh sb="17" eb="20">
      <t>ヨボウテキ</t>
    </rPh>
    <rPh sb="21" eb="23">
      <t>ホゼン</t>
    </rPh>
    <rPh sb="24" eb="25">
      <t>コウ</t>
    </rPh>
    <rPh sb="31" eb="33">
      <t>バアイ</t>
    </rPh>
    <phoneticPr fontId="52"/>
  </si>
  <si>
    <t>法定</t>
    <phoneticPr fontId="52"/>
  </si>
  <si>
    <t>消防法</t>
    <rPh sb="0" eb="3">
      <t>ショウボウホウ</t>
    </rPh>
    <phoneticPr fontId="52"/>
  </si>
  <si>
    <t>1回/6年</t>
    <rPh sb="1" eb="2">
      <t>カイ</t>
    </rPh>
    <rPh sb="4" eb="5">
      <t>ネン</t>
    </rPh>
    <phoneticPr fontId="52"/>
  </si>
  <si>
    <t>1回/10年(10年以降3年毎)</t>
    <rPh sb="1" eb="2">
      <t>カイ</t>
    </rPh>
    <rPh sb="5" eb="6">
      <t>ネン</t>
    </rPh>
    <rPh sb="9" eb="10">
      <t>ネン</t>
    </rPh>
    <rPh sb="10" eb="12">
      <t>イコウ</t>
    </rPh>
    <rPh sb="13" eb="14">
      <t>ネン</t>
    </rPh>
    <rPh sb="14" eb="15">
      <t>ゴト</t>
    </rPh>
    <phoneticPr fontId="7"/>
  </si>
  <si>
    <t>10年以降</t>
  </si>
  <si>
    <t>※初回2029年</t>
    <rPh sb="1" eb="3">
      <t>ショカイ</t>
    </rPh>
    <rPh sb="7" eb="8">
      <t>ネン</t>
    </rPh>
    <phoneticPr fontId="7"/>
  </si>
  <si>
    <t>消火栓ホース交換（耐圧代替）</t>
    <rPh sb="0" eb="3">
      <t>ショウカセン</t>
    </rPh>
    <rPh sb="6" eb="8">
      <t>コウカン</t>
    </rPh>
    <rPh sb="9" eb="11">
      <t>タイアツ</t>
    </rPh>
    <rPh sb="11" eb="13">
      <t>ダイタイ</t>
    </rPh>
    <phoneticPr fontId="52"/>
  </si>
  <si>
    <t>蓄圧式消火器交換（耐圧代替）</t>
    <rPh sb="0" eb="2">
      <t>チクアツ</t>
    </rPh>
    <rPh sb="2" eb="3">
      <t>シキ</t>
    </rPh>
    <rPh sb="3" eb="6">
      <t>ショウカキ</t>
    </rPh>
    <rPh sb="6" eb="8">
      <t>コウカン</t>
    </rPh>
    <rPh sb="9" eb="11">
      <t>タイアツ</t>
    </rPh>
    <rPh sb="11" eb="13">
      <t>ダイタイ</t>
    </rPh>
    <phoneticPr fontId="52"/>
  </si>
  <si>
    <t>1回/10年(10年以降5年毎)</t>
    <rPh sb="1" eb="2">
      <t>カイ</t>
    </rPh>
    <rPh sb="5" eb="6">
      <t>ネン</t>
    </rPh>
    <rPh sb="9" eb="10">
      <t>ネン</t>
    </rPh>
    <rPh sb="10" eb="12">
      <t>イコウ</t>
    </rPh>
    <rPh sb="13" eb="14">
      <t>ネン</t>
    </rPh>
    <rPh sb="14" eb="15">
      <t>ゴト</t>
    </rPh>
    <phoneticPr fontId="7"/>
  </si>
  <si>
    <t>1回/5年</t>
  </si>
  <si>
    <t>加圧式消火器交換（耐圧代替）</t>
    <rPh sb="0" eb="2">
      <t>カアツ</t>
    </rPh>
    <rPh sb="2" eb="3">
      <t>シキ</t>
    </rPh>
    <rPh sb="3" eb="6">
      <t>ショウカキ</t>
    </rPh>
    <rPh sb="6" eb="8">
      <t>コウカン</t>
    </rPh>
    <rPh sb="9" eb="11">
      <t>タイアツ</t>
    </rPh>
    <rPh sb="11" eb="13">
      <t>ダイタイ</t>
    </rPh>
    <phoneticPr fontId="52"/>
  </si>
  <si>
    <t>ガス系消火設備容器弁点検</t>
    <rPh sb="2" eb="3">
      <t>ケイ</t>
    </rPh>
    <rPh sb="3" eb="5">
      <t>ショウカ</t>
    </rPh>
    <rPh sb="5" eb="7">
      <t>セツビ</t>
    </rPh>
    <rPh sb="7" eb="9">
      <t>ヨウキ</t>
    </rPh>
    <rPh sb="9" eb="10">
      <t>ベン</t>
    </rPh>
    <rPh sb="10" eb="12">
      <t>テンケン</t>
    </rPh>
    <phoneticPr fontId="52"/>
  </si>
  <si>
    <t>地下タンク気密漏洩試験</t>
    <rPh sb="0" eb="2">
      <t>チカ</t>
    </rPh>
    <rPh sb="5" eb="7">
      <t>キミツ</t>
    </rPh>
    <rPh sb="7" eb="9">
      <t>ロウエイ</t>
    </rPh>
    <rPh sb="9" eb="11">
      <t>シケン</t>
    </rPh>
    <phoneticPr fontId="7"/>
  </si>
  <si>
    <t>ゴンドラ性能検査（定期自主検査）</t>
    <rPh sb="4" eb="8">
      <t>セイノウケンサ</t>
    </rPh>
    <rPh sb="9" eb="15">
      <t>テイキジシュケンサ</t>
    </rPh>
    <phoneticPr fontId="52"/>
  </si>
  <si>
    <t>ゴンドラ安全規則</t>
    <rPh sb="4" eb="6">
      <t>アンゼン</t>
    </rPh>
    <rPh sb="6" eb="8">
      <t>キソク</t>
    </rPh>
    <phoneticPr fontId="7"/>
  </si>
  <si>
    <t>1回/年（使用開始前1月以内）</t>
    <rPh sb="1" eb="2">
      <t>カイ</t>
    </rPh>
    <rPh sb="3" eb="4">
      <t>ネン</t>
    </rPh>
    <phoneticPr fontId="7"/>
  </si>
  <si>
    <t>ゴンドラ性能検査（定期自主検査）</t>
  </si>
  <si>
    <t>1回/年（使用開始前1月以内）</t>
    <rPh sb="1" eb="2">
      <t>カイ</t>
    </rPh>
    <rPh sb="3" eb="4">
      <t>ネン</t>
    </rPh>
    <rPh sb="5" eb="7">
      <t>シヨウ</t>
    </rPh>
    <rPh sb="7" eb="9">
      <t>カイシ</t>
    </rPh>
    <rPh sb="9" eb="10">
      <t>マエ</t>
    </rPh>
    <rPh sb="11" eb="12">
      <t>ガツ</t>
    </rPh>
    <rPh sb="12" eb="14">
      <t>イナイ</t>
    </rPh>
    <phoneticPr fontId="7"/>
  </si>
  <si>
    <t>屋外広告物継続申請</t>
    <rPh sb="0" eb="2">
      <t>オクガイ</t>
    </rPh>
    <rPh sb="2" eb="4">
      <t>コウコク</t>
    </rPh>
    <rPh sb="4" eb="5">
      <t>ブツ</t>
    </rPh>
    <rPh sb="5" eb="7">
      <t>ケイゾク</t>
    </rPh>
    <rPh sb="7" eb="9">
      <t>シンセイ</t>
    </rPh>
    <phoneticPr fontId="7"/>
  </si>
  <si>
    <t>屋外広告物法</t>
    <rPh sb="0" eb="2">
      <t>オクガイ</t>
    </rPh>
    <rPh sb="2" eb="4">
      <t>コウコク</t>
    </rPh>
    <rPh sb="4" eb="5">
      <t>ブツ</t>
    </rPh>
    <rPh sb="5" eb="6">
      <t>ホウ</t>
    </rPh>
    <phoneticPr fontId="7"/>
  </si>
  <si>
    <t>簡易専用水道定期検査</t>
    <rPh sb="0" eb="2">
      <t>カンイ</t>
    </rPh>
    <rPh sb="2" eb="4">
      <t>センヨウ</t>
    </rPh>
    <rPh sb="4" eb="6">
      <t>スイドウ</t>
    </rPh>
    <rPh sb="6" eb="8">
      <t>テイキ</t>
    </rPh>
    <rPh sb="8" eb="10">
      <t>ケンサ</t>
    </rPh>
    <phoneticPr fontId="52"/>
  </si>
  <si>
    <t>水道法</t>
    <rPh sb="0" eb="2">
      <t>スイドウ</t>
    </rPh>
    <rPh sb="2" eb="3">
      <t>ホウ</t>
    </rPh>
    <phoneticPr fontId="52"/>
  </si>
  <si>
    <t>1回/年</t>
    <rPh sb="1" eb="2">
      <t>カイ</t>
    </rPh>
    <rPh sb="3" eb="4">
      <t>ネン</t>
    </rPh>
    <phoneticPr fontId="52"/>
  </si>
  <si>
    <t>高圧ガス定期自主検査</t>
    <rPh sb="0" eb="2">
      <t>コウアツ</t>
    </rPh>
    <rPh sb="4" eb="10">
      <t>テイキジシュケンサ</t>
    </rPh>
    <phoneticPr fontId="52"/>
  </si>
  <si>
    <t>高圧ｶﾞｽ保安法</t>
    <rPh sb="0" eb="2">
      <t>コウアツ</t>
    </rPh>
    <rPh sb="5" eb="8">
      <t>ホアンホウ</t>
    </rPh>
    <phoneticPr fontId="52"/>
  </si>
  <si>
    <t>高圧ガス保安検査</t>
    <rPh sb="0" eb="2">
      <t>コウアツ</t>
    </rPh>
    <rPh sb="4" eb="6">
      <t>ホアン</t>
    </rPh>
    <rPh sb="6" eb="8">
      <t>ケンサ</t>
    </rPh>
    <phoneticPr fontId="52"/>
  </si>
  <si>
    <t>汚染負荷量賦課金申告書</t>
    <rPh sb="0" eb="2">
      <t>オセン</t>
    </rPh>
    <rPh sb="2" eb="4">
      <t>フカ</t>
    </rPh>
    <rPh sb="4" eb="5">
      <t>リョウ</t>
    </rPh>
    <rPh sb="5" eb="8">
      <t>フカキン</t>
    </rPh>
    <rPh sb="8" eb="11">
      <t>シンコクショ</t>
    </rPh>
    <phoneticPr fontId="7"/>
  </si>
  <si>
    <t>公害健康被害補償法</t>
    <rPh sb="0" eb="2">
      <t>コウガイ</t>
    </rPh>
    <rPh sb="2" eb="4">
      <t>ケンコウ</t>
    </rPh>
    <rPh sb="4" eb="6">
      <t>ヒガイ</t>
    </rPh>
    <rPh sb="6" eb="8">
      <t>ホショウ</t>
    </rPh>
    <phoneticPr fontId="7"/>
  </si>
  <si>
    <t>PCB廃棄物の保管及び処分状況等届出書</t>
    <rPh sb="3" eb="5">
      <t>ハイキ</t>
    </rPh>
    <rPh sb="5" eb="6">
      <t>ブツ</t>
    </rPh>
    <rPh sb="9" eb="10">
      <t>オヨ</t>
    </rPh>
    <rPh sb="11" eb="13">
      <t>ショブン</t>
    </rPh>
    <rPh sb="13" eb="15">
      <t>ジョウキョウ</t>
    </rPh>
    <rPh sb="15" eb="16">
      <t>ナド</t>
    </rPh>
    <rPh sb="16" eb="18">
      <t>トドケデ</t>
    </rPh>
    <rPh sb="18" eb="19">
      <t>ショ</t>
    </rPh>
    <phoneticPr fontId="7"/>
  </si>
  <si>
    <t>ＰＣＢ特別措置法施行規則</t>
    <rPh sb="3" eb="5">
      <t>トクベツ</t>
    </rPh>
    <rPh sb="5" eb="8">
      <t>ソチホウ</t>
    </rPh>
    <rPh sb="8" eb="10">
      <t>セコウ</t>
    </rPh>
    <rPh sb="10" eb="12">
      <t>キソク</t>
    </rPh>
    <phoneticPr fontId="7"/>
  </si>
  <si>
    <t>SC（SBM作成）</t>
    <rPh sb="6" eb="8">
      <t>サクセイ</t>
    </rPh>
    <phoneticPr fontId="52"/>
  </si>
  <si>
    <t>※確認</t>
    <rPh sb="1" eb="3">
      <t>カクニン</t>
    </rPh>
    <phoneticPr fontId="52"/>
  </si>
  <si>
    <t>メーター交換(電力量計器)</t>
    <rPh sb="4" eb="6">
      <t>コウカン</t>
    </rPh>
    <rPh sb="7" eb="9">
      <t>デンリョク</t>
    </rPh>
    <rPh sb="9" eb="10">
      <t>リョウ</t>
    </rPh>
    <rPh sb="10" eb="11">
      <t>ケイ</t>
    </rPh>
    <rPh sb="11" eb="12">
      <t>ウツワ</t>
    </rPh>
    <phoneticPr fontId="7"/>
  </si>
  <si>
    <t>都度</t>
    <rPh sb="0" eb="2">
      <t>ツド</t>
    </rPh>
    <phoneticPr fontId="52"/>
  </si>
  <si>
    <t>未定</t>
    <phoneticPr fontId="52"/>
  </si>
  <si>
    <t>※初回2028年</t>
    <phoneticPr fontId="52"/>
  </si>
  <si>
    <t>メーター交換(水道)</t>
    <rPh sb="4" eb="6">
      <t>コウカン</t>
    </rPh>
    <rPh sb="7" eb="9">
      <t>スイドウ</t>
    </rPh>
    <phoneticPr fontId="7"/>
  </si>
  <si>
    <t>1回/8年</t>
    <phoneticPr fontId="52"/>
  </si>
  <si>
    <t>※初回2026年</t>
    <rPh sb="1" eb="3">
      <t>ショカイ</t>
    </rPh>
    <phoneticPr fontId="52"/>
  </si>
  <si>
    <r>
      <t>メーター交換(ガス)
①使用最大流量6m</t>
    </r>
    <r>
      <rPr>
        <vertAlign val="superscript"/>
        <sz val="14"/>
        <rFont val="ＭＳ Ｐゴシック"/>
        <family val="3"/>
        <charset val="128"/>
      </rPr>
      <t>3</t>
    </r>
    <r>
      <rPr>
        <sz val="14"/>
        <rFont val="ＭＳ Ｐゴシック"/>
        <family val="3"/>
        <charset val="128"/>
      </rPr>
      <t>/h以下のもの(都市ガス用)
②使用最大流量2.5m3/h以下のもの(LPガス用)</t>
    </r>
    <rPh sb="4" eb="6">
      <t>コウカン</t>
    </rPh>
    <rPh sb="12" eb="14">
      <t>シヨウ</t>
    </rPh>
    <rPh sb="14" eb="16">
      <t>サイダイ</t>
    </rPh>
    <rPh sb="16" eb="18">
      <t>リュウリョウ</t>
    </rPh>
    <rPh sb="23" eb="25">
      <t>イカ</t>
    </rPh>
    <rPh sb="29" eb="31">
      <t>トシ</t>
    </rPh>
    <rPh sb="33" eb="34">
      <t>ヨウ</t>
    </rPh>
    <phoneticPr fontId="7"/>
  </si>
  <si>
    <t>1回/10年</t>
    <rPh sb="1" eb="2">
      <t>カイ</t>
    </rPh>
    <rPh sb="5" eb="6">
      <t>ネン</t>
    </rPh>
    <phoneticPr fontId="52"/>
  </si>
  <si>
    <t>メーター交換(ガス)
上記①②以外のもの。主に業務用</t>
    <rPh sb="4" eb="6">
      <t>コウカン</t>
    </rPh>
    <rPh sb="11" eb="13">
      <t>ジョウキ</t>
    </rPh>
    <rPh sb="15" eb="17">
      <t>イガイ</t>
    </rPh>
    <rPh sb="21" eb="22">
      <t>オモ</t>
    </rPh>
    <rPh sb="23" eb="26">
      <t>ギョウムヨウ</t>
    </rPh>
    <phoneticPr fontId="7"/>
  </si>
  <si>
    <t>1回/7年</t>
    <rPh sb="1" eb="2">
      <t>カイ</t>
    </rPh>
    <rPh sb="4" eb="5">
      <t>ネン</t>
    </rPh>
    <phoneticPr fontId="52"/>
  </si>
  <si>
    <r>
      <t xml:space="preserve">メーター交換(積算熱量計)
</t>
    </r>
    <r>
      <rPr>
        <sz val="10"/>
        <rFont val="ＭＳ Ｐゴシック"/>
        <family val="3"/>
        <charset val="128"/>
      </rPr>
      <t>口径40mm以下のもの</t>
    </r>
    <rPh sb="4" eb="6">
      <t>コウカン</t>
    </rPh>
    <rPh sb="7" eb="9">
      <t>セキサン</t>
    </rPh>
    <rPh sb="9" eb="11">
      <t>ネツリョウ</t>
    </rPh>
    <rPh sb="11" eb="12">
      <t>ケイ</t>
    </rPh>
    <rPh sb="14" eb="16">
      <t>コウケイ</t>
    </rPh>
    <rPh sb="20" eb="22">
      <t>イカ</t>
    </rPh>
    <phoneticPr fontId="7"/>
  </si>
  <si>
    <t>ゴミ計量器検定</t>
    <rPh sb="2" eb="5">
      <t>ケイリョウキ</t>
    </rPh>
    <rPh sb="5" eb="7">
      <t>ケンテイ</t>
    </rPh>
    <phoneticPr fontId="52"/>
  </si>
  <si>
    <t>1回/2年</t>
    <phoneticPr fontId="52"/>
  </si>
  <si>
    <t>東京都計量協会</t>
    <phoneticPr fontId="7"/>
  </si>
  <si>
    <t>※初回2019年12月実施、次回2023年12月（予定）</t>
    <rPh sb="1" eb="3">
      <t>ショカイ</t>
    </rPh>
    <rPh sb="7" eb="8">
      <t>ネン</t>
    </rPh>
    <rPh sb="10" eb="11">
      <t>ガツ</t>
    </rPh>
    <rPh sb="11" eb="13">
      <t>ジッシ</t>
    </rPh>
    <rPh sb="14" eb="16">
      <t>ジカイ</t>
    </rPh>
    <rPh sb="20" eb="21">
      <t>ネン</t>
    </rPh>
    <rPh sb="23" eb="24">
      <t>ガツ</t>
    </rPh>
    <rPh sb="25" eb="27">
      <t>ヨテイ</t>
    </rPh>
    <phoneticPr fontId="7"/>
  </si>
  <si>
    <t>道路占用許可申請</t>
    <rPh sb="0" eb="2">
      <t>ドウロ</t>
    </rPh>
    <rPh sb="2" eb="4">
      <t>センヨウ</t>
    </rPh>
    <rPh sb="4" eb="6">
      <t>キョカ</t>
    </rPh>
    <rPh sb="6" eb="8">
      <t>シンセイ</t>
    </rPh>
    <phoneticPr fontId="52"/>
  </si>
  <si>
    <t>道路法</t>
    <rPh sb="0" eb="3">
      <t>ドウロホウ</t>
    </rPh>
    <phoneticPr fontId="52"/>
  </si>
  <si>
    <t>系統別に１回/3ヵ月 実施</t>
    <rPh sb="0" eb="2">
      <t>ケイトウ</t>
    </rPh>
    <rPh sb="2" eb="3">
      <t>ベツ</t>
    </rPh>
    <rPh sb="11" eb="13">
      <t>ジッシ</t>
    </rPh>
    <phoneticPr fontId="7"/>
  </si>
  <si>
    <t>フロン定期点検（7.5kW以上、50kW未満）</t>
    <rPh sb="3" eb="5">
      <t>テイキ</t>
    </rPh>
    <rPh sb="5" eb="7">
      <t>テンケン</t>
    </rPh>
    <rPh sb="13" eb="15">
      <t>イジョウ</t>
    </rPh>
    <rPh sb="20" eb="22">
      <t>ミマン</t>
    </rPh>
    <phoneticPr fontId="7"/>
  </si>
  <si>
    <t>1回/3年</t>
    <phoneticPr fontId="52"/>
  </si>
  <si>
    <t>SCB(ダイキン工業㈱）</t>
    <rPh sb="8" eb="10">
      <t>コウギョウ</t>
    </rPh>
    <phoneticPr fontId="7"/>
  </si>
  <si>
    <t>※空調設備点検（巡回点検）で補完</t>
    <rPh sb="1" eb="3">
      <t>クウチョウ</t>
    </rPh>
    <rPh sb="3" eb="5">
      <t>セツビ</t>
    </rPh>
    <rPh sb="5" eb="7">
      <t>テンケン</t>
    </rPh>
    <rPh sb="8" eb="10">
      <t>ジュンカイ</t>
    </rPh>
    <rPh sb="10" eb="12">
      <t>テンケン</t>
    </rPh>
    <rPh sb="14" eb="16">
      <t>ホカン</t>
    </rPh>
    <phoneticPr fontId="7"/>
  </si>
  <si>
    <t>フロン定期点検（冷凍･冷蔵設備7.5kW以上）</t>
    <phoneticPr fontId="52"/>
  </si>
  <si>
    <t>フロン定期点検（50kW以上）</t>
    <rPh sb="3" eb="5">
      <t>テイキ</t>
    </rPh>
    <rPh sb="5" eb="7">
      <t>テンケン</t>
    </rPh>
    <phoneticPr fontId="7"/>
  </si>
  <si>
    <t>フロン類算定漏えい量報告</t>
    <rPh sb="3" eb="4">
      <t>ルイ</t>
    </rPh>
    <rPh sb="4" eb="6">
      <t>サンテイ</t>
    </rPh>
    <rPh sb="6" eb="7">
      <t>ロウ</t>
    </rPh>
    <rPh sb="9" eb="10">
      <t>リョウ</t>
    </rPh>
    <rPh sb="10" eb="12">
      <t>ホウコク</t>
    </rPh>
    <phoneticPr fontId="7"/>
  </si>
  <si>
    <t>SCB および SBM</t>
    <phoneticPr fontId="52"/>
  </si>
  <si>
    <t>定期報告書</t>
    <rPh sb="0" eb="2">
      <t>テイキ</t>
    </rPh>
    <rPh sb="2" eb="5">
      <t>ホウコクショ</t>
    </rPh>
    <phoneticPr fontId="52"/>
  </si>
  <si>
    <t>省エネ法</t>
    <rPh sb="0" eb="1">
      <t>ショウ</t>
    </rPh>
    <rPh sb="3" eb="4">
      <t>ホウ</t>
    </rPh>
    <phoneticPr fontId="52"/>
  </si>
  <si>
    <t>中長期計画書</t>
    <rPh sb="0" eb="3">
      <t>チュウチョウキ</t>
    </rPh>
    <rPh sb="3" eb="5">
      <t>ケイカク</t>
    </rPh>
    <rPh sb="5" eb="6">
      <t>ショ</t>
    </rPh>
    <phoneticPr fontId="52"/>
  </si>
  <si>
    <t>ボイラー/第一種圧力容器定期自主検査</t>
    <rPh sb="5" eb="12">
      <t>ダイイッシュアツリョクヨウキ</t>
    </rPh>
    <rPh sb="12" eb="14">
      <t>テイキ</t>
    </rPh>
    <rPh sb="14" eb="16">
      <t>ジシュ</t>
    </rPh>
    <rPh sb="16" eb="18">
      <t>ケンサ</t>
    </rPh>
    <phoneticPr fontId="52"/>
  </si>
  <si>
    <t>ボイラー及び圧力容器安全規則</t>
    <phoneticPr fontId="52"/>
  </si>
  <si>
    <t>第二種圧力容器定期自主検査</t>
    <rPh sb="0" eb="3">
      <t>ダイニシュ</t>
    </rPh>
    <rPh sb="3" eb="7">
      <t>アツリョクヨウキ</t>
    </rPh>
    <rPh sb="7" eb="13">
      <t>テイキジシュケンサ</t>
    </rPh>
    <phoneticPr fontId="52"/>
  </si>
  <si>
    <t>ボイラー/第一種圧力容器性能検査</t>
    <rPh sb="12" eb="14">
      <t>セイノウ</t>
    </rPh>
    <rPh sb="14" eb="16">
      <t>ケンサ</t>
    </rPh>
    <phoneticPr fontId="52"/>
  </si>
  <si>
    <t>労働安全衛生法</t>
    <phoneticPr fontId="7"/>
  </si>
  <si>
    <r>
      <t>高所作業車</t>
    </r>
    <r>
      <rPr>
        <sz val="14"/>
        <rFont val="ＭＳ Ｐゴシック"/>
        <family val="3"/>
        <charset val="128"/>
      </rPr>
      <t>特定自主検査（定期自主検査）</t>
    </r>
    <rPh sb="0" eb="2">
      <t>コウショ</t>
    </rPh>
    <rPh sb="2" eb="5">
      <t>サギョウシャ</t>
    </rPh>
    <rPh sb="5" eb="7">
      <t>トクテイ</t>
    </rPh>
    <rPh sb="7" eb="9">
      <t>ジシュ</t>
    </rPh>
    <rPh sb="9" eb="11">
      <t>ケンサ</t>
    </rPh>
    <rPh sb="12" eb="14">
      <t>テイキ</t>
    </rPh>
    <rPh sb="14" eb="16">
      <t>ジシュ</t>
    </rPh>
    <rPh sb="16" eb="18">
      <t>ケンサ</t>
    </rPh>
    <phoneticPr fontId="52"/>
  </si>
  <si>
    <t>労働安全衛生法</t>
    <rPh sb="0" eb="2">
      <t>ロウドウ</t>
    </rPh>
    <rPh sb="2" eb="4">
      <t>アンゼン</t>
    </rPh>
    <rPh sb="4" eb="7">
      <t>エイセイホウ</t>
    </rPh>
    <phoneticPr fontId="7"/>
  </si>
  <si>
    <r>
      <t>自走式高所作業車</t>
    </r>
    <r>
      <rPr>
        <sz val="14"/>
        <rFont val="ＭＳ Ｐゴシック"/>
        <family val="3"/>
        <charset val="128"/>
      </rPr>
      <t>特定自主検査（定期自主検査）</t>
    </r>
    <rPh sb="0" eb="3">
      <t>ジソウシキ</t>
    </rPh>
    <rPh sb="3" eb="8">
      <t>コウショサギョウシャ</t>
    </rPh>
    <rPh sb="8" eb="10">
      <t>トクテイ</t>
    </rPh>
    <rPh sb="10" eb="12">
      <t>ジシュ</t>
    </rPh>
    <rPh sb="12" eb="14">
      <t>ケンサ</t>
    </rPh>
    <rPh sb="15" eb="17">
      <t>テイキ</t>
    </rPh>
    <rPh sb="17" eb="19">
      <t>ジシュ</t>
    </rPh>
    <rPh sb="19" eb="21">
      <t>ケンサ</t>
    </rPh>
    <phoneticPr fontId="52"/>
  </si>
  <si>
    <t>ばい煙濃度測定</t>
    <rPh sb="2" eb="3">
      <t>エン</t>
    </rPh>
    <rPh sb="3" eb="5">
      <t>ノウド</t>
    </rPh>
    <rPh sb="5" eb="7">
      <t>ソクテイ</t>
    </rPh>
    <phoneticPr fontId="52"/>
  </si>
  <si>
    <t>大気汚染防止法</t>
    <rPh sb="0" eb="2">
      <t>タイキ</t>
    </rPh>
    <rPh sb="2" eb="4">
      <t>オセン</t>
    </rPh>
    <rPh sb="4" eb="6">
      <t>ボウシ</t>
    </rPh>
    <rPh sb="6" eb="7">
      <t>ホウ</t>
    </rPh>
    <phoneticPr fontId="52"/>
  </si>
  <si>
    <t>2回/年</t>
    <phoneticPr fontId="52"/>
  </si>
  <si>
    <t>中圧・低圧ガス漏洩検査</t>
    <rPh sb="0" eb="2">
      <t>チュウアツ</t>
    </rPh>
    <rPh sb="3" eb="5">
      <t>テイアツ</t>
    </rPh>
    <rPh sb="7" eb="9">
      <t>ロウエイ</t>
    </rPh>
    <rPh sb="9" eb="11">
      <t>ケンサ</t>
    </rPh>
    <phoneticPr fontId="52"/>
  </si>
  <si>
    <t>ガス事業法</t>
    <rPh sb="2" eb="5">
      <t>ジギョウホウ</t>
    </rPh>
    <phoneticPr fontId="52"/>
  </si>
  <si>
    <t>栄養管理報告</t>
    <rPh sb="0" eb="2">
      <t>エイヨウ</t>
    </rPh>
    <rPh sb="2" eb="4">
      <t>カンリ</t>
    </rPh>
    <rPh sb="4" eb="6">
      <t>ホウコク</t>
    </rPh>
    <phoneticPr fontId="52"/>
  </si>
  <si>
    <t>健康増進法</t>
    <rPh sb="0" eb="2">
      <t>ケンコウ</t>
    </rPh>
    <rPh sb="2" eb="4">
      <t>ゾウシン</t>
    </rPh>
    <rPh sb="4" eb="5">
      <t>ホウ</t>
    </rPh>
    <phoneticPr fontId="52"/>
  </si>
  <si>
    <t>2回/年</t>
    <rPh sb="3" eb="4">
      <t>ネン</t>
    </rPh>
    <phoneticPr fontId="52"/>
  </si>
  <si>
    <t>自販機に関する営業許可</t>
    <rPh sb="0" eb="3">
      <t>ジハンキ</t>
    </rPh>
    <rPh sb="4" eb="5">
      <t>カン</t>
    </rPh>
    <rPh sb="7" eb="9">
      <t>エイギョウ</t>
    </rPh>
    <rPh sb="9" eb="11">
      <t>キョカ</t>
    </rPh>
    <phoneticPr fontId="52"/>
  </si>
  <si>
    <t>食品衛生法</t>
    <rPh sb="0" eb="2">
      <t>ショクヒン</t>
    </rPh>
    <rPh sb="2" eb="5">
      <t>エイセイホウ</t>
    </rPh>
    <phoneticPr fontId="52"/>
  </si>
  <si>
    <t>1回/5年</t>
    <rPh sb="1" eb="2">
      <t>カイ</t>
    </rPh>
    <rPh sb="4" eb="5">
      <t>ネン</t>
    </rPh>
    <phoneticPr fontId="69"/>
  </si>
  <si>
    <t>旅館業営業許可</t>
    <rPh sb="0" eb="2">
      <t>リョカン</t>
    </rPh>
    <rPh sb="2" eb="3">
      <t>ギョウ</t>
    </rPh>
    <rPh sb="3" eb="5">
      <t>エイギョウ</t>
    </rPh>
    <rPh sb="5" eb="7">
      <t>キョカ</t>
    </rPh>
    <phoneticPr fontId="52"/>
  </si>
  <si>
    <t>旅館業法</t>
    <rPh sb="0" eb="2">
      <t>リョカン</t>
    </rPh>
    <rPh sb="2" eb="4">
      <t>ギョウホウ</t>
    </rPh>
    <phoneticPr fontId="52"/>
  </si>
  <si>
    <t>その他条例</t>
    <rPh sb="2" eb="3">
      <t>タ</t>
    </rPh>
    <rPh sb="3" eb="5">
      <t>ジョウレイ</t>
    </rPh>
    <phoneticPr fontId="7"/>
  </si>
  <si>
    <t>事業系廃棄物減量計画書・処理実績報告書</t>
    <rPh sb="0" eb="2">
      <t>ジギョウ</t>
    </rPh>
    <rPh sb="2" eb="3">
      <t>ケイ</t>
    </rPh>
    <rPh sb="3" eb="6">
      <t>ハイキブツ</t>
    </rPh>
    <rPh sb="6" eb="8">
      <t>ゲンリョウ</t>
    </rPh>
    <rPh sb="8" eb="11">
      <t>ケイカクショ</t>
    </rPh>
    <rPh sb="12" eb="14">
      <t>ショリ</t>
    </rPh>
    <rPh sb="14" eb="16">
      <t>ジッセキ</t>
    </rPh>
    <rPh sb="16" eb="19">
      <t>ホウコクショ</t>
    </rPh>
    <phoneticPr fontId="7"/>
  </si>
  <si>
    <t>札幌市条例</t>
    <rPh sb="0" eb="3">
      <t>サッポロシ</t>
    </rPh>
    <rPh sb="3" eb="5">
      <t>ジョウレイ</t>
    </rPh>
    <phoneticPr fontId="7"/>
  </si>
  <si>
    <t>再利用計画書</t>
    <rPh sb="0" eb="3">
      <t>サイリヨウ</t>
    </rPh>
    <rPh sb="3" eb="5">
      <t>ケイカク</t>
    </rPh>
    <rPh sb="5" eb="6">
      <t>ショ</t>
    </rPh>
    <phoneticPr fontId="7"/>
  </si>
  <si>
    <t>東京都区条例</t>
    <rPh sb="0" eb="3">
      <t>トウキョウト</t>
    </rPh>
    <rPh sb="3" eb="4">
      <t>ク</t>
    </rPh>
    <rPh sb="4" eb="6">
      <t>ジョウレイ</t>
    </rPh>
    <phoneticPr fontId="7"/>
  </si>
  <si>
    <t>SBM</t>
    <phoneticPr fontId="52"/>
  </si>
  <si>
    <t>事業系廃棄物　減量化・資源化等計画書</t>
    <rPh sb="0" eb="2">
      <t>ジギョウ</t>
    </rPh>
    <rPh sb="2" eb="3">
      <t>ケイ</t>
    </rPh>
    <rPh sb="3" eb="6">
      <t>ハイキブツ</t>
    </rPh>
    <rPh sb="7" eb="10">
      <t>ゲンリョウカ</t>
    </rPh>
    <rPh sb="11" eb="14">
      <t>シゲンカ</t>
    </rPh>
    <rPh sb="14" eb="15">
      <t>トウ</t>
    </rPh>
    <rPh sb="15" eb="18">
      <t>ケイカクショ</t>
    </rPh>
    <phoneticPr fontId="52"/>
  </si>
  <si>
    <t>横浜市条例</t>
    <rPh sb="0" eb="3">
      <t>ヨコハマシ</t>
    </rPh>
    <rPh sb="3" eb="5">
      <t>ジョウレイ</t>
    </rPh>
    <phoneticPr fontId="52"/>
  </si>
  <si>
    <t>事業系廃棄物減量計画書</t>
    <phoneticPr fontId="52"/>
  </si>
  <si>
    <t>名古屋市条例</t>
    <rPh sb="0" eb="3">
      <t>ナゴヤ</t>
    </rPh>
    <rPh sb="3" eb="4">
      <t>シ</t>
    </rPh>
    <rPh sb="4" eb="6">
      <t>ジョウレイ</t>
    </rPh>
    <phoneticPr fontId="52"/>
  </si>
  <si>
    <t>１回/年</t>
    <phoneticPr fontId="52"/>
  </si>
  <si>
    <t>事業系一般廃棄物減量計画書</t>
    <rPh sb="0" eb="2">
      <t>ジギョウ</t>
    </rPh>
    <rPh sb="2" eb="3">
      <t>ケイ</t>
    </rPh>
    <rPh sb="3" eb="5">
      <t>イッパン</t>
    </rPh>
    <rPh sb="5" eb="8">
      <t>ハイキブツ</t>
    </rPh>
    <rPh sb="8" eb="10">
      <t>ゲンリョウ</t>
    </rPh>
    <rPh sb="10" eb="13">
      <t>ケイカクショ</t>
    </rPh>
    <phoneticPr fontId="52"/>
  </si>
  <si>
    <t>豊中市条例</t>
    <rPh sb="0" eb="2">
      <t>トヨナカ</t>
    </rPh>
    <rPh sb="2" eb="3">
      <t>シ</t>
    </rPh>
    <rPh sb="3" eb="5">
      <t>ジョウレイ</t>
    </rPh>
    <phoneticPr fontId="52"/>
  </si>
  <si>
    <t>減量推進及び適正処理に関する計画書</t>
    <rPh sb="0" eb="2">
      <t>ゲンリョウ</t>
    </rPh>
    <rPh sb="2" eb="4">
      <t>スイシン</t>
    </rPh>
    <rPh sb="4" eb="5">
      <t>オヨ</t>
    </rPh>
    <rPh sb="6" eb="8">
      <t>テキセイ</t>
    </rPh>
    <rPh sb="8" eb="10">
      <t>ショリ</t>
    </rPh>
    <rPh sb="11" eb="12">
      <t>カン</t>
    </rPh>
    <rPh sb="14" eb="17">
      <t>ケイカクショ</t>
    </rPh>
    <phoneticPr fontId="52"/>
  </si>
  <si>
    <t>大阪市条例</t>
    <rPh sb="0" eb="2">
      <t>オオサカ</t>
    </rPh>
    <rPh sb="2" eb="3">
      <t>シ</t>
    </rPh>
    <rPh sb="3" eb="5">
      <t>ジョウレイ</t>
    </rPh>
    <phoneticPr fontId="52"/>
  </si>
  <si>
    <t>廃棄物減量及び適正処理に関する計画書</t>
    <rPh sb="0" eb="3">
      <t>ハイキブツ</t>
    </rPh>
    <rPh sb="3" eb="5">
      <t>ゲンリョウ</t>
    </rPh>
    <rPh sb="5" eb="6">
      <t>オヨ</t>
    </rPh>
    <rPh sb="7" eb="9">
      <t>テキセイ</t>
    </rPh>
    <rPh sb="9" eb="11">
      <t>ショリ</t>
    </rPh>
    <rPh sb="12" eb="13">
      <t>カン</t>
    </rPh>
    <rPh sb="15" eb="17">
      <t>ケイカク</t>
    </rPh>
    <rPh sb="17" eb="18">
      <t>ショ</t>
    </rPh>
    <phoneticPr fontId="52"/>
  </si>
  <si>
    <t>福岡市条例</t>
    <rPh sb="0" eb="3">
      <t>フクオカシ</t>
    </rPh>
    <rPh sb="3" eb="5">
      <t>ジョウレイ</t>
    </rPh>
    <phoneticPr fontId="52"/>
  </si>
  <si>
    <t>地球温暖化対策計画書</t>
    <rPh sb="0" eb="2">
      <t>チキュウ</t>
    </rPh>
    <rPh sb="2" eb="5">
      <t>オンダンカ</t>
    </rPh>
    <rPh sb="5" eb="7">
      <t>タイサク</t>
    </rPh>
    <rPh sb="7" eb="9">
      <t>ケイカク</t>
    </rPh>
    <rPh sb="9" eb="10">
      <t>ショ</t>
    </rPh>
    <phoneticPr fontId="52"/>
  </si>
  <si>
    <t>※SMTBより提出</t>
    <rPh sb="7" eb="9">
      <t>テイシュツ</t>
    </rPh>
    <phoneticPr fontId="7"/>
  </si>
  <si>
    <t>地球温暖化対策実施状況報告書</t>
    <rPh sb="0" eb="2">
      <t>チキュウ</t>
    </rPh>
    <rPh sb="2" eb="5">
      <t>オンダンカ</t>
    </rPh>
    <rPh sb="5" eb="7">
      <t>タイサク</t>
    </rPh>
    <rPh sb="7" eb="9">
      <t>ジッシ</t>
    </rPh>
    <rPh sb="9" eb="11">
      <t>ジョウキョウ</t>
    </rPh>
    <rPh sb="11" eb="14">
      <t>ホウコクショ</t>
    </rPh>
    <phoneticPr fontId="52"/>
  </si>
  <si>
    <t>特定建築物年間管理計画書</t>
    <rPh sb="0" eb="2">
      <t>トクテイ</t>
    </rPh>
    <rPh sb="4" eb="5">
      <t>ブツ</t>
    </rPh>
    <rPh sb="5" eb="7">
      <t>ネンカン</t>
    </rPh>
    <rPh sb="7" eb="9">
      <t>カンリ</t>
    </rPh>
    <rPh sb="9" eb="12">
      <t>ケイカクショ</t>
    </rPh>
    <phoneticPr fontId="52"/>
  </si>
  <si>
    <t>大気汚染物質排出量調査票</t>
    <phoneticPr fontId="52"/>
  </si>
  <si>
    <t>対策計画書(大阪府温暖化防止条例)</t>
    <rPh sb="0" eb="2">
      <t>タイサク</t>
    </rPh>
    <rPh sb="2" eb="5">
      <t>ケイカクショ</t>
    </rPh>
    <rPh sb="6" eb="9">
      <t>オオサカフ</t>
    </rPh>
    <rPh sb="9" eb="12">
      <t>オンダンカ</t>
    </rPh>
    <rPh sb="12" eb="14">
      <t>ボウシ</t>
    </rPh>
    <rPh sb="14" eb="16">
      <t>ジョウレイ</t>
    </rPh>
    <phoneticPr fontId="52"/>
  </si>
  <si>
    <t>法定</t>
    <rPh sb="0" eb="2">
      <t>ホウテイ</t>
    </rPh>
    <phoneticPr fontId="52"/>
  </si>
  <si>
    <t>大阪府条例</t>
    <rPh sb="0" eb="2">
      <t>オオサカ</t>
    </rPh>
    <rPh sb="2" eb="3">
      <t>フ</t>
    </rPh>
    <rPh sb="3" eb="5">
      <t>ジョウレイ</t>
    </rPh>
    <phoneticPr fontId="52"/>
  </si>
  <si>
    <t>1回/3年</t>
    <rPh sb="1" eb="2">
      <t>カイ</t>
    </rPh>
    <rPh sb="4" eb="5">
      <t>ネン</t>
    </rPh>
    <phoneticPr fontId="52"/>
  </si>
  <si>
    <t>実績報告書(大阪府温暖化防止条例)</t>
    <rPh sb="0" eb="2">
      <t>ジッセキ</t>
    </rPh>
    <rPh sb="2" eb="4">
      <t>ホウコク</t>
    </rPh>
    <rPh sb="4" eb="5">
      <t>ショ</t>
    </rPh>
    <phoneticPr fontId="52"/>
  </si>
  <si>
    <t>大阪府条例</t>
    <phoneticPr fontId="52"/>
  </si>
  <si>
    <t>廃棄物減量等計画書</t>
    <rPh sb="0" eb="3">
      <t>ハイキブツ</t>
    </rPh>
    <rPh sb="3" eb="5">
      <t>ゲンリョウ</t>
    </rPh>
    <rPh sb="5" eb="6">
      <t>ナド</t>
    </rPh>
    <rPh sb="6" eb="9">
      <t>ケイカクショ</t>
    </rPh>
    <phoneticPr fontId="52"/>
  </si>
  <si>
    <t>春日部市条例</t>
    <rPh sb="0" eb="4">
      <t>カスカベシ</t>
    </rPh>
    <rPh sb="4" eb="6">
      <t>ジョウレイ</t>
    </rPh>
    <phoneticPr fontId="52"/>
  </si>
  <si>
    <t>駐車施設等管理報告</t>
    <rPh sb="0" eb="2">
      <t>チュウシャ</t>
    </rPh>
    <rPh sb="2" eb="5">
      <t>シセツナド</t>
    </rPh>
    <rPh sb="5" eb="7">
      <t>カンリ</t>
    </rPh>
    <rPh sb="7" eb="9">
      <t>ホウコク</t>
    </rPh>
    <phoneticPr fontId="52"/>
  </si>
  <si>
    <t>中央区付置義務駐車施設整備要綱</t>
    <rPh sb="0" eb="3">
      <t>チュウオウク</t>
    </rPh>
    <rPh sb="3" eb="5">
      <t>フチ</t>
    </rPh>
    <rPh sb="5" eb="7">
      <t>ギム</t>
    </rPh>
    <rPh sb="7" eb="9">
      <t>チュウシャ</t>
    </rPh>
    <rPh sb="9" eb="11">
      <t>シセツ</t>
    </rPh>
    <rPh sb="11" eb="13">
      <t>セイビ</t>
    </rPh>
    <rPh sb="13" eb="15">
      <t>ヨウコウ</t>
    </rPh>
    <phoneticPr fontId="52"/>
  </si>
  <si>
    <t>SC統一基準</t>
    <rPh sb="2" eb="4">
      <t>トウイツ</t>
    </rPh>
    <rPh sb="4" eb="6">
      <t>キジュン</t>
    </rPh>
    <phoneticPr fontId="7"/>
  </si>
  <si>
    <t>電気主任技術者選任</t>
    <rPh sb="0" eb="2">
      <t>デンキ</t>
    </rPh>
    <rPh sb="2" eb="4">
      <t>シュニン</t>
    </rPh>
    <rPh sb="4" eb="7">
      <t>ギジュツシャ</t>
    </rPh>
    <rPh sb="7" eb="9">
      <t>センニン</t>
    </rPh>
    <phoneticPr fontId="52"/>
  </si>
  <si>
    <t>SBM管理基準
1回/年（チェック）</t>
    <phoneticPr fontId="52"/>
  </si>
  <si>
    <t>1回/年（チェック）</t>
    <rPh sb="1" eb="2">
      <t>カイ</t>
    </rPh>
    <phoneticPr fontId="52"/>
  </si>
  <si>
    <t>SBM管理基準</t>
    <rPh sb="3" eb="5">
      <t>カンリ</t>
    </rPh>
    <rPh sb="5" eb="7">
      <t>キジュン</t>
    </rPh>
    <phoneticPr fontId="52"/>
  </si>
  <si>
    <t>建築物環境衛生管理技術者選任</t>
    <rPh sb="0" eb="3">
      <t>ケンチクブツ</t>
    </rPh>
    <rPh sb="3" eb="5">
      <t>カンキョウ</t>
    </rPh>
    <rPh sb="5" eb="7">
      <t>エイセイ</t>
    </rPh>
    <rPh sb="7" eb="9">
      <t>カンリ</t>
    </rPh>
    <rPh sb="9" eb="12">
      <t>ギジュツシャ</t>
    </rPh>
    <rPh sb="12" eb="14">
      <t>センニン</t>
    </rPh>
    <phoneticPr fontId="52"/>
  </si>
  <si>
    <t>1回/年（チェック）</t>
    <phoneticPr fontId="52"/>
  </si>
  <si>
    <t>共同防火・防災管理協議会開催</t>
    <rPh sb="0" eb="2">
      <t>キョウドウ</t>
    </rPh>
    <rPh sb="2" eb="4">
      <t>ボウカ</t>
    </rPh>
    <rPh sb="5" eb="7">
      <t>ボウサイ</t>
    </rPh>
    <rPh sb="7" eb="9">
      <t>カンリ</t>
    </rPh>
    <rPh sb="9" eb="12">
      <t>キョウギカイ</t>
    </rPh>
    <rPh sb="12" eb="14">
      <t>カイサイ</t>
    </rPh>
    <phoneticPr fontId="7"/>
  </si>
  <si>
    <t>SBM管理基準
1回/年</t>
    <phoneticPr fontId="52"/>
  </si>
  <si>
    <t>統括防火・防災管理者選任</t>
    <rPh sb="0" eb="2">
      <t>トウカツ</t>
    </rPh>
    <rPh sb="2" eb="4">
      <t>ボウカ</t>
    </rPh>
    <rPh sb="5" eb="7">
      <t>ボウサイ</t>
    </rPh>
    <rPh sb="7" eb="9">
      <t>カンリ</t>
    </rPh>
    <rPh sb="9" eb="10">
      <t>シャ</t>
    </rPh>
    <rPh sb="10" eb="12">
      <t>センニン</t>
    </rPh>
    <phoneticPr fontId="52"/>
  </si>
  <si>
    <t>防火・防災管理者選任</t>
    <rPh sb="0" eb="2">
      <t>ボウカ</t>
    </rPh>
    <rPh sb="3" eb="5">
      <t>ボウサイ</t>
    </rPh>
    <rPh sb="5" eb="7">
      <t>カンリ</t>
    </rPh>
    <rPh sb="7" eb="8">
      <t>シャ</t>
    </rPh>
    <rPh sb="8" eb="10">
      <t>センニン</t>
    </rPh>
    <phoneticPr fontId="52"/>
  </si>
  <si>
    <t>防火管理技能者選任</t>
    <rPh sb="0" eb="2">
      <t>ボウカ</t>
    </rPh>
    <rPh sb="2" eb="4">
      <t>カンリ</t>
    </rPh>
    <rPh sb="4" eb="7">
      <t>ギノウシャ</t>
    </rPh>
    <rPh sb="7" eb="9">
      <t>センニン</t>
    </rPh>
    <phoneticPr fontId="52"/>
  </si>
  <si>
    <t>自衛消防活動中核要員選任</t>
    <rPh sb="0" eb="2">
      <t>ジエイ</t>
    </rPh>
    <rPh sb="2" eb="4">
      <t>ショウボウ</t>
    </rPh>
    <rPh sb="4" eb="6">
      <t>カツドウ</t>
    </rPh>
    <rPh sb="6" eb="8">
      <t>チュウカク</t>
    </rPh>
    <rPh sb="8" eb="10">
      <t>ヨウイン</t>
    </rPh>
    <rPh sb="10" eb="12">
      <t>センニン</t>
    </rPh>
    <phoneticPr fontId="52"/>
  </si>
  <si>
    <t>統括管理者選任</t>
    <rPh sb="0" eb="2">
      <t>トウカツ</t>
    </rPh>
    <rPh sb="2" eb="5">
      <t>カンリシャ</t>
    </rPh>
    <rPh sb="5" eb="7">
      <t>センニン</t>
    </rPh>
    <phoneticPr fontId="52"/>
  </si>
  <si>
    <t>ボイラー取扱責任者選任</t>
    <rPh sb="4" eb="5">
      <t>ト</t>
    </rPh>
    <rPh sb="5" eb="6">
      <t>アツカ</t>
    </rPh>
    <rPh sb="6" eb="9">
      <t>セキニンシャ</t>
    </rPh>
    <rPh sb="9" eb="11">
      <t>センニン</t>
    </rPh>
    <phoneticPr fontId="52"/>
  </si>
  <si>
    <t>ボイラー及び
圧力容器安全規則</t>
    <phoneticPr fontId="52"/>
  </si>
  <si>
    <t>SBM （①都市環境ENG②日本通運③日本貨物鉄道）</t>
    <phoneticPr fontId="7"/>
  </si>
  <si>
    <t>①2028/6/28（産廃）、2022/6/30（一般）　②2024/5/31(東京)、2023/9/13(北海道)　③2025/10/11(東京)、 2023/12/12(北海道)</t>
    <rPh sb="40" eb="42">
      <t>トウキョウ</t>
    </rPh>
    <rPh sb="54" eb="57">
      <t>ホッカイドウ</t>
    </rPh>
    <rPh sb="71" eb="73">
      <t>トウキョウ</t>
    </rPh>
    <rPh sb="87" eb="90">
      <t>ホッカイドウ</t>
    </rPh>
    <phoneticPr fontId="7"/>
  </si>
  <si>
    <t>有</t>
    <phoneticPr fontId="52"/>
  </si>
  <si>
    <t>SBM （①都市環境ENG②有明興業
③野村興産④日盛運輸
⑤市川環境ENG⑥ワイエムエコフューチャー）</t>
    <rPh sb="6" eb="8">
      <t>トシ</t>
    </rPh>
    <rPh sb="8" eb="10">
      <t>カンキョウ</t>
    </rPh>
    <rPh sb="14" eb="16">
      <t>アリアケ</t>
    </rPh>
    <rPh sb="16" eb="18">
      <t>コウギョウ</t>
    </rPh>
    <rPh sb="20" eb="22">
      <t>ノムラ</t>
    </rPh>
    <rPh sb="22" eb="24">
      <t>コウサン</t>
    </rPh>
    <rPh sb="25" eb="27">
      <t>ニッセイ</t>
    </rPh>
    <rPh sb="27" eb="29">
      <t>ウンユ</t>
    </rPh>
    <phoneticPr fontId="7"/>
  </si>
  <si>
    <t>①2022/2/2 ②2023/10/27 ③2027/8/4 ④2024/3/22 ⑤2022/4/9　⑥2022/2/27</t>
    <phoneticPr fontId="7"/>
  </si>
  <si>
    <t>〃　　　　　 最終処分場</t>
    <rPh sb="7" eb="9">
      <t>サイシュウ</t>
    </rPh>
    <rPh sb="9" eb="12">
      <t>ショブンジョウ</t>
    </rPh>
    <phoneticPr fontId="7"/>
  </si>
  <si>
    <t>エネルギー管理者(員)選任</t>
    <rPh sb="5" eb="8">
      <t>カンリシャ</t>
    </rPh>
    <rPh sb="9" eb="10">
      <t>イン</t>
    </rPh>
    <rPh sb="11" eb="13">
      <t>センニン</t>
    </rPh>
    <phoneticPr fontId="52"/>
  </si>
  <si>
    <t>ゴンドラワイヤーロープ交換</t>
    <rPh sb="11" eb="13">
      <t>コウカン</t>
    </rPh>
    <phoneticPr fontId="44"/>
  </si>
  <si>
    <t>SC統一基準
1回/2年</t>
    <phoneticPr fontId="52"/>
  </si>
  <si>
    <t>アスベスト目視点検</t>
    <rPh sb="5" eb="7">
      <t>モクシ</t>
    </rPh>
    <rPh sb="7" eb="9">
      <t>テンケン</t>
    </rPh>
    <phoneticPr fontId="7"/>
  </si>
  <si>
    <t>SBM管理基準
1回/月、2回/年、
1回/年</t>
    <phoneticPr fontId="52"/>
  </si>
  <si>
    <t>労働安全衛生法</t>
    <rPh sb="0" eb="2">
      <t>ロウドウ</t>
    </rPh>
    <rPh sb="2" eb="4">
      <t>アンゼン</t>
    </rPh>
    <rPh sb="4" eb="7">
      <t>エイセイホウ</t>
    </rPh>
    <phoneticPr fontId="52"/>
  </si>
  <si>
    <t>アスベスト環境測定</t>
    <rPh sb="5" eb="7">
      <t>カンキョウ</t>
    </rPh>
    <rPh sb="7" eb="9">
      <t>ソクテイ</t>
    </rPh>
    <phoneticPr fontId="7"/>
  </si>
  <si>
    <t>特別管理産業廃棄物管理責任者選任</t>
    <rPh sb="0" eb="2">
      <t>トクベツ</t>
    </rPh>
    <rPh sb="2" eb="4">
      <t>カンリ</t>
    </rPh>
    <rPh sb="4" eb="6">
      <t>サンギョウ</t>
    </rPh>
    <rPh sb="6" eb="9">
      <t>ハイキブツ</t>
    </rPh>
    <rPh sb="9" eb="11">
      <t>カンリ</t>
    </rPh>
    <rPh sb="11" eb="14">
      <t>セキニンシャ</t>
    </rPh>
    <rPh sb="14" eb="16">
      <t>センニン</t>
    </rPh>
    <phoneticPr fontId="52"/>
  </si>
  <si>
    <t>条例</t>
    <rPh sb="0" eb="2">
      <t>ジョウレイ</t>
    </rPh>
    <phoneticPr fontId="7"/>
  </si>
  <si>
    <t>廃棄物管理責任者選任</t>
    <rPh sb="0" eb="2">
      <t>ハイキ</t>
    </rPh>
    <rPh sb="2" eb="3">
      <t>ブツ</t>
    </rPh>
    <rPh sb="3" eb="5">
      <t>カンリ</t>
    </rPh>
    <rPh sb="5" eb="7">
      <t>セキニン</t>
    </rPh>
    <rPh sb="7" eb="8">
      <t>シャ</t>
    </rPh>
    <rPh sb="8" eb="10">
      <t>センニン</t>
    </rPh>
    <phoneticPr fontId="52"/>
  </si>
  <si>
    <t>③定期管理業務スケジュール（法定以外）</t>
    <rPh sb="1" eb="3">
      <t>テイキ</t>
    </rPh>
    <rPh sb="3" eb="5">
      <t>カンリ</t>
    </rPh>
    <rPh sb="5" eb="7">
      <t>ギョウム</t>
    </rPh>
    <rPh sb="14" eb="18">
      <t>ホウテイイガイ</t>
    </rPh>
    <phoneticPr fontId="7"/>
  </si>
  <si>
    <t>建築</t>
    <phoneticPr fontId="7"/>
  </si>
  <si>
    <t>衛生</t>
    <rPh sb="0" eb="2">
      <t>エイセイ</t>
    </rPh>
    <phoneticPr fontId="52"/>
  </si>
  <si>
    <t>SCB(オールマイティー)</t>
    <phoneticPr fontId="7"/>
  </si>
  <si>
    <t>共用部定期清掃</t>
    <phoneticPr fontId="7"/>
  </si>
  <si>
    <t>18</t>
  </si>
  <si>
    <t>19</t>
  </si>
  <si>
    <t>20</t>
  </si>
  <si>
    <t>21</t>
  </si>
  <si>
    <t>22</t>
  </si>
  <si>
    <t>23</t>
  </si>
  <si>
    <t>24</t>
  </si>
  <si>
    <t>25</t>
  </si>
  <si>
    <t>26</t>
  </si>
  <si>
    <t>27</t>
  </si>
  <si>
    <t>28</t>
  </si>
  <si>
    <t>害虫防除点検</t>
    <rPh sb="0" eb="4">
      <t>ガイチュウボウジョ</t>
    </rPh>
    <rPh sb="4" eb="6">
      <t>テンケン</t>
    </rPh>
    <phoneticPr fontId="7"/>
  </si>
  <si>
    <t>植栽管理</t>
    <rPh sb="0" eb="2">
      <t>ショクサイ</t>
    </rPh>
    <rPh sb="2" eb="4">
      <t>カンリ</t>
    </rPh>
    <phoneticPr fontId="7"/>
  </si>
  <si>
    <t>SCB(アゴラ造園)</t>
    <rPh sb="7" eb="9">
      <t>ゾウエン</t>
    </rPh>
    <phoneticPr fontId="7"/>
  </si>
  <si>
    <t>ITV・管理室機器外観点検</t>
    <phoneticPr fontId="7"/>
  </si>
  <si>
    <t>◯</t>
    <phoneticPr fontId="7"/>
  </si>
  <si>
    <t>SCB(シー・アイ・シー)</t>
    <phoneticPr fontId="7"/>
  </si>
  <si>
    <t>電気設備</t>
    <rPh sb="0" eb="2">
      <t>デンキ</t>
    </rPh>
    <rPh sb="2" eb="4">
      <t>セツビ</t>
    </rPh>
    <phoneticPr fontId="7"/>
  </si>
  <si>
    <t>日</t>
    <rPh sb="0" eb="1">
      <t>ニチ</t>
    </rPh>
    <phoneticPr fontId="7"/>
  </si>
  <si>
    <t>SCB(アゴラ造園)…植栽管理</t>
    <phoneticPr fontId="7"/>
  </si>
  <si>
    <t>CSPより紀尾井町周辺の地域で瞬時電圧低下発生と連絡有り</t>
    <rPh sb="24" eb="26">
      <t>レンラク</t>
    </rPh>
    <rPh sb="26" eb="27">
      <t>ア</t>
    </rPh>
    <phoneticPr fontId="7"/>
  </si>
  <si>
    <t>※1</t>
    <phoneticPr fontId="7"/>
  </si>
  <si>
    <t>済</t>
    <rPh sb="0" eb="1">
      <t>ズミ</t>
    </rPh>
    <phoneticPr fontId="7"/>
  </si>
  <si>
    <t>ルーフドレン点検及び清掃</t>
    <phoneticPr fontId="7"/>
  </si>
  <si>
    <t>8F(ひふみ総合法律事務所)のメールBOX鍵カバー破損対応</t>
    <phoneticPr fontId="7"/>
  </si>
  <si>
    <t>接着剤にて補修</t>
    <rPh sb="0" eb="3">
      <t>セッチャクザイ</t>
    </rPh>
    <rPh sb="5" eb="7">
      <t>ホシュウ</t>
    </rPh>
    <phoneticPr fontId="7"/>
  </si>
  <si>
    <t>空調機・全熱交換器点検・脱臭装置点検</t>
    <rPh sb="12" eb="16">
      <t>ダッシュウソウチ</t>
    </rPh>
    <rPh sb="16" eb="18">
      <t>テンケン</t>
    </rPh>
    <phoneticPr fontId="7"/>
  </si>
  <si>
    <t>加湿器点検・メーター有効期限確認及び読み合せ</t>
    <rPh sb="0" eb="3">
      <t>カシツキ</t>
    </rPh>
    <rPh sb="3" eb="5">
      <t>テンケン</t>
    </rPh>
    <rPh sb="10" eb="14">
      <t>ユウコウキゲン</t>
    </rPh>
    <rPh sb="14" eb="16">
      <t>カクニン</t>
    </rPh>
    <rPh sb="16" eb="17">
      <t>オヨ</t>
    </rPh>
    <rPh sb="18" eb="19">
      <t>ヨ</t>
    </rPh>
    <rPh sb="20" eb="21">
      <t>アワ</t>
    </rPh>
    <phoneticPr fontId="7"/>
  </si>
  <si>
    <t>アットアロマ…アロマディフューザー保守点検</t>
    <rPh sb="17" eb="19">
      <t>ホシュ</t>
    </rPh>
    <rPh sb="19" eb="21">
      <t>テンケン</t>
    </rPh>
    <phoneticPr fontId="7"/>
  </si>
  <si>
    <t>SCB(ビューローベリタスジャパン)…建築・防火設備定期検査</t>
    <rPh sb="18" eb="20">
      <t>ケンチク</t>
    </rPh>
    <rPh sb="21" eb="25">
      <t>ボウカセツビ</t>
    </rPh>
    <rPh sb="25" eb="29">
      <t>テイキケンサ</t>
    </rPh>
    <phoneticPr fontId="7"/>
  </si>
  <si>
    <t>直結増圧ポンプ・ポンプ制御盤点検</t>
    <phoneticPr fontId="7"/>
  </si>
  <si>
    <t>非常用発電機点検(燃料タンク含む)</t>
    <phoneticPr fontId="7"/>
  </si>
  <si>
    <t>.SCB(シー・アイ・シー)…害虫防除点検</t>
    <phoneticPr fontId="7"/>
  </si>
  <si>
    <t>湧水・排水槽・ポンプ制御盤点検</t>
    <rPh sb="0" eb="1">
      <t>ユウスイ</t>
    </rPh>
    <rPh sb="2" eb="4">
      <t>ハイスイ</t>
    </rPh>
    <rPh sb="4" eb="5">
      <t>ソウ</t>
    </rPh>
    <rPh sb="9" eb="12">
      <t>セイギョバン</t>
    </rPh>
    <rPh sb="12" eb="14">
      <t>テンケン</t>
    </rPh>
    <phoneticPr fontId="7"/>
  </si>
  <si>
    <t>SCB…共用部定期清掃</t>
    <phoneticPr fontId="7"/>
  </si>
  <si>
    <t>SCB…空気環境測定</t>
    <rPh sb="3" eb="7">
      <t>クウキカンキョウ</t>
    </rPh>
    <rPh sb="7" eb="9">
      <t>ソクテイ</t>
    </rPh>
    <phoneticPr fontId="7"/>
  </si>
  <si>
    <t>1階及びEVホール・トイレ・喫煙所・庭園・駐車場・外周・ゴミ置き場・ 共用部清掃</t>
    <rPh sb="1" eb="2">
      <t>カイ</t>
    </rPh>
    <rPh sb="2" eb="3">
      <t>オヨ</t>
    </rPh>
    <rPh sb="14" eb="17">
      <t>キツエンジョ</t>
    </rPh>
    <rPh sb="18" eb="20">
      <t>テイエン</t>
    </rPh>
    <rPh sb="21" eb="24">
      <t>チュウシャジョウ</t>
    </rPh>
    <rPh sb="25" eb="27">
      <t>ガイシュウ</t>
    </rPh>
    <rPh sb="30" eb="31">
      <t>オ</t>
    </rPh>
    <rPh sb="32" eb="33">
      <t>バ</t>
    </rPh>
    <rPh sb="35" eb="37">
      <t>キョウヨウ</t>
    </rPh>
    <rPh sb="37" eb="38">
      <t>ブ</t>
    </rPh>
    <rPh sb="38" eb="40">
      <t>セイソウ</t>
    </rPh>
    <phoneticPr fontId="7"/>
  </si>
  <si>
    <t>専用部清掃</t>
    <rPh sb="0" eb="2">
      <t>センヨウ</t>
    </rPh>
    <rPh sb="2" eb="3">
      <t>ブ</t>
    </rPh>
    <rPh sb="3" eb="5">
      <t>セイソウ</t>
    </rPh>
    <phoneticPr fontId="7"/>
  </si>
  <si>
    <t>○</t>
    <phoneticPr fontId="7"/>
  </si>
  <si>
    <t>金</t>
    <rPh sb="0" eb="1">
      <t>キン</t>
    </rPh>
    <phoneticPr fontId="7"/>
  </si>
  <si>
    <t>土</t>
    <rPh sb="0" eb="1">
      <t>ツチ</t>
    </rPh>
    <phoneticPr fontId="7"/>
  </si>
  <si>
    <t>月</t>
    <rPh sb="0" eb="1">
      <t>ゲツ</t>
    </rPh>
    <phoneticPr fontId="7"/>
  </si>
  <si>
    <t>空調機・全熱交換器点検・脱臭装置点検</t>
    <rPh sb="12" eb="14">
      <t>ダッシュウ</t>
    </rPh>
    <rPh sb="14" eb="16">
      <t>ソウチ</t>
    </rPh>
    <rPh sb="16" eb="18">
      <t>テンケン</t>
    </rPh>
    <phoneticPr fontId="7"/>
  </si>
  <si>
    <t>加湿準備・加湿給水ポンプ点検、メーター有効期限確認及び読み合せ</t>
    <rPh sb="19" eb="23">
      <t>ユウコウキゲン</t>
    </rPh>
    <rPh sb="23" eb="25">
      <t>カクニン</t>
    </rPh>
    <rPh sb="25" eb="26">
      <t>オヨ</t>
    </rPh>
    <rPh sb="27" eb="28">
      <t>ヨ</t>
    </rPh>
    <rPh sb="29" eb="30">
      <t>アワ</t>
    </rPh>
    <phoneticPr fontId="7"/>
  </si>
  <si>
    <t>非常用発電機点検</t>
    <phoneticPr fontId="7"/>
  </si>
  <si>
    <t>湧水槽・排水槽点検・各ポンプ点検</t>
    <rPh sb="0" eb="2">
      <t>ユウスイソウ</t>
    </rPh>
    <rPh sb="3" eb="6">
      <t>ハイスイソウ</t>
    </rPh>
    <rPh sb="6" eb="8">
      <t>テンケン</t>
    </rPh>
    <rPh sb="10" eb="11">
      <t>カク</t>
    </rPh>
    <rPh sb="14" eb="16">
      <t>テンケン</t>
    </rPh>
    <phoneticPr fontId="7"/>
  </si>
  <si>
    <t>x</t>
    <phoneticPr fontId="7"/>
  </si>
  <si>
    <t>検針、遠隔装置点検、管理室たこ足配線、ほこり確認（秋季全国火災予防運動）</t>
    <rPh sb="0" eb="1">
      <t>ケンシン</t>
    </rPh>
    <rPh sb="3" eb="5">
      <t>エンカク</t>
    </rPh>
    <rPh sb="5" eb="7">
      <t>ソウチ</t>
    </rPh>
    <rPh sb="7" eb="9">
      <t>テンケン</t>
    </rPh>
    <phoneticPr fontId="7"/>
  </si>
  <si>
    <t>良</t>
  </si>
  <si>
    <t>検針・ITV・管理室機器外観点検　</t>
    <phoneticPr fontId="7"/>
  </si>
  <si>
    <r>
      <rPr>
        <sz val="10"/>
        <rFont val="ＭＳ Ｐゴシック"/>
        <family val="3"/>
        <charset val="128"/>
      </rPr>
      <t xml:space="preserve">備考
無し
</t>
    </r>
    <r>
      <rPr>
        <sz val="11"/>
        <rFont val="ＭＳ Ｐゴシック"/>
        <family val="3"/>
        <charset val="128"/>
      </rPr>
      <t xml:space="preserve">
</t>
    </r>
    <rPh sb="0" eb="2">
      <t>ビコウ</t>
    </rPh>
    <rPh sb="3" eb="4">
      <t>ナ</t>
    </rPh>
    <phoneticPr fontId="7"/>
  </si>
  <si>
    <t>無し</t>
    <rPh sb="0" eb="1">
      <t>ナ</t>
    </rPh>
    <phoneticPr fontId="7"/>
  </si>
  <si>
    <t>設定機器無し</t>
    <rPh sb="0" eb="2">
      <t>セッテイ</t>
    </rPh>
    <rPh sb="2" eb="4">
      <t>キキ</t>
    </rPh>
    <rPh sb="4" eb="5">
      <t>ナ</t>
    </rPh>
    <phoneticPr fontId="7"/>
  </si>
  <si>
    <t>共用部定期清掃</t>
    <rPh sb="0" eb="3">
      <t>キョウヨウブ</t>
    </rPh>
    <rPh sb="3" eb="5">
      <t>テイキ</t>
    </rPh>
    <rPh sb="5" eb="7">
      <t>セイソウ</t>
    </rPh>
    <phoneticPr fontId="7"/>
  </si>
  <si>
    <t>良</t>
    <phoneticPr fontId="7"/>
  </si>
  <si>
    <t>検針、遠隔監視装置点検</t>
    <rPh sb="0" eb="1">
      <t>ケンシン</t>
    </rPh>
    <rPh sb="3" eb="5">
      <t>エンカク</t>
    </rPh>
    <rPh sb="5" eb="7">
      <t>カンシ</t>
    </rPh>
    <rPh sb="7" eb="9">
      <t>ソウチ</t>
    </rPh>
    <rPh sb="9" eb="11">
      <t>テンケン</t>
    </rPh>
    <phoneticPr fontId="7"/>
  </si>
  <si>
    <t>ITV設備点検、管理室機器外観点検</t>
    <rPh sb="8" eb="11">
      <t>カンリシツ</t>
    </rPh>
    <rPh sb="11" eb="15">
      <t>キキガイカン</t>
    </rPh>
    <rPh sb="15" eb="17">
      <t>テンケン</t>
    </rPh>
    <phoneticPr fontId="7"/>
  </si>
  <si>
    <t>良</t>
    <rPh sb="0" eb="1">
      <t>イ</t>
    </rPh>
    <phoneticPr fontId="7"/>
  </si>
  <si>
    <t>《　4　月　度　所　見　》</t>
    <rPh sb="4" eb="5">
      <t>ガツ</t>
    </rPh>
    <rPh sb="6" eb="7">
      <t>タビ</t>
    </rPh>
    <rPh sb="8" eb="9">
      <t>ショ</t>
    </rPh>
    <rPh sb="10" eb="11">
      <t>ケン</t>
    </rPh>
    <phoneticPr fontId="7"/>
  </si>
  <si>
    <t xml:space="preserve">サクラエクスチェンジビットコイン </t>
    <phoneticPr fontId="7"/>
  </si>
  <si>
    <t>光回線工事に伴う現場調査立会い</t>
    <rPh sb="0" eb="1">
      <t>ヒカリ</t>
    </rPh>
    <rPh sb="1" eb="3">
      <t>カイセン</t>
    </rPh>
    <rPh sb="3" eb="5">
      <t>コウジ</t>
    </rPh>
    <rPh sb="6" eb="7">
      <t>トモナ</t>
    </rPh>
    <rPh sb="8" eb="10">
      <t>ゲンバ</t>
    </rPh>
    <rPh sb="10" eb="12">
      <t>チョウサ</t>
    </rPh>
    <rPh sb="12" eb="14">
      <t>タチア</t>
    </rPh>
    <phoneticPr fontId="7"/>
  </si>
  <si>
    <t>電気設備</t>
    <rPh sb="0" eb="2">
      <t>デンキ</t>
    </rPh>
    <rPh sb="2" eb="4">
      <t>セツビ</t>
    </rPh>
    <phoneticPr fontId="7"/>
  </si>
  <si>
    <t>直結増圧ポンプ・ポンプ制御盤点検</t>
    <phoneticPr fontId="7"/>
  </si>
  <si>
    <t>良</t>
    <rPh sb="0" eb="1">
      <t>イ</t>
    </rPh>
    <phoneticPr fontId="7"/>
  </si>
  <si>
    <t>グローバルエックスジャパン</t>
    <phoneticPr fontId="7"/>
  </si>
  <si>
    <t>11F光回線撤去に伴う鍵対応</t>
    <rPh sb="3" eb="4">
      <t>ヒカリ</t>
    </rPh>
    <rPh sb="4" eb="6">
      <t>カイセン</t>
    </rPh>
    <rPh sb="6" eb="8">
      <t>テッキョ</t>
    </rPh>
    <rPh sb="9" eb="10">
      <t>トモナ</t>
    </rPh>
    <rPh sb="11" eb="14">
      <t>カギタイオウ</t>
    </rPh>
    <phoneticPr fontId="7"/>
  </si>
  <si>
    <t>ミライトワン</t>
    <phoneticPr fontId="7"/>
  </si>
  <si>
    <t>11F通信線撤去に伴う鍵対応</t>
    <rPh sb="3" eb="5">
      <t>ツウシン</t>
    </rPh>
    <rPh sb="5" eb="6">
      <t>セン</t>
    </rPh>
    <rPh sb="6" eb="8">
      <t>テッキョ</t>
    </rPh>
    <rPh sb="9" eb="10">
      <t>トモナ</t>
    </rPh>
    <rPh sb="11" eb="14">
      <t>カギタイオウ</t>
    </rPh>
    <phoneticPr fontId="7"/>
  </si>
  <si>
    <t>電気設備月次点検</t>
    <rPh sb="0" eb="2">
      <t>デンキ</t>
    </rPh>
    <rPh sb="2" eb="4">
      <t>セツビ</t>
    </rPh>
    <rPh sb="4" eb="8">
      <t>ゲツジテンケン</t>
    </rPh>
    <phoneticPr fontId="7"/>
  </si>
  <si>
    <t>関東電気保安協会</t>
    <rPh sb="0" eb="8">
      <t>カントウデンキホアンキョウカイ</t>
    </rPh>
    <phoneticPr fontId="7"/>
  </si>
  <si>
    <t>電気設備月次点検立会い</t>
    <rPh sb="0" eb="2">
      <t>デンキ</t>
    </rPh>
    <rPh sb="2" eb="4">
      <t>セツビ</t>
    </rPh>
    <rPh sb="4" eb="8">
      <t>ゲツジテンケン</t>
    </rPh>
    <rPh sb="8" eb="10">
      <t>タチア</t>
    </rPh>
    <phoneticPr fontId="7"/>
  </si>
  <si>
    <t>SCB</t>
    <phoneticPr fontId="7"/>
  </si>
  <si>
    <t>湧水・排水槽・ポンプ制御盤点検</t>
    <phoneticPr fontId="7"/>
  </si>
  <si>
    <t>非常用発電機点検、自動扉点検</t>
    <rPh sb="9" eb="12">
      <t>ジドウトビラ</t>
    </rPh>
    <rPh sb="12" eb="14">
      <t>テンケン</t>
    </rPh>
    <phoneticPr fontId="7"/>
  </si>
  <si>
    <t>建築設備</t>
    <rPh sb="0" eb="2">
      <t>ケンチク</t>
    </rPh>
    <rPh sb="2" eb="4">
      <t>セツビ</t>
    </rPh>
    <phoneticPr fontId="7"/>
  </si>
  <si>
    <t>機械式駐車装置定期点検</t>
    <rPh sb="0" eb="5">
      <t>キカイシキチュウシャ</t>
    </rPh>
    <rPh sb="5" eb="7">
      <t>ソウチ</t>
    </rPh>
    <rPh sb="7" eb="9">
      <t>テイキ</t>
    </rPh>
    <rPh sb="9" eb="11">
      <t>テンケン</t>
    </rPh>
    <phoneticPr fontId="7"/>
  </si>
  <si>
    <t>SCB(IHI運搬機械)</t>
    <rPh sb="7" eb="9">
      <t>ウンパン</t>
    </rPh>
    <rPh sb="9" eb="11">
      <t>キカイ</t>
    </rPh>
    <phoneticPr fontId="7"/>
  </si>
  <si>
    <t>6F入居検針及びビル所有者共用部視察立会い</t>
    <rPh sb="2" eb="4">
      <t>ニュウキョ</t>
    </rPh>
    <rPh sb="4" eb="6">
      <t>ケンシン</t>
    </rPh>
    <rPh sb="6" eb="7">
      <t>オヨ</t>
    </rPh>
    <rPh sb="10" eb="13">
      <t>ショユウシャ</t>
    </rPh>
    <rPh sb="13" eb="16">
      <t>キョウヨウブ</t>
    </rPh>
    <rPh sb="16" eb="18">
      <t>シサツ</t>
    </rPh>
    <rPh sb="18" eb="20">
      <t>タチア</t>
    </rPh>
    <phoneticPr fontId="7"/>
  </si>
  <si>
    <t>サクラエクスチェンジビットコイン</t>
    <phoneticPr fontId="7"/>
  </si>
  <si>
    <t>光回線敷設工事に伴う鍵対応</t>
    <rPh sb="0" eb="1">
      <t>ヒカリ</t>
    </rPh>
    <rPh sb="1" eb="3">
      <t>カイセン</t>
    </rPh>
    <rPh sb="3" eb="5">
      <t>フセツ</t>
    </rPh>
    <rPh sb="5" eb="7">
      <t>コウジ</t>
    </rPh>
    <rPh sb="8" eb="9">
      <t>トモナ</t>
    </rPh>
    <rPh sb="10" eb="13">
      <t>カギタイオウ</t>
    </rPh>
    <phoneticPr fontId="7"/>
  </si>
  <si>
    <t>RF加湿給水タンク満水警報発報</t>
    <phoneticPr fontId="7"/>
  </si>
  <si>
    <t>衛生設備</t>
    <rPh sb="0" eb="2">
      <t>エイセイ</t>
    </rPh>
    <rPh sb="2" eb="4">
      <t>セツビ</t>
    </rPh>
    <phoneticPr fontId="7"/>
  </si>
  <si>
    <t>確認時異常なし</t>
    <rPh sb="0" eb="3">
      <t>カクニンジ</t>
    </rPh>
    <rPh sb="3" eb="5">
      <t>イジョウ</t>
    </rPh>
    <phoneticPr fontId="7"/>
  </si>
  <si>
    <t>済</t>
    <rPh sb="0" eb="1">
      <t>ズミ</t>
    </rPh>
    <phoneticPr fontId="7"/>
  </si>
  <si>
    <t>空調機・全熱交換器点検、加湿器停止、メーター有効期限確認</t>
    <rPh sb="15" eb="17">
      <t>テイシ</t>
    </rPh>
    <rPh sb="22" eb="26">
      <t>ユウコウキゲン</t>
    </rPh>
    <rPh sb="26" eb="28">
      <t>カクニン</t>
    </rPh>
    <phoneticPr fontId="7"/>
  </si>
  <si>
    <t>空調設備</t>
    <rPh sb="0" eb="2">
      <t>クウチョウ</t>
    </rPh>
    <rPh sb="2" eb="4">
      <t>セツビ</t>
    </rPh>
    <phoneticPr fontId="7"/>
  </si>
  <si>
    <t>空調機フィルター清掃</t>
    <rPh sb="0" eb="3">
      <t>クウチョウキ</t>
    </rPh>
    <rPh sb="8" eb="10">
      <t>セイソウ</t>
    </rPh>
    <phoneticPr fontId="7"/>
  </si>
  <si>
    <t>SCB(鹿島建物総合管理)</t>
    <rPh sb="4" eb="8">
      <t>カジマタテモノ</t>
    </rPh>
    <rPh sb="8" eb="10">
      <t>ソウゴウ</t>
    </rPh>
    <rPh sb="10" eb="12">
      <t>カンリ</t>
    </rPh>
    <phoneticPr fontId="7"/>
  </si>
  <si>
    <t>ワーク</t>
    <phoneticPr fontId="7"/>
  </si>
  <si>
    <t>8Fレイアウト変更に伴う鍵対応</t>
    <rPh sb="7" eb="9">
      <t>ヘンコウ</t>
    </rPh>
    <rPh sb="10" eb="11">
      <t>トモナ</t>
    </rPh>
    <rPh sb="12" eb="15">
      <t>カギタイオウ</t>
    </rPh>
    <phoneticPr fontId="7"/>
  </si>
  <si>
    <t>火</t>
    <rPh sb="0" eb="1">
      <t>ヒ</t>
    </rPh>
    <phoneticPr fontId="7"/>
  </si>
  <si>
    <t>水</t>
    <rPh sb="0" eb="1">
      <t>スイ</t>
    </rPh>
    <phoneticPr fontId="7"/>
  </si>
  <si>
    <t>非常用発電機点検(燃料タンク含む)、自動扉点検</t>
    <phoneticPr fontId="7"/>
  </si>
  <si>
    <t>湧水・排水槽・ポンプ制御盤手健</t>
    <phoneticPr fontId="7"/>
  </si>
  <si>
    <t>SCB(シー・アイ・シー)…害虫防除点検</t>
    <phoneticPr fontId="7"/>
  </si>
  <si>
    <t>直結増圧ポンプ・ポンプ制御盤点検</t>
    <phoneticPr fontId="7"/>
  </si>
  <si>
    <t>SCB(アゴラ造園)…植栽管理</t>
    <phoneticPr fontId="7"/>
  </si>
  <si>
    <t>SCB…ガラス清掃</t>
    <rPh sb="6" eb="8">
      <t>セイソウ</t>
    </rPh>
    <phoneticPr fontId="7"/>
  </si>
  <si>
    <t>SCB…共用部定期清掃</t>
    <phoneticPr fontId="7"/>
  </si>
  <si>
    <t>SCB…空気環境測定</t>
    <rPh sb="3" eb="7">
      <t>クウキカンキョウ</t>
    </rPh>
    <rPh sb="7" eb="9">
      <t>ソクテイ</t>
    </rPh>
    <phoneticPr fontId="7"/>
  </si>
  <si>
    <t>空調機・全熱交換器点検、加湿器点検</t>
    <phoneticPr fontId="7"/>
  </si>
  <si>
    <t>SCB…ガラス清掃(予備日)</t>
    <rPh sb="7" eb="9">
      <t>セイソウ</t>
    </rPh>
    <rPh sb="10" eb="13">
      <t>ヨビビ</t>
    </rPh>
    <phoneticPr fontId="7"/>
  </si>
  <si>
    <t>無し</t>
    <rPh sb="0" eb="1">
      <t>ナ</t>
    </rPh>
    <phoneticPr fontId="7"/>
  </si>
  <si>
    <t>（紀尾井町PREX）　2023年度　管理業務スケジュール表</t>
    <rPh sb="1" eb="5">
      <t>キオイチョウ</t>
    </rPh>
    <rPh sb="15" eb="17">
      <t>ネンド</t>
    </rPh>
    <rPh sb="18" eb="20">
      <t>カンリ</t>
    </rPh>
    <rPh sb="20" eb="22">
      <t>ギョウム</t>
    </rPh>
    <rPh sb="28" eb="29">
      <t>ヒョウ</t>
    </rPh>
    <phoneticPr fontId="7"/>
  </si>
  <si>
    <t>2023年度　年間管理作業予定・実績表（保守業務）</t>
    <rPh sb="4" eb="5">
      <t>ネン</t>
    </rPh>
    <rPh sb="5" eb="6">
      <t>ド</t>
    </rPh>
    <rPh sb="7" eb="9">
      <t>ネンカン</t>
    </rPh>
    <rPh sb="9" eb="11">
      <t>カンリ</t>
    </rPh>
    <rPh sb="11" eb="13">
      <t>サギョウ</t>
    </rPh>
    <rPh sb="13" eb="15">
      <t>ヨテイ</t>
    </rPh>
    <rPh sb="16" eb="18">
      <t>ジッセキ</t>
    </rPh>
    <rPh sb="20" eb="22">
      <t>ホシュ</t>
    </rPh>
    <rPh sb="22" eb="24">
      <t>ギョウム</t>
    </rPh>
    <phoneticPr fontId="7"/>
  </si>
  <si>
    <t>2024年1月</t>
    <rPh sb="4" eb="5">
      <t>ネン</t>
    </rPh>
    <phoneticPr fontId="7"/>
  </si>
  <si>
    <t>2023年度　年間管理作業予定・実績表（巡回業務）</t>
    <rPh sb="4" eb="6">
      <t>ネンド</t>
    </rPh>
    <rPh sb="18" eb="20">
      <t>ジュンカイ</t>
    </rPh>
    <phoneticPr fontId="7"/>
  </si>
  <si>
    <t>●</t>
    <phoneticPr fontId="7"/>
  </si>
  <si>
    <t>17</t>
    <phoneticPr fontId="7"/>
  </si>
  <si>
    <t>12</t>
    <phoneticPr fontId="7"/>
  </si>
  <si>
    <t>23</t>
    <phoneticPr fontId="7"/>
  </si>
  <si>
    <t>7</t>
    <phoneticPr fontId="7"/>
  </si>
  <si>
    <t>16</t>
    <phoneticPr fontId="7"/>
  </si>
  <si>
    <t>15</t>
    <phoneticPr fontId="7"/>
  </si>
  <si>
    <t>18</t>
    <phoneticPr fontId="7"/>
  </si>
  <si>
    <t>良</t>
    <phoneticPr fontId="7"/>
  </si>
  <si>
    <t>SCB(アットアロマ)…アロマディフューザー保守点検</t>
    <rPh sb="22" eb="24">
      <t>ホシュ</t>
    </rPh>
    <rPh sb="24" eb="26">
      <t>テンケン</t>
    </rPh>
    <phoneticPr fontId="7"/>
  </si>
  <si>
    <t>2024年</t>
    <rPh sb="4" eb="5">
      <t>ネン</t>
    </rPh>
    <phoneticPr fontId="7"/>
  </si>
  <si>
    <t>祝祭日</t>
    <rPh sb="0" eb="3">
      <t>シュクサイジツ</t>
    </rPh>
    <phoneticPr fontId="7"/>
  </si>
  <si>
    <t>業者作業　転写用キーワード表</t>
    <rPh sb="0" eb="2">
      <t>ギョウシャ</t>
    </rPh>
    <rPh sb="2" eb="4">
      <t>サギョウ</t>
    </rPh>
    <rPh sb="5" eb="7">
      <t>テンシャ</t>
    </rPh>
    <rPh sb="7" eb="8">
      <t>ヨウ</t>
    </rPh>
    <rPh sb="13" eb="14">
      <t>ヒョウ</t>
    </rPh>
    <phoneticPr fontId="7"/>
  </si>
  <si>
    <t>ガラス清掃</t>
    <phoneticPr fontId="7"/>
  </si>
  <si>
    <t>2024/1/8</t>
  </si>
  <si>
    <t>フィルター清掃</t>
    <phoneticPr fontId="7"/>
  </si>
  <si>
    <t>ELV定期</t>
    <phoneticPr fontId="7"/>
  </si>
  <si>
    <t>kokoro</t>
    <phoneticPr fontId="7"/>
  </si>
  <si>
    <t>消防設備点検</t>
    <phoneticPr fontId="7"/>
  </si>
  <si>
    <t>アロマ</t>
    <phoneticPr fontId="7"/>
  </si>
  <si>
    <t>電気設備</t>
    <phoneticPr fontId="7"/>
  </si>
  <si>
    <t>定期清掃</t>
    <phoneticPr fontId="7"/>
  </si>
  <si>
    <t>空調</t>
    <phoneticPr fontId="7"/>
  </si>
  <si>
    <t>IHヒーター</t>
    <phoneticPr fontId="7"/>
  </si>
  <si>
    <t>エレベーター</t>
    <phoneticPr fontId="7"/>
  </si>
  <si>
    <t>植栽管理</t>
    <rPh sb="0" eb="4">
      <t>ショクサイカンリ</t>
    </rPh>
    <phoneticPr fontId="7"/>
  </si>
  <si>
    <t>2023/11/3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</si>
</sst>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6" formatCode="&quot;¥&quot;#,##0;[Red]&quot;¥&quot;\-#,##0"/>
    <numFmt numFmtId="176" formatCode="0.0%"/>
    <numFmt numFmtId="177" formatCode="#,##0&quot;m3&quot;"/>
    <numFmt numFmtId="178" formatCode="yyyy&quot;年&quot;m&quot;月度&quot;"/>
    <numFmt numFmtId="179" formatCode="0&quot;月度 月報&quot;"/>
    <numFmt numFmtId="180" formatCode="#,##0&quot;ｋWh&quot;"/>
    <numFmt numFmtId="181" formatCode="#,##0&quot;kWh&quot;"/>
    <numFmt numFmtId="182" formatCode="[$-411]ddd"/>
    <numFmt numFmtId="183" formatCode="#,##0;\-#,##0;&quot;-&quot;"/>
    <numFmt numFmtId="184" formatCode="0.00_)"/>
    <numFmt numFmtId="185" formatCode="0.000"/>
    <numFmt numFmtId="186" formatCode="#,##0.0&quot;ｋW&quot;"/>
    <numFmt numFmtId="187" formatCode="yyyy&quot;年&quot;m&quot;月&quot;d&quot;日&quot;;@"/>
    <numFmt numFmtId="188" formatCode="m/d"/>
    <numFmt numFmtId="189" formatCode="yyyy/m"/>
    <numFmt numFmtId="190" formatCode="#,##0.00&quot;㎡&quot;_ "/>
    <numFmt numFmtId="191" formatCode="0&quot;階&quot;_ "/>
    <numFmt numFmtId="192" formatCode="#,##0&quot;m&quot;_ "/>
    <numFmt numFmtId="193" formatCode="#,##0&quot;kl/年&quot;"/>
    <numFmt numFmtId="194" formatCode="yyyy/m/d;@"/>
    <numFmt numFmtId="195" formatCode="0&quot;年&quot;"/>
    <numFmt numFmtId="196" formatCode="0&quot;カ月&quot;"/>
    <numFmt numFmtId="197" formatCode="#,##0.00_ ;[Red]\-#,##0.00\ "/>
    <numFmt numFmtId="198" formatCode="&quot;@&quot;#,#00&quot;円&quot;&quot;/&quot;&quot;坪&quot;"/>
    <numFmt numFmtId="199" formatCode="0.000_ "/>
    <numFmt numFmtId="200" formatCode="m/d;@"/>
    <numFmt numFmtId="201" formatCode="yyyy&quot;年&quot;m&quot;月&quot;;@"/>
    <numFmt numFmtId="202" formatCode="m&quot;月度 月報&quot;"/>
    <numFmt numFmtId="203" formatCode="&quot;《&quot;\ m\ &quot;月　度　所　見　》&quot;"/>
    <numFmt numFmtId="204" formatCode="d"/>
  </numFmts>
  <fonts count="79">
    <font>
      <sz val="11"/>
      <name val="ＭＳ Ｐゴシック"/>
      <family val="3"/>
      <charset val="128"/>
    </font>
    <font>
      <sz val="11"/>
      <color theme="1"/>
      <name val="ＭＳ Ｐゴシック"/>
      <family val="2"/>
      <charset val="128"/>
      <scheme val="minor"/>
    </font>
    <font>
      <sz val="11"/>
      <name val="ＭＳ Ｐゴシック"/>
      <family val="3"/>
      <charset val="128"/>
    </font>
    <font>
      <b/>
      <i/>
      <sz val="11"/>
      <name val="ＭＳ Ｐゴシック"/>
      <family val="3"/>
      <charset val="128"/>
    </font>
    <font>
      <sz val="12"/>
      <name val="ＭＳ Ｐゴシック"/>
      <family val="3"/>
      <charset val="128"/>
    </font>
    <font>
      <sz val="10"/>
      <name val="ＭＳ Ｐゴシック"/>
      <family val="3"/>
      <charset val="128"/>
    </font>
    <font>
      <b/>
      <sz val="14"/>
      <name val="ＭＳ Ｐゴシック"/>
      <family val="3"/>
      <charset val="128"/>
    </font>
    <font>
      <sz val="6"/>
      <name val="ＭＳ Ｐゴシック"/>
      <family val="3"/>
      <charset val="128"/>
    </font>
    <font>
      <b/>
      <i/>
      <sz val="20"/>
      <name val="ＭＳ Ｐゴシック"/>
      <family val="3"/>
      <charset val="128"/>
    </font>
    <font>
      <sz val="11"/>
      <name val="ＭＳ Ｐゴシック"/>
      <family val="3"/>
      <charset val="128"/>
    </font>
    <font>
      <b/>
      <sz val="20"/>
      <name val="ＭＳ Ｐゴシック"/>
      <family val="3"/>
      <charset val="128"/>
    </font>
    <font>
      <sz val="16"/>
      <name val="ＭＳ Ｐゴシック"/>
      <family val="3"/>
      <charset val="128"/>
    </font>
    <font>
      <sz val="11"/>
      <name val="ＭＳ Ｐゴシック"/>
      <family val="3"/>
      <charset val="128"/>
    </font>
    <font>
      <b/>
      <sz val="11"/>
      <name val="ＭＳ Ｐゴシック"/>
      <family val="3"/>
      <charset val="128"/>
    </font>
    <font>
      <sz val="14"/>
      <name val="ＭＳ Ｐゴシック"/>
      <family val="3"/>
      <charset val="128"/>
    </font>
    <font>
      <b/>
      <sz val="10"/>
      <name val="ＭＳ Ｐゴシック"/>
      <family val="3"/>
      <charset val="128"/>
    </font>
    <font>
      <sz val="12"/>
      <color indexed="10"/>
      <name val="ＭＳ Ｐゴシック"/>
      <family val="3"/>
      <charset val="128"/>
    </font>
    <font>
      <b/>
      <sz val="16"/>
      <name val="HG丸ｺﾞｼｯｸM-PRO"/>
      <family val="3"/>
      <charset val="128"/>
    </font>
    <font>
      <b/>
      <sz val="12"/>
      <name val="HG丸ｺﾞｼｯｸM-PRO"/>
      <family val="3"/>
      <charset val="128"/>
    </font>
    <font>
      <sz val="12"/>
      <color indexed="48"/>
      <name val="ＭＳ Ｐゴシック"/>
      <family val="3"/>
      <charset val="128"/>
    </font>
    <font>
      <b/>
      <sz val="12"/>
      <name val="ＭＳ Ｐゴシック"/>
      <family val="3"/>
      <charset val="128"/>
    </font>
    <font>
      <b/>
      <sz val="9"/>
      <color indexed="81"/>
      <name val="ＭＳ Ｐゴシック"/>
      <family val="3"/>
      <charset val="128"/>
    </font>
    <font>
      <sz val="9"/>
      <color indexed="81"/>
      <name val="ＭＳ Ｐゴシック"/>
      <family val="3"/>
      <charset val="128"/>
    </font>
    <font>
      <b/>
      <sz val="9"/>
      <color indexed="10"/>
      <name val="ＭＳ Ｐゴシック"/>
      <family val="3"/>
      <charset val="128"/>
    </font>
    <font>
      <b/>
      <sz val="9"/>
      <color indexed="12"/>
      <name val="ＭＳ Ｐゴシック"/>
      <family val="3"/>
      <charset val="128"/>
    </font>
    <font>
      <b/>
      <sz val="10"/>
      <color indexed="12"/>
      <name val="ＭＳ Ｐゴシック"/>
      <family val="3"/>
      <charset val="128"/>
    </font>
    <font>
      <b/>
      <sz val="10"/>
      <color indexed="81"/>
      <name val="ＭＳ Ｐゴシック"/>
      <family val="3"/>
      <charset val="128"/>
    </font>
    <font>
      <b/>
      <sz val="10"/>
      <color indexed="10"/>
      <name val="ＭＳ Ｐゴシック"/>
      <family val="3"/>
      <charset val="128"/>
    </font>
    <font>
      <sz val="18"/>
      <name val="ＭＳ Ｐゴシック"/>
      <family val="3"/>
      <charset val="128"/>
    </font>
    <font>
      <sz val="10"/>
      <color theme="1"/>
      <name val="ＭＳ Ｐゴシック"/>
      <family val="3"/>
      <charset val="128"/>
    </font>
    <font>
      <sz val="10"/>
      <color rgb="FFFF0000"/>
      <name val="ＭＳ Ｐゴシック"/>
      <family val="3"/>
      <charset val="128"/>
    </font>
    <font>
      <sz val="12"/>
      <color rgb="FFFF0000"/>
      <name val="ＭＳ Ｐゴシック"/>
      <family val="3"/>
      <charset val="128"/>
    </font>
    <font>
      <sz val="10"/>
      <color indexed="8"/>
      <name val="Arial"/>
      <family val="2"/>
    </font>
    <font>
      <sz val="8"/>
      <name val="Arial"/>
      <family val="2"/>
    </font>
    <font>
      <b/>
      <sz val="12"/>
      <name val="Arial"/>
      <family val="2"/>
    </font>
    <font>
      <sz val="10"/>
      <name val="Times New Roman"/>
      <family val="1"/>
    </font>
    <font>
      <b/>
      <sz val="10"/>
      <name val="Times New Roman"/>
      <family val="1"/>
    </font>
    <font>
      <b/>
      <i/>
      <sz val="16"/>
      <name val="Helv"/>
      <family val="2"/>
    </font>
    <font>
      <sz val="10"/>
      <name val="Arial"/>
      <family val="2"/>
    </font>
    <font>
      <b/>
      <sz val="10"/>
      <name val="Arial"/>
      <family val="2"/>
    </font>
    <font>
      <sz val="11"/>
      <color theme="1"/>
      <name val="ＭＳ Ｐゴシック"/>
      <family val="3"/>
      <charset val="128"/>
      <scheme val="minor"/>
    </font>
    <font>
      <sz val="10"/>
      <name val="ＭＳ Ｐゴシック"/>
      <family val="3"/>
      <charset val="128"/>
      <scheme val="minor"/>
    </font>
    <font>
      <b/>
      <sz val="8"/>
      <name val="ＭＳ Ｐゴシック"/>
      <family val="3"/>
      <charset val="128"/>
    </font>
    <font>
      <b/>
      <sz val="8"/>
      <color rgb="FF333333"/>
      <name val="ＭＳ Ｐゴシック"/>
      <family val="3"/>
      <charset val="128"/>
    </font>
    <font>
      <b/>
      <sz val="18"/>
      <name val="ＭＳ Ｐゴシック"/>
      <family val="3"/>
      <charset val="128"/>
    </font>
    <font>
      <sz val="11"/>
      <name val="ＭＳ 明朝"/>
      <family val="1"/>
      <charset val="128"/>
    </font>
    <font>
      <sz val="12"/>
      <name val="ＭＳ 明朝"/>
      <family val="1"/>
      <charset val="128"/>
    </font>
    <font>
      <b/>
      <sz val="24"/>
      <name val="ＭＳ Ｐゴシック"/>
      <family val="3"/>
      <charset val="128"/>
    </font>
    <font>
      <b/>
      <sz val="18"/>
      <color indexed="10"/>
      <name val="ＭＳ Ｐゴシック"/>
      <family val="3"/>
      <charset val="128"/>
    </font>
    <font>
      <sz val="16"/>
      <name val="ＭＳ ゴシック"/>
      <family val="3"/>
      <charset val="128"/>
    </font>
    <font>
      <sz val="14"/>
      <name val="ＭＳ 明朝"/>
      <family val="1"/>
      <charset val="128"/>
    </font>
    <font>
      <sz val="11"/>
      <name val="ＭＳ Ｐ明朝"/>
      <family val="1"/>
      <charset val="128"/>
    </font>
    <font>
      <sz val="6"/>
      <name val="ＭＳ Ｐゴシック"/>
      <family val="2"/>
      <charset val="128"/>
      <scheme val="minor"/>
    </font>
    <font>
      <sz val="11"/>
      <color theme="1"/>
      <name val="ＭＳ Ｐゴシック"/>
      <family val="3"/>
      <charset val="128"/>
    </font>
    <font>
      <sz val="12"/>
      <name val="ＭＳ Ｐ明朝"/>
      <family val="1"/>
      <charset val="128"/>
    </font>
    <font>
      <sz val="12"/>
      <color theme="0" tint="-0.499984740745262"/>
      <name val="ＭＳ Ｐゴシック"/>
      <family val="3"/>
      <charset val="128"/>
    </font>
    <font>
      <sz val="12"/>
      <color rgb="FF00B0F0"/>
      <name val="ＭＳ Ｐゴシック"/>
      <family val="3"/>
      <charset val="128"/>
    </font>
    <font>
      <sz val="12"/>
      <color rgb="FFFFC000"/>
      <name val="ＭＳ Ｐゴシック"/>
      <family val="3"/>
      <charset val="128"/>
    </font>
    <font>
      <b/>
      <sz val="28"/>
      <name val="ＭＳ Ｐゴシック"/>
      <family val="3"/>
      <charset val="128"/>
    </font>
    <font>
      <b/>
      <sz val="16"/>
      <name val="ＭＳ Ｐゴシック"/>
      <family val="3"/>
      <charset val="128"/>
    </font>
    <font>
      <sz val="14"/>
      <color theme="1"/>
      <name val="ＭＳ Ｐゴシック"/>
      <family val="3"/>
      <charset val="128"/>
    </font>
    <font>
      <b/>
      <sz val="14"/>
      <color rgb="FFFF0000"/>
      <name val="ＭＳ Ｐゴシック"/>
      <family val="3"/>
      <charset val="128"/>
    </font>
    <font>
      <sz val="14"/>
      <color rgb="FFFF0000"/>
      <name val="ＭＳ Ｐゴシック"/>
      <family val="3"/>
      <charset val="128"/>
    </font>
    <font>
      <sz val="10"/>
      <color indexed="8"/>
      <name val="ＭＳ Ｐゴシック"/>
      <family val="3"/>
      <charset val="128"/>
    </font>
    <font>
      <sz val="11"/>
      <name val="ＭＳ Ｐゴシック"/>
      <family val="3"/>
      <charset val="128"/>
      <scheme val="minor"/>
    </font>
    <font>
      <sz val="14"/>
      <color theme="1"/>
      <name val="ＭＳ Ｐゴシック"/>
      <family val="2"/>
      <charset val="128"/>
      <scheme val="minor"/>
    </font>
    <font>
      <sz val="14"/>
      <color rgb="FF000000"/>
      <name val="ＭＳ ゴシック"/>
      <family val="3"/>
      <charset val="128"/>
    </font>
    <font>
      <sz val="12"/>
      <color rgb="FF7030A0"/>
      <name val="ＭＳ Ｐゴシック"/>
      <family val="3"/>
      <charset val="128"/>
    </font>
    <font>
      <vertAlign val="superscript"/>
      <sz val="14"/>
      <name val="ＭＳ Ｐゴシック"/>
      <family val="3"/>
      <charset val="128"/>
    </font>
    <font>
      <sz val="14"/>
      <name val="ＭＳ Ｐゴシック"/>
      <family val="3"/>
      <charset val="128"/>
      <scheme val="minor"/>
    </font>
    <font>
      <sz val="12"/>
      <color rgb="FF00B050"/>
      <name val="ＭＳ Ｐゴシック"/>
      <family val="3"/>
      <charset val="128"/>
    </font>
    <font>
      <b/>
      <sz val="14"/>
      <color rgb="FF00B050"/>
      <name val="ＭＳ Ｐゴシック"/>
      <family val="3"/>
      <charset val="128"/>
    </font>
    <font>
      <b/>
      <sz val="16"/>
      <name val="ＭＳ Ｐゴシック"/>
      <family val="3"/>
      <charset val="128"/>
      <scheme val="minor"/>
    </font>
    <font>
      <sz val="10"/>
      <color rgb="FF4E10FC"/>
      <name val="ＭＳ Ｐゴシック"/>
      <family val="3"/>
      <charset val="128"/>
    </font>
    <font>
      <sz val="10"/>
      <color rgb="FF291FED"/>
      <name val="ＭＳ Ｐゴシック"/>
      <family val="3"/>
      <charset val="128"/>
    </font>
    <font>
      <sz val="10"/>
      <color rgb="FF0030FE"/>
      <name val="ＭＳ Ｐゴシック"/>
      <family val="3"/>
      <charset val="128"/>
    </font>
    <font>
      <sz val="10"/>
      <color rgb="FF0025C0"/>
      <name val="ＭＳ Ｐゴシック"/>
      <family val="3"/>
      <charset val="128"/>
    </font>
    <font>
      <b/>
      <sz val="9"/>
      <color indexed="81"/>
      <name val="MS P ゴシック"/>
      <family val="3"/>
      <charset val="128"/>
    </font>
    <font>
      <sz val="9"/>
      <color indexed="81"/>
      <name val="MS P ゴシック"/>
      <family val="3"/>
      <charset val="128"/>
    </font>
  </fonts>
  <fills count="12">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theme="0"/>
        <bgColor indexed="64"/>
      </patternFill>
    </fill>
    <fill>
      <patternFill patternType="solid">
        <fgColor indexed="22"/>
        <bgColor indexed="64"/>
      </patternFill>
    </fill>
    <fill>
      <patternFill patternType="solid">
        <fgColor indexed="26"/>
        <bgColor indexed="64"/>
      </patternFill>
    </fill>
    <fill>
      <patternFill patternType="solid">
        <fgColor rgb="FFFFFF00"/>
        <bgColor indexed="64"/>
      </patternFill>
    </fill>
    <fill>
      <patternFill patternType="solid">
        <fgColor rgb="FFCCFFCC"/>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CC99"/>
        <bgColor indexed="64"/>
      </patternFill>
    </fill>
  </fills>
  <borders count="209">
    <border>
      <left/>
      <right/>
      <top/>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hair">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hair">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top style="thin">
        <color indexed="64"/>
      </top>
      <bottom style="hair">
        <color indexed="64"/>
      </bottom>
      <diagonal/>
    </border>
    <border>
      <left style="thin">
        <color indexed="64"/>
      </left>
      <right style="double">
        <color indexed="64"/>
      </right>
      <top style="hair">
        <color indexed="64"/>
      </top>
      <bottom/>
      <diagonal/>
    </border>
    <border>
      <left/>
      <right/>
      <top style="medium">
        <color indexed="64"/>
      </top>
      <bottom style="medium">
        <color indexed="64"/>
      </bottom>
      <diagonal/>
    </border>
    <border>
      <left style="thin">
        <color indexed="64"/>
      </left>
      <right style="double">
        <color indexed="64"/>
      </right>
      <top/>
      <bottom style="hair">
        <color indexed="64"/>
      </bottom>
      <diagonal/>
    </border>
    <border>
      <left style="medium">
        <color indexed="64"/>
      </left>
      <right style="medium">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thin">
        <color indexed="64"/>
      </left>
      <right style="dashed">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dashed">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dashed">
        <color indexed="64"/>
      </right>
      <top style="medium">
        <color indexed="64"/>
      </top>
      <bottom style="thin">
        <color indexed="64"/>
      </bottom>
      <diagonal/>
    </border>
    <border>
      <left style="dashed">
        <color indexed="64"/>
      </left>
      <right style="thin">
        <color indexed="64"/>
      </right>
      <top style="medium">
        <color indexed="64"/>
      </top>
      <bottom style="thin">
        <color indexed="64"/>
      </bottom>
      <diagonal/>
    </border>
    <border>
      <left style="medium">
        <color indexed="64"/>
      </left>
      <right style="dashed">
        <color indexed="64"/>
      </right>
      <top style="medium">
        <color indexed="64"/>
      </top>
      <bottom style="thin">
        <color indexed="64"/>
      </bottom>
      <diagonal/>
    </border>
    <border>
      <left style="medium">
        <color indexed="64"/>
      </left>
      <right/>
      <top/>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dashed">
        <color indexed="64"/>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style="medium">
        <color indexed="64"/>
      </left>
      <right style="dashed">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ashed">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dashed">
        <color indexed="64"/>
      </right>
      <top/>
      <bottom style="thin">
        <color indexed="64"/>
      </bottom>
      <diagonal/>
    </border>
    <border>
      <left style="dashed">
        <color indexed="64"/>
      </left>
      <right style="thin">
        <color indexed="64"/>
      </right>
      <top/>
      <bottom style="thin">
        <color indexed="64"/>
      </bottom>
      <diagonal/>
    </border>
    <border>
      <left style="medium">
        <color indexed="64"/>
      </left>
      <right style="dashed">
        <color indexed="64"/>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dashed">
        <color indexed="64"/>
      </left>
      <right style="thin">
        <color indexed="64"/>
      </right>
      <top/>
      <bottom/>
      <diagonal/>
    </border>
    <border>
      <left style="dashed">
        <color indexed="64"/>
      </left>
      <right/>
      <top/>
      <bottom style="thin">
        <color indexed="64"/>
      </bottom>
      <diagonal/>
    </border>
    <border>
      <left style="medium">
        <color indexed="64"/>
      </left>
      <right style="medium">
        <color indexed="64"/>
      </right>
      <top style="thin">
        <color indexed="64"/>
      </top>
      <bottom/>
      <diagonal/>
    </border>
    <border>
      <left style="dashed">
        <color indexed="64"/>
      </left>
      <right style="thin">
        <color indexed="64"/>
      </right>
      <top style="thin">
        <color indexed="64"/>
      </top>
      <bottom/>
      <diagonal/>
    </border>
    <border>
      <left style="thin">
        <color indexed="64"/>
      </left>
      <right style="dashed">
        <color indexed="64"/>
      </right>
      <top style="thin">
        <color indexed="64"/>
      </top>
      <bottom/>
      <diagonal/>
    </border>
    <border>
      <left style="dashed">
        <color indexed="64"/>
      </left>
      <right style="medium">
        <color indexed="64"/>
      </right>
      <top style="thin">
        <color indexed="64"/>
      </top>
      <bottom style="medium">
        <color indexed="64"/>
      </bottom>
      <diagonal/>
    </border>
    <border>
      <left/>
      <right style="medium">
        <color indexed="64"/>
      </right>
      <top style="thin">
        <color indexed="64"/>
      </top>
      <bottom/>
      <diagonal/>
    </border>
    <border>
      <left style="thin">
        <color indexed="64"/>
      </left>
      <right style="dashed">
        <color indexed="64"/>
      </right>
      <top/>
      <bottom/>
      <diagonal/>
    </border>
    <border>
      <left style="medium">
        <color indexed="64"/>
      </left>
      <right style="dashed">
        <color indexed="64"/>
      </right>
      <top/>
      <bottom/>
      <diagonal/>
    </border>
    <border>
      <left/>
      <right style="medium">
        <color indexed="64"/>
      </right>
      <top/>
      <bottom/>
      <diagonal/>
    </border>
    <border>
      <left style="dashed">
        <color indexed="64"/>
      </left>
      <right/>
      <top style="thin">
        <color indexed="64"/>
      </top>
      <bottom style="medium">
        <color indexed="64"/>
      </bottom>
      <diagonal/>
    </border>
    <border>
      <left style="dashed">
        <color indexed="64"/>
      </left>
      <right/>
      <top style="thin">
        <color indexed="64"/>
      </top>
      <bottom style="thin">
        <color indexed="64"/>
      </bottom>
      <diagonal/>
    </border>
    <border>
      <left style="thin">
        <color indexed="64"/>
      </left>
      <right style="medium">
        <color indexed="64"/>
      </right>
      <top style="hair">
        <color indexed="64"/>
      </top>
      <bottom style="hair">
        <color indexed="64"/>
      </bottom>
      <diagonal/>
    </border>
    <border>
      <left/>
      <right/>
      <top style="medium">
        <color indexed="64"/>
      </top>
      <bottom style="thin">
        <color indexed="64"/>
      </bottom>
      <diagonal/>
    </border>
    <border>
      <left style="dashed">
        <color indexed="64"/>
      </left>
      <right/>
      <top style="medium">
        <color indexed="64"/>
      </top>
      <bottom style="thin">
        <color indexed="64"/>
      </bottom>
      <diagonal/>
    </border>
    <border>
      <left style="dashed">
        <color indexed="64"/>
      </left>
      <right style="medium">
        <color indexed="64"/>
      </right>
      <top style="thin">
        <color indexed="64"/>
      </top>
      <bottom style="thin">
        <color indexed="64"/>
      </bottom>
      <diagonal/>
    </border>
    <border>
      <left style="dashed">
        <color indexed="64"/>
      </left>
      <right/>
      <top style="thin">
        <color indexed="64"/>
      </top>
      <bottom/>
      <diagonal/>
    </border>
    <border>
      <left/>
      <right style="dashed">
        <color indexed="64"/>
      </right>
      <top style="thin">
        <color indexed="64"/>
      </top>
      <bottom/>
      <diagonal/>
    </border>
    <border>
      <left/>
      <right style="dashed">
        <color indexed="64"/>
      </right>
      <top style="thin">
        <color indexed="64"/>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right style="dashed">
        <color indexed="64"/>
      </right>
      <top/>
      <bottom style="thin">
        <color indexed="64"/>
      </bottom>
      <diagonal/>
    </border>
    <border>
      <left style="dashed">
        <color indexed="64"/>
      </left>
      <right style="medium">
        <color indexed="64"/>
      </right>
      <top/>
      <bottom style="thin">
        <color indexed="64"/>
      </bottom>
      <diagonal/>
    </border>
    <border>
      <left/>
      <right style="dashed">
        <color indexed="64"/>
      </right>
      <top style="thin">
        <color indexed="64"/>
      </top>
      <bottom style="thin">
        <color indexed="64"/>
      </bottom>
      <diagonal/>
    </border>
    <border>
      <left style="dashed">
        <color indexed="64"/>
      </left>
      <right/>
      <top/>
      <bottom/>
      <diagonal/>
    </border>
    <border>
      <left style="dashed">
        <color indexed="64"/>
      </left>
      <right style="medium">
        <color indexed="64"/>
      </right>
      <top/>
      <bottom/>
      <diagonal/>
    </border>
    <border>
      <left style="medium">
        <color indexed="64"/>
      </left>
      <right style="dashed">
        <color indexed="64"/>
      </right>
      <top style="thin">
        <color indexed="64"/>
      </top>
      <bottom/>
      <diagonal/>
    </border>
    <border>
      <left style="dashed">
        <color indexed="64"/>
      </left>
      <right style="medium">
        <color indexed="64"/>
      </right>
      <top style="thin">
        <color indexed="64"/>
      </top>
      <bottom/>
      <diagonal/>
    </border>
    <border>
      <left style="dashed">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dashed">
        <color indexed="64"/>
      </left>
      <right style="thin">
        <color indexed="64"/>
      </right>
      <top/>
      <bottom style="medium">
        <color indexed="64"/>
      </bottom>
      <diagonal/>
    </border>
    <border>
      <left style="thin">
        <color indexed="64"/>
      </left>
      <right style="dashed">
        <color indexed="64"/>
      </right>
      <top/>
      <bottom style="medium">
        <color indexed="64"/>
      </bottom>
      <diagonal/>
    </border>
    <border>
      <left style="medium">
        <color indexed="64"/>
      </left>
      <right style="dashed">
        <color indexed="64"/>
      </right>
      <top/>
      <bottom style="medium">
        <color indexed="64"/>
      </bottom>
      <diagonal/>
    </border>
    <border>
      <left style="dashed">
        <color indexed="64"/>
      </left>
      <right/>
      <top/>
      <bottom style="medium">
        <color indexed="64"/>
      </bottom>
      <diagonal/>
    </border>
    <border>
      <left style="dashed">
        <color indexed="64"/>
      </left>
      <right style="medium">
        <color indexed="64"/>
      </right>
      <top/>
      <bottom style="medium">
        <color indexed="64"/>
      </bottom>
      <diagonal/>
    </border>
    <border>
      <left/>
      <right/>
      <top/>
      <bottom style="thick">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right style="medium">
        <color indexed="64"/>
      </right>
      <top style="thin">
        <color indexed="64"/>
      </top>
      <bottom style="hair">
        <color indexed="64"/>
      </bottom>
      <diagonal/>
    </border>
    <border>
      <left style="thin">
        <color indexed="64"/>
      </left>
      <right style="dashed">
        <color indexed="64"/>
      </right>
      <top/>
      <bottom style="hair">
        <color indexed="64"/>
      </bottom>
      <diagonal/>
    </border>
    <border>
      <left style="dashed">
        <color indexed="64"/>
      </left>
      <right style="thin">
        <color indexed="64"/>
      </right>
      <top style="thin">
        <color indexed="64"/>
      </top>
      <bottom style="hair">
        <color indexed="64"/>
      </bottom>
      <diagonal/>
    </border>
    <border>
      <left/>
      <right style="dashed">
        <color indexed="64"/>
      </right>
      <top/>
      <bottom style="hair">
        <color indexed="64"/>
      </bottom>
      <diagonal/>
    </border>
    <border>
      <left style="thin">
        <color indexed="64"/>
      </left>
      <right style="dashed">
        <color indexed="64"/>
      </right>
      <top style="thin">
        <color indexed="64"/>
      </top>
      <bottom style="hair">
        <color indexed="64"/>
      </bottom>
      <diagonal/>
    </border>
    <border>
      <left style="thin">
        <color indexed="64"/>
      </left>
      <right style="medium">
        <color indexed="64"/>
      </right>
      <top/>
      <bottom style="hair">
        <color indexed="64"/>
      </bottom>
      <diagonal/>
    </border>
    <border>
      <left style="dashed">
        <color indexed="64"/>
      </left>
      <right style="thin">
        <color indexed="64"/>
      </right>
      <top/>
      <bottom style="hair">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dashed">
        <color indexed="64"/>
      </right>
      <top style="hair">
        <color indexed="64"/>
      </top>
      <bottom style="hair">
        <color indexed="64"/>
      </bottom>
      <diagonal/>
    </border>
    <border>
      <left style="dashed">
        <color indexed="64"/>
      </left>
      <right style="thin">
        <color indexed="64"/>
      </right>
      <top style="hair">
        <color indexed="64"/>
      </top>
      <bottom style="hair">
        <color indexed="64"/>
      </bottom>
      <diagonal/>
    </border>
    <border>
      <left/>
      <right style="dashed">
        <color indexed="64"/>
      </right>
      <top style="hair">
        <color indexed="64"/>
      </top>
      <bottom style="hair">
        <color indexed="64"/>
      </bottom>
      <diagonal/>
    </border>
    <border>
      <left style="thin">
        <color indexed="64"/>
      </left>
      <right style="medium">
        <color indexed="64"/>
      </right>
      <top style="hair">
        <color indexed="64"/>
      </top>
      <bottom style="thin">
        <color indexed="64"/>
      </bottom>
      <diagonal/>
    </border>
    <border>
      <left style="thin">
        <color indexed="64"/>
      </left>
      <right style="dashed">
        <color indexed="64"/>
      </right>
      <top style="hair">
        <color indexed="64"/>
      </top>
      <bottom style="thin">
        <color indexed="64"/>
      </bottom>
      <diagonal/>
    </border>
    <border>
      <left style="dashed">
        <color indexed="64"/>
      </left>
      <right style="thin">
        <color indexed="64"/>
      </right>
      <top style="hair">
        <color indexed="64"/>
      </top>
      <bottom style="thin">
        <color indexed="64"/>
      </bottom>
      <diagonal/>
    </border>
    <border>
      <left/>
      <right style="dashed">
        <color indexed="64"/>
      </right>
      <top style="thin">
        <color indexed="64"/>
      </top>
      <bottom style="hair">
        <color indexed="64"/>
      </bottom>
      <diagonal/>
    </border>
    <border>
      <left style="thin">
        <color indexed="64"/>
      </left>
      <right style="medium">
        <color indexed="64"/>
      </right>
      <top style="hair">
        <color indexed="64"/>
      </top>
      <bottom/>
      <diagonal/>
    </border>
    <border>
      <left style="thin">
        <color indexed="64"/>
      </left>
      <right style="dashed">
        <color indexed="64"/>
      </right>
      <top style="hair">
        <color indexed="64"/>
      </top>
      <bottom/>
      <diagonal/>
    </border>
    <border>
      <left style="dashed">
        <color indexed="64"/>
      </left>
      <right style="thin">
        <color indexed="64"/>
      </right>
      <top style="hair">
        <color indexed="64"/>
      </top>
      <bottom/>
      <diagonal/>
    </border>
    <border>
      <left/>
      <right style="dashed">
        <color indexed="64"/>
      </right>
      <top style="hair">
        <color indexed="64"/>
      </top>
      <bottom/>
      <diagonal/>
    </border>
    <border>
      <left style="medium">
        <color indexed="64"/>
      </left>
      <right style="thin">
        <color indexed="64"/>
      </right>
      <top/>
      <bottom style="medium">
        <color indexed="64"/>
      </bottom>
      <diagonal/>
    </border>
    <border>
      <left style="thin">
        <color indexed="64"/>
      </left>
      <right style="dashed">
        <color indexed="64"/>
      </right>
      <top style="hair">
        <color indexed="64"/>
      </top>
      <bottom style="medium">
        <color indexed="64"/>
      </bottom>
      <diagonal/>
    </border>
    <border>
      <left style="dashed">
        <color indexed="64"/>
      </left>
      <right style="thin">
        <color indexed="64"/>
      </right>
      <top style="hair">
        <color indexed="64"/>
      </top>
      <bottom style="medium">
        <color indexed="64"/>
      </bottom>
      <diagonal/>
    </border>
    <border>
      <left/>
      <right style="dashed">
        <color indexed="64"/>
      </right>
      <top style="hair">
        <color indexed="64"/>
      </top>
      <bottom style="medium">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hair">
        <color indexed="64"/>
      </top>
      <bottom style="hair">
        <color indexed="64"/>
      </bottom>
      <diagonal/>
    </border>
    <border>
      <left style="double">
        <color indexed="64"/>
      </left>
      <right style="thin">
        <color indexed="64"/>
      </right>
      <top style="hair">
        <color indexed="64"/>
      </top>
      <bottom style="thin">
        <color indexed="64"/>
      </bottom>
      <diagonal/>
    </border>
    <border>
      <left style="thin">
        <color indexed="64"/>
      </left>
      <right style="double">
        <color indexed="64"/>
      </right>
      <top style="hair">
        <color indexed="64"/>
      </top>
      <bottom style="thin">
        <color indexed="64"/>
      </bottom>
      <diagonal/>
    </border>
    <border>
      <left style="thin">
        <color indexed="64"/>
      </left>
      <right style="double">
        <color indexed="64"/>
      </right>
      <top style="hair">
        <color indexed="64"/>
      </top>
      <bottom style="hair">
        <color indexed="64"/>
      </bottom>
      <diagonal/>
    </border>
    <border>
      <left style="thin">
        <color indexed="64"/>
      </left>
      <right style="double">
        <color indexed="64"/>
      </right>
      <top/>
      <bottom style="thin">
        <color indexed="64"/>
      </bottom>
      <diagonal/>
    </border>
    <border>
      <left style="medium">
        <color indexed="64"/>
      </left>
      <right style="dashed">
        <color indexed="64"/>
      </right>
      <top style="thin">
        <color indexed="64"/>
      </top>
      <bottom style="hair">
        <color indexed="64"/>
      </bottom>
      <diagonal/>
    </border>
    <border>
      <left/>
      <right style="medium">
        <color indexed="64"/>
      </right>
      <top/>
      <bottom style="hair">
        <color indexed="64"/>
      </bottom>
      <diagonal/>
    </border>
    <border>
      <left style="medium">
        <color indexed="64"/>
      </left>
      <right style="dashed">
        <color indexed="64"/>
      </right>
      <top/>
      <bottom style="hair">
        <color indexed="64"/>
      </bottom>
      <diagonal/>
    </border>
    <border>
      <left style="medium">
        <color indexed="64"/>
      </left>
      <right style="dashed">
        <color indexed="64"/>
      </right>
      <top style="hair">
        <color indexed="64"/>
      </top>
      <bottom style="medium">
        <color indexed="64"/>
      </bottom>
      <diagonal/>
    </border>
    <border>
      <left style="medium">
        <color indexed="64"/>
      </left>
      <right style="dashed">
        <color indexed="64"/>
      </right>
      <top style="hair">
        <color indexed="64"/>
      </top>
      <bottom style="hair">
        <color indexed="64"/>
      </bottom>
      <diagonal/>
    </border>
    <border>
      <left style="thin">
        <color indexed="64"/>
      </left>
      <right style="medium">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top/>
      <bottom style="double">
        <color indexed="64"/>
      </bottom>
      <diagonal/>
    </border>
    <border>
      <left style="thin">
        <color indexed="64"/>
      </left>
      <right/>
      <top/>
      <bottom style="double">
        <color indexed="64"/>
      </bottom>
      <diagonal/>
    </border>
    <border>
      <left style="thin">
        <color auto="1"/>
      </left>
      <right style="thin">
        <color auto="1"/>
      </right>
      <top/>
      <bottom style="double">
        <color indexed="64"/>
      </bottom>
      <diagonal/>
    </border>
    <border>
      <left style="thin">
        <color indexed="64"/>
      </left>
      <right style="thin">
        <color indexed="64"/>
      </right>
      <top style="hair">
        <color indexed="64"/>
      </top>
      <bottom style="double">
        <color indexed="64"/>
      </bottom>
      <diagonal/>
    </border>
    <border>
      <left style="thin">
        <color indexed="64"/>
      </left>
      <right style="medium">
        <color indexed="64"/>
      </right>
      <top/>
      <bottom style="double">
        <color indexed="64"/>
      </bottom>
      <diagonal/>
    </border>
    <border>
      <left style="medium">
        <color indexed="64"/>
      </left>
      <right style="dashed">
        <color indexed="64"/>
      </right>
      <top/>
      <bottom style="double">
        <color indexed="64"/>
      </bottom>
      <diagonal/>
    </border>
    <border>
      <left style="dashed">
        <color indexed="64"/>
      </left>
      <right style="thin">
        <color indexed="64"/>
      </right>
      <top/>
      <bottom style="double">
        <color indexed="64"/>
      </bottom>
      <diagonal/>
    </border>
    <border>
      <left style="thin">
        <color indexed="64"/>
      </left>
      <right style="dashed">
        <color indexed="64"/>
      </right>
      <top/>
      <bottom style="double">
        <color indexed="64"/>
      </bottom>
      <diagonal/>
    </border>
    <border>
      <left style="thin">
        <color indexed="64"/>
      </left>
      <right style="medium">
        <color indexed="64"/>
      </right>
      <top style="double">
        <color auto="1"/>
      </top>
      <bottom style="hair">
        <color indexed="64"/>
      </bottom>
      <diagonal/>
    </border>
    <border>
      <left/>
      <right style="dashed">
        <color indexed="64"/>
      </right>
      <top style="double">
        <color indexed="64"/>
      </top>
      <bottom style="hair">
        <color auto="1"/>
      </bottom>
      <diagonal/>
    </border>
    <border>
      <left style="dashed">
        <color indexed="64"/>
      </left>
      <right style="thin">
        <color indexed="64"/>
      </right>
      <top style="double">
        <color auto="1"/>
      </top>
      <bottom style="hair">
        <color indexed="64"/>
      </bottom>
      <diagonal/>
    </border>
    <border>
      <left style="thin">
        <color indexed="64"/>
      </left>
      <right style="dashed">
        <color indexed="64"/>
      </right>
      <top style="double">
        <color auto="1"/>
      </top>
      <bottom style="hair">
        <color indexed="64"/>
      </bottom>
      <diagonal/>
    </border>
    <border>
      <left style="medium">
        <color auto="1"/>
      </left>
      <right style="thin">
        <color indexed="64"/>
      </right>
      <top/>
      <bottom style="double">
        <color auto="1"/>
      </bottom>
      <diagonal/>
    </border>
    <border>
      <left style="thin">
        <color indexed="64"/>
      </left>
      <right style="dashed">
        <color indexed="64"/>
      </right>
      <top style="hair">
        <color indexed="64"/>
      </top>
      <bottom style="double">
        <color indexed="64"/>
      </bottom>
      <diagonal/>
    </border>
    <border>
      <left style="dashed">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style="medium">
        <color auto="1"/>
      </left>
      <right/>
      <top style="double">
        <color auto="1"/>
      </top>
      <bottom/>
      <diagonal/>
    </border>
    <border>
      <left style="thin">
        <color indexed="64"/>
      </left>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dashed">
        <color indexed="64"/>
      </right>
      <top style="double">
        <color auto="1"/>
      </top>
      <bottom/>
      <diagonal/>
    </border>
    <border>
      <left style="dashed">
        <color indexed="64"/>
      </left>
      <right style="thin">
        <color indexed="64"/>
      </right>
      <top style="double">
        <color auto="1"/>
      </top>
      <bottom/>
      <diagonal/>
    </border>
    <border>
      <left style="medium">
        <color indexed="64"/>
      </left>
      <right style="dashed">
        <color indexed="64"/>
      </right>
      <top style="hair">
        <color indexed="64"/>
      </top>
      <bottom style="thin">
        <color indexed="64"/>
      </bottom>
      <diagonal/>
    </border>
    <border>
      <left style="thin">
        <color indexed="64"/>
      </left>
      <right/>
      <top/>
      <bottom style="medium">
        <color indexed="64"/>
      </bottom>
      <diagonal/>
    </border>
    <border>
      <left/>
      <right style="double">
        <color indexed="64"/>
      </right>
      <top style="hair">
        <color indexed="64"/>
      </top>
      <bottom style="hair">
        <color indexed="64"/>
      </bottom>
      <diagonal/>
    </border>
    <border>
      <left/>
      <right style="double">
        <color indexed="64"/>
      </right>
      <top style="thin">
        <color indexed="64"/>
      </top>
      <bottom style="hair">
        <color indexed="64"/>
      </bottom>
      <diagonal/>
    </border>
    <border>
      <left style="thin">
        <color indexed="64"/>
      </left>
      <right style="double">
        <color indexed="64"/>
      </right>
      <top style="thin">
        <color indexed="64"/>
      </top>
      <bottom/>
      <diagonal/>
    </border>
    <border>
      <left style="double">
        <color indexed="64"/>
      </left>
      <right style="thin">
        <color indexed="64"/>
      </right>
      <top style="thin">
        <color indexed="64"/>
      </top>
      <bottom style="hair">
        <color indexed="64"/>
      </bottom>
      <diagonal/>
    </border>
    <border>
      <left style="double">
        <color indexed="64"/>
      </left>
      <right style="thin">
        <color indexed="64"/>
      </right>
      <top/>
      <bottom style="hair">
        <color indexed="64"/>
      </bottom>
      <diagonal/>
    </border>
  </borders>
  <cellStyleXfs count="155">
    <xf numFmtId="0" fontId="0" fillId="0" borderId="0" applyBorder="0"/>
    <xf numFmtId="6" fontId="2" fillId="0" borderId="0" applyFont="0" applyFill="0" applyBorder="0" applyAlignment="0" applyProtection="0"/>
    <xf numFmtId="0" fontId="9" fillId="0" borderId="0">
      <alignment vertical="center"/>
    </xf>
    <xf numFmtId="0" fontId="9" fillId="0" borderId="0">
      <alignment vertical="center"/>
    </xf>
    <xf numFmtId="0" fontId="9" fillId="0" borderId="0"/>
    <xf numFmtId="0" fontId="2" fillId="0" borderId="0"/>
    <xf numFmtId="0" fontId="2" fillId="0" borderId="0"/>
    <xf numFmtId="0" fontId="2" fillId="0" borderId="0">
      <alignment vertical="center"/>
    </xf>
    <xf numFmtId="183" fontId="32" fillId="0" borderId="0" applyFill="0" applyBorder="0" applyAlignment="0"/>
    <xf numFmtId="38" fontId="33" fillId="5" borderId="0" applyNumberFormat="0" applyBorder="0" applyAlignment="0" applyProtection="0"/>
    <xf numFmtId="0" fontId="34" fillId="0" borderId="39" applyNumberFormat="0" applyAlignment="0" applyProtection="0">
      <alignment horizontal="left" vertical="center"/>
    </xf>
    <xf numFmtId="0" fontId="34" fillId="0" borderId="19">
      <alignment horizontal="left" vertical="center"/>
    </xf>
    <xf numFmtId="10" fontId="33" fillId="6" borderId="2" applyNumberFormat="0" applyBorder="0" applyAlignment="0" applyProtection="0"/>
    <xf numFmtId="38" fontId="35" fillId="0" borderId="0"/>
    <xf numFmtId="38" fontId="36" fillId="1" borderId="9"/>
    <xf numFmtId="184" fontId="37" fillId="0" borderId="0"/>
    <xf numFmtId="0" fontId="38" fillId="0" borderId="0"/>
    <xf numFmtId="0" fontId="38" fillId="0" borderId="0"/>
    <xf numFmtId="10" fontId="38" fillId="0" borderId="0" applyFont="0" applyFill="0" applyBorder="0" applyAlignment="0" applyProtection="0"/>
    <xf numFmtId="38" fontId="35" fillId="0" borderId="6"/>
    <xf numFmtId="0" fontId="39" fillId="5" borderId="0">
      <alignment horizontal="center"/>
    </xf>
    <xf numFmtId="9" fontId="2" fillId="0" borderId="0" applyFont="0" applyFill="0" applyBorder="0" applyAlignment="0" applyProtection="0"/>
    <xf numFmtId="38" fontId="2" fillId="0" borderId="0" applyFont="0" applyFill="0" applyBorder="0" applyAlignment="0" applyProtection="0"/>
    <xf numFmtId="38"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0" fontId="2" fillId="0" borderId="0"/>
    <xf numFmtId="0" fontId="2" fillId="0" borderId="0"/>
    <xf numFmtId="0" fontId="2" fillId="0" borderId="0"/>
    <xf numFmtId="0" fontId="40" fillId="0" borderId="0">
      <alignment vertical="center"/>
    </xf>
    <xf numFmtId="0" fontId="2" fillId="0" borderId="0"/>
    <xf numFmtId="0" fontId="2" fillId="0" borderId="0"/>
    <xf numFmtId="0" fontId="2" fillId="0" borderId="0" applyBorder="0"/>
    <xf numFmtId="0" fontId="2" fillId="0" borderId="0" applyBorder="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0" fontId="1" fillId="0" borderId="0">
      <alignment vertical="center"/>
    </xf>
    <xf numFmtId="0" fontId="1" fillId="0" borderId="0">
      <alignment vertical="center"/>
    </xf>
    <xf numFmtId="0" fontId="40" fillId="0" borderId="0">
      <alignment vertical="center"/>
    </xf>
    <xf numFmtId="0" fontId="2" fillId="0" borderId="0">
      <alignment vertical="center"/>
    </xf>
    <xf numFmtId="0" fontId="2" fillId="0" borderId="0">
      <alignment vertical="center"/>
    </xf>
    <xf numFmtId="0" fontId="2" fillId="0" borderId="0">
      <alignment vertical="center"/>
    </xf>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xf numFmtId="6" fontId="2" fillId="0" borderId="0" applyFont="0" applyFill="0" applyBorder="0" applyAlignment="0" applyProtection="0"/>
  </cellStyleXfs>
  <cellXfs count="1331">
    <xf numFmtId="0" fontId="0" fillId="0" borderId="0" xfId="0"/>
    <xf numFmtId="0" fontId="9" fillId="0" borderId="1" xfId="0" applyFont="1" applyBorder="1"/>
    <xf numFmtId="0" fontId="6" fillId="0" borderId="1" xfId="0" applyFont="1" applyBorder="1"/>
    <xf numFmtId="0" fontId="9" fillId="0" borderId="0" xfId="0" applyFont="1"/>
    <xf numFmtId="0" fontId="6" fillId="0" borderId="0" xfId="0" applyFont="1"/>
    <xf numFmtId="0" fontId="5" fillId="0" borderId="0" xfId="0" applyFont="1" applyAlignment="1">
      <alignment vertical="center"/>
    </xf>
    <xf numFmtId="0" fontId="4" fillId="2" borderId="2" xfId="0" applyFont="1" applyFill="1" applyBorder="1" applyAlignment="1">
      <alignment horizontal="center" vertical="center"/>
    </xf>
    <xf numFmtId="0" fontId="5" fillId="0" borderId="0" xfId="0" applyFont="1" applyAlignment="1">
      <alignment horizontal="center" vertical="center"/>
    </xf>
    <xf numFmtId="0" fontId="4" fillId="2" borderId="2" xfId="1" applyNumberFormat="1" applyFont="1" applyFill="1" applyBorder="1" applyAlignment="1">
      <alignment horizontal="center" vertical="center"/>
    </xf>
    <xf numFmtId="0" fontId="4" fillId="0" borderId="0" xfId="0" applyFont="1" applyAlignment="1">
      <alignment horizontal="distributed" vertical="center"/>
    </xf>
    <xf numFmtId="0" fontId="9" fillId="0" borderId="1" xfId="0" applyFont="1" applyBorder="1" applyAlignment="1">
      <alignment vertical="center"/>
    </xf>
    <xf numFmtId="0" fontId="6" fillId="0" borderId="1" xfId="0" applyFont="1" applyBorder="1" applyAlignment="1">
      <alignment vertical="center"/>
    </xf>
    <xf numFmtId="0" fontId="9" fillId="0" borderId="0" xfId="0" applyFont="1" applyAlignment="1">
      <alignment vertical="center"/>
    </xf>
    <xf numFmtId="0" fontId="6" fillId="0" borderId="0" xfId="0" applyFont="1" applyAlignment="1">
      <alignment vertical="center"/>
    </xf>
    <xf numFmtId="49" fontId="15" fillId="0" borderId="7" xfId="0" applyNumberFormat="1" applyFont="1" applyBorder="1" applyAlignment="1">
      <alignment horizontal="center" vertical="center" shrinkToFit="1"/>
    </xf>
    <xf numFmtId="49" fontId="5" fillId="0" borderId="0" xfId="0" applyNumberFormat="1" applyFont="1" applyBorder="1" applyAlignment="1">
      <alignment horizontal="center" vertical="center" shrinkToFit="1"/>
    </xf>
    <xf numFmtId="49" fontId="15" fillId="0" borderId="8" xfId="0" applyNumberFormat="1" applyFont="1" applyBorder="1" applyAlignment="1">
      <alignment horizontal="center" vertical="center" shrinkToFit="1"/>
    </xf>
    <xf numFmtId="49" fontId="5" fillId="0" borderId="9" xfId="0" applyNumberFormat="1" applyFont="1" applyBorder="1" applyAlignment="1">
      <alignment horizontal="center" vertical="center" shrinkToFit="1"/>
    </xf>
    <xf numFmtId="0" fontId="4" fillId="0" borderId="0" xfId="0" applyFont="1" applyAlignment="1" applyProtection="1">
      <alignment vertical="center"/>
      <protection locked="0"/>
    </xf>
    <xf numFmtId="0" fontId="4" fillId="0" borderId="0" xfId="0" applyFont="1" applyBorder="1" applyAlignment="1">
      <alignment vertical="center"/>
    </xf>
    <xf numFmtId="0" fontId="4" fillId="0" borderId="0" xfId="0" applyFont="1"/>
    <xf numFmtId="0" fontId="4" fillId="0" borderId="0" xfId="0" applyFont="1" applyAlignment="1">
      <alignment vertical="center"/>
    </xf>
    <xf numFmtId="6" fontId="4" fillId="0" borderId="0" xfId="1" applyFont="1" applyFill="1" applyBorder="1" applyAlignment="1">
      <alignment vertical="center"/>
    </xf>
    <xf numFmtId="0" fontId="4" fillId="0" borderId="0" xfId="0" applyFont="1" applyBorder="1" applyAlignment="1">
      <alignment horizontal="center" vertical="center"/>
    </xf>
    <xf numFmtId="6" fontId="4" fillId="0" borderId="0" xfId="1" applyFont="1" applyBorder="1" applyAlignment="1">
      <alignment vertical="center"/>
    </xf>
    <xf numFmtId="0" fontId="4" fillId="0" borderId="0" xfId="0" quotePrefix="1" applyFont="1" applyBorder="1" applyAlignment="1">
      <alignment vertical="center"/>
    </xf>
    <xf numFmtId="0" fontId="16" fillId="0" borderId="0" xfId="0" applyFont="1" applyBorder="1" applyAlignment="1">
      <alignment vertical="center"/>
    </xf>
    <xf numFmtId="0" fontId="18" fillId="0" borderId="0" xfId="0" applyFont="1" applyBorder="1" applyAlignment="1" applyProtection="1">
      <alignment vertical="center"/>
      <protection hidden="1"/>
    </xf>
    <xf numFmtId="0" fontId="18" fillId="0" borderId="0" xfId="0" applyFont="1" applyBorder="1" applyAlignment="1" applyProtection="1">
      <alignment horizontal="distributed" vertical="center"/>
      <protection hidden="1"/>
    </xf>
    <xf numFmtId="0" fontId="4" fillId="0" borderId="0" xfId="0" applyFont="1" applyBorder="1" applyAlignment="1" applyProtection="1">
      <alignment vertical="center"/>
      <protection locked="0"/>
    </xf>
    <xf numFmtId="179" fontId="4" fillId="0" borderId="0" xfId="0" applyNumberFormat="1" applyFont="1" applyBorder="1" applyAlignment="1" applyProtection="1">
      <alignment horizontal="center" vertical="center"/>
      <protection locked="0"/>
    </xf>
    <xf numFmtId="0" fontId="4" fillId="0" borderId="0" xfId="0" applyFont="1" applyBorder="1"/>
    <xf numFmtId="0" fontId="19" fillId="0" borderId="0" xfId="0" applyFont="1" applyBorder="1" applyAlignment="1">
      <alignment vertical="center"/>
    </xf>
    <xf numFmtId="31" fontId="4" fillId="0" borderId="0" xfId="0" applyNumberFormat="1" applyFont="1" applyAlignment="1" applyProtection="1">
      <alignment vertical="center"/>
      <protection locked="0"/>
    </xf>
    <xf numFmtId="0" fontId="4" fillId="0" borderId="0" xfId="0" applyFont="1" applyBorder="1" applyAlignment="1" applyProtection="1">
      <alignment horizontal="center" vertical="center"/>
      <protection locked="0"/>
    </xf>
    <xf numFmtId="49" fontId="4" fillId="0" borderId="0" xfId="0" applyNumberFormat="1" applyFont="1" applyBorder="1" applyAlignment="1">
      <alignment vertical="center"/>
    </xf>
    <xf numFmtId="0" fontId="2" fillId="0" borderId="0" xfId="0" applyFont="1"/>
    <xf numFmtId="0" fontId="4" fillId="0" borderId="2" xfId="0" applyFont="1" applyBorder="1" applyAlignment="1">
      <alignment horizontal="center" vertical="center" shrinkToFit="1"/>
    </xf>
    <xf numFmtId="0" fontId="2" fillId="0" borderId="0" xfId="0" applyFont="1" applyBorder="1"/>
    <xf numFmtId="0" fontId="5" fillId="0" borderId="9" xfId="0" applyFont="1" applyBorder="1" applyAlignment="1">
      <alignment vertical="center"/>
    </xf>
    <xf numFmtId="0" fontId="0" fillId="0" borderId="0" xfId="0" applyBorder="1" applyAlignment="1" applyProtection="1">
      <alignment vertical="center"/>
      <protection locked="0"/>
    </xf>
    <xf numFmtId="0" fontId="5" fillId="0" borderId="0" xfId="0" applyFont="1" applyBorder="1" applyAlignment="1">
      <alignment vertical="center"/>
    </xf>
    <xf numFmtId="178" fontId="13" fillId="0" borderId="0" xfId="0" applyNumberFormat="1" applyFont="1" applyBorder="1" applyAlignment="1">
      <alignment horizontal="center" vertical="center"/>
    </xf>
    <xf numFmtId="6" fontId="4" fillId="0" borderId="0" xfId="1" applyFont="1" applyBorder="1" applyAlignment="1">
      <alignment horizontal="center" vertical="center" shrinkToFit="1"/>
    </xf>
    <xf numFmtId="0" fontId="4" fillId="0" borderId="0" xfId="0" applyFont="1" applyBorder="1" applyAlignment="1">
      <alignment horizontal="left" vertical="center" shrinkToFit="1"/>
    </xf>
    <xf numFmtId="0" fontId="13" fillId="0" borderId="5" xfId="0" quotePrefix="1"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9" xfId="0" applyFont="1" applyBorder="1" applyAlignment="1">
      <alignment horizontal="center" vertical="center" shrinkToFit="1"/>
    </xf>
    <xf numFmtId="0" fontId="20" fillId="0" borderId="0" xfId="0" applyFont="1" applyAlignment="1">
      <alignment vertical="center"/>
    </xf>
    <xf numFmtId="0" fontId="9" fillId="0" borderId="0" xfId="0" applyFont="1" applyBorder="1" applyAlignment="1" applyProtection="1">
      <alignment vertical="center"/>
      <protection locked="0"/>
    </xf>
    <xf numFmtId="0" fontId="9" fillId="0" borderId="0" xfId="0" applyFont="1" applyBorder="1" applyAlignment="1" applyProtection="1">
      <alignment horizontal="center" vertical="center"/>
      <protection locked="0"/>
    </xf>
    <xf numFmtId="0" fontId="14" fillId="0" borderId="7" xfId="0" quotePrefix="1" applyFont="1" applyBorder="1" applyAlignment="1">
      <alignment vertical="center"/>
    </xf>
    <xf numFmtId="0" fontId="14" fillId="0" borderId="0" xfId="0" quotePrefix="1" applyFont="1" applyBorder="1" applyAlignment="1">
      <alignment vertical="center"/>
    </xf>
    <xf numFmtId="0" fontId="5" fillId="0" borderId="0" xfId="0" quotePrefix="1" applyFont="1" applyBorder="1" applyAlignment="1">
      <alignment vertical="center"/>
    </xf>
    <xf numFmtId="49" fontId="5" fillId="0" borderId="0" xfId="0" applyNumberFormat="1" applyFont="1" applyBorder="1" applyAlignment="1">
      <alignment horizontal="left" vertical="center"/>
    </xf>
    <xf numFmtId="0" fontId="9" fillId="0" borderId="0" xfId="0" applyFont="1" applyBorder="1"/>
    <xf numFmtId="0" fontId="5" fillId="3" borderId="7" xfId="0" applyFont="1" applyFill="1" applyBorder="1" applyAlignment="1">
      <alignment vertical="center" shrinkToFit="1"/>
    </xf>
    <xf numFmtId="0" fontId="0" fillId="0" borderId="12" xfId="0" applyBorder="1" applyAlignment="1">
      <alignment horizontal="center" vertical="center" shrinkToFit="1"/>
    </xf>
    <xf numFmtId="0" fontId="4" fillId="0" borderId="31" xfId="0" applyFont="1" applyBorder="1" applyAlignment="1">
      <alignment vertical="center"/>
    </xf>
    <xf numFmtId="0" fontId="4" fillId="0" borderId="31" xfId="0" applyFont="1" applyBorder="1"/>
    <xf numFmtId="0" fontId="4" fillId="0" borderId="33" xfId="0" applyFont="1" applyBorder="1"/>
    <xf numFmtId="0" fontId="4" fillId="0" borderId="31" xfId="0" applyFont="1" applyBorder="1" applyAlignment="1" applyProtection="1">
      <alignment vertical="center"/>
      <protection locked="0"/>
    </xf>
    <xf numFmtId="0" fontId="4" fillId="0" borderId="33" xfId="0" applyFont="1" applyBorder="1" applyAlignment="1" applyProtection="1">
      <alignment vertical="center"/>
      <protection locked="0"/>
    </xf>
    <xf numFmtId="0" fontId="4" fillId="0" borderId="33" xfId="0" applyFont="1" applyBorder="1" applyAlignment="1" applyProtection="1">
      <alignment horizontal="center" vertical="center"/>
      <protection locked="0"/>
    </xf>
    <xf numFmtId="0" fontId="4" fillId="0" borderId="33" xfId="0" applyFont="1" applyBorder="1" applyAlignment="1">
      <alignment vertical="center"/>
    </xf>
    <xf numFmtId="0" fontId="20" fillId="0" borderId="31" xfId="0" applyFont="1" applyBorder="1" applyAlignment="1" applyProtection="1">
      <alignment vertical="center"/>
      <protection locked="0"/>
    </xf>
    <xf numFmtId="0" fontId="4" fillId="0" borderId="31" xfId="0" applyFont="1" applyBorder="1" applyAlignment="1" applyProtection="1">
      <alignment horizontal="center" vertical="center"/>
      <protection locked="0"/>
    </xf>
    <xf numFmtId="0" fontId="4" fillId="0" borderId="5" xfId="0" applyFont="1" applyBorder="1" applyAlignment="1">
      <alignment vertical="center"/>
    </xf>
    <xf numFmtId="0" fontId="4" fillId="0" borderId="6" xfId="0" applyFont="1" applyBorder="1" applyAlignment="1">
      <alignment vertical="center"/>
    </xf>
    <xf numFmtId="0" fontId="4" fillId="0" borderId="6" xfId="0" applyFont="1" applyBorder="1"/>
    <xf numFmtId="0" fontId="4" fillId="0" borderId="21" xfId="0" applyFont="1" applyBorder="1"/>
    <xf numFmtId="0" fontId="4" fillId="0" borderId="7" xfId="0" applyFont="1" applyBorder="1"/>
    <xf numFmtId="0" fontId="4" fillId="0" borderId="18" xfId="0" applyFont="1" applyBorder="1"/>
    <xf numFmtId="0" fontId="4" fillId="0" borderId="30" xfId="0" applyFont="1" applyBorder="1"/>
    <xf numFmtId="0" fontId="4" fillId="0" borderId="32" xfId="0" applyFont="1" applyBorder="1"/>
    <xf numFmtId="0" fontId="4" fillId="0" borderId="20" xfId="0" applyFont="1" applyBorder="1"/>
    <xf numFmtId="0" fontId="4" fillId="0" borderId="34" xfId="0" applyFont="1" applyBorder="1"/>
    <xf numFmtId="0" fontId="4" fillId="0" borderId="8" xfId="0" applyFont="1" applyBorder="1"/>
    <xf numFmtId="0" fontId="4" fillId="0" borderId="9" xfId="0" applyFont="1" applyBorder="1"/>
    <xf numFmtId="0" fontId="4" fillId="0" borderId="22" xfId="0" applyFont="1" applyBorder="1"/>
    <xf numFmtId="0" fontId="20" fillId="0" borderId="0" xfId="0" applyFont="1" applyBorder="1" applyAlignment="1">
      <alignment vertical="center"/>
    </xf>
    <xf numFmtId="0" fontId="9" fillId="0" borderId="1" xfId="0" applyFont="1" applyBorder="1" applyAlignment="1">
      <alignment horizontal="center"/>
    </xf>
    <xf numFmtId="0" fontId="9" fillId="0" borderId="0" xfId="0" applyFont="1" applyAlignment="1">
      <alignment horizontal="center"/>
    </xf>
    <xf numFmtId="49" fontId="29" fillId="0" borderId="5" xfId="0" applyNumberFormat="1" applyFont="1" applyBorder="1" applyAlignment="1">
      <alignment horizontal="left" vertical="top" wrapText="1" shrinkToFit="1"/>
    </xf>
    <xf numFmtId="49" fontId="29" fillId="0" borderId="6" xfId="0" applyNumberFormat="1" applyFont="1" applyBorder="1" applyAlignment="1">
      <alignment horizontal="left" vertical="top" shrinkToFit="1"/>
    </xf>
    <xf numFmtId="49" fontId="29" fillId="0" borderId="21" xfId="0" applyNumberFormat="1" applyFont="1" applyBorder="1" applyAlignment="1">
      <alignment horizontal="left" vertical="top" shrinkToFit="1"/>
    </xf>
    <xf numFmtId="49" fontId="29" fillId="0" borderId="7" xfId="0" applyNumberFormat="1" applyFont="1" applyBorder="1" applyAlignment="1">
      <alignment horizontal="left" vertical="top" shrinkToFit="1"/>
    </xf>
    <xf numFmtId="49" fontId="29" fillId="0" borderId="0" xfId="0" applyNumberFormat="1" applyFont="1" applyBorder="1" applyAlignment="1">
      <alignment horizontal="left" vertical="top" shrinkToFit="1"/>
    </xf>
    <xf numFmtId="49" fontId="29" fillId="0" borderId="18" xfId="0" applyNumberFormat="1" applyFont="1" applyBorder="1" applyAlignment="1">
      <alignment horizontal="left" vertical="top" shrinkToFit="1"/>
    </xf>
    <xf numFmtId="49" fontId="29" fillId="0" borderId="8" xfId="0" applyNumberFormat="1" applyFont="1" applyBorder="1" applyAlignment="1">
      <alignment horizontal="left" vertical="top" shrinkToFit="1"/>
    </xf>
    <xf numFmtId="49" fontId="29" fillId="0" borderId="9" xfId="0" applyNumberFormat="1" applyFont="1" applyBorder="1" applyAlignment="1">
      <alignment horizontal="left" vertical="top" shrinkToFit="1"/>
    </xf>
    <xf numFmtId="49" fontId="29" fillId="0" borderId="22" xfId="0" applyNumberFormat="1" applyFont="1" applyBorder="1" applyAlignment="1">
      <alignment horizontal="left" vertical="top" shrinkToFit="1"/>
    </xf>
    <xf numFmtId="0" fontId="2" fillId="0" borderId="8" xfId="0" applyFont="1" applyBorder="1" applyAlignment="1">
      <alignment vertical="center" shrinkToFit="1"/>
    </xf>
    <xf numFmtId="0" fontId="2" fillId="0" borderId="0" xfId="0" applyFont="1" applyBorder="1" applyAlignment="1">
      <alignment vertical="center" shrinkToFit="1"/>
    </xf>
    <xf numFmtId="0" fontId="13" fillId="0" borderId="0" xfId="0" applyFont="1" applyBorder="1" applyAlignment="1">
      <alignment horizontal="center" vertical="center" shrinkToFit="1"/>
    </xf>
    <xf numFmtId="0" fontId="2" fillId="0" borderId="0" xfId="0" applyFont="1" applyBorder="1" applyAlignment="1">
      <alignment horizontal="left" vertical="center" shrinkToFit="1"/>
    </xf>
    <xf numFmtId="0" fontId="0" fillId="0" borderId="0" xfId="0" applyAlignment="1">
      <alignment vertical="center" wrapText="1"/>
    </xf>
    <xf numFmtId="0" fontId="2" fillId="0" borderId="21" xfId="0" applyFont="1" applyBorder="1"/>
    <xf numFmtId="0" fontId="2" fillId="0" borderId="22" xfId="0" applyFont="1" applyBorder="1"/>
    <xf numFmtId="0" fontId="4" fillId="0" borderId="0" xfId="0" applyFont="1" applyBorder="1" applyAlignment="1" applyProtection="1">
      <alignment horizontal="left" vertical="center"/>
      <protection locked="0"/>
    </xf>
    <xf numFmtId="56" fontId="4" fillId="0" borderId="0" xfId="0" applyNumberFormat="1" applyFont="1" applyBorder="1" applyAlignment="1" applyProtection="1">
      <alignment horizontal="left" vertical="center"/>
      <protection locked="0"/>
    </xf>
    <xf numFmtId="0" fontId="0" fillId="0" borderId="0" xfId="0" applyAlignment="1">
      <alignment vertical="center"/>
    </xf>
    <xf numFmtId="0" fontId="0" fillId="0" borderId="2" xfId="0" applyBorder="1" applyAlignment="1">
      <alignment horizontal="center" vertical="center" shrinkToFit="1"/>
    </xf>
    <xf numFmtId="0" fontId="5" fillId="0" borderId="10" xfId="0" applyFont="1" applyBorder="1" applyAlignment="1">
      <alignment horizontal="center" vertical="center" shrinkToFit="1"/>
    </xf>
    <xf numFmtId="0" fontId="0" fillId="0" borderId="18" xfId="0" applyBorder="1"/>
    <xf numFmtId="55" fontId="0" fillId="0" borderId="12" xfId="0" applyNumberFormat="1" applyBorder="1" applyAlignment="1">
      <alignment horizontal="center" vertical="center" shrinkToFit="1"/>
    </xf>
    <xf numFmtId="0" fontId="0" fillId="0" borderId="6" xfId="0" applyBorder="1" applyAlignment="1">
      <alignment vertical="center" shrinkToFit="1"/>
    </xf>
    <xf numFmtId="0" fontId="2" fillId="0" borderId="6" xfId="0" applyFont="1" applyBorder="1" applyAlignment="1">
      <alignment vertical="center" shrinkToFit="1"/>
    </xf>
    <xf numFmtId="0" fontId="4" fillId="0" borderId="0" xfId="0" applyFont="1" applyBorder="1" applyAlignment="1">
      <alignment horizontal="left" vertical="center"/>
    </xf>
    <xf numFmtId="0" fontId="43" fillId="0" borderId="7" xfId="0" applyFont="1" applyBorder="1" applyAlignment="1">
      <alignment horizontal="left"/>
    </xf>
    <xf numFmtId="0" fontId="43" fillId="0" borderId="0" xfId="0" applyFont="1" applyBorder="1" applyAlignment="1">
      <alignment horizontal="left"/>
    </xf>
    <xf numFmtId="0" fontId="43" fillId="0" borderId="18" xfId="0" applyFont="1" applyBorder="1" applyAlignment="1">
      <alignment horizontal="left"/>
    </xf>
    <xf numFmtId="0" fontId="11" fillId="0" borderId="7" xfId="0" applyFont="1" applyBorder="1" applyAlignment="1">
      <alignment horizontal="center" vertical="center"/>
    </xf>
    <xf numFmtId="0" fontId="11" fillId="0" borderId="0" xfId="0" applyFont="1" applyBorder="1" applyAlignment="1">
      <alignment horizontal="center" vertical="center"/>
    </xf>
    <xf numFmtId="56" fontId="4" fillId="0" borderId="0" xfId="0" applyNumberFormat="1" applyFont="1" applyBorder="1" applyAlignment="1">
      <alignment vertical="center"/>
    </xf>
    <xf numFmtId="0" fontId="2" fillId="0" borderId="0" xfId="6"/>
    <xf numFmtId="0" fontId="45" fillId="0" borderId="0" xfId="6" applyFont="1"/>
    <xf numFmtId="0" fontId="46" fillId="0" borderId="0" xfId="6" applyFont="1"/>
    <xf numFmtId="0" fontId="2" fillId="0" borderId="0" xfId="66" applyAlignment="1">
      <alignment horizontal="centerContinuous"/>
    </xf>
    <xf numFmtId="0" fontId="47" fillId="0" borderId="0" xfId="66" quotePrefix="1" applyFont="1" applyAlignment="1">
      <alignment horizontal="left"/>
    </xf>
    <xf numFmtId="0" fontId="28" fillId="0" borderId="0" xfId="66" applyFont="1" applyAlignment="1">
      <alignment horizontal="center"/>
    </xf>
    <xf numFmtId="188" fontId="2" fillId="0" borderId="0" xfId="66" applyNumberFormat="1" applyAlignment="1">
      <alignment horizontal="centerContinuous"/>
    </xf>
    <xf numFmtId="188" fontId="48" fillId="0" borderId="0" xfId="66" applyNumberFormat="1" applyFont="1" applyAlignment="1">
      <alignment shrinkToFit="1"/>
    </xf>
    <xf numFmtId="0" fontId="2" fillId="0" borderId="0" xfId="66"/>
    <xf numFmtId="0" fontId="49" fillId="0" borderId="0" xfId="67" applyFont="1" applyAlignment="1">
      <alignment horizontal="center"/>
    </xf>
    <xf numFmtId="0" fontId="2" fillId="2" borderId="41" xfId="6" applyFill="1" applyBorder="1" applyAlignment="1">
      <alignment horizontal="center" vertical="center"/>
    </xf>
    <xf numFmtId="0" fontId="2" fillId="2" borderId="47" xfId="6" applyFill="1" applyBorder="1" applyAlignment="1">
      <alignment horizontal="center" vertical="center"/>
    </xf>
    <xf numFmtId="0" fontId="2" fillId="2" borderId="48" xfId="6" applyFill="1" applyBorder="1" applyAlignment="1">
      <alignment horizontal="center" vertical="center"/>
    </xf>
    <xf numFmtId="0" fontId="2" fillId="2" borderId="49" xfId="6" applyFill="1" applyBorder="1" applyAlignment="1">
      <alignment horizontal="center" vertical="center"/>
    </xf>
    <xf numFmtId="0" fontId="2" fillId="2" borderId="50" xfId="6" applyFill="1" applyBorder="1" applyAlignment="1">
      <alignment horizontal="center" vertical="center"/>
    </xf>
    <xf numFmtId="0" fontId="2" fillId="2" borderId="46" xfId="6" applyFill="1" applyBorder="1" applyAlignment="1">
      <alignment horizontal="center" vertical="center"/>
    </xf>
    <xf numFmtId="0" fontId="2" fillId="0" borderId="45" xfId="6" applyBorder="1" applyAlignment="1">
      <alignment horizontal="left" vertical="center" shrinkToFit="1"/>
    </xf>
    <xf numFmtId="0" fontId="5" fillId="0" borderId="51" xfId="6" applyFont="1" applyBorder="1" applyAlignment="1">
      <alignment horizontal="center" vertical="center" shrinkToFit="1"/>
    </xf>
    <xf numFmtId="49" fontId="45" fillId="0" borderId="52" xfId="6" applyNumberFormat="1" applyFont="1" applyBorder="1" applyAlignment="1">
      <alignment horizontal="center" vertical="center" shrinkToFit="1"/>
    </xf>
    <xf numFmtId="49" fontId="45" fillId="0" borderId="53" xfId="6" applyNumberFormat="1" applyFont="1" applyBorder="1" applyAlignment="1">
      <alignment horizontal="center" vertical="center" shrinkToFit="1"/>
    </xf>
    <xf numFmtId="49" fontId="45" fillId="0" borderId="54" xfId="6" applyNumberFormat="1" applyFont="1" applyBorder="1" applyAlignment="1">
      <alignment horizontal="center" vertical="center" shrinkToFit="1"/>
    </xf>
    <xf numFmtId="0" fontId="0" fillId="0" borderId="51" xfId="6" applyFont="1" applyBorder="1" applyAlignment="1">
      <alignment horizontal="left" vertical="center" shrinkToFit="1"/>
    </xf>
    <xf numFmtId="0" fontId="2" fillId="0" borderId="51" xfId="6" applyBorder="1" applyAlignment="1">
      <alignment horizontal="right" vertical="center" shrinkToFit="1"/>
    </xf>
    <xf numFmtId="0" fontId="50" fillId="0" borderId="55" xfId="6" applyFont="1" applyBorder="1" applyAlignment="1">
      <alignment horizontal="center" vertical="center"/>
    </xf>
    <xf numFmtId="0" fontId="2" fillId="0" borderId="57" xfId="6" applyBorder="1" applyAlignment="1">
      <alignment vertical="center" shrinkToFit="1"/>
    </xf>
    <xf numFmtId="0" fontId="5" fillId="0" borderId="58" xfId="6" applyFont="1" applyBorder="1" applyAlignment="1">
      <alignment horizontal="center" vertical="center" shrinkToFit="1"/>
    </xf>
    <xf numFmtId="49" fontId="45" fillId="0" borderId="59" xfId="6" applyNumberFormat="1" applyFont="1" applyBorder="1" applyAlignment="1">
      <alignment horizontal="center" vertical="center" shrinkToFit="1"/>
    </xf>
    <xf numFmtId="49" fontId="45" fillId="0" borderId="60" xfId="6" applyNumberFormat="1" applyFont="1" applyBorder="1" applyAlignment="1">
      <alignment horizontal="center" vertical="center" shrinkToFit="1"/>
    </xf>
    <xf numFmtId="49" fontId="45" fillId="0" borderId="61" xfId="6" applyNumberFormat="1" applyFont="1" applyBorder="1" applyAlignment="1">
      <alignment horizontal="center" vertical="center" shrinkToFit="1"/>
    </xf>
    <xf numFmtId="0" fontId="0" fillId="0" borderId="58" xfId="6" applyFont="1" applyBorder="1" applyAlignment="1">
      <alignment horizontal="left" vertical="center" shrinkToFit="1"/>
    </xf>
    <xf numFmtId="0" fontId="2" fillId="0" borderId="62" xfId="6" applyBorder="1" applyAlignment="1">
      <alignment vertical="center" shrinkToFit="1"/>
    </xf>
    <xf numFmtId="0" fontId="2" fillId="0" borderId="58" xfId="6" applyBorder="1" applyAlignment="1">
      <alignment vertical="center" shrinkToFit="1"/>
    </xf>
    <xf numFmtId="0" fontId="2" fillId="0" borderId="63" xfId="6" applyBorder="1" applyAlignment="1">
      <alignment vertical="center" shrinkToFit="1"/>
    </xf>
    <xf numFmtId="0" fontId="5" fillId="0" borderId="64" xfId="6" applyFont="1" applyBorder="1" applyAlignment="1">
      <alignment horizontal="center" vertical="center" shrinkToFit="1"/>
    </xf>
    <xf numFmtId="49" fontId="45" fillId="0" borderId="47" xfId="6" applyNumberFormat="1" applyFont="1" applyBorder="1" applyAlignment="1">
      <alignment horizontal="center" vertical="center" shrinkToFit="1"/>
    </xf>
    <xf numFmtId="49" fontId="45" fillId="0" borderId="65" xfId="6" applyNumberFormat="1" applyFont="1" applyBorder="1" applyAlignment="1">
      <alignment horizontal="center" vertical="center" shrinkToFit="1"/>
    </xf>
    <xf numFmtId="49" fontId="45" fillId="0" borderId="50" xfId="6" applyNumberFormat="1" applyFont="1" applyBorder="1" applyAlignment="1">
      <alignment horizontal="center" vertical="center" shrinkToFit="1"/>
    </xf>
    <xf numFmtId="0" fontId="2" fillId="0" borderId="64" xfId="6" applyBorder="1" applyAlignment="1">
      <alignment horizontal="left" vertical="center" shrinkToFit="1"/>
    </xf>
    <xf numFmtId="0" fontId="2" fillId="0" borderId="66" xfId="6" applyBorder="1" applyAlignment="1">
      <alignment horizontal="right" vertical="center" shrinkToFit="1"/>
    </xf>
    <xf numFmtId="0" fontId="50" fillId="0" borderId="0" xfId="6" applyFont="1" applyAlignment="1">
      <alignment horizontal="center" vertical="center"/>
    </xf>
    <xf numFmtId="0" fontId="0" fillId="4" borderId="9" xfId="6" applyFont="1" applyFill="1" applyBorder="1" applyAlignment="1">
      <alignment vertical="center" shrinkToFit="1"/>
    </xf>
    <xf numFmtId="0" fontId="5" fillId="0" borderId="67" xfId="6" applyFont="1" applyBorder="1" applyAlignment="1">
      <alignment horizontal="center" vertical="center" shrinkToFit="1"/>
    </xf>
    <xf numFmtId="49" fontId="45" fillId="0" borderId="68" xfId="6" applyNumberFormat="1" applyFont="1" applyBorder="1" applyAlignment="1">
      <alignment horizontal="center" vertical="center" shrinkToFit="1"/>
    </xf>
    <xf numFmtId="49" fontId="45" fillId="0" borderId="69" xfId="6" applyNumberFormat="1" applyFont="1" applyBorder="1" applyAlignment="1">
      <alignment horizontal="center" vertical="center" shrinkToFit="1"/>
    </xf>
    <xf numFmtId="49" fontId="45" fillId="0" borderId="70" xfId="6" applyNumberFormat="1" applyFont="1" applyBorder="1" applyAlignment="1">
      <alignment horizontal="center" vertical="center" shrinkToFit="1"/>
    </xf>
    <xf numFmtId="49" fontId="51" fillId="0" borderId="52" xfId="68" applyNumberFormat="1" applyFont="1" applyBorder="1" applyAlignment="1">
      <alignment horizontal="center" vertical="center" shrinkToFit="1"/>
    </xf>
    <xf numFmtId="0" fontId="0" fillId="0" borderId="67" xfId="6" applyFont="1" applyBorder="1" applyAlignment="1">
      <alignment horizontal="left" vertical="center" shrinkToFit="1"/>
    </xf>
    <xf numFmtId="0" fontId="0" fillId="0" borderId="71" xfId="6" applyFont="1" applyBorder="1" applyAlignment="1">
      <alignment vertical="center" shrinkToFit="1"/>
    </xf>
    <xf numFmtId="0" fontId="2" fillId="4" borderId="19" xfId="6" applyFill="1" applyBorder="1" applyAlignment="1">
      <alignment vertical="center" shrinkToFit="1"/>
    </xf>
    <xf numFmtId="0" fontId="2" fillId="0" borderId="58" xfId="6" applyBorder="1" applyAlignment="1">
      <alignment horizontal="left" vertical="center" shrinkToFit="1"/>
    </xf>
    <xf numFmtId="0" fontId="0" fillId="0" borderId="62" xfId="6" applyFont="1" applyBorder="1" applyAlignment="1">
      <alignment vertical="center" shrinkToFit="1"/>
    </xf>
    <xf numFmtId="0" fontId="0" fillId="4" borderId="72" xfId="6" applyFont="1" applyFill="1" applyBorder="1" applyAlignment="1">
      <alignment vertical="center" shrinkToFit="1"/>
    </xf>
    <xf numFmtId="49" fontId="45" fillId="0" borderId="9" xfId="6" applyNumberFormat="1" applyFont="1" applyBorder="1" applyAlignment="1">
      <alignment horizontal="center" vertical="center" shrinkToFit="1"/>
    </xf>
    <xf numFmtId="49" fontId="45" fillId="0" borderId="73" xfId="6" applyNumberFormat="1" applyFont="1" applyBorder="1" applyAlignment="1">
      <alignment horizontal="center" vertical="center" shrinkToFit="1"/>
    </xf>
    <xf numFmtId="49" fontId="51" fillId="0" borderId="59" xfId="68" applyNumberFormat="1" applyFont="1" applyBorder="1" applyAlignment="1">
      <alignment horizontal="center" vertical="center" shrinkToFit="1"/>
    </xf>
    <xf numFmtId="0" fontId="0" fillId="0" borderId="62" xfId="6" applyFont="1" applyBorder="1" applyAlignment="1">
      <alignment horizontal="left" vertical="center" shrinkToFit="1"/>
    </xf>
    <xf numFmtId="0" fontId="0" fillId="4" borderId="19" xfId="6" applyFont="1" applyFill="1" applyBorder="1" applyAlignment="1">
      <alignment vertical="center" shrinkToFit="1"/>
    </xf>
    <xf numFmtId="49" fontId="45" fillId="0" borderId="19" xfId="6" applyNumberFormat="1" applyFont="1" applyBorder="1" applyAlignment="1">
      <alignment horizontal="center" vertical="center" shrinkToFit="1"/>
    </xf>
    <xf numFmtId="0" fontId="5" fillId="0" borderId="75" xfId="6" applyFont="1" applyBorder="1" applyAlignment="1">
      <alignment horizontal="center" vertical="center" shrinkToFit="1"/>
    </xf>
    <xf numFmtId="49" fontId="45" fillId="0" borderId="76" xfId="6" applyNumberFormat="1" applyFont="1" applyBorder="1" applyAlignment="1">
      <alignment horizontal="center" vertical="center" shrinkToFit="1"/>
    </xf>
    <xf numFmtId="49" fontId="45" fillId="0" borderId="77" xfId="6" applyNumberFormat="1" applyFont="1" applyBorder="1" applyAlignment="1">
      <alignment horizontal="center" vertical="center" shrinkToFit="1"/>
    </xf>
    <xf numFmtId="0" fontId="0" fillId="4" borderId="20" xfId="7" applyFont="1" applyFill="1" applyBorder="1" applyAlignment="1">
      <alignment horizontal="left" vertical="center" shrinkToFit="1"/>
    </xf>
    <xf numFmtId="49" fontId="45" fillId="0" borderId="78" xfId="6" applyNumberFormat="1" applyFont="1" applyBorder="1" applyAlignment="1">
      <alignment horizontal="center" vertical="center" shrinkToFit="1"/>
    </xf>
    <xf numFmtId="0" fontId="0" fillId="0" borderId="75" xfId="6" applyFont="1" applyBorder="1" applyAlignment="1">
      <alignment horizontal="left" vertical="center" shrinkToFit="1"/>
    </xf>
    <xf numFmtId="0" fontId="0" fillId="4" borderId="45" xfId="6" applyFont="1" applyFill="1" applyBorder="1" applyAlignment="1">
      <alignment vertical="center" shrinkToFit="1"/>
    </xf>
    <xf numFmtId="0" fontId="0" fillId="0" borderId="44" xfId="6" applyFont="1" applyBorder="1" applyAlignment="1">
      <alignment horizontal="left" vertical="center" shrinkToFit="1"/>
    </xf>
    <xf numFmtId="0" fontId="0" fillId="4" borderId="55" xfId="6" applyFont="1" applyFill="1" applyBorder="1" applyAlignment="1">
      <alignment vertical="center" shrinkToFit="1"/>
    </xf>
    <xf numFmtId="0" fontId="5" fillId="0" borderId="56" xfId="6" applyFont="1" applyBorder="1" applyAlignment="1">
      <alignment horizontal="center" vertical="center" shrinkToFit="1"/>
    </xf>
    <xf numFmtId="49" fontId="45" fillId="0" borderId="80" xfId="6" applyNumberFormat="1" applyFont="1" applyBorder="1" applyAlignment="1">
      <alignment horizontal="center" vertical="center" shrinkToFit="1"/>
    </xf>
    <xf numFmtId="49" fontId="45" fillId="0" borderId="81" xfId="6" applyNumberFormat="1" applyFont="1" applyBorder="1" applyAlignment="1">
      <alignment horizontal="center" vertical="center" shrinkToFit="1"/>
    </xf>
    <xf numFmtId="0" fontId="0" fillId="0" borderId="56" xfId="6" applyFont="1" applyBorder="1" applyAlignment="1">
      <alignment horizontal="left" vertical="center" shrinkToFit="1"/>
    </xf>
    <xf numFmtId="0" fontId="0" fillId="0" borderId="82" xfId="6" applyFont="1" applyBorder="1" applyAlignment="1">
      <alignment horizontal="left" vertical="center" shrinkToFit="1"/>
    </xf>
    <xf numFmtId="0" fontId="0" fillId="4" borderId="63" xfId="6" applyFont="1" applyFill="1" applyBorder="1" applyAlignment="1">
      <alignment vertical="center" shrinkToFit="1"/>
    </xf>
    <xf numFmtId="0" fontId="0" fillId="0" borderId="64" xfId="6" applyFont="1" applyBorder="1" applyAlignment="1">
      <alignment horizontal="left" vertical="center" shrinkToFit="1"/>
    </xf>
    <xf numFmtId="0" fontId="2" fillId="0" borderId="66" xfId="6" applyBorder="1" applyAlignment="1">
      <alignment horizontal="left" vertical="center" shrinkToFit="1"/>
    </xf>
    <xf numFmtId="0" fontId="2" fillId="4" borderId="45" xfId="6" applyFill="1" applyBorder="1" applyAlignment="1">
      <alignment vertical="center" shrinkToFit="1"/>
    </xf>
    <xf numFmtId="0" fontId="0" fillId="0" borderId="44" xfId="6" applyFont="1" applyBorder="1" applyAlignment="1">
      <alignment vertical="center" shrinkToFit="1"/>
    </xf>
    <xf numFmtId="0" fontId="53" fillId="0" borderId="82" xfId="6" applyFont="1" applyBorder="1" applyAlignment="1">
      <alignment vertical="center" shrinkToFit="1"/>
    </xf>
    <xf numFmtId="0" fontId="2" fillId="0" borderId="66" xfId="6" applyBorder="1" applyAlignment="1">
      <alignment vertical="center" shrinkToFit="1"/>
    </xf>
    <xf numFmtId="0" fontId="2" fillId="4" borderId="57" xfId="6" applyFill="1" applyBorder="1" applyAlignment="1">
      <alignment vertical="center" shrinkToFit="1"/>
    </xf>
    <xf numFmtId="0" fontId="5" fillId="3" borderId="58" xfId="6" applyFont="1" applyFill="1" applyBorder="1" applyAlignment="1">
      <alignment horizontal="center" vertical="center" shrinkToFit="1"/>
    </xf>
    <xf numFmtId="0" fontId="27" fillId="0" borderId="62" xfId="6" applyFont="1" applyBorder="1" applyAlignment="1">
      <alignment horizontal="left" vertical="center" shrinkToFit="1"/>
    </xf>
    <xf numFmtId="0" fontId="2" fillId="4" borderId="63" xfId="6" applyFill="1" applyBorder="1" applyAlignment="1">
      <alignment vertical="center" shrinkToFit="1"/>
    </xf>
    <xf numFmtId="0" fontId="5" fillId="3" borderId="64" xfId="6" applyFont="1" applyFill="1" applyBorder="1" applyAlignment="1">
      <alignment horizontal="center" vertical="center" shrinkToFit="1"/>
    </xf>
    <xf numFmtId="0" fontId="0" fillId="0" borderId="66" xfId="6" applyFont="1" applyBorder="1" applyAlignment="1">
      <alignment horizontal="left" vertical="center" shrinkToFit="1"/>
    </xf>
    <xf numFmtId="49" fontId="51" fillId="0" borderId="19" xfId="68" applyNumberFormat="1" applyFont="1" applyBorder="1" applyAlignment="1">
      <alignment horizontal="center" vertical="center" shrinkToFit="1"/>
    </xf>
    <xf numFmtId="49" fontId="45" fillId="0" borderId="84" xfId="6" applyNumberFormat="1" applyFont="1" applyBorder="1" applyAlignment="1">
      <alignment horizontal="center" vertical="center" shrinkToFit="1"/>
    </xf>
    <xf numFmtId="0" fontId="0" fillId="0" borderId="85" xfId="69" applyFont="1" applyBorder="1">
      <alignment vertical="center"/>
    </xf>
    <xf numFmtId="0" fontId="2" fillId="4" borderId="86" xfId="6" applyFill="1" applyBorder="1" applyAlignment="1">
      <alignment vertical="center" shrinkToFit="1"/>
    </xf>
    <xf numFmtId="0" fontId="5" fillId="3" borderId="51" xfId="6" applyFont="1" applyFill="1" applyBorder="1" applyAlignment="1">
      <alignment horizontal="center" vertical="center" shrinkToFit="1"/>
    </xf>
    <xf numFmtId="0" fontId="0" fillId="0" borderId="51" xfId="6" applyFont="1" applyBorder="1" applyAlignment="1">
      <alignment vertical="center" shrinkToFit="1"/>
    </xf>
    <xf numFmtId="49" fontId="45" fillId="0" borderId="2" xfId="6" applyNumberFormat="1" applyFont="1" applyBorder="1" applyAlignment="1">
      <alignment horizontal="center" vertical="center" shrinkToFit="1"/>
    </xf>
    <xf numFmtId="49" fontId="45" fillId="0" borderId="88" xfId="6" applyNumberFormat="1" applyFont="1" applyBorder="1" applyAlignment="1">
      <alignment horizontal="center" vertical="center" shrinkToFit="1"/>
    </xf>
    <xf numFmtId="0" fontId="0" fillId="4" borderId="19" xfId="6" applyFont="1" applyFill="1" applyBorder="1" applyAlignment="1">
      <alignment horizontal="left" vertical="center" shrinkToFit="1"/>
    </xf>
    <xf numFmtId="0" fontId="2" fillId="4" borderId="19" xfId="6" applyFill="1" applyBorder="1" applyAlignment="1">
      <alignment horizontal="left" vertical="center" shrinkToFit="1"/>
    </xf>
    <xf numFmtId="0" fontId="2" fillId="0" borderId="19" xfId="6" applyBorder="1" applyAlignment="1">
      <alignment horizontal="left" vertical="center" shrinkToFit="1"/>
    </xf>
    <xf numFmtId="0" fontId="0" fillId="0" borderId="6" xfId="6" applyFont="1" applyBorder="1" applyAlignment="1">
      <alignment vertical="center" shrinkToFit="1"/>
    </xf>
    <xf numFmtId="49" fontId="45" fillId="0" borderId="12" xfId="6" applyNumberFormat="1" applyFont="1" applyBorder="1" applyAlignment="1">
      <alignment horizontal="center" vertical="center" shrinkToFit="1"/>
    </xf>
    <xf numFmtId="49" fontId="45" fillId="0" borderId="90" xfId="6" applyNumberFormat="1" applyFont="1" applyBorder="1" applyAlignment="1">
      <alignment horizontal="center" vertical="center" shrinkToFit="1"/>
    </xf>
    <xf numFmtId="0" fontId="0" fillId="0" borderId="75" xfId="6" applyFont="1" applyBorder="1" applyAlignment="1">
      <alignment vertical="center" shrinkToFit="1"/>
    </xf>
    <xf numFmtId="0" fontId="2" fillId="0" borderId="79" xfId="6" applyBorder="1" applyAlignment="1">
      <alignment vertical="center" shrinkToFit="1"/>
    </xf>
    <xf numFmtId="0" fontId="0" fillId="0" borderId="63" xfId="6" applyFont="1" applyBorder="1" applyAlignment="1">
      <alignment vertical="center" shrinkToFit="1"/>
    </xf>
    <xf numFmtId="49" fontId="45" fillId="0" borderId="91" xfId="6" applyNumberFormat="1" applyFont="1" applyBorder="1" applyAlignment="1">
      <alignment horizontal="center" vertical="center" shrinkToFit="1"/>
    </xf>
    <xf numFmtId="49" fontId="54" fillId="0" borderId="92" xfId="67" quotePrefix="1" applyNumberFormat="1" applyFont="1" applyBorder="1"/>
    <xf numFmtId="49" fontId="54" fillId="0" borderId="0" xfId="67" quotePrefix="1" applyNumberFormat="1" applyFont="1"/>
    <xf numFmtId="0" fontId="0" fillId="0" borderId="79" xfId="6" applyFont="1" applyBorder="1" applyAlignment="1">
      <alignment horizontal="left" vertical="center" shrinkToFit="1"/>
    </xf>
    <xf numFmtId="0" fontId="2" fillId="0" borderId="0" xfId="5"/>
    <xf numFmtId="0" fontId="28" fillId="0" borderId="0" xfId="67" applyFont="1"/>
    <xf numFmtId="0" fontId="28" fillId="0" borderId="0" xfId="5" applyFont="1"/>
    <xf numFmtId="0" fontId="2" fillId="0" borderId="0" xfId="67"/>
    <xf numFmtId="0" fontId="4" fillId="0" borderId="0" xfId="67" applyFont="1"/>
    <xf numFmtId="0" fontId="4" fillId="0" borderId="0" xfId="5" applyFont="1"/>
    <xf numFmtId="0" fontId="4" fillId="2" borderId="41" xfId="67" applyFont="1" applyFill="1" applyBorder="1"/>
    <xf numFmtId="0" fontId="4" fillId="2" borderId="46" xfId="67" applyFont="1" applyFill="1" applyBorder="1"/>
    <xf numFmtId="0" fontId="4" fillId="2" borderId="47" xfId="67" applyFont="1" applyFill="1" applyBorder="1" applyAlignment="1">
      <alignment horizontal="center" vertical="center"/>
    </xf>
    <xf numFmtId="0" fontId="4" fillId="2" borderId="48" xfId="67" applyFont="1" applyFill="1" applyBorder="1" applyAlignment="1">
      <alignment horizontal="center" vertical="center"/>
    </xf>
    <xf numFmtId="0" fontId="4" fillId="2" borderId="49" xfId="67" applyFont="1" applyFill="1" applyBorder="1" applyAlignment="1">
      <alignment horizontal="center" vertical="center"/>
    </xf>
    <xf numFmtId="0" fontId="4" fillId="2" borderId="50" xfId="67" applyFont="1" applyFill="1" applyBorder="1" applyAlignment="1">
      <alignment horizontal="center" vertical="center"/>
    </xf>
    <xf numFmtId="0" fontId="4" fillId="2" borderId="66" xfId="67" applyFont="1" applyFill="1" applyBorder="1" applyAlignment="1">
      <alignment horizontal="center" vertical="center"/>
    </xf>
    <xf numFmtId="0" fontId="4" fillId="4" borderId="99" xfId="67" applyFont="1" applyFill="1" applyBorder="1" applyAlignment="1">
      <alignment vertical="center"/>
    </xf>
    <xf numFmtId="0" fontId="4" fillId="0" borderId="58" xfId="67" applyFont="1" applyBorder="1" applyAlignment="1">
      <alignment horizontal="center" vertical="center" shrinkToFit="1"/>
    </xf>
    <xf numFmtId="49" fontId="4" fillId="0" borderId="68" xfId="67" applyNumberFormat="1" applyFont="1" applyBorder="1" applyAlignment="1">
      <alignment horizontal="center" vertical="center" shrinkToFit="1"/>
    </xf>
    <xf numFmtId="49" fontId="4" fillId="0" borderId="53" xfId="67" applyNumberFormat="1" applyFont="1" applyBorder="1" applyAlignment="1">
      <alignment horizontal="center" vertical="center" shrinkToFit="1"/>
    </xf>
    <xf numFmtId="49" fontId="4" fillId="0" borderId="69" xfId="67" applyNumberFormat="1" applyFont="1" applyBorder="1" applyAlignment="1">
      <alignment horizontal="center" vertical="center" shrinkToFit="1"/>
    </xf>
    <xf numFmtId="49" fontId="4" fillId="0" borderId="74" xfId="67" applyNumberFormat="1" applyFont="1" applyBorder="1" applyAlignment="1">
      <alignment horizontal="center" vertical="center" shrinkToFit="1"/>
    </xf>
    <xf numFmtId="49" fontId="4" fillId="0" borderId="70" xfId="67" applyNumberFormat="1" applyFont="1" applyBorder="1" applyAlignment="1">
      <alignment horizontal="center" vertical="center" shrinkToFit="1"/>
    </xf>
    <xf numFmtId="49" fontId="4" fillId="0" borderId="89" xfId="67" applyNumberFormat="1" applyFont="1" applyBorder="1" applyAlignment="1">
      <alignment horizontal="center" vertical="center" shrinkToFit="1"/>
    </xf>
    <xf numFmtId="49" fontId="55" fillId="0" borderId="101" xfId="67" applyNumberFormat="1" applyFont="1" applyBorder="1" applyAlignment="1">
      <alignment horizontal="center" vertical="center" shrinkToFit="1"/>
    </xf>
    <xf numFmtId="0" fontId="4" fillId="4" borderId="6" xfId="67" applyFont="1" applyFill="1" applyBorder="1" applyAlignment="1">
      <alignment vertical="center"/>
    </xf>
    <xf numFmtId="0" fontId="4" fillId="0" borderId="75" xfId="67" applyFont="1" applyBorder="1" applyAlignment="1">
      <alignment horizontal="center" vertical="center" shrinkToFit="1"/>
    </xf>
    <xf numFmtId="49" fontId="4" fillId="0" borderId="61" xfId="67" applyNumberFormat="1" applyFont="1" applyBorder="1" applyAlignment="1">
      <alignment horizontal="center" vertical="center" shrinkToFit="1"/>
    </xf>
    <xf numFmtId="49" fontId="4" fillId="0" borderId="73" xfId="67" applyNumberFormat="1" applyFont="1" applyBorder="1" applyAlignment="1">
      <alignment horizontal="center" vertical="center" shrinkToFit="1"/>
    </xf>
    <xf numFmtId="49" fontId="4" fillId="0" borderId="102" xfId="67" applyNumberFormat="1" applyFont="1" applyBorder="1" applyAlignment="1">
      <alignment horizontal="center" vertical="center" shrinkToFit="1"/>
    </xf>
    <xf numFmtId="49" fontId="4" fillId="0" borderId="59" xfId="67" applyNumberFormat="1" applyFont="1" applyBorder="1" applyAlignment="1">
      <alignment horizontal="center" vertical="center" shrinkToFit="1"/>
    </xf>
    <xf numFmtId="49" fontId="4" fillId="0" borderId="103" xfId="67" applyNumberFormat="1" applyFont="1" applyBorder="1" applyAlignment="1">
      <alignment horizontal="center" vertical="center" shrinkToFit="1"/>
    </xf>
    <xf numFmtId="49" fontId="55" fillId="0" borderId="104" xfId="67" applyNumberFormat="1" applyFont="1" applyBorder="1" applyAlignment="1">
      <alignment horizontal="center" vertical="center" shrinkToFit="1"/>
    </xf>
    <xf numFmtId="0" fontId="4" fillId="0" borderId="57" xfId="67" applyFont="1" applyBorder="1" applyAlignment="1">
      <alignment horizontal="left" vertical="center"/>
    </xf>
    <xf numFmtId="0" fontId="4" fillId="0" borderId="62" xfId="67" applyFont="1" applyBorder="1" applyAlignment="1">
      <alignment horizontal="left" vertical="center"/>
    </xf>
    <xf numFmtId="0" fontId="4" fillId="0" borderId="75" xfId="67" quotePrefix="1" applyFont="1" applyBorder="1" applyAlignment="1">
      <alignment horizontal="center" vertical="center" shrinkToFit="1"/>
    </xf>
    <xf numFmtId="49" fontId="4" fillId="0" borderId="77" xfId="67" applyNumberFormat="1" applyFont="1" applyBorder="1" applyAlignment="1">
      <alignment horizontal="center" vertical="center" shrinkToFit="1"/>
    </xf>
    <xf numFmtId="49" fontId="4" fillId="0" borderId="76" xfId="67" applyNumberFormat="1" applyFont="1" applyBorder="1" applyAlignment="1">
      <alignment horizontal="center" vertical="center" shrinkToFit="1"/>
    </xf>
    <xf numFmtId="49" fontId="4" fillId="0" borderId="105" xfId="67" applyNumberFormat="1" applyFont="1" applyBorder="1" applyAlignment="1">
      <alignment horizontal="center" vertical="center" shrinkToFit="1"/>
    </xf>
    <xf numFmtId="49" fontId="4" fillId="0" borderId="106" xfId="67" applyNumberFormat="1" applyFont="1" applyBorder="1" applyAlignment="1">
      <alignment horizontal="center" vertical="center" shrinkToFit="1"/>
    </xf>
    <xf numFmtId="49" fontId="4" fillId="0" borderId="60" xfId="67" applyNumberFormat="1" applyFont="1" applyBorder="1" applyAlignment="1">
      <alignment horizontal="center" vertical="center" shrinkToFit="1"/>
    </xf>
    <xf numFmtId="49" fontId="4" fillId="0" borderId="84" xfId="67" applyNumberFormat="1" applyFont="1" applyBorder="1" applyAlignment="1">
      <alignment horizontal="center" vertical="center" shrinkToFit="1"/>
    </xf>
    <xf numFmtId="49" fontId="4" fillId="0" borderId="88" xfId="67" applyNumberFormat="1" applyFont="1" applyBorder="1" applyAlignment="1">
      <alignment horizontal="center" vertical="center" shrinkToFit="1"/>
    </xf>
    <xf numFmtId="0" fontId="4" fillId="4" borderId="49" xfId="67" applyFont="1" applyFill="1" applyBorder="1" applyAlignment="1">
      <alignment vertical="center" shrinkToFit="1"/>
    </xf>
    <xf numFmtId="0" fontId="4" fillId="0" borderId="64" xfId="67" quotePrefix="1" applyFont="1" applyBorder="1" applyAlignment="1">
      <alignment horizontal="center" vertical="center" shrinkToFit="1"/>
    </xf>
    <xf numFmtId="49" fontId="4" fillId="0" borderId="47" xfId="67" applyNumberFormat="1" applyFont="1" applyBorder="1" applyAlignment="1">
      <alignment horizontal="center" vertical="center" shrinkToFit="1"/>
    </xf>
    <xf numFmtId="49" fontId="4" fillId="0" borderId="65" xfId="67" applyNumberFormat="1" applyFont="1" applyBorder="1" applyAlignment="1">
      <alignment horizontal="center" vertical="center" shrinkToFit="1"/>
    </xf>
    <xf numFmtId="49" fontId="4" fillId="0" borderId="83" xfId="67" applyNumberFormat="1" applyFont="1" applyBorder="1" applyAlignment="1">
      <alignment horizontal="center" vertical="center" shrinkToFit="1"/>
    </xf>
    <xf numFmtId="49" fontId="4" fillId="0" borderId="50" xfId="67" applyNumberFormat="1" applyFont="1" applyBorder="1" applyAlignment="1">
      <alignment horizontal="center" vertical="center" shrinkToFit="1"/>
    </xf>
    <xf numFmtId="49" fontId="4" fillId="0" borderId="78" xfId="67" applyNumberFormat="1" applyFont="1" applyBorder="1" applyAlignment="1">
      <alignment horizontal="center" vertical="center" shrinkToFit="1"/>
    </xf>
    <xf numFmtId="0" fontId="4" fillId="4" borderId="19" xfId="67" applyFont="1" applyFill="1" applyBorder="1" applyAlignment="1">
      <alignment horizontal="left" vertical="center" shrinkToFit="1"/>
    </xf>
    <xf numFmtId="49" fontId="4" fillId="0" borderId="101" xfId="67" applyNumberFormat="1" applyFont="1" applyBorder="1" applyAlignment="1">
      <alignment horizontal="center" vertical="center" shrinkToFit="1"/>
    </xf>
    <xf numFmtId="0" fontId="4" fillId="4" borderId="19" xfId="67" applyFont="1" applyFill="1" applyBorder="1" applyAlignment="1">
      <alignment horizontal="left" vertical="center"/>
    </xf>
    <xf numFmtId="0" fontId="4" fillId="4" borderId="19" xfId="67" applyFont="1" applyFill="1" applyBorder="1" applyAlignment="1">
      <alignment horizontal="left" vertical="center" wrapText="1"/>
    </xf>
    <xf numFmtId="49" fontId="56" fillId="0" borderId="101" xfId="67" applyNumberFormat="1" applyFont="1" applyBorder="1" applyAlignment="1">
      <alignment horizontal="center" vertical="center" shrinkToFit="1"/>
    </xf>
    <xf numFmtId="0" fontId="4" fillId="4" borderId="6" xfId="67" applyFont="1" applyFill="1" applyBorder="1" applyAlignment="1">
      <alignment horizontal="left" vertical="center" wrapText="1"/>
    </xf>
    <xf numFmtId="0" fontId="4" fillId="4" borderId="49" xfId="67" applyFont="1" applyFill="1" applyBorder="1" applyAlignment="1">
      <alignment vertical="center"/>
    </xf>
    <xf numFmtId="0" fontId="4" fillId="0" borderId="64" xfId="67" applyFont="1" applyBorder="1" applyAlignment="1">
      <alignment horizontal="center" vertical="center" shrinkToFit="1"/>
    </xf>
    <xf numFmtId="0" fontId="4" fillId="4" borderId="19" xfId="67" applyFont="1" applyFill="1" applyBorder="1" applyAlignment="1">
      <alignment vertical="center"/>
    </xf>
    <xf numFmtId="49" fontId="4" fillId="0" borderId="54" xfId="67" applyNumberFormat="1" applyFont="1" applyBorder="1" applyAlignment="1">
      <alignment horizontal="center" vertical="center" shrinkToFit="1"/>
    </xf>
    <xf numFmtId="49" fontId="57" fillId="0" borderId="101" xfId="67" applyNumberFormat="1" applyFont="1" applyBorder="1" applyAlignment="1">
      <alignment horizontal="center" vertical="center" shrinkToFit="1"/>
    </xf>
    <xf numFmtId="0" fontId="4" fillId="4" borderId="19" xfId="67" applyFont="1" applyFill="1" applyBorder="1" applyAlignment="1">
      <alignment vertical="center" wrapText="1"/>
    </xf>
    <xf numFmtId="0" fontId="4" fillId="4" borderId="19" xfId="67" applyFont="1" applyFill="1" applyBorder="1" applyAlignment="1">
      <alignment vertical="center" shrinkToFit="1"/>
    </xf>
    <xf numFmtId="0" fontId="4" fillId="0" borderId="67" xfId="67" quotePrefix="1" applyFont="1" applyBorder="1" applyAlignment="1">
      <alignment horizontal="center" vertical="center" shrinkToFit="1"/>
    </xf>
    <xf numFmtId="0" fontId="4" fillId="4" borderId="72" xfId="67" quotePrefix="1" applyFont="1" applyFill="1" applyBorder="1" applyAlignment="1">
      <alignment horizontal="left" vertical="center" shrinkToFit="1"/>
    </xf>
    <xf numFmtId="0" fontId="4" fillId="0" borderId="99" xfId="67" applyFont="1" applyBorder="1" applyAlignment="1">
      <alignment horizontal="left" vertical="center"/>
    </xf>
    <xf numFmtId="0" fontId="4" fillId="0" borderId="79" xfId="67" applyFont="1" applyBorder="1" applyAlignment="1">
      <alignment horizontal="left" vertical="center"/>
    </xf>
    <xf numFmtId="0" fontId="4" fillId="4" borderId="0" xfId="67" quotePrefix="1" applyFont="1" applyFill="1" applyBorder="1" applyAlignment="1">
      <alignment horizontal="left" vertical="center" shrinkToFit="1"/>
    </xf>
    <xf numFmtId="0" fontId="4" fillId="0" borderId="46" xfId="67" applyFont="1" applyBorder="1" applyAlignment="1">
      <alignment horizontal="center" vertical="center" shrinkToFit="1"/>
    </xf>
    <xf numFmtId="49" fontId="55" fillId="0" borderId="78" xfId="67" applyNumberFormat="1" applyFont="1" applyBorder="1" applyAlignment="1">
      <alignment horizontal="center" vertical="center" shrinkToFit="1"/>
    </xf>
    <xf numFmtId="0" fontId="4" fillId="4" borderId="86" xfId="67" applyFont="1" applyFill="1" applyBorder="1" applyAlignment="1">
      <alignment vertical="center" shrinkToFit="1"/>
    </xf>
    <xf numFmtId="49" fontId="4" fillId="0" borderId="52" xfId="67" applyNumberFormat="1" applyFont="1" applyBorder="1" applyAlignment="1">
      <alignment horizontal="center" vertical="center" shrinkToFit="1"/>
    </xf>
    <xf numFmtId="49" fontId="4" fillId="0" borderId="87" xfId="67" applyNumberFormat="1" applyFont="1" applyBorder="1" applyAlignment="1">
      <alignment horizontal="center" vertical="center" shrinkToFit="1"/>
    </xf>
    <xf numFmtId="0" fontId="4" fillId="4" borderId="0" xfId="67" applyFont="1" applyFill="1" applyBorder="1" applyAlignment="1">
      <alignment vertical="center" shrinkToFit="1"/>
    </xf>
    <xf numFmtId="0" fontId="4" fillId="4" borderId="57" xfId="67" applyFont="1" applyFill="1" applyBorder="1" applyAlignment="1">
      <alignment vertical="center" shrinkToFit="1"/>
    </xf>
    <xf numFmtId="49" fontId="57" fillId="0" borderId="78" xfId="67" applyNumberFormat="1" applyFont="1" applyBorder="1" applyAlignment="1">
      <alignment horizontal="center" vertical="center" shrinkToFit="1"/>
    </xf>
    <xf numFmtId="0" fontId="4" fillId="0" borderId="51" xfId="67" quotePrefix="1" applyFont="1" applyBorder="1" applyAlignment="1">
      <alignment horizontal="center" vertical="center" shrinkToFit="1"/>
    </xf>
    <xf numFmtId="0" fontId="4" fillId="0" borderId="108" xfId="5" applyFont="1" applyBorder="1"/>
    <xf numFmtId="49" fontId="4" fillId="0" borderId="107" xfId="67" applyNumberFormat="1" applyFont="1" applyBorder="1" applyAlignment="1">
      <alignment horizontal="center" vertical="center" shrinkToFit="1"/>
    </xf>
    <xf numFmtId="0" fontId="4" fillId="4" borderId="9" xfId="67" applyFont="1" applyFill="1" applyBorder="1" applyAlignment="1">
      <alignment vertical="center" shrinkToFit="1"/>
    </xf>
    <xf numFmtId="49" fontId="4" fillId="0" borderId="2" xfId="67" applyNumberFormat="1" applyFont="1" applyBorder="1" applyAlignment="1">
      <alignment horizontal="center" vertical="center" shrinkToFit="1"/>
    </xf>
    <xf numFmtId="0" fontId="4" fillId="0" borderId="2" xfId="5" applyFont="1" applyBorder="1"/>
    <xf numFmtId="0" fontId="4" fillId="0" borderId="72" xfId="67" applyFont="1" applyBorder="1" applyAlignment="1">
      <alignment horizontal="left" vertical="center"/>
    </xf>
    <xf numFmtId="0" fontId="4" fillId="0" borderId="71" xfId="67" applyFont="1" applyBorder="1" applyAlignment="1">
      <alignment horizontal="left" vertical="center"/>
    </xf>
    <xf numFmtId="49" fontId="31" fillId="0" borderId="101" xfId="67" applyNumberFormat="1" applyFont="1" applyBorder="1" applyAlignment="1">
      <alignment horizontal="center" vertical="center" shrinkToFit="1"/>
    </xf>
    <xf numFmtId="0" fontId="4" fillId="4" borderId="99" xfId="67" applyFont="1" applyFill="1" applyBorder="1" applyAlignment="1">
      <alignment vertical="center" shrinkToFit="1"/>
    </xf>
    <xf numFmtId="0" fontId="4" fillId="4" borderId="63" xfId="67" applyFont="1" applyFill="1" applyBorder="1" applyAlignment="1">
      <alignment vertical="center" shrinkToFit="1"/>
    </xf>
    <xf numFmtId="0" fontId="4" fillId="4" borderId="72" xfId="67" applyFont="1" applyFill="1" applyBorder="1" applyAlignment="1">
      <alignment vertical="center"/>
    </xf>
    <xf numFmtId="0" fontId="4" fillId="0" borderId="67" xfId="67" applyFont="1" applyBorder="1" applyAlignment="1">
      <alignment horizontal="center" vertical="center" shrinkToFit="1"/>
    </xf>
    <xf numFmtId="0" fontId="4" fillId="4" borderId="55" xfId="67" applyFont="1" applyFill="1" applyBorder="1" applyAlignment="1">
      <alignment vertical="center"/>
    </xf>
    <xf numFmtId="49" fontId="4" fillId="0" borderId="80" xfId="67" applyNumberFormat="1" applyFont="1" applyBorder="1" applyAlignment="1">
      <alignment horizontal="center" vertical="center" shrinkToFit="1"/>
    </xf>
    <xf numFmtId="49" fontId="4" fillId="0" borderId="109" xfId="67" applyNumberFormat="1" applyFont="1" applyBorder="1" applyAlignment="1">
      <alignment horizontal="center" vertical="center" shrinkToFit="1"/>
    </xf>
    <xf numFmtId="49" fontId="4" fillId="0" borderId="110" xfId="67" applyNumberFormat="1" applyFont="1" applyBorder="1" applyAlignment="1">
      <alignment horizontal="center" vertical="center" shrinkToFit="1"/>
    </xf>
    <xf numFmtId="49" fontId="4" fillId="0" borderId="111" xfId="67" applyNumberFormat="1" applyFont="1" applyBorder="1" applyAlignment="1">
      <alignment horizontal="center" vertical="center" shrinkToFit="1"/>
    </xf>
    <xf numFmtId="49" fontId="4" fillId="0" borderId="112" xfId="67" applyNumberFormat="1" applyFont="1" applyBorder="1" applyAlignment="1">
      <alignment horizontal="center" vertical="center" shrinkToFit="1"/>
    </xf>
    <xf numFmtId="49" fontId="4" fillId="0" borderId="113" xfId="67" applyNumberFormat="1" applyFont="1" applyBorder="1" applyAlignment="1">
      <alignment horizontal="center" vertical="center" shrinkToFit="1"/>
    </xf>
    <xf numFmtId="0" fontId="4" fillId="0" borderId="92" xfId="67" applyFont="1" applyBorder="1" applyAlignment="1">
      <alignment vertical="center" textRotation="255"/>
    </xf>
    <xf numFmtId="49" fontId="4" fillId="0" borderId="92" xfId="67" applyNumberFormat="1" applyFont="1" applyBorder="1"/>
    <xf numFmtId="0" fontId="4" fillId="0" borderId="0" xfId="67" applyFont="1" applyBorder="1" applyAlignment="1">
      <alignment vertical="center" textRotation="255"/>
    </xf>
    <xf numFmtId="49" fontId="4" fillId="0" borderId="0" xfId="67" applyNumberFormat="1" applyFont="1" applyAlignment="1">
      <alignment horizontal="center"/>
    </xf>
    <xf numFmtId="0" fontId="0" fillId="0" borderId="0" xfId="5" applyFont="1"/>
    <xf numFmtId="0" fontId="4" fillId="0" borderId="58" xfId="67" quotePrefix="1" applyFont="1" applyBorder="1" applyAlignment="1">
      <alignment horizontal="center" vertical="center" shrinkToFit="1"/>
    </xf>
    <xf numFmtId="180" fontId="0" fillId="4" borderId="2" xfId="0" applyNumberFormat="1" applyFill="1" applyBorder="1" applyAlignment="1">
      <alignment horizontal="right" vertical="center" shrinkToFit="1"/>
    </xf>
    <xf numFmtId="177" fontId="0" fillId="0" borderId="2" xfId="0" applyNumberFormat="1" applyBorder="1" applyAlignment="1">
      <alignment vertical="center" shrinkToFit="1"/>
    </xf>
    <xf numFmtId="0" fontId="20" fillId="0" borderId="5" xfId="0" applyFont="1" applyBorder="1" applyAlignment="1">
      <alignment horizontal="center" vertical="center" shrinkToFit="1"/>
    </xf>
    <xf numFmtId="31" fontId="4" fillId="0" borderId="6" xfId="0" applyNumberFormat="1" applyFont="1" applyBorder="1" applyAlignment="1">
      <alignment vertical="center" shrinkToFit="1"/>
    </xf>
    <xf numFmtId="0" fontId="4" fillId="0" borderId="6" xfId="0" applyFont="1" applyBorder="1" applyAlignment="1">
      <alignment vertical="center" shrinkToFit="1"/>
    </xf>
    <xf numFmtId="0" fontId="20" fillId="0" borderId="7" xfId="0" applyFont="1" applyBorder="1" applyAlignment="1">
      <alignment horizontal="center" vertical="center" shrinkToFit="1"/>
    </xf>
    <xf numFmtId="0" fontId="4" fillId="0" borderId="18" xfId="0" applyFont="1" applyBorder="1" applyAlignment="1">
      <alignment horizontal="left" vertical="center" shrinkToFit="1"/>
    </xf>
    <xf numFmtId="0" fontId="20" fillId="0" borderId="8" xfId="0" applyFont="1" applyBorder="1" applyAlignment="1">
      <alignment horizontal="center" vertical="center" shrinkToFit="1"/>
    </xf>
    <xf numFmtId="0" fontId="4" fillId="0" borderId="9" xfId="0" applyFont="1" applyBorder="1" applyAlignment="1">
      <alignment horizontal="left" vertical="center" shrinkToFit="1"/>
    </xf>
    <xf numFmtId="0" fontId="4" fillId="0" borderId="22" xfId="0" applyFont="1" applyBorder="1" applyAlignment="1">
      <alignment horizontal="left" vertical="center" shrinkToFit="1"/>
    </xf>
    <xf numFmtId="199" fontId="0" fillId="0" borderId="0" xfId="0" applyNumberFormat="1" applyAlignment="1">
      <alignment horizontal="center" vertical="center"/>
    </xf>
    <xf numFmtId="199" fontId="4" fillId="0" borderId="0" xfId="0" applyNumberFormat="1" applyFont="1" applyAlignment="1">
      <alignment horizontal="center" vertical="center"/>
    </xf>
    <xf numFmtId="199" fontId="4" fillId="0" borderId="0" xfId="0" applyNumberFormat="1" applyFont="1" applyAlignment="1" applyProtection="1">
      <alignment horizontal="center" vertical="center"/>
      <protection locked="0"/>
    </xf>
    <xf numFmtId="0" fontId="4" fillId="2" borderId="3" xfId="1" applyNumberFormat="1" applyFont="1" applyFill="1" applyBorder="1" applyAlignment="1">
      <alignment horizontal="center" vertical="center"/>
    </xf>
    <xf numFmtId="0" fontId="2" fillId="4" borderId="0" xfId="0" applyFont="1" applyFill="1"/>
    <xf numFmtId="0" fontId="0" fillId="0" borderId="1" xfId="0" applyBorder="1"/>
    <xf numFmtId="49" fontId="5" fillId="0" borderId="11" xfId="0" applyNumberFormat="1" applyFont="1" applyBorder="1" applyAlignment="1">
      <alignment horizontal="center" vertical="center" shrinkToFit="1"/>
    </xf>
    <xf numFmtId="0" fontId="5" fillId="0" borderId="0" xfId="0" applyFont="1" applyBorder="1" applyAlignment="1">
      <alignment horizontal="center" vertical="center"/>
    </xf>
    <xf numFmtId="0" fontId="5" fillId="0" borderId="0" xfId="0" applyFont="1" applyBorder="1" applyAlignment="1">
      <alignment horizontal="left" vertical="center"/>
    </xf>
    <xf numFmtId="49" fontId="5" fillId="0" borderId="0" xfId="0" applyNumberFormat="1" applyFont="1" applyBorder="1" applyAlignment="1">
      <alignment horizontal="center" vertical="center"/>
    </xf>
    <xf numFmtId="49" fontId="5" fillId="0" borderId="0" xfId="0" applyNumberFormat="1" applyFont="1" applyBorder="1" applyAlignment="1">
      <alignment vertical="center"/>
    </xf>
    <xf numFmtId="49" fontId="5" fillId="0" borderId="0" xfId="0" applyNumberFormat="1" applyFont="1" applyBorder="1" applyAlignment="1">
      <alignment vertical="center" shrinkToFit="1"/>
    </xf>
    <xf numFmtId="49" fontId="5" fillId="0" borderId="18" xfId="0" applyNumberFormat="1" applyFont="1" applyBorder="1" applyAlignment="1">
      <alignment vertical="center" shrinkToFit="1"/>
    </xf>
    <xf numFmtId="49" fontId="5" fillId="0" borderId="9" xfId="0" applyNumberFormat="1" applyFont="1" applyBorder="1" applyAlignment="1">
      <alignment vertical="center" shrinkToFit="1"/>
    </xf>
    <xf numFmtId="49" fontId="5" fillId="0" borderId="22" xfId="0" applyNumberFormat="1" applyFont="1" applyBorder="1" applyAlignment="1">
      <alignment vertical="center" shrinkToFit="1"/>
    </xf>
    <xf numFmtId="0" fontId="5" fillId="0" borderId="0" xfId="0" applyFont="1" applyBorder="1" applyAlignment="1">
      <alignment horizontal="center" vertical="center" textRotation="255"/>
    </xf>
    <xf numFmtId="0" fontId="9" fillId="0" borderId="0" xfId="0" applyFont="1" applyBorder="1" applyAlignment="1">
      <alignment vertical="center"/>
    </xf>
    <xf numFmtId="0" fontId="11" fillId="0" borderId="0" xfId="0" applyFont="1" applyAlignment="1">
      <alignment vertical="center"/>
    </xf>
    <xf numFmtId="0" fontId="12" fillId="0" borderId="0" xfId="0" applyFont="1" applyAlignment="1">
      <alignment vertical="center"/>
    </xf>
    <xf numFmtId="0" fontId="0" fillId="0" borderId="7" xfId="0" applyBorder="1" applyAlignment="1">
      <alignment vertical="center" wrapText="1"/>
    </xf>
    <xf numFmtId="0" fontId="0" fillId="0" borderId="0" xfId="0" applyBorder="1" applyAlignment="1">
      <alignment vertical="center" wrapText="1"/>
    </xf>
    <xf numFmtId="0" fontId="2" fillId="0" borderId="18" xfId="0" applyFont="1" applyBorder="1"/>
    <xf numFmtId="0" fontId="0" fillId="0" borderId="16" xfId="0" applyBorder="1" applyAlignment="1">
      <alignment vertical="center" wrapText="1"/>
    </xf>
    <xf numFmtId="0" fontId="0" fillId="0" borderId="18" xfId="0" applyBorder="1" applyAlignment="1">
      <alignment vertical="center" wrapText="1"/>
    </xf>
    <xf numFmtId="49" fontId="5" fillId="0" borderId="140" xfId="0" applyNumberFormat="1" applyFont="1" applyBorder="1" applyAlignment="1">
      <alignment horizontal="center" vertical="center" shrinkToFit="1"/>
    </xf>
    <xf numFmtId="0" fontId="4" fillId="2" borderId="168" xfId="0" applyFont="1" applyFill="1" applyBorder="1" applyAlignment="1">
      <alignment horizontal="center" vertical="center"/>
    </xf>
    <xf numFmtId="49" fontId="5" fillId="0" borderId="10" xfId="0" applyNumberFormat="1" applyFont="1" applyBorder="1" applyAlignment="1">
      <alignment horizontal="center" vertical="center" shrinkToFit="1"/>
    </xf>
    <xf numFmtId="177" fontId="0" fillId="0" borderId="12" xfId="0" applyNumberFormat="1" applyBorder="1" applyAlignment="1">
      <alignment vertical="center" shrinkToFit="1"/>
    </xf>
    <xf numFmtId="177" fontId="0" fillId="0" borderId="2" xfId="0" applyNumberFormat="1" applyBorder="1" applyAlignment="1">
      <alignment horizontal="right" vertical="center" shrinkToFit="1"/>
    </xf>
    <xf numFmtId="177" fontId="0" fillId="0" borderId="12" xfId="0" applyNumberFormat="1" applyBorder="1" applyAlignment="1">
      <alignment horizontal="right" vertical="center" shrinkToFit="1"/>
    </xf>
    <xf numFmtId="180" fontId="0" fillId="0" borderId="2" xfId="0" applyNumberFormat="1" applyBorder="1" applyAlignment="1">
      <alignment horizontal="right" vertical="center" shrinkToFit="1"/>
    </xf>
    <xf numFmtId="0" fontId="0" fillId="0" borderId="2" xfId="0" applyBorder="1" applyAlignment="1">
      <alignment vertical="center" shrinkToFit="1"/>
    </xf>
    <xf numFmtId="0" fontId="0" fillId="0" borderId="17" xfId="0" applyBorder="1" applyAlignment="1">
      <alignment horizontal="center" vertical="center" shrinkToFit="1"/>
    </xf>
    <xf numFmtId="0" fontId="0" fillId="0" borderId="2" xfId="0" applyBorder="1" applyAlignment="1">
      <alignment horizontal="center" vertical="center" wrapText="1" shrinkToFit="1"/>
    </xf>
    <xf numFmtId="199" fontId="0" fillId="0" borderId="2" xfId="0" applyNumberFormat="1" applyBorder="1" applyAlignment="1">
      <alignment horizontal="center" vertical="center"/>
    </xf>
    <xf numFmtId="185" fontId="0" fillId="0" borderId="2" xfId="0" applyNumberFormat="1" applyBorder="1" applyAlignment="1">
      <alignment horizontal="center" vertical="center"/>
    </xf>
    <xf numFmtId="0" fontId="0" fillId="0" borderId="2" xfId="0" applyBorder="1" applyAlignment="1">
      <alignment horizontal="center" vertical="center"/>
    </xf>
    <xf numFmtId="0" fontId="0" fillId="0" borderId="14" xfId="0" quotePrefix="1" applyBorder="1" applyAlignment="1">
      <alignment horizontal="center" vertical="center" shrinkToFit="1"/>
    </xf>
    <xf numFmtId="177" fontId="0" fillId="0" borderId="14" xfId="0" applyNumberFormat="1" applyBorder="1" applyAlignment="1">
      <alignment horizontal="right" vertical="center" shrinkToFit="1"/>
    </xf>
    <xf numFmtId="176" fontId="0" fillId="0" borderId="14" xfId="0" applyNumberFormat="1" applyBorder="1" applyAlignment="1">
      <alignment vertical="center"/>
    </xf>
    <xf numFmtId="186" fontId="0" fillId="0" borderId="2" xfId="0" applyNumberFormat="1" applyBorder="1" applyAlignment="1" applyProtection="1">
      <alignment vertical="center"/>
      <protection hidden="1"/>
    </xf>
    <xf numFmtId="186" fontId="0" fillId="0" borderId="2" xfId="0" applyNumberFormat="1" applyBorder="1" applyAlignment="1" applyProtection="1">
      <alignment horizontal="right" vertical="center"/>
      <protection hidden="1"/>
    </xf>
    <xf numFmtId="181" fontId="0" fillId="0" borderId="14" xfId="0" applyNumberFormat="1" applyBorder="1" applyAlignment="1">
      <alignment vertical="center"/>
    </xf>
    <xf numFmtId="0" fontId="4" fillId="2" borderId="17" xfId="0" applyFont="1" applyFill="1" applyBorder="1" applyAlignment="1">
      <alignment horizontal="center" vertical="center"/>
    </xf>
    <xf numFmtId="0" fontId="9" fillId="0" borderId="16" xfId="0" applyFont="1" applyBorder="1" applyAlignment="1">
      <alignment vertical="center"/>
    </xf>
    <xf numFmtId="0" fontId="5" fillId="0" borderId="24" xfId="0" applyFont="1" applyBorder="1" applyAlignment="1">
      <alignment horizontal="center" vertical="center" shrinkToFit="1"/>
    </xf>
    <xf numFmtId="0" fontId="5" fillId="0" borderId="0" xfId="0" applyFont="1" applyBorder="1" applyAlignment="1">
      <alignment horizontal="left" vertical="center" shrinkToFit="1"/>
    </xf>
    <xf numFmtId="49" fontId="5" fillId="0" borderId="172" xfId="0" applyNumberFormat="1" applyFont="1" applyBorder="1" applyAlignment="1">
      <alignment horizontal="center" vertical="center" shrinkToFit="1"/>
    </xf>
    <xf numFmtId="49" fontId="5" fillId="0" borderId="171" xfId="0" applyNumberFormat="1" applyFont="1" applyBorder="1" applyAlignment="1">
      <alignment horizontal="center" vertical="center" shrinkToFit="1"/>
    </xf>
    <xf numFmtId="49" fontId="5" fillId="0" borderId="13" xfId="0" applyNumberFormat="1" applyFont="1" applyBorder="1" applyAlignment="1">
      <alignment horizontal="center" vertical="center" shrinkToFit="1"/>
    </xf>
    <xf numFmtId="180" fontId="0" fillId="0" borderId="14" xfId="0" applyNumberFormat="1" applyBorder="1" applyAlignment="1">
      <alignment horizontal="right" vertical="center" shrinkToFit="1"/>
    </xf>
    <xf numFmtId="49" fontId="5" fillId="0" borderId="20" xfId="0" applyNumberFormat="1" applyFont="1" applyBorder="1" applyAlignment="1">
      <alignment horizontal="center" vertical="center" wrapText="1"/>
    </xf>
    <xf numFmtId="176" fontId="0" fillId="0" borderId="2" xfId="0" applyNumberFormat="1" applyBorder="1" applyAlignment="1">
      <alignment horizontal="right" vertical="center" shrinkToFit="1"/>
    </xf>
    <xf numFmtId="176" fontId="0" fillId="0" borderId="14" xfId="0" applyNumberFormat="1" applyBorder="1" applyAlignment="1">
      <alignment horizontal="right" vertical="center" shrinkToFit="1"/>
    </xf>
    <xf numFmtId="49" fontId="5" fillId="0" borderId="24" xfId="0" applyNumberFormat="1" applyFont="1" applyBorder="1" applyAlignment="1">
      <alignment horizontal="center" vertical="center" shrinkToFit="1"/>
    </xf>
    <xf numFmtId="176" fontId="0" fillId="0" borderId="12" xfId="0" applyNumberFormat="1" applyBorder="1" applyAlignment="1">
      <alignment horizontal="right" vertical="center" shrinkToFit="1"/>
    </xf>
    <xf numFmtId="0" fontId="58" fillId="0" borderId="114" xfId="69" applyFont="1" applyBorder="1" applyProtection="1">
      <alignment vertical="center"/>
      <protection locked="0"/>
    </xf>
    <xf numFmtId="0" fontId="2" fillId="0" borderId="114" xfId="69" applyBorder="1">
      <alignment vertical="center"/>
    </xf>
    <xf numFmtId="0" fontId="14" fillId="0" borderId="114" xfId="69" applyFont="1" applyBorder="1" applyAlignment="1">
      <alignment horizontal="right" vertical="center"/>
    </xf>
    <xf numFmtId="0" fontId="11" fillId="0" borderId="114" xfId="69" applyFont="1" applyBorder="1" applyAlignment="1">
      <alignment horizontal="left" vertical="center"/>
    </xf>
    <xf numFmtId="0" fontId="2" fillId="0" borderId="114" xfId="69" applyBorder="1" applyAlignment="1">
      <alignment horizontal="center" vertical="center"/>
    </xf>
    <xf numFmtId="14" fontId="28" fillId="0" borderId="114" xfId="7" applyNumberFormat="1" applyFont="1" applyBorder="1">
      <alignment vertical="center"/>
    </xf>
    <xf numFmtId="0" fontId="1" fillId="0" borderId="0" xfId="111" applyProtection="1">
      <alignment vertical="center"/>
      <protection locked="0"/>
    </xf>
    <xf numFmtId="0" fontId="47" fillId="0" borderId="0" xfId="69" applyFont="1" applyProtection="1">
      <alignment vertical="center"/>
      <protection locked="0"/>
    </xf>
    <xf numFmtId="0" fontId="2" fillId="0" borderId="0" xfId="69">
      <alignment vertical="center"/>
    </xf>
    <xf numFmtId="0" fontId="2" fillId="0" borderId="0" xfId="69" applyAlignment="1">
      <alignment horizontal="center" vertical="center"/>
    </xf>
    <xf numFmtId="0" fontId="20" fillId="0" borderId="0" xfId="69" applyFont="1" applyAlignment="1" applyProtection="1">
      <alignment horizontal="center" vertical="center"/>
      <protection locked="0"/>
    </xf>
    <xf numFmtId="0" fontId="10" fillId="0" borderId="0" xfId="69" applyFont="1" applyAlignment="1">
      <alignment horizontal="left" vertical="center"/>
    </xf>
    <xf numFmtId="0" fontId="4" fillId="0" borderId="0" xfId="69" applyFont="1" applyAlignment="1">
      <alignment horizontal="center" vertical="center"/>
    </xf>
    <xf numFmtId="0" fontId="4" fillId="0" borderId="0" xfId="69" applyFont="1" applyAlignment="1" applyProtection="1">
      <alignment horizontal="center" vertical="center"/>
      <protection locked="0"/>
    </xf>
    <xf numFmtId="0" fontId="14" fillId="0" borderId="0" xfId="69" applyFont="1" applyAlignment="1">
      <alignment horizontal="center" vertical="center"/>
    </xf>
    <xf numFmtId="0" fontId="4" fillId="0" borderId="0" xfId="69" applyFont="1" applyAlignment="1" applyProtection="1">
      <alignment horizontal="left" vertical="center"/>
      <protection locked="0"/>
    </xf>
    <xf numFmtId="0" fontId="14" fillId="0" borderId="115" xfId="69" applyFont="1" applyBorder="1" applyAlignment="1">
      <alignment horizontal="center" vertical="center"/>
    </xf>
    <xf numFmtId="0" fontId="14" fillId="0" borderId="12" xfId="69" applyFont="1" applyBorder="1" applyAlignment="1">
      <alignment horizontal="center" vertical="center"/>
    </xf>
    <xf numFmtId="0" fontId="14" fillId="0" borderId="12" xfId="69" applyFont="1" applyBorder="1" applyAlignment="1">
      <alignment horizontal="center" vertical="center" shrinkToFit="1"/>
    </xf>
    <xf numFmtId="0" fontId="14" fillId="0" borderId="116" xfId="69" applyFont="1" applyBorder="1" applyAlignment="1">
      <alignment horizontal="center" vertical="center" shrinkToFit="1"/>
    </xf>
    <xf numFmtId="0" fontId="14" fillId="0" borderId="0" xfId="69" applyFont="1" applyAlignment="1">
      <alignment horizontal="left" vertical="center"/>
    </xf>
    <xf numFmtId="0" fontId="14" fillId="0" borderId="117" xfId="69" applyFont="1" applyBorder="1" applyAlignment="1">
      <alignment horizontal="left" vertical="center"/>
    </xf>
    <xf numFmtId="0" fontId="14" fillId="0" borderId="23" xfId="69" applyFont="1" applyBorder="1" applyAlignment="1">
      <alignment horizontal="left" vertical="center"/>
    </xf>
    <xf numFmtId="0" fontId="2" fillId="0" borderId="23" xfId="69" applyBorder="1" applyAlignment="1">
      <alignment horizontal="left" vertical="center"/>
    </xf>
    <xf numFmtId="189" fontId="2" fillId="0" borderId="23" xfId="69" applyNumberFormat="1" applyBorder="1" applyAlignment="1">
      <alignment horizontal="left" vertical="center"/>
    </xf>
    <xf numFmtId="0" fontId="14" fillId="0" borderId="2" xfId="69" applyFont="1" applyBorder="1" applyAlignment="1">
      <alignment horizontal="center" vertical="center"/>
    </xf>
    <xf numFmtId="0" fontId="14" fillId="0" borderId="118" xfId="69" applyFont="1" applyBorder="1" applyAlignment="1">
      <alignment horizontal="center" vertical="center"/>
    </xf>
    <xf numFmtId="0" fontId="14" fillId="0" borderId="119" xfId="69" applyFont="1" applyBorder="1" applyAlignment="1">
      <alignment horizontal="center" vertical="center" shrinkToFit="1"/>
    </xf>
    <xf numFmtId="0" fontId="14" fillId="0" borderId="2" xfId="69" applyFont="1" applyBorder="1" applyAlignment="1">
      <alignment horizontal="center" vertical="center" shrinkToFit="1"/>
    </xf>
    <xf numFmtId="0" fontId="14" fillId="0" borderId="118" xfId="69" applyFont="1" applyBorder="1" applyAlignment="1">
      <alignment horizontal="center" vertical="center" shrinkToFit="1"/>
    </xf>
    <xf numFmtId="0" fontId="14" fillId="0" borderId="117" xfId="69" applyFont="1" applyBorder="1" applyAlignment="1">
      <alignment horizontal="center" vertical="center"/>
    </xf>
    <xf numFmtId="0" fontId="14" fillId="0" borderId="23" xfId="69" applyFont="1" applyBorder="1" applyAlignment="1">
      <alignment horizontal="center" vertical="center"/>
    </xf>
    <xf numFmtId="0" fontId="14" fillId="0" borderId="120" xfId="69" applyFont="1" applyBorder="1" applyAlignment="1">
      <alignment horizontal="center" vertical="center"/>
    </xf>
    <xf numFmtId="0" fontId="14" fillId="9" borderId="121" xfId="69" applyFont="1" applyFill="1" applyBorder="1" applyAlignment="1" applyProtection="1">
      <alignment horizontal="center" vertical="center"/>
      <protection locked="0"/>
    </xf>
    <xf numFmtId="190" fontId="14" fillId="0" borderId="122" xfId="69" applyNumberFormat="1" applyFont="1" applyBorder="1" applyAlignment="1" applyProtection="1">
      <alignment horizontal="center" vertical="center"/>
      <protection locked="0"/>
    </xf>
    <xf numFmtId="201" fontId="65" fillId="0" borderId="124" xfId="111" applyNumberFormat="1" applyFont="1" applyBorder="1" applyAlignment="1" applyProtection="1">
      <alignment horizontal="center" vertical="center"/>
      <protection locked="0"/>
    </xf>
    <xf numFmtId="0" fontId="66" fillId="0" borderId="122" xfId="111" applyFont="1" applyBorder="1" applyAlignment="1" applyProtection="1">
      <alignment horizontal="center" vertical="center"/>
      <protection locked="0"/>
    </xf>
    <xf numFmtId="191" fontId="14" fillId="0" borderId="122" xfId="69" applyNumberFormat="1" applyFont="1" applyBorder="1" applyAlignment="1" applyProtection="1">
      <alignment horizontal="center" vertical="center"/>
      <protection locked="0"/>
    </xf>
    <xf numFmtId="192" fontId="14" fillId="0" borderId="123" xfId="69" applyNumberFormat="1" applyFont="1" applyBorder="1" applyAlignment="1" applyProtection="1">
      <alignment horizontal="center" vertical="center"/>
      <protection locked="0"/>
    </xf>
    <xf numFmtId="0" fontId="14" fillId="0" borderId="122" xfId="70" applyFont="1" applyBorder="1" applyAlignment="1" applyProtection="1">
      <alignment horizontal="center" vertical="center"/>
      <protection locked="0"/>
    </xf>
    <xf numFmtId="0" fontId="14" fillId="0" borderId="122" xfId="69" applyFont="1" applyBorder="1" applyAlignment="1" applyProtection="1">
      <alignment horizontal="center" vertical="center"/>
      <protection locked="0"/>
    </xf>
    <xf numFmtId="57" fontId="14" fillId="0" borderId="122" xfId="69" applyNumberFormat="1" applyFont="1" applyBorder="1" applyAlignment="1" applyProtection="1">
      <alignment horizontal="center" vertical="center" shrinkToFit="1"/>
      <protection locked="0"/>
    </xf>
    <xf numFmtId="0" fontId="14" fillId="0" borderId="124" xfId="70" applyFont="1" applyBorder="1" applyAlignment="1" applyProtection="1">
      <alignment horizontal="center" vertical="center"/>
      <protection locked="0"/>
    </xf>
    <xf numFmtId="0" fontId="14" fillId="0" borderId="121" xfId="70" applyFont="1" applyBorder="1" applyAlignment="1" applyProtection="1">
      <alignment horizontal="center" vertical="center"/>
      <protection locked="0"/>
    </xf>
    <xf numFmtId="0" fontId="14" fillId="0" borderId="123" xfId="70" applyFont="1" applyBorder="1" applyAlignment="1" applyProtection="1">
      <alignment horizontal="center" vertical="center"/>
      <protection locked="0"/>
    </xf>
    <xf numFmtId="0" fontId="14" fillId="2" borderId="45" xfId="69" applyFont="1" applyFill="1" applyBorder="1" applyAlignment="1">
      <alignment horizontal="center" vertical="center"/>
    </xf>
    <xf numFmtId="0" fontId="14" fillId="0" borderId="119" xfId="69" applyFont="1" applyBorder="1" applyAlignment="1">
      <alignment horizontal="center" vertical="center"/>
    </xf>
    <xf numFmtId="0" fontId="14" fillId="4" borderId="12" xfId="70" applyFont="1" applyFill="1" applyBorder="1" applyAlignment="1">
      <alignment horizontal="center" vertical="center" shrinkToFit="1"/>
    </xf>
    <xf numFmtId="0" fontId="14" fillId="4" borderId="2" xfId="70" applyFont="1" applyFill="1" applyBorder="1" applyAlignment="1">
      <alignment horizontal="center" vertical="center" shrinkToFit="1"/>
    </xf>
    <xf numFmtId="0" fontId="14" fillId="4" borderId="21" xfId="70" applyFont="1" applyFill="1" applyBorder="1" applyAlignment="1">
      <alignment horizontal="center" vertical="center" shrinkToFit="1"/>
    </xf>
    <xf numFmtId="0" fontId="14" fillId="0" borderId="99" xfId="69" applyFont="1" applyBorder="1" applyAlignment="1">
      <alignment horizontal="center" vertical="center" shrinkToFit="1"/>
    </xf>
    <xf numFmtId="0" fontId="14" fillId="0" borderId="55" xfId="69" applyFont="1" applyBorder="1" applyAlignment="1">
      <alignment horizontal="center" vertical="center"/>
    </xf>
    <xf numFmtId="0" fontId="14" fillId="0" borderId="64" xfId="70" applyFont="1" applyBorder="1" applyAlignment="1" applyProtection="1">
      <alignment horizontal="center" vertical="center"/>
      <protection locked="0"/>
    </xf>
    <xf numFmtId="193" fontId="14" fillId="0" borderId="55" xfId="69" applyNumberFormat="1" applyFont="1" applyBorder="1" applyAlignment="1">
      <alignment horizontal="center" vertical="center"/>
    </xf>
    <xf numFmtId="193" fontId="14" fillId="0" borderId="0" xfId="69" applyNumberFormat="1" applyFont="1" applyAlignment="1">
      <alignment horizontal="center" vertical="center"/>
    </xf>
    <xf numFmtId="0" fontId="4" fillId="0" borderId="0" xfId="7" applyFont="1" applyAlignment="1" applyProtection="1">
      <alignment horizontal="center" vertical="center"/>
      <protection locked="0"/>
    </xf>
    <xf numFmtId="0" fontId="10" fillId="0" borderId="0" xfId="7" applyFont="1" applyAlignment="1">
      <alignment horizontal="left" vertical="center"/>
    </xf>
    <xf numFmtId="0" fontId="14" fillId="0" borderId="0" xfId="7" applyFont="1" applyAlignment="1">
      <alignment horizontal="center" vertical="center"/>
    </xf>
    <xf numFmtId="0" fontId="14" fillId="0" borderId="0" xfId="7" applyFont="1">
      <alignment vertical="center"/>
    </xf>
    <xf numFmtId="0" fontId="20" fillId="0" borderId="0" xfId="7" applyFont="1" applyAlignment="1" applyProtection="1">
      <alignment horizontal="center" vertical="center"/>
      <protection locked="0"/>
    </xf>
    <xf numFmtId="0" fontId="11" fillId="8" borderId="125" xfId="7" applyFont="1" applyFill="1" applyBorder="1" applyAlignment="1">
      <alignment horizontal="center" vertical="center"/>
    </xf>
    <xf numFmtId="0" fontId="11" fillId="8" borderId="126" xfId="7" applyFont="1" applyFill="1" applyBorder="1" applyAlignment="1">
      <alignment horizontal="center" vertical="center"/>
    </xf>
    <xf numFmtId="193" fontId="11" fillId="8" borderId="126" xfId="7" applyNumberFormat="1" applyFont="1" applyFill="1" applyBorder="1" applyAlignment="1">
      <alignment horizontal="center" vertical="center"/>
    </xf>
    <xf numFmtId="0" fontId="11" fillId="8" borderId="127" xfId="7" applyFont="1" applyFill="1" applyBorder="1" applyAlignment="1">
      <alignment horizontal="center" vertical="center"/>
    </xf>
    <xf numFmtId="49" fontId="11" fillId="0" borderId="115" xfId="7" applyNumberFormat="1" applyFont="1" applyBorder="1" applyAlignment="1">
      <alignment horizontal="center" vertical="center"/>
    </xf>
    <xf numFmtId="0" fontId="11" fillId="0" borderId="5" xfId="7" applyFont="1" applyBorder="1" applyAlignment="1">
      <alignment horizontal="center" vertical="center" shrinkToFit="1"/>
    </xf>
    <xf numFmtId="194" fontId="11" fillId="0" borderId="12" xfId="7" applyNumberFormat="1" applyFont="1" applyBorder="1" applyAlignment="1">
      <alignment horizontal="center" vertical="center"/>
    </xf>
    <xf numFmtId="194" fontId="11" fillId="0" borderId="21" xfId="7" applyNumberFormat="1" applyFont="1" applyBorder="1" applyAlignment="1">
      <alignment horizontal="center" vertical="center"/>
    </xf>
    <xf numFmtId="194" fontId="11" fillId="0" borderId="12" xfId="7" applyNumberFormat="1" applyFont="1" applyBorder="1" applyAlignment="1">
      <alignment horizontal="center" vertical="center" shrinkToFit="1"/>
    </xf>
    <xf numFmtId="195" fontId="11" fillId="0" borderId="12" xfId="7" applyNumberFormat="1" applyFont="1" applyBorder="1" applyAlignment="1">
      <alignment horizontal="center" vertical="center"/>
    </xf>
    <xf numFmtId="196" fontId="11" fillId="0" borderId="12" xfId="7" applyNumberFormat="1" applyFont="1" applyBorder="1" applyAlignment="1">
      <alignment horizontal="center" vertical="center"/>
    </xf>
    <xf numFmtId="0" fontId="11" fillId="0" borderId="12" xfId="7" applyFont="1" applyBorder="1" applyAlignment="1">
      <alignment horizontal="center" vertical="center"/>
    </xf>
    <xf numFmtId="49" fontId="11" fillId="0" borderId="128" xfId="7" applyNumberFormat="1" applyFont="1" applyBorder="1" applyAlignment="1">
      <alignment horizontal="center" vertical="center"/>
    </xf>
    <xf numFmtId="0" fontId="11" fillId="0" borderId="24" xfId="7" applyFont="1" applyBorder="1" applyAlignment="1">
      <alignment horizontal="center" vertical="center" shrinkToFit="1"/>
    </xf>
    <xf numFmtId="194" fontId="11" fillId="0" borderId="10" xfId="7" applyNumberFormat="1" applyFont="1" applyBorder="1" applyAlignment="1">
      <alignment horizontal="center" vertical="center"/>
    </xf>
    <xf numFmtId="194" fontId="11" fillId="0" borderId="25" xfId="7" applyNumberFormat="1" applyFont="1" applyBorder="1" applyAlignment="1">
      <alignment horizontal="center" vertical="center"/>
    </xf>
    <xf numFmtId="194" fontId="11" fillId="0" borderId="10" xfId="7" applyNumberFormat="1" applyFont="1" applyBorder="1" applyAlignment="1">
      <alignment horizontal="center" vertical="center" shrinkToFit="1"/>
    </xf>
    <xf numFmtId="195" fontId="11" fillId="0" borderId="10" xfId="7" applyNumberFormat="1" applyFont="1" applyBorder="1" applyAlignment="1">
      <alignment horizontal="center" vertical="center"/>
    </xf>
    <xf numFmtId="196" fontId="11" fillId="0" borderId="10" xfId="7" applyNumberFormat="1" applyFont="1" applyBorder="1" applyAlignment="1">
      <alignment horizontal="center" vertical="center"/>
    </xf>
    <xf numFmtId="0" fontId="11" fillId="0" borderId="10" xfId="7" applyFont="1" applyBorder="1" applyAlignment="1">
      <alignment horizontal="center" vertical="center"/>
    </xf>
    <xf numFmtId="194" fontId="11" fillId="7" borderId="10" xfId="7" applyNumberFormat="1" applyFont="1" applyFill="1" applyBorder="1" applyAlignment="1">
      <alignment horizontal="center" vertical="center" shrinkToFit="1"/>
    </xf>
    <xf numFmtId="49" fontId="11" fillId="0" borderId="130" xfId="7" applyNumberFormat="1" applyFont="1" applyBorder="1" applyAlignment="1">
      <alignment horizontal="center" vertical="center"/>
    </xf>
    <xf numFmtId="0" fontId="11" fillId="0" borderId="131" xfId="7" applyFont="1" applyBorder="1" applyAlignment="1">
      <alignment horizontal="center" vertical="center" shrinkToFit="1"/>
    </xf>
    <xf numFmtId="194" fontId="11" fillId="0" borderId="132" xfId="7" applyNumberFormat="1" applyFont="1" applyBorder="1" applyAlignment="1">
      <alignment horizontal="center" vertical="center"/>
    </xf>
    <xf numFmtId="194" fontId="11" fillId="0" borderId="133" xfId="7" applyNumberFormat="1" applyFont="1" applyBorder="1" applyAlignment="1">
      <alignment horizontal="center" vertical="center"/>
    </xf>
    <xf numFmtId="194" fontId="11" fillId="7" borderId="132" xfId="7" applyNumberFormat="1" applyFont="1" applyFill="1" applyBorder="1" applyAlignment="1">
      <alignment horizontal="center" vertical="center" shrinkToFit="1"/>
    </xf>
    <xf numFmtId="195" fontId="11" fillId="0" borderId="132" xfId="7" applyNumberFormat="1" applyFont="1" applyBorder="1" applyAlignment="1">
      <alignment horizontal="center" vertical="center"/>
    </xf>
    <xf numFmtId="196" fontId="11" fillId="0" borderId="132" xfId="7" applyNumberFormat="1" applyFont="1" applyBorder="1" applyAlignment="1">
      <alignment horizontal="center" vertical="center"/>
    </xf>
    <xf numFmtId="0" fontId="11" fillId="0" borderId="132" xfId="7" applyFont="1" applyBorder="1" applyAlignment="1">
      <alignment horizontal="center" vertical="center"/>
    </xf>
    <xf numFmtId="0" fontId="59" fillId="0" borderId="0" xfId="69" applyFont="1" applyAlignment="1">
      <alignment horizontal="left" vertical="center"/>
    </xf>
    <xf numFmtId="0" fontId="14" fillId="2" borderId="137" xfId="69" applyFont="1" applyFill="1" applyBorder="1" applyAlignment="1">
      <alignment horizontal="center" vertical="center"/>
    </xf>
    <xf numFmtId="0" fontId="14" fillId="2" borderId="139" xfId="69" applyFont="1" applyFill="1" applyBorder="1" applyAlignment="1">
      <alignment horizontal="center" vertical="center"/>
    </xf>
    <xf numFmtId="0" fontId="14" fillId="2" borderId="139" xfId="69" applyFont="1" applyFill="1" applyBorder="1">
      <alignment vertical="center"/>
    </xf>
    <xf numFmtId="0" fontId="11" fillId="0" borderId="128" xfId="69" applyFont="1" applyBorder="1" applyAlignment="1" applyProtection="1">
      <alignment horizontal="center" vertical="center"/>
      <protection locked="0"/>
    </xf>
    <xf numFmtId="0" fontId="14" fillId="0" borderId="10" xfId="69" applyFont="1" applyBorder="1" applyProtection="1">
      <alignment vertical="center"/>
      <protection locked="0"/>
    </xf>
    <xf numFmtId="0" fontId="14" fillId="0" borderId="174" xfId="69" applyFont="1" applyBorder="1" applyAlignment="1" applyProtection="1">
      <alignment horizontal="center" vertical="center"/>
      <protection locked="0"/>
    </xf>
    <xf numFmtId="0" fontId="14" fillId="0" borderId="144" xfId="69" applyFont="1" applyBorder="1" applyAlignment="1" applyProtection="1">
      <alignment horizontal="center" vertical="center"/>
      <protection locked="0"/>
    </xf>
    <xf numFmtId="0" fontId="14" fillId="0" borderId="146" xfId="69" applyFont="1" applyBorder="1" applyAlignment="1" applyProtection="1">
      <alignment horizontal="center" vertical="center"/>
      <protection locked="0"/>
    </xf>
    <xf numFmtId="0" fontId="2" fillId="0" borderId="141" xfId="69" applyBorder="1" applyAlignment="1" applyProtection="1">
      <alignment horizontal="center" vertical="center"/>
      <protection locked="0"/>
    </xf>
    <xf numFmtId="0" fontId="14" fillId="0" borderId="15" xfId="69" applyFont="1" applyBorder="1" applyProtection="1">
      <alignment vertical="center"/>
      <protection locked="0"/>
    </xf>
    <xf numFmtId="0" fontId="14" fillId="4" borderId="33" xfId="70" applyFont="1" applyFill="1" applyBorder="1" applyAlignment="1" applyProtection="1">
      <alignment horizontal="left" vertical="center"/>
      <protection locked="0"/>
    </xf>
    <xf numFmtId="0" fontId="14" fillId="4" borderId="175" xfId="70" applyFont="1" applyFill="1" applyBorder="1" applyAlignment="1" applyProtection="1">
      <alignment horizontal="left" vertical="center"/>
      <protection locked="0"/>
    </xf>
    <xf numFmtId="0" fontId="14" fillId="0" borderId="176" xfId="69" applyFont="1" applyBorder="1" applyAlignment="1" applyProtection="1">
      <alignment horizontal="center" vertical="center"/>
      <protection locked="0"/>
    </xf>
    <xf numFmtId="0" fontId="14" fillId="0" borderId="148" xfId="69" applyFont="1" applyBorder="1" applyAlignment="1" applyProtection="1">
      <alignment horizontal="center" vertical="center"/>
      <protection locked="0"/>
    </xf>
    <xf numFmtId="0" fontId="14" fillId="0" borderId="143" xfId="69" applyFont="1" applyBorder="1" applyAlignment="1" applyProtection="1">
      <alignment horizontal="center" vertical="center"/>
      <protection locked="0"/>
    </xf>
    <xf numFmtId="0" fontId="2" fillId="0" borderId="139" xfId="69" applyBorder="1" applyAlignment="1" applyProtection="1">
      <alignment horizontal="center" vertical="center"/>
      <protection locked="0"/>
    </xf>
    <xf numFmtId="0" fontId="11" fillId="0" borderId="130" xfId="69" applyFont="1" applyBorder="1" applyAlignment="1" applyProtection="1">
      <alignment horizontal="center" vertical="center"/>
      <protection locked="0"/>
    </xf>
    <xf numFmtId="0" fontId="14" fillId="0" borderId="132" xfId="69" applyFont="1" applyBorder="1" applyAlignment="1" applyProtection="1">
      <alignment horizontal="left" vertical="center"/>
      <protection locked="0"/>
    </xf>
    <xf numFmtId="0" fontId="14" fillId="0" borderId="177" xfId="69" applyFont="1" applyBorder="1" applyAlignment="1" applyProtection="1">
      <alignment horizontal="center" vertical="center"/>
      <protection locked="0"/>
    </xf>
    <xf numFmtId="0" fontId="14" fillId="0" borderId="166" xfId="69" applyFont="1" applyBorder="1" applyAlignment="1" applyProtection="1">
      <alignment horizontal="center" vertical="center"/>
      <protection locked="0"/>
    </xf>
    <xf numFmtId="0" fontId="14" fillId="0" borderId="165" xfId="69" applyFont="1" applyBorder="1" applyAlignment="1" applyProtection="1">
      <alignment horizontal="center" vertical="center"/>
      <protection locked="0"/>
    </xf>
    <xf numFmtId="0" fontId="14" fillId="0" borderId="152" xfId="69" applyFont="1" applyBorder="1" applyAlignment="1" applyProtection="1">
      <alignment horizontal="center" vertical="center"/>
      <protection locked="0"/>
    </xf>
    <xf numFmtId="0" fontId="62" fillId="0" borderId="0" xfId="69" applyFont="1" applyAlignment="1">
      <alignment horizontal="right" vertical="center"/>
    </xf>
    <xf numFmtId="0" fontId="14" fillId="10" borderId="0" xfId="69" applyFont="1" applyFill="1" applyAlignment="1">
      <alignment horizontal="center" vertical="center"/>
    </xf>
    <xf numFmtId="0" fontId="4" fillId="0" borderId="0" xfId="69" applyFont="1" applyProtection="1">
      <alignment vertical="center"/>
      <protection locked="0"/>
    </xf>
    <xf numFmtId="0" fontId="14" fillId="2" borderId="92" xfId="69" applyFont="1" applyFill="1" applyBorder="1">
      <alignment vertical="center"/>
    </xf>
    <xf numFmtId="0" fontId="14" fillId="2" borderId="86" xfId="69" applyFont="1" applyFill="1" applyBorder="1">
      <alignment vertical="center"/>
    </xf>
    <xf numFmtId="0" fontId="14" fillId="2" borderId="127" xfId="69" applyFont="1" applyFill="1" applyBorder="1">
      <alignment vertical="center"/>
    </xf>
    <xf numFmtId="0" fontId="14" fillId="2" borderId="12" xfId="69" applyFont="1" applyFill="1" applyBorder="1" applyAlignment="1">
      <alignment horizontal="center" vertical="center"/>
    </xf>
    <xf numFmtId="0" fontId="14" fillId="2" borderId="2" xfId="69" applyFont="1" applyFill="1" applyBorder="1" applyAlignment="1">
      <alignment horizontal="center" vertical="center"/>
    </xf>
    <xf numFmtId="0" fontId="6" fillId="0" borderId="115" xfId="69" applyFont="1" applyBorder="1" applyAlignment="1">
      <alignment horizontal="left" vertical="center"/>
    </xf>
    <xf numFmtId="0" fontId="14" fillId="0" borderId="35" xfId="69" applyFont="1" applyBorder="1" applyAlignment="1">
      <alignment horizontal="right" vertical="center"/>
    </xf>
    <xf numFmtId="0" fontId="14" fillId="0" borderId="13" xfId="69" applyFont="1" applyBorder="1" applyAlignment="1">
      <alignment horizontal="center" vertical="center"/>
    </xf>
    <xf numFmtId="0" fontId="14" fillId="0" borderId="140" xfId="69" applyFont="1" applyBorder="1" applyAlignment="1">
      <alignment horizontal="center" vertical="center" shrinkToFit="1"/>
    </xf>
    <xf numFmtId="0" fontId="14" fillId="0" borderId="10" xfId="70" applyFont="1" applyBorder="1" applyAlignment="1" applyProtection="1">
      <alignment horizontal="center" vertical="center"/>
      <protection locked="0"/>
    </xf>
    <xf numFmtId="0" fontId="14" fillId="0" borderId="140" xfId="69" applyFont="1" applyBorder="1" applyAlignment="1">
      <alignment horizontal="center" vertical="center"/>
    </xf>
    <xf numFmtId="0" fontId="14" fillId="11" borderId="141" xfId="69" applyFont="1" applyFill="1" applyBorder="1" applyAlignment="1" applyProtection="1">
      <alignment horizontal="center" vertical="center"/>
      <protection locked="0"/>
    </xf>
    <xf numFmtId="0" fontId="14" fillId="0" borderId="159" xfId="69" applyFont="1" applyBorder="1" applyAlignment="1" applyProtection="1">
      <alignment horizontal="center" vertical="center"/>
      <protection locked="0"/>
    </xf>
    <xf numFmtId="49" fontId="14" fillId="0" borderId="144" xfId="69" applyNumberFormat="1" applyFont="1" applyBorder="1" applyAlignment="1" applyProtection="1">
      <alignment horizontal="center" vertical="center"/>
      <protection locked="0"/>
    </xf>
    <xf numFmtId="0" fontId="14" fillId="0" borderId="141" xfId="69" applyFont="1" applyBorder="1" applyAlignment="1" applyProtection="1">
      <alignment horizontal="left" vertical="center"/>
      <protection locked="0"/>
    </xf>
    <xf numFmtId="0" fontId="6" fillId="0" borderId="138" xfId="69" applyFont="1" applyBorder="1" applyAlignment="1">
      <alignment horizontal="left" vertical="center"/>
    </xf>
    <xf numFmtId="0" fontId="14" fillId="0" borderId="20" xfId="69" applyFont="1" applyBorder="1" applyAlignment="1">
      <alignment horizontal="right" vertical="center"/>
    </xf>
    <xf numFmtId="0" fontId="14" fillId="0" borderId="10" xfId="69" applyFont="1" applyBorder="1" applyAlignment="1">
      <alignment horizontal="center" vertical="center"/>
    </xf>
    <xf numFmtId="0" fontId="14" fillId="0" borderId="13" xfId="69" applyFont="1" applyBorder="1" applyAlignment="1">
      <alignment horizontal="center" vertical="center" shrinkToFit="1"/>
    </xf>
    <xf numFmtId="0" fontId="14" fillId="11" borderId="85" xfId="69" applyFont="1" applyFill="1" applyBorder="1" applyAlignment="1" applyProtection="1">
      <alignment horizontal="center" vertical="center"/>
      <protection locked="0"/>
    </xf>
    <xf numFmtId="0" fontId="14" fillId="0" borderId="155" xfId="69" applyFont="1" applyBorder="1" applyAlignment="1" applyProtection="1">
      <alignment horizontal="center" vertical="center"/>
      <protection locked="0"/>
    </xf>
    <xf numFmtId="0" fontId="14" fillId="0" borderId="154" xfId="69" applyFont="1" applyBorder="1" applyAlignment="1" applyProtection="1">
      <alignment horizontal="center" vertical="center"/>
      <protection locked="0"/>
    </xf>
    <xf numFmtId="0" fontId="14" fillId="0" borderId="153" xfId="69" applyFont="1" applyBorder="1" applyAlignment="1" applyProtection="1">
      <alignment horizontal="center" vertical="center"/>
      <protection locked="0"/>
    </xf>
    <xf numFmtId="49" fontId="14" fillId="0" borderId="154" xfId="69" applyNumberFormat="1" applyFont="1" applyBorder="1" applyAlignment="1" applyProtection="1">
      <alignment horizontal="center" vertical="center"/>
      <protection locked="0"/>
    </xf>
    <xf numFmtId="0" fontId="14" fillId="0" borderId="160" xfId="69" applyFont="1" applyBorder="1" applyAlignment="1" applyProtection="1">
      <alignment horizontal="left" vertical="center"/>
      <protection locked="0"/>
    </xf>
    <xf numFmtId="0" fontId="4" fillId="0" borderId="0" xfId="70" applyFont="1" applyProtection="1">
      <alignment vertical="center"/>
      <protection locked="0"/>
    </xf>
    <xf numFmtId="0" fontId="6" fillId="0" borderId="138" xfId="70" applyFont="1" applyBorder="1" applyAlignment="1">
      <alignment horizontal="left" vertical="center"/>
    </xf>
    <xf numFmtId="0" fontId="14" fillId="0" borderId="20" xfId="70" applyFont="1" applyBorder="1" applyAlignment="1">
      <alignment horizontal="right" vertical="center"/>
    </xf>
    <xf numFmtId="0" fontId="14" fillId="0" borderId="13" xfId="70" applyFont="1" applyBorder="1" applyAlignment="1">
      <alignment horizontal="center" vertical="center" shrinkToFit="1"/>
    </xf>
    <xf numFmtId="0" fontId="14" fillId="0" borderId="13" xfId="70" applyFont="1" applyBorder="1" applyAlignment="1">
      <alignment horizontal="center" vertical="center"/>
    </xf>
    <xf numFmtId="0" fontId="14" fillId="0" borderId="155" xfId="70" applyFont="1" applyBorder="1" applyAlignment="1" applyProtection="1">
      <alignment horizontal="center" vertical="center"/>
      <protection locked="0"/>
    </xf>
    <xf numFmtId="0" fontId="14" fillId="0" borderId="154" xfId="70" applyFont="1" applyBorder="1" applyAlignment="1" applyProtection="1">
      <alignment horizontal="center" vertical="center"/>
      <protection locked="0"/>
    </xf>
    <xf numFmtId="0" fontId="14" fillId="0" borderId="153" xfId="70" applyFont="1" applyBorder="1" applyAlignment="1" applyProtection="1">
      <alignment horizontal="center" vertical="center"/>
      <protection locked="0"/>
    </xf>
    <xf numFmtId="49" fontId="14" fillId="0" borderId="154" xfId="70" applyNumberFormat="1" applyFont="1" applyBorder="1" applyAlignment="1" applyProtection="1">
      <alignment horizontal="center" vertical="center"/>
      <protection locked="0"/>
    </xf>
    <xf numFmtId="0" fontId="14" fillId="0" borderId="85" xfId="69" applyFont="1" applyBorder="1" applyAlignment="1" applyProtection="1">
      <alignment horizontal="left" vertical="center"/>
      <protection locked="0"/>
    </xf>
    <xf numFmtId="0" fontId="14" fillId="0" borderId="13" xfId="69" applyFont="1" applyBorder="1" applyAlignment="1" applyProtection="1">
      <alignment horizontal="center" vertical="center"/>
      <protection locked="0"/>
    </xf>
    <xf numFmtId="0" fontId="14" fillId="0" borderId="147" xfId="69" applyFont="1" applyBorder="1" applyAlignment="1" applyProtection="1">
      <alignment horizontal="center" vertical="center"/>
      <protection locked="0"/>
    </xf>
    <xf numFmtId="0" fontId="4" fillId="0" borderId="154" xfId="69" applyFont="1" applyBorder="1" applyAlignment="1" applyProtection="1">
      <alignment horizontal="center" vertical="center"/>
      <protection locked="0"/>
    </xf>
    <xf numFmtId="0" fontId="14" fillId="0" borderId="85" xfId="69" applyFont="1" applyBorder="1" applyProtection="1">
      <alignment vertical="center"/>
      <protection locked="0"/>
    </xf>
    <xf numFmtId="0" fontId="14" fillId="0" borderId="24" xfId="69" applyFont="1" applyBorder="1" applyAlignment="1">
      <alignment horizontal="right" vertical="center"/>
    </xf>
    <xf numFmtId="0" fontId="14" fillId="0" borderId="10" xfId="69" applyFont="1" applyBorder="1" applyAlignment="1">
      <alignment horizontal="center" vertical="center" shrinkToFit="1"/>
    </xf>
    <xf numFmtId="0" fontId="14" fillId="0" borderId="10" xfId="69" applyFont="1" applyBorder="1" applyAlignment="1" applyProtection="1">
      <alignment horizontal="center" vertical="center"/>
      <protection locked="0"/>
    </xf>
    <xf numFmtId="0" fontId="14" fillId="0" borderId="85" xfId="69" applyFont="1" applyBorder="1" applyAlignment="1" applyProtection="1">
      <alignment horizontal="center" vertical="center"/>
      <protection locked="0"/>
    </xf>
    <xf numFmtId="0" fontId="14" fillId="11" borderId="147" xfId="69" applyFont="1" applyFill="1" applyBorder="1" applyAlignment="1" applyProtection="1">
      <alignment horizontal="center" vertical="center"/>
      <protection locked="0"/>
    </xf>
    <xf numFmtId="0" fontId="14" fillId="0" borderId="145" xfId="69" applyFont="1" applyBorder="1" applyAlignment="1" applyProtection="1">
      <alignment horizontal="center" vertical="center"/>
      <protection locked="0"/>
    </xf>
    <xf numFmtId="0" fontId="14" fillId="3" borderId="143" xfId="69" applyFont="1" applyFill="1" applyBorder="1" applyAlignment="1" applyProtection="1">
      <alignment horizontal="center" vertical="center"/>
      <protection locked="0"/>
    </xf>
    <xf numFmtId="0" fontId="14" fillId="3" borderId="148" xfId="69" applyFont="1" applyFill="1" applyBorder="1" applyAlignment="1" applyProtection="1">
      <alignment horizontal="center" vertical="center"/>
      <protection locked="0"/>
    </xf>
    <xf numFmtId="49" fontId="14" fillId="3" borderId="148" xfId="69" applyNumberFormat="1" applyFont="1" applyFill="1" applyBorder="1" applyAlignment="1" applyProtection="1">
      <alignment horizontal="center" vertical="center"/>
      <protection locked="0"/>
    </xf>
    <xf numFmtId="0" fontId="14" fillId="0" borderId="147" xfId="69" applyFont="1" applyBorder="1" applyProtection="1">
      <alignment vertical="center"/>
      <protection locked="0"/>
    </xf>
    <xf numFmtId="0" fontId="6" fillId="0" borderId="164" xfId="69" applyFont="1" applyBorder="1" applyAlignment="1">
      <alignment horizontal="left" vertical="center"/>
    </xf>
    <xf numFmtId="0" fontId="14" fillId="0" borderId="131" xfId="69" applyFont="1" applyBorder="1" applyAlignment="1">
      <alignment horizontal="right" vertical="center"/>
    </xf>
    <xf numFmtId="0" fontId="14" fillId="0" borderId="132" xfId="69" applyFont="1" applyBorder="1" applyAlignment="1">
      <alignment horizontal="center" vertical="center"/>
    </xf>
    <xf numFmtId="0" fontId="14" fillId="0" borderId="132" xfId="69" applyFont="1" applyBorder="1" applyAlignment="1">
      <alignment horizontal="center" vertical="center" shrinkToFit="1"/>
    </xf>
    <xf numFmtId="0" fontId="14" fillId="0" borderId="132" xfId="70" applyFont="1" applyBorder="1" applyAlignment="1" applyProtection="1">
      <alignment horizontal="center" vertical="center"/>
      <protection locked="0"/>
    </xf>
    <xf numFmtId="0" fontId="14" fillId="0" borderId="132" xfId="69" applyFont="1" applyBorder="1" applyAlignment="1" applyProtection="1">
      <alignment horizontal="center" vertical="center"/>
      <protection locked="0"/>
    </xf>
    <xf numFmtId="0" fontId="14" fillId="0" borderId="167" xfId="69" applyFont="1" applyBorder="1" applyAlignment="1" applyProtection="1">
      <alignment horizontal="center" vertical="center"/>
      <protection locked="0"/>
    </xf>
    <xf numFmtId="0" fontId="4" fillId="0" borderId="166" xfId="69" applyFont="1" applyBorder="1" applyAlignment="1" applyProtection="1">
      <alignment horizontal="center" vertical="center"/>
      <protection locked="0"/>
    </xf>
    <xf numFmtId="0" fontId="14" fillId="0" borderId="152" xfId="69" applyFont="1" applyBorder="1" applyProtection="1">
      <alignment vertical="center"/>
      <protection locked="0"/>
    </xf>
    <xf numFmtId="0" fontId="14" fillId="0" borderId="13" xfId="70" applyFont="1" applyBorder="1" applyAlignment="1" applyProtection="1">
      <alignment horizontal="center" vertical="center"/>
      <protection locked="0"/>
    </xf>
    <xf numFmtId="0" fontId="14" fillId="3" borderId="141" xfId="69" applyFont="1" applyFill="1" applyBorder="1" applyAlignment="1" applyProtection="1">
      <alignment horizontal="center" vertical="center"/>
      <protection locked="0"/>
    </xf>
    <xf numFmtId="0" fontId="14" fillId="3" borderId="146" xfId="69" applyFont="1" applyFill="1" applyBorder="1" applyAlignment="1" applyProtection="1">
      <alignment horizontal="center" vertical="center"/>
      <protection locked="0"/>
    </xf>
    <xf numFmtId="0" fontId="14" fillId="3" borderId="144" xfId="69" applyFont="1" applyFill="1" applyBorder="1" applyAlignment="1" applyProtection="1">
      <alignment horizontal="center" vertical="center"/>
      <protection locked="0"/>
    </xf>
    <xf numFmtId="49" fontId="14" fillId="3" borderId="144" xfId="69" applyNumberFormat="1" applyFont="1" applyFill="1" applyBorder="1" applyAlignment="1" applyProtection="1">
      <alignment horizontal="center" vertical="center"/>
      <protection locked="0"/>
    </xf>
    <xf numFmtId="0" fontId="14" fillId="0" borderId="7" xfId="69" applyFont="1" applyBorder="1" applyAlignment="1">
      <alignment horizontal="right" vertical="center"/>
    </xf>
    <xf numFmtId="0" fontId="14" fillId="0" borderId="10" xfId="7" applyFont="1" applyBorder="1" applyAlignment="1">
      <alignment horizontal="center" vertical="center" shrinkToFit="1"/>
    </xf>
    <xf numFmtId="0" fontId="14" fillId="0" borderId="10" xfId="7" applyFont="1" applyBorder="1" applyAlignment="1" applyProtection="1">
      <alignment horizontal="center" vertical="center"/>
      <protection locked="0"/>
    </xf>
    <xf numFmtId="0" fontId="14" fillId="0" borderId="139" xfId="69" applyFont="1" applyBorder="1" applyAlignment="1" applyProtection="1">
      <alignment horizontal="center" vertical="center"/>
      <protection locked="0"/>
    </xf>
    <xf numFmtId="0" fontId="14" fillId="0" borderId="161" xfId="69" applyFont="1" applyBorder="1" applyAlignment="1" applyProtection="1">
      <alignment horizontal="center" vertical="center"/>
      <protection locked="0"/>
    </xf>
    <xf numFmtId="0" fontId="14" fillId="0" borderId="162" xfId="69" applyFont="1" applyBorder="1" applyAlignment="1" applyProtection="1">
      <alignment horizontal="center" vertical="center"/>
      <protection locked="0"/>
    </xf>
    <xf numFmtId="0" fontId="14" fillId="0" borderId="160" xfId="69" applyFont="1" applyBorder="1" applyProtection="1">
      <alignment vertical="center"/>
      <protection locked="0"/>
    </xf>
    <xf numFmtId="0" fontId="4" fillId="0" borderId="0" xfId="7" applyFont="1" applyProtection="1">
      <alignment vertical="center"/>
      <protection locked="0"/>
    </xf>
    <xf numFmtId="0" fontId="6" fillId="0" borderId="164" xfId="7" applyFont="1" applyBorder="1" applyAlignment="1">
      <alignment horizontal="left" vertical="center"/>
    </xf>
    <xf numFmtId="0" fontId="14" fillId="0" borderId="132" xfId="7" applyFont="1" applyBorder="1" applyAlignment="1">
      <alignment horizontal="right" vertical="center" shrinkToFit="1"/>
    </xf>
    <xf numFmtId="0" fontId="14" fillId="0" borderId="132" xfId="7" applyFont="1" applyBorder="1" applyAlignment="1">
      <alignment horizontal="center" vertical="center" shrinkToFit="1"/>
    </xf>
    <xf numFmtId="0" fontId="14" fillId="0" borderId="132" xfId="7" applyFont="1" applyBorder="1" applyAlignment="1">
      <alignment horizontal="center" vertical="center"/>
    </xf>
    <xf numFmtId="0" fontId="14" fillId="0" borderId="132" xfId="7" applyFont="1" applyBorder="1" applyAlignment="1" applyProtection="1">
      <alignment horizontal="center" vertical="center"/>
      <protection locked="0"/>
    </xf>
    <xf numFmtId="0" fontId="14" fillId="0" borderId="165" xfId="7" applyFont="1" applyBorder="1" applyAlignment="1" applyProtection="1">
      <alignment horizontal="center" vertical="center"/>
      <protection locked="0"/>
    </xf>
    <xf numFmtId="0" fontId="14" fillId="0" borderId="166" xfId="7" applyFont="1" applyBorder="1" applyAlignment="1" applyProtection="1">
      <alignment horizontal="center" vertical="center"/>
      <protection locked="0"/>
    </xf>
    <xf numFmtId="0" fontId="14" fillId="0" borderId="152" xfId="7" applyFont="1" applyBorder="1" applyProtection="1">
      <alignment vertical="center"/>
      <protection locked="0"/>
    </xf>
    <xf numFmtId="49" fontId="14" fillId="0" borderId="148" xfId="69" applyNumberFormat="1" applyFont="1" applyBorder="1" applyAlignment="1" applyProtection="1">
      <alignment horizontal="center" vertical="center"/>
      <protection locked="0"/>
    </xf>
    <xf numFmtId="0" fontId="14" fillId="0" borderId="13" xfId="69" applyFont="1" applyBorder="1" applyAlignment="1" applyProtection="1">
      <alignment horizontal="center" vertical="center" shrinkToFit="1"/>
      <protection locked="0"/>
    </xf>
    <xf numFmtId="0" fontId="14" fillId="0" borderId="143" xfId="69" applyFont="1" applyBorder="1" applyProtection="1">
      <alignment vertical="center"/>
      <protection locked="0"/>
    </xf>
    <xf numFmtId="0" fontId="6" fillId="0" borderId="138" xfId="7" applyFont="1" applyBorder="1" applyAlignment="1">
      <alignment horizontal="left" vertical="center"/>
    </xf>
    <xf numFmtId="0" fontId="14" fillId="0" borderId="20" xfId="7" applyFont="1" applyBorder="1" applyAlignment="1">
      <alignment horizontal="right" vertical="center"/>
    </xf>
    <xf numFmtId="0" fontId="14" fillId="0" borderId="13" xfId="7" applyFont="1" applyBorder="1" applyAlignment="1">
      <alignment horizontal="center" vertical="center" shrinkToFit="1"/>
    </xf>
    <xf numFmtId="0" fontId="14" fillId="0" borderId="13" xfId="7" applyFont="1" applyBorder="1" applyAlignment="1">
      <alignment horizontal="center" vertical="center"/>
    </xf>
    <xf numFmtId="0" fontId="60" fillId="0" borderId="147" xfId="69" applyFont="1" applyBorder="1" applyProtection="1">
      <alignment vertical="center"/>
      <protection locked="0"/>
    </xf>
    <xf numFmtId="0" fontId="14" fillId="0" borderId="176" xfId="69" applyFont="1" applyBorder="1" applyProtection="1">
      <alignment vertical="center"/>
      <protection locked="0"/>
    </xf>
    <xf numFmtId="0" fontId="14" fillId="0" borderId="145" xfId="69" applyFont="1" applyBorder="1" applyProtection="1">
      <alignment vertical="center"/>
      <protection locked="0"/>
    </xf>
    <xf numFmtId="0" fontId="14" fillId="0" borderId="24" xfId="69" applyFont="1" applyBorder="1" applyAlignment="1">
      <alignment horizontal="right" vertical="center" wrapText="1"/>
    </xf>
    <xf numFmtId="0" fontId="14" fillId="0" borderId="178" xfId="69" applyFont="1" applyBorder="1" applyProtection="1">
      <alignment vertical="center"/>
      <protection locked="0"/>
    </xf>
    <xf numFmtId="0" fontId="14" fillId="0" borderId="153" xfId="69" applyFont="1" applyBorder="1" applyProtection="1">
      <alignment vertical="center"/>
      <protection locked="0"/>
    </xf>
    <xf numFmtId="0" fontId="14" fillId="0" borderId="132" xfId="69" applyFont="1" applyBorder="1" applyAlignment="1">
      <alignment horizontal="right" vertical="center" wrapText="1"/>
    </xf>
    <xf numFmtId="0" fontId="14" fillId="0" borderId="177" xfId="69" applyFont="1" applyBorder="1" applyProtection="1">
      <alignment vertical="center"/>
      <protection locked="0"/>
    </xf>
    <xf numFmtId="0" fontId="14" fillId="0" borderId="165" xfId="69" applyFont="1" applyBorder="1" applyProtection="1">
      <alignment vertical="center"/>
      <protection locked="0"/>
    </xf>
    <xf numFmtId="0" fontId="14" fillId="0" borderId="13" xfId="7" applyFont="1" applyBorder="1" applyAlignment="1" applyProtection="1">
      <alignment horizontal="center" vertical="center"/>
      <protection locked="0"/>
    </xf>
    <xf numFmtId="0" fontId="14" fillId="7" borderId="13" xfId="69" applyFont="1" applyFill="1" applyBorder="1" applyAlignment="1" applyProtection="1">
      <alignment horizontal="center" vertical="center"/>
      <protection locked="0"/>
    </xf>
    <xf numFmtId="0" fontId="14" fillId="0" borderId="179" xfId="69" applyFont="1" applyBorder="1" applyProtection="1">
      <alignment vertical="center"/>
      <protection locked="0"/>
    </xf>
    <xf numFmtId="56" fontId="14" fillId="3" borderId="148" xfId="69" quotePrefix="1" applyNumberFormat="1" applyFont="1" applyFill="1" applyBorder="1" applyAlignment="1" applyProtection="1">
      <alignment horizontal="center" vertical="center"/>
      <protection locked="0"/>
    </xf>
    <xf numFmtId="0" fontId="14" fillId="3" borderId="147" xfId="69" applyFont="1" applyFill="1" applyBorder="1" applyProtection="1">
      <alignment vertical="center"/>
      <protection locked="0"/>
    </xf>
    <xf numFmtId="0" fontId="31" fillId="0" borderId="0" xfId="7" applyFont="1" applyProtection="1">
      <alignment vertical="center"/>
      <protection locked="0"/>
    </xf>
    <xf numFmtId="0" fontId="61" fillId="0" borderId="138" xfId="7" applyFont="1" applyBorder="1" applyAlignment="1">
      <alignment horizontal="left" vertical="center"/>
    </xf>
    <xf numFmtId="0" fontId="14" fillId="0" borderId="178" xfId="72" applyFont="1" applyBorder="1" applyAlignment="1" applyProtection="1">
      <alignment horizontal="center" vertical="center"/>
      <protection locked="0"/>
    </xf>
    <xf numFmtId="0" fontId="14" fillId="0" borderId="153" xfId="72" applyFont="1" applyBorder="1" applyAlignment="1" applyProtection="1">
      <alignment horizontal="center" vertical="center"/>
      <protection locked="0"/>
    </xf>
    <xf numFmtId="0" fontId="14" fillId="0" borderId="154" xfId="72" applyFont="1" applyBorder="1" applyAlignment="1" applyProtection="1">
      <alignment horizontal="center" vertical="center"/>
      <protection locked="0"/>
    </xf>
    <xf numFmtId="0" fontId="14" fillId="0" borderId="85" xfId="72" applyFont="1" applyBorder="1" applyProtection="1">
      <alignment vertical="center"/>
      <protection locked="0"/>
    </xf>
    <xf numFmtId="0" fontId="14" fillId="0" borderId="20" xfId="69" applyFont="1" applyBorder="1" applyAlignment="1">
      <alignment horizontal="right" vertical="center" wrapText="1"/>
    </xf>
    <xf numFmtId="0" fontId="14" fillId="0" borderId="147" xfId="7" applyFont="1" applyBorder="1" applyAlignment="1" applyProtection="1">
      <alignment horizontal="center" vertical="center"/>
      <protection locked="0"/>
    </xf>
    <xf numFmtId="0" fontId="14" fillId="0" borderId="176" xfId="7" applyFont="1" applyBorder="1" applyAlignment="1" applyProtection="1">
      <alignment horizontal="center" vertical="center"/>
      <protection locked="0"/>
    </xf>
    <xf numFmtId="0" fontId="14" fillId="0" borderId="143" xfId="7" applyFont="1" applyBorder="1" applyAlignment="1" applyProtection="1">
      <alignment horizontal="center" vertical="center"/>
      <protection locked="0"/>
    </xf>
    <xf numFmtId="0" fontId="14" fillId="0" borderId="148" xfId="7" applyFont="1" applyBorder="1" applyAlignment="1" applyProtection="1">
      <alignment horizontal="center" vertical="center"/>
      <protection locked="0"/>
    </xf>
    <xf numFmtId="0" fontId="14" fillId="0" borderId="85" xfId="7" applyFont="1" applyBorder="1" applyProtection="1">
      <alignment vertical="center"/>
      <protection locked="0"/>
    </xf>
    <xf numFmtId="0" fontId="4" fillId="4" borderId="0" xfId="69" applyFont="1" applyFill="1" applyProtection="1">
      <alignment vertical="center"/>
      <protection locked="0"/>
    </xf>
    <xf numFmtId="0" fontId="6" fillId="4" borderId="138" xfId="69" applyFont="1" applyFill="1" applyBorder="1" applyAlignment="1">
      <alignment horizontal="left" vertical="center"/>
    </xf>
    <xf numFmtId="0" fontId="14" fillId="0" borderId="148" xfId="69" applyFont="1" applyBorder="1" applyProtection="1">
      <alignment vertical="center"/>
      <protection locked="0"/>
    </xf>
    <xf numFmtId="0" fontId="14" fillId="0" borderId="20" xfId="7" applyFont="1" applyBorder="1" applyAlignment="1">
      <alignment horizontal="right" vertical="center" shrinkToFit="1"/>
    </xf>
    <xf numFmtId="0" fontId="14" fillId="0" borderId="178" xfId="7" applyFont="1" applyBorder="1" applyAlignment="1" applyProtection="1">
      <alignment horizontal="center" vertical="center"/>
      <protection locked="0"/>
    </xf>
    <xf numFmtId="0" fontId="14" fillId="0" borderId="154" xfId="7" applyFont="1" applyBorder="1" applyAlignment="1" applyProtection="1">
      <alignment horizontal="center" vertical="center"/>
      <protection locked="0"/>
    </xf>
    <xf numFmtId="0" fontId="14" fillId="0" borderId="153" xfId="7" applyFont="1" applyBorder="1" applyAlignment="1" applyProtection="1">
      <alignment horizontal="center" vertical="center"/>
      <protection locked="0"/>
    </xf>
    <xf numFmtId="0" fontId="14" fillId="0" borderId="24" xfId="7" applyFont="1" applyBorder="1" applyAlignment="1">
      <alignment horizontal="right" vertical="center" shrinkToFit="1"/>
    </xf>
    <xf numFmtId="0" fontId="14" fillId="0" borderId="85" xfId="7" applyFont="1" applyBorder="1" applyAlignment="1" applyProtection="1">
      <alignment horizontal="center" vertical="center"/>
      <protection locked="0"/>
    </xf>
    <xf numFmtId="0" fontId="14" fillId="0" borderId="179" xfId="69" applyFont="1" applyBorder="1" applyAlignment="1" applyProtection="1">
      <alignment horizontal="center" vertical="center"/>
      <protection locked="0"/>
    </xf>
    <xf numFmtId="0" fontId="14" fillId="0" borderId="147" xfId="69" applyFont="1" applyBorder="1" applyAlignment="1" applyProtection="1">
      <alignment vertical="center" shrinkToFit="1"/>
      <protection locked="0"/>
    </xf>
    <xf numFmtId="0" fontId="14" fillId="0" borderId="10" xfId="7" applyFont="1" applyBorder="1" applyAlignment="1" applyProtection="1">
      <alignment horizontal="center" vertical="center" shrinkToFit="1"/>
      <protection locked="0"/>
    </xf>
    <xf numFmtId="0" fontId="14" fillId="0" borderId="85" xfId="71" applyFont="1" applyBorder="1" applyAlignment="1" applyProtection="1">
      <alignment horizontal="center" vertical="center"/>
      <protection locked="0"/>
    </xf>
    <xf numFmtId="0" fontId="14" fillId="0" borderId="26" xfId="111" applyFont="1" applyBorder="1" applyAlignment="1">
      <alignment horizontal="center" vertical="center"/>
    </xf>
    <xf numFmtId="0" fontId="14" fillId="0" borderId="10" xfId="71" applyFont="1" applyBorder="1" applyAlignment="1" applyProtection="1">
      <alignment horizontal="center" vertical="center"/>
      <protection locked="0"/>
    </xf>
    <xf numFmtId="0" fontId="14" fillId="0" borderId="10" xfId="7" applyFont="1" applyBorder="1" applyAlignment="1">
      <alignment horizontal="center" vertical="center"/>
    </xf>
    <xf numFmtId="0" fontId="14" fillId="0" borderId="25" xfId="7" applyFont="1" applyBorder="1" applyAlignment="1" applyProtection="1">
      <alignment horizontal="center" vertical="center"/>
      <protection locked="0"/>
    </xf>
    <xf numFmtId="0" fontId="14" fillId="0" borderId="145" xfId="7" applyFont="1" applyBorder="1" applyAlignment="1" applyProtection="1">
      <alignment horizontal="center" vertical="center"/>
      <protection locked="0"/>
    </xf>
    <xf numFmtId="0" fontId="14" fillId="0" borderId="10" xfId="69" applyFont="1" applyBorder="1" applyAlignment="1">
      <alignment horizontal="right" vertical="center"/>
    </xf>
    <xf numFmtId="0" fontId="14" fillId="0" borderId="24" xfId="69" applyFont="1" applyBorder="1" applyAlignment="1" applyProtection="1">
      <alignment horizontal="center" vertical="center"/>
      <protection locked="0"/>
    </xf>
    <xf numFmtId="0" fontId="14" fillId="0" borderId="178" xfId="69" applyFont="1" applyBorder="1" applyAlignment="1" applyProtection="1">
      <alignment horizontal="center" vertical="center"/>
      <protection locked="0"/>
    </xf>
    <xf numFmtId="0" fontId="67" fillId="0" borderId="0" xfId="69" applyFont="1" applyProtection="1">
      <alignment vertical="center"/>
      <protection locked="0"/>
    </xf>
    <xf numFmtId="0" fontId="14" fillId="0" borderId="178" xfId="7" applyFont="1" applyBorder="1" applyProtection="1">
      <alignment vertical="center"/>
      <protection locked="0"/>
    </xf>
    <xf numFmtId="0" fontId="14" fillId="0" borderId="154" xfId="7" applyFont="1" applyBorder="1" applyProtection="1">
      <alignment vertical="center"/>
      <protection locked="0"/>
    </xf>
    <xf numFmtId="0" fontId="14" fillId="0" borderId="153" xfId="7" applyFont="1" applyBorder="1" applyProtection="1">
      <alignment vertical="center"/>
      <protection locked="0"/>
    </xf>
    <xf numFmtId="0" fontId="14" fillId="0" borderId="85" xfId="69" applyFont="1" applyBorder="1" applyAlignment="1" applyProtection="1">
      <alignment vertical="center" shrinkToFit="1"/>
      <protection locked="0"/>
    </xf>
    <xf numFmtId="0" fontId="14" fillId="0" borderId="147" xfId="7" applyFont="1" applyBorder="1" applyProtection="1">
      <alignment vertical="center"/>
      <protection locked="0"/>
    </xf>
    <xf numFmtId="0" fontId="14" fillId="0" borderId="10" xfId="69" applyFont="1" applyBorder="1" applyAlignment="1" applyProtection="1">
      <alignment horizontal="center" vertical="center" shrinkToFit="1"/>
      <protection locked="0"/>
    </xf>
    <xf numFmtId="0" fontId="14" fillId="0" borderId="10" xfId="111" applyFont="1" applyBorder="1" applyAlignment="1">
      <alignment horizontal="center" vertical="center"/>
    </xf>
    <xf numFmtId="0" fontId="60" fillId="0" borderId="85" xfId="69" applyFont="1" applyBorder="1" applyAlignment="1" applyProtection="1">
      <alignment horizontal="center" vertical="center"/>
      <protection locked="0"/>
    </xf>
    <xf numFmtId="0" fontId="62" fillId="0" borderId="155" xfId="72" applyFont="1" applyBorder="1" applyAlignment="1" applyProtection="1">
      <alignment horizontal="center" vertical="center"/>
      <protection locked="0"/>
    </xf>
    <xf numFmtId="0" fontId="62" fillId="0" borderId="154" xfId="72" applyFont="1" applyBorder="1" applyAlignment="1" applyProtection="1">
      <alignment horizontal="center" vertical="center"/>
      <protection locked="0"/>
    </xf>
    <xf numFmtId="0" fontId="62" fillId="0" borderId="153" xfId="72" applyFont="1" applyBorder="1" applyAlignment="1" applyProtection="1">
      <alignment horizontal="center" vertical="center"/>
      <protection locked="0"/>
    </xf>
    <xf numFmtId="0" fontId="62" fillId="3" borderId="153" xfId="72" applyFont="1" applyFill="1" applyBorder="1" applyAlignment="1" applyProtection="1">
      <alignment horizontal="center" vertical="center"/>
      <protection locked="0"/>
    </xf>
    <xf numFmtId="49" fontId="62" fillId="0" borderId="154" xfId="72" applyNumberFormat="1" applyFont="1" applyBorder="1" applyAlignment="1" applyProtection="1">
      <alignment horizontal="center" vertical="center"/>
      <protection locked="0"/>
    </xf>
    <xf numFmtId="0" fontId="60" fillId="3" borderId="153" xfId="72" applyFont="1" applyFill="1" applyBorder="1" applyAlignment="1" applyProtection="1">
      <alignment horizontal="center" vertical="center"/>
      <protection locked="0"/>
    </xf>
    <xf numFmtId="0" fontId="14" fillId="3" borderId="153" xfId="72" applyFont="1" applyFill="1" applyBorder="1" applyAlignment="1" applyProtection="1">
      <alignment horizontal="center" vertical="center"/>
      <protection locked="0"/>
    </xf>
    <xf numFmtId="0" fontId="60" fillId="3" borderId="85" xfId="72" applyFont="1" applyFill="1" applyBorder="1" applyProtection="1">
      <alignment vertical="center"/>
      <protection locked="0"/>
    </xf>
    <xf numFmtId="0" fontId="14" fillId="0" borderId="13" xfId="71" applyFont="1" applyBorder="1" applyAlignment="1">
      <alignment horizontal="right" vertical="center"/>
    </xf>
    <xf numFmtId="0" fontId="14" fillId="0" borderId="13" xfId="71" applyFont="1" applyBorder="1" applyAlignment="1">
      <alignment horizontal="center" vertical="center" shrinkToFit="1"/>
    </xf>
    <xf numFmtId="0" fontId="14" fillId="0" borderId="13" xfId="71" applyFont="1" applyBorder="1" applyAlignment="1">
      <alignment horizontal="center" vertical="center"/>
    </xf>
    <xf numFmtId="0" fontId="69" fillId="11" borderId="147" xfId="113" applyFont="1" applyFill="1" applyBorder="1" applyAlignment="1" applyProtection="1">
      <alignment horizontal="center" vertical="center"/>
      <protection locked="0"/>
    </xf>
    <xf numFmtId="0" fontId="69" fillId="0" borderId="176" xfId="113" applyFont="1" applyBorder="1" applyAlignment="1" applyProtection="1">
      <alignment horizontal="center" vertical="center"/>
      <protection locked="0"/>
    </xf>
    <xf numFmtId="0" fontId="14" fillId="0" borderId="148" xfId="70" applyFont="1" applyBorder="1" applyAlignment="1" applyProtection="1">
      <alignment horizontal="center" vertical="center"/>
      <protection locked="0"/>
    </xf>
    <xf numFmtId="0" fontId="69" fillId="0" borderId="20" xfId="113" applyFont="1" applyBorder="1" applyAlignment="1" applyProtection="1">
      <alignment horizontal="center" vertical="center"/>
      <protection locked="0"/>
    </xf>
    <xf numFmtId="0" fontId="69" fillId="0" borderId="148" xfId="113" applyFont="1" applyBorder="1" applyAlignment="1" applyProtection="1">
      <alignment horizontal="center" vertical="center"/>
      <protection locked="0"/>
    </xf>
    <xf numFmtId="0" fontId="69" fillId="0" borderId="85" xfId="113" applyFont="1" applyBorder="1" applyAlignment="1" applyProtection="1">
      <alignment horizontal="left" vertical="center"/>
      <protection locked="0"/>
    </xf>
    <xf numFmtId="0" fontId="14" fillId="0" borderId="24" xfId="71" applyFont="1" applyBorder="1" applyAlignment="1">
      <alignment horizontal="right" vertical="center"/>
    </xf>
    <xf numFmtId="0" fontId="14" fillId="0" borderId="10" xfId="71" applyFont="1" applyBorder="1" applyAlignment="1">
      <alignment horizontal="center" vertical="center" shrinkToFit="1"/>
    </xf>
    <xf numFmtId="0" fontId="69" fillId="11" borderId="85" xfId="113" applyFont="1" applyFill="1" applyBorder="1" applyAlignment="1" applyProtection="1">
      <alignment horizontal="center" vertical="center"/>
      <protection locked="0"/>
    </xf>
    <xf numFmtId="0" fontId="69" fillId="0" borderId="178" xfId="113" applyFont="1" applyBorder="1" applyAlignment="1" applyProtection="1">
      <alignment horizontal="center" vertical="center"/>
      <protection locked="0"/>
    </xf>
    <xf numFmtId="0" fontId="69" fillId="0" borderId="24" xfId="113" applyFont="1" applyBorder="1" applyAlignment="1" applyProtection="1">
      <alignment horizontal="center" vertical="center"/>
      <protection locked="0"/>
    </xf>
    <xf numFmtId="0" fontId="69" fillId="0" borderId="154" xfId="113" applyFont="1" applyBorder="1" applyAlignment="1" applyProtection="1">
      <alignment horizontal="center" vertical="center"/>
      <protection locked="0"/>
    </xf>
    <xf numFmtId="0" fontId="14" fillId="0" borderId="30" xfId="71" applyFont="1" applyBorder="1" applyAlignment="1">
      <alignment horizontal="right" vertical="center"/>
    </xf>
    <xf numFmtId="0" fontId="14" fillId="0" borderId="15" xfId="69" applyFont="1" applyBorder="1" applyAlignment="1">
      <alignment horizontal="center" vertical="center"/>
    </xf>
    <xf numFmtId="0" fontId="14" fillId="0" borderId="160" xfId="71" applyFont="1" applyBorder="1" applyAlignment="1" applyProtection="1">
      <alignment horizontal="center" vertical="center"/>
      <protection locked="0"/>
    </xf>
    <xf numFmtId="0" fontId="14" fillId="0" borderId="161" xfId="70" applyFont="1" applyBorder="1" applyAlignment="1" applyProtection="1">
      <alignment horizontal="center" vertical="center"/>
      <protection locked="0"/>
    </xf>
    <xf numFmtId="0" fontId="14" fillId="0" borderId="162" xfId="70" applyFont="1" applyBorder="1" applyProtection="1">
      <alignment vertical="center"/>
      <protection locked="0"/>
    </xf>
    <xf numFmtId="0" fontId="14" fillId="0" borderId="163" xfId="70" applyFont="1" applyBorder="1" applyAlignment="1" applyProtection="1">
      <alignment horizontal="center" vertical="center"/>
      <protection locked="0"/>
    </xf>
    <xf numFmtId="0" fontId="14" fillId="0" borderId="162" xfId="70" applyFont="1" applyBorder="1" applyAlignment="1" applyProtection="1">
      <alignment horizontal="center" vertical="center"/>
      <protection locked="0"/>
    </xf>
    <xf numFmtId="0" fontId="14" fillId="0" borderId="161" xfId="7" applyFont="1" applyBorder="1" applyAlignment="1" applyProtection="1">
      <alignment horizontal="center" vertical="center"/>
      <protection locked="0"/>
    </xf>
    <xf numFmtId="0" fontId="14" fillId="0" borderId="161" xfId="70" applyFont="1" applyBorder="1" applyProtection="1">
      <alignment vertical="center"/>
      <protection locked="0"/>
    </xf>
    <xf numFmtId="0" fontId="14" fillId="0" borderId="15" xfId="71" applyFont="1" applyBorder="1" applyAlignment="1">
      <alignment horizontal="center" vertical="center" shrinkToFit="1"/>
    </xf>
    <xf numFmtId="0" fontId="14" fillId="0" borderId="31" xfId="111" applyFont="1" applyBorder="1" applyAlignment="1">
      <alignment horizontal="center" vertical="center"/>
    </xf>
    <xf numFmtId="0" fontId="14" fillId="0" borderId="15" xfId="71" applyFont="1" applyBorder="1" applyAlignment="1" applyProtection="1">
      <alignment horizontal="center" vertical="center"/>
      <protection locked="0"/>
    </xf>
    <xf numFmtId="0" fontId="14" fillId="0" borderId="154" xfId="70" applyFont="1" applyBorder="1" applyProtection="1">
      <alignment vertical="center"/>
      <protection locked="0"/>
    </xf>
    <xf numFmtId="0" fontId="14" fillId="0" borderId="153" xfId="70" applyFont="1" applyBorder="1" applyProtection="1">
      <alignment vertical="center"/>
      <protection locked="0"/>
    </xf>
    <xf numFmtId="0" fontId="14" fillId="0" borderId="85" xfId="70" applyFont="1" applyBorder="1" applyProtection="1">
      <alignment vertical="center"/>
      <protection locked="0"/>
    </xf>
    <xf numFmtId="0" fontId="14" fillId="0" borderId="178" xfId="70" applyFont="1" applyBorder="1" applyProtection="1">
      <alignment vertical="center"/>
      <protection locked="0"/>
    </xf>
    <xf numFmtId="0" fontId="31" fillId="0" borderId="0" xfId="70" applyFont="1" applyProtection="1">
      <alignment vertical="center"/>
      <protection locked="0"/>
    </xf>
    <xf numFmtId="0" fontId="61" fillId="0" borderId="138" xfId="70" applyFont="1" applyBorder="1" applyAlignment="1">
      <alignment horizontal="left" vertical="center"/>
    </xf>
    <xf numFmtId="0" fontId="14" fillId="0" borderId="10" xfId="71" applyFont="1" applyBorder="1" applyAlignment="1" applyProtection="1">
      <alignment horizontal="center" vertical="center" shrinkToFit="1"/>
      <protection locked="0"/>
    </xf>
    <xf numFmtId="0" fontId="14" fillId="7" borderId="24" xfId="71" applyFont="1" applyFill="1" applyBorder="1" applyAlignment="1">
      <alignment horizontal="right" vertical="center"/>
    </xf>
    <xf numFmtId="0" fontId="14" fillId="7" borderId="85" xfId="71" applyFont="1" applyFill="1" applyBorder="1" applyAlignment="1" applyProtection="1">
      <alignment horizontal="center" vertical="center"/>
      <protection locked="0"/>
    </xf>
    <xf numFmtId="0" fontId="14" fillId="0" borderId="155" xfId="70" applyFont="1" applyBorder="1" applyProtection="1">
      <alignment vertical="center"/>
      <protection locked="0"/>
    </xf>
    <xf numFmtId="0" fontId="70" fillId="0" borderId="0" xfId="69" applyFont="1" applyProtection="1">
      <alignment vertical="center"/>
      <protection locked="0"/>
    </xf>
    <xf numFmtId="0" fontId="71" fillId="0" borderId="138" xfId="69" applyFont="1" applyBorder="1" applyAlignment="1">
      <alignment horizontal="left" vertical="center"/>
    </xf>
    <xf numFmtId="0" fontId="6" fillId="0" borderId="55" xfId="70" applyFont="1" applyBorder="1" applyAlignment="1">
      <alignment horizontal="left" vertical="center"/>
    </xf>
    <xf numFmtId="0" fontId="14" fillId="0" borderId="85" xfId="69" applyFont="1" applyBorder="1" applyAlignment="1" applyProtection="1">
      <alignment vertical="center" wrapText="1"/>
      <protection locked="0"/>
    </xf>
    <xf numFmtId="0" fontId="6" fillId="0" borderId="97" xfId="70" applyFont="1" applyBorder="1" applyAlignment="1">
      <alignment horizontal="left" vertical="center"/>
    </xf>
    <xf numFmtId="0" fontId="14" fillId="0" borderId="132" xfId="71" applyFont="1" applyBorder="1" applyAlignment="1" applyProtection="1">
      <alignment horizontal="center" vertical="center" shrinkToFit="1"/>
      <protection locked="0"/>
    </xf>
    <xf numFmtId="0" fontId="14" fillId="0" borderId="152" xfId="71" applyFont="1" applyBorder="1" applyAlignment="1" applyProtection="1">
      <alignment horizontal="center" vertical="center"/>
      <protection locked="0"/>
    </xf>
    <xf numFmtId="0" fontId="14" fillId="0" borderId="177" xfId="70" applyFont="1" applyBorder="1" applyProtection="1">
      <alignment vertical="center"/>
      <protection locked="0"/>
    </xf>
    <xf numFmtId="0" fontId="14" fillId="0" borderId="166" xfId="70" applyFont="1" applyBorder="1" applyProtection="1">
      <alignment vertical="center"/>
      <protection locked="0"/>
    </xf>
    <xf numFmtId="0" fontId="14" fillId="0" borderId="165" xfId="70" applyFont="1" applyBorder="1" applyAlignment="1" applyProtection="1">
      <alignment horizontal="center" vertical="center"/>
      <protection locked="0"/>
    </xf>
    <xf numFmtId="0" fontId="14" fillId="0" borderId="166" xfId="70" applyFont="1" applyBorder="1" applyAlignment="1" applyProtection="1">
      <alignment horizontal="center" vertical="center"/>
      <protection locked="0"/>
    </xf>
    <xf numFmtId="0" fontId="14" fillId="0" borderId="165" xfId="70" applyFont="1" applyBorder="1" applyProtection="1">
      <alignment vertical="center"/>
      <protection locked="0"/>
    </xf>
    <xf numFmtId="0" fontId="14" fillId="0" borderId="152" xfId="70" applyFont="1" applyBorder="1" applyProtection="1">
      <alignment vertical="center"/>
      <protection locked="0"/>
    </xf>
    <xf numFmtId="0" fontId="6" fillId="0" borderId="55" xfId="69" applyFont="1" applyBorder="1" applyAlignment="1">
      <alignment horizontal="left" vertical="center"/>
    </xf>
    <xf numFmtId="0" fontId="14" fillId="0" borderId="20" xfId="114" applyFont="1" applyBorder="1" applyAlignment="1">
      <alignment horizontal="right" vertical="center" shrinkToFit="1"/>
    </xf>
    <xf numFmtId="0" fontId="14" fillId="0" borderId="13" xfId="114" applyFont="1" applyBorder="1" applyAlignment="1">
      <alignment horizontal="center" vertical="center"/>
    </xf>
    <xf numFmtId="0" fontId="14" fillId="0" borderId="13" xfId="114" applyFont="1" applyBorder="1" applyAlignment="1">
      <alignment horizontal="center" vertical="center" shrinkToFit="1"/>
    </xf>
    <xf numFmtId="0" fontId="14" fillId="0" borderId="13" xfId="114" applyFont="1" applyBorder="1" applyAlignment="1" applyProtection="1">
      <alignment horizontal="center" vertical="center"/>
      <protection locked="0"/>
    </xf>
    <xf numFmtId="0" fontId="14" fillId="0" borderId="147" xfId="114" applyFont="1" applyBorder="1" applyAlignment="1" applyProtection="1">
      <alignment horizontal="center" vertical="center"/>
      <protection locked="0"/>
    </xf>
    <xf numFmtId="0" fontId="14" fillId="0" borderId="176" xfId="115" applyFont="1" applyBorder="1" applyAlignment="1" applyProtection="1">
      <alignment horizontal="center" vertical="center"/>
      <protection locked="0"/>
    </xf>
    <xf numFmtId="0" fontId="14" fillId="0" borderId="148" xfId="115" applyFont="1" applyBorder="1" applyAlignment="1" applyProtection="1">
      <alignment horizontal="center" vertical="center"/>
      <protection locked="0"/>
    </xf>
    <xf numFmtId="0" fontId="14" fillId="0" borderId="143" xfId="114" applyFont="1" applyBorder="1" applyAlignment="1" applyProtection="1">
      <alignment horizontal="center" vertical="center"/>
      <protection locked="0"/>
    </xf>
    <xf numFmtId="0" fontId="14" fillId="0" borderId="148" xfId="114" applyFont="1" applyBorder="1" applyAlignment="1" applyProtection="1">
      <alignment horizontal="center" vertical="center"/>
      <protection locked="0"/>
    </xf>
    <xf numFmtId="0" fontId="14" fillId="0" borderId="143" xfId="115" applyFont="1" applyBorder="1" applyAlignment="1" applyProtection="1">
      <alignment horizontal="center" vertical="center"/>
      <protection locked="0"/>
    </xf>
    <xf numFmtId="0" fontId="14" fillId="0" borderId="147" xfId="115" applyFont="1" applyBorder="1" applyProtection="1">
      <alignment vertical="center"/>
      <protection locked="0"/>
    </xf>
    <xf numFmtId="0" fontId="14" fillId="0" borderId="155" xfId="7" applyFont="1" applyBorder="1" applyAlignment="1" applyProtection="1">
      <alignment horizontal="center" vertical="center"/>
      <protection locked="0"/>
    </xf>
    <xf numFmtId="0" fontId="14" fillId="0" borderId="24" xfId="7" applyFont="1" applyBorder="1" applyAlignment="1">
      <alignment horizontal="right" vertical="center"/>
    </xf>
    <xf numFmtId="0" fontId="14" fillId="0" borderId="180" xfId="7" applyFont="1" applyBorder="1" applyAlignment="1" applyProtection="1">
      <alignment horizontal="center" vertical="center"/>
      <protection locked="0"/>
    </xf>
    <xf numFmtId="0" fontId="14" fillId="0" borderId="85" xfId="7" applyFont="1" applyBorder="1" applyAlignment="1" applyProtection="1">
      <alignment vertical="center" wrapText="1"/>
      <protection locked="0"/>
    </xf>
    <xf numFmtId="0" fontId="14" fillId="0" borderId="20" xfId="7" applyFont="1" applyBorder="1" applyAlignment="1">
      <alignment horizontal="right" vertical="center" wrapText="1" shrinkToFit="1"/>
    </xf>
    <xf numFmtId="0" fontId="14" fillId="0" borderId="180" xfId="72" applyFont="1" applyBorder="1" applyAlignment="1" applyProtection="1">
      <alignment horizontal="center" vertical="center"/>
      <protection locked="0"/>
    </xf>
    <xf numFmtId="0" fontId="14" fillId="0" borderId="85" xfId="72" applyFont="1" applyBorder="1" applyAlignment="1" applyProtection="1">
      <alignment vertical="center" wrapText="1"/>
      <protection locked="0"/>
    </xf>
    <xf numFmtId="0" fontId="14" fillId="0" borderId="7" xfId="7" applyFont="1" applyBorder="1" applyAlignment="1">
      <alignment horizontal="right" vertical="center" shrinkToFit="1"/>
    </xf>
    <xf numFmtId="0" fontId="14" fillId="0" borderId="16" xfId="69" applyFont="1" applyBorder="1" applyAlignment="1">
      <alignment horizontal="center" vertical="center"/>
    </xf>
    <xf numFmtId="0" fontId="14" fillId="0" borderId="16" xfId="7" applyFont="1" applyBorder="1" applyAlignment="1">
      <alignment horizontal="center" vertical="center" shrinkToFit="1"/>
    </xf>
    <xf numFmtId="0" fontId="14" fillId="0" borderId="15" xfId="7" applyFont="1" applyBorder="1" applyAlignment="1">
      <alignment horizontal="center" vertical="center"/>
    </xf>
    <xf numFmtId="0" fontId="14" fillId="0" borderId="15" xfId="7" applyFont="1" applyBorder="1" applyAlignment="1" applyProtection="1">
      <alignment horizontal="center" vertical="center"/>
      <protection locked="0"/>
    </xf>
    <xf numFmtId="0" fontId="14" fillId="0" borderId="81" xfId="7" applyFont="1" applyBorder="1" applyAlignment="1" applyProtection="1">
      <alignment horizontal="center" vertical="center"/>
      <protection locked="0"/>
    </xf>
    <xf numFmtId="0" fontId="14" fillId="0" borderId="73" xfId="7" applyFont="1" applyBorder="1" applyAlignment="1" applyProtection="1">
      <alignment horizontal="center" vertical="center"/>
      <protection locked="0"/>
    </xf>
    <xf numFmtId="0" fontId="14" fillId="0" borderId="80" xfId="7" applyFont="1" applyBorder="1" applyAlignment="1" applyProtection="1">
      <alignment horizontal="center" vertical="center"/>
      <protection locked="0"/>
    </xf>
    <xf numFmtId="0" fontId="14" fillId="0" borderId="139" xfId="69" applyFont="1" applyBorder="1" applyProtection="1">
      <alignment vertical="center"/>
      <protection locked="0"/>
    </xf>
    <xf numFmtId="0" fontId="6" fillId="0" borderId="55" xfId="7" applyFont="1" applyBorder="1" applyAlignment="1">
      <alignment horizontal="left" vertical="center"/>
    </xf>
    <xf numFmtId="0" fontId="6" fillId="0" borderId="181" xfId="7" applyFont="1" applyBorder="1" applyAlignment="1">
      <alignment horizontal="left" vertical="center"/>
    </xf>
    <xf numFmtId="0" fontId="14" fillId="0" borderId="182" xfId="7" applyFont="1" applyBorder="1" applyAlignment="1">
      <alignment horizontal="right" vertical="center" shrinkToFit="1"/>
    </xf>
    <xf numFmtId="0" fontId="14" fillId="0" borderId="183" xfId="69" applyFont="1" applyBorder="1" applyAlignment="1">
      <alignment horizontal="center" vertical="center"/>
    </xf>
    <xf numFmtId="0" fontId="14" fillId="0" borderId="183" xfId="7" applyFont="1" applyBorder="1" applyAlignment="1">
      <alignment horizontal="center" vertical="center" shrinkToFit="1"/>
    </xf>
    <xf numFmtId="0" fontId="14" fillId="0" borderId="184" xfId="7" applyFont="1" applyBorder="1" applyAlignment="1" applyProtection="1">
      <alignment horizontal="center" vertical="center"/>
      <protection locked="0"/>
    </xf>
    <xf numFmtId="0" fontId="14" fillId="0" borderId="183" xfId="7" applyFont="1" applyBorder="1" applyAlignment="1">
      <alignment horizontal="center" vertical="center"/>
    </xf>
    <xf numFmtId="0" fontId="14" fillId="0" borderId="183" xfId="7" applyFont="1" applyBorder="1" applyAlignment="1" applyProtection="1">
      <alignment horizontal="center" vertical="center"/>
      <protection locked="0"/>
    </xf>
    <xf numFmtId="0" fontId="14" fillId="0" borderId="185" xfId="69" applyFont="1" applyBorder="1" applyAlignment="1" applyProtection="1">
      <alignment horizontal="center" vertical="center"/>
      <protection locked="0"/>
    </xf>
    <xf numFmtId="0" fontId="14" fillId="0" borderId="186" xfId="7" applyFont="1" applyBorder="1" applyAlignment="1" applyProtection="1">
      <alignment horizontal="center" vertical="center"/>
      <protection locked="0"/>
    </xf>
    <xf numFmtId="0" fontId="14" fillId="0" borderId="187" xfId="7" applyFont="1" applyBorder="1" applyAlignment="1" applyProtection="1">
      <alignment horizontal="center" vertical="center"/>
      <protection locked="0"/>
    </xf>
    <xf numFmtId="0" fontId="14" fillId="0" borderId="188" xfId="7" applyFont="1" applyBorder="1" applyAlignment="1" applyProtection="1">
      <alignment horizontal="center" vertical="center"/>
      <protection locked="0"/>
    </xf>
    <xf numFmtId="0" fontId="14" fillId="0" borderId="185" xfId="69" applyFont="1" applyBorder="1" applyProtection="1">
      <alignment vertical="center"/>
      <protection locked="0"/>
    </xf>
    <xf numFmtId="0" fontId="6" fillId="0" borderId="55" xfId="69" applyFont="1" applyBorder="1" applyAlignment="1">
      <alignment horizontal="left" vertical="center" shrinkToFit="1"/>
    </xf>
    <xf numFmtId="0" fontId="14" fillId="0" borderId="13" xfId="69" applyFont="1" applyBorder="1" applyAlignment="1">
      <alignment horizontal="center" vertical="center" wrapText="1"/>
    </xf>
    <xf numFmtId="0" fontId="14" fillId="0" borderId="189" xfId="69" applyFont="1" applyBorder="1" applyAlignment="1" applyProtection="1">
      <alignment horizontal="center" vertical="center"/>
      <protection locked="0"/>
    </xf>
    <xf numFmtId="0" fontId="14" fillId="0" borderId="190" xfId="72" applyFont="1" applyBorder="1" applyAlignment="1" applyProtection="1">
      <alignment horizontal="center" vertical="center"/>
      <protection locked="0"/>
    </xf>
    <xf numFmtId="0" fontId="14" fillId="0" borderId="191" xfId="72" applyFont="1" applyBorder="1" applyAlignment="1" applyProtection="1">
      <alignment horizontal="center" vertical="center"/>
      <protection locked="0"/>
    </xf>
    <xf numFmtId="0" fontId="14" fillId="0" borderId="192" xfId="72" applyFont="1" applyBorder="1" applyAlignment="1" applyProtection="1">
      <alignment horizontal="center" vertical="center"/>
      <protection locked="0"/>
    </xf>
    <xf numFmtId="0" fontId="14" fillId="0" borderId="189" xfId="72" applyFont="1" applyBorder="1" applyProtection="1">
      <alignment vertical="center"/>
      <protection locked="0"/>
    </xf>
    <xf numFmtId="0" fontId="6" fillId="0" borderId="138" xfId="69" applyFont="1" applyBorder="1" applyAlignment="1">
      <alignment horizontal="left" vertical="center" shrinkToFit="1"/>
    </xf>
    <xf numFmtId="0" fontId="14" fillId="0" borderId="10" xfId="69" applyFont="1" applyBorder="1" applyAlignment="1">
      <alignment horizontal="center" vertical="center" wrapText="1"/>
    </xf>
    <xf numFmtId="0" fontId="14" fillId="0" borderId="155" xfId="72" applyFont="1" applyBorder="1" applyAlignment="1" applyProtection="1">
      <alignment horizontal="center" vertical="center"/>
      <protection locked="0"/>
    </xf>
    <xf numFmtId="0" fontId="14" fillId="0" borderId="162" xfId="72" applyFont="1" applyBorder="1" applyAlignment="1" applyProtection="1">
      <alignment horizontal="center" vertical="center"/>
      <protection locked="0"/>
    </xf>
    <xf numFmtId="0" fontId="14" fillId="0" borderId="10" xfId="7" applyFont="1" applyBorder="1" applyAlignment="1">
      <alignment horizontal="right" vertical="center" shrinkToFit="1"/>
    </xf>
    <xf numFmtId="0" fontId="69" fillId="0" borderId="154" xfId="7" applyFont="1" applyBorder="1" applyAlignment="1" applyProtection="1">
      <alignment horizontal="center" vertical="center"/>
      <protection locked="0"/>
    </xf>
    <xf numFmtId="0" fontId="14" fillId="0" borderId="85" xfId="7" applyFont="1" applyBorder="1" applyAlignment="1" applyProtection="1">
      <alignment vertical="center" shrinkToFit="1"/>
      <protection locked="0"/>
    </xf>
    <xf numFmtId="0" fontId="14" fillId="7" borderId="24" xfId="7" applyFont="1" applyFill="1" applyBorder="1" applyAlignment="1">
      <alignment horizontal="right" vertical="center"/>
    </xf>
    <xf numFmtId="0" fontId="14" fillId="0" borderId="10" xfId="7" applyFont="1" applyBorder="1" applyAlignment="1">
      <alignment horizontal="center" vertical="center" wrapText="1" shrinkToFit="1"/>
    </xf>
    <xf numFmtId="0" fontId="14" fillId="0" borderId="147" xfId="116" applyFont="1" applyBorder="1" applyAlignment="1" applyProtection="1">
      <alignment horizontal="center" vertical="center" shrinkToFit="1"/>
      <protection locked="0"/>
    </xf>
    <xf numFmtId="0" fontId="14" fillId="0" borderId="145" xfId="72" applyFont="1" applyBorder="1" applyAlignment="1" applyProtection="1">
      <alignment horizontal="center" vertical="center"/>
      <protection locked="0"/>
    </xf>
    <xf numFmtId="0" fontId="14" fillId="0" borderId="148" xfId="72" applyFont="1" applyBorder="1" applyAlignment="1" applyProtection="1">
      <alignment horizontal="center" vertical="center"/>
      <protection locked="0"/>
    </xf>
    <xf numFmtId="0" fontId="14" fillId="0" borderId="143" xfId="72" applyFont="1" applyBorder="1" applyAlignment="1" applyProtection="1">
      <alignment horizontal="center" vertical="center"/>
      <protection locked="0"/>
    </xf>
    <xf numFmtId="49" fontId="14" fillId="0" borderId="148" xfId="72" applyNumberFormat="1" applyFont="1" applyBorder="1" applyAlignment="1" applyProtection="1">
      <alignment horizontal="center" vertical="center"/>
      <protection locked="0"/>
    </xf>
    <xf numFmtId="0" fontId="14" fillId="0" borderId="147" xfId="116" applyFont="1" applyBorder="1" applyAlignment="1" applyProtection="1">
      <alignment horizontal="center" vertical="center" wrapText="1"/>
      <protection locked="0"/>
    </xf>
    <xf numFmtId="49" fontId="14" fillId="0" borderId="154" xfId="72" applyNumberFormat="1" applyFont="1" applyBorder="1" applyAlignment="1" applyProtection="1">
      <alignment horizontal="center" vertical="center"/>
      <protection locked="0"/>
    </xf>
    <xf numFmtId="0" fontId="62" fillId="0" borderId="13" xfId="69" applyFont="1" applyBorder="1" applyAlignment="1" applyProtection="1">
      <alignment horizontal="center" vertical="center" shrinkToFit="1"/>
      <protection locked="0"/>
    </xf>
    <xf numFmtId="0" fontId="62" fillId="0" borderId="13" xfId="69" applyFont="1" applyBorder="1" applyAlignment="1" applyProtection="1">
      <alignment horizontal="center" vertical="center"/>
      <protection locked="0"/>
    </xf>
    <xf numFmtId="0" fontId="14" fillId="0" borderId="147" xfId="7" applyFont="1" applyBorder="1" applyAlignment="1" applyProtection="1">
      <alignment vertical="center" wrapText="1"/>
      <protection locked="0"/>
    </xf>
    <xf numFmtId="0" fontId="6" fillId="0" borderId="193" xfId="7" applyFont="1" applyBorder="1" applyAlignment="1">
      <alignment horizontal="left" vertical="center"/>
    </xf>
    <xf numFmtId="0" fontId="14" fillId="0" borderId="184" xfId="7" applyFont="1" applyBorder="1" applyAlignment="1">
      <alignment horizontal="right" vertical="center"/>
    </xf>
    <xf numFmtId="0" fontId="14" fillId="0" borderId="184" xfId="69" applyFont="1" applyBorder="1" applyAlignment="1">
      <alignment horizontal="center" vertical="center" wrapText="1"/>
    </xf>
    <xf numFmtId="0" fontId="14" fillId="0" borderId="184" xfId="7" applyFont="1" applyBorder="1" applyAlignment="1">
      <alignment horizontal="center" vertical="center" shrinkToFit="1"/>
    </xf>
    <xf numFmtId="0" fontId="14" fillId="0" borderId="184" xfId="70" applyFont="1" applyBorder="1" applyAlignment="1" applyProtection="1">
      <alignment horizontal="center" vertical="center"/>
      <protection locked="0"/>
    </xf>
    <xf numFmtId="0" fontId="14" fillId="11" borderId="152" xfId="69" applyFont="1" applyFill="1" applyBorder="1" applyAlignment="1" applyProtection="1">
      <alignment horizontal="center" vertical="center"/>
      <protection locked="0"/>
    </xf>
    <xf numFmtId="0" fontId="14" fillId="0" borderId="167" xfId="72" applyFont="1" applyBorder="1" applyAlignment="1" applyProtection="1">
      <alignment horizontal="center" vertical="center"/>
      <protection locked="0"/>
    </xf>
    <xf numFmtId="0" fontId="14" fillId="0" borderId="166" xfId="72" applyFont="1" applyBorder="1" applyAlignment="1" applyProtection="1">
      <alignment horizontal="center" vertical="center"/>
      <protection locked="0"/>
    </xf>
    <xf numFmtId="0" fontId="14" fillId="0" borderId="165" xfId="72" applyFont="1" applyBorder="1" applyAlignment="1" applyProtection="1">
      <alignment horizontal="center" vertical="center"/>
      <protection locked="0"/>
    </xf>
    <xf numFmtId="0" fontId="14" fillId="0" borderId="194" xfId="7" applyFont="1" applyBorder="1" applyAlignment="1" applyProtection="1">
      <alignment horizontal="center" vertical="center"/>
      <protection locked="0"/>
    </xf>
    <xf numFmtId="0" fontId="14" fillId="0" borderId="195" xfId="7" applyFont="1" applyBorder="1" applyAlignment="1" applyProtection="1">
      <alignment horizontal="center" vertical="center"/>
      <protection locked="0"/>
    </xf>
    <xf numFmtId="0" fontId="14" fillId="0" borderId="196" xfId="7" applyFont="1" applyBorder="1" applyAlignment="1" applyProtection="1">
      <alignment vertical="center" shrinkToFit="1"/>
      <protection locked="0"/>
    </xf>
    <xf numFmtId="0" fontId="14" fillId="0" borderId="20" xfId="69" applyFont="1" applyBorder="1" applyAlignment="1" applyProtection="1">
      <alignment horizontal="right" vertical="center"/>
      <protection locked="0"/>
    </xf>
    <xf numFmtId="0" fontId="6" fillId="0" borderId="138" xfId="69" applyFont="1" applyBorder="1" applyAlignment="1" applyProtection="1">
      <alignment horizontal="left" vertical="center"/>
      <protection locked="0"/>
    </xf>
    <xf numFmtId="0" fontId="6" fillId="0" borderId="138" xfId="70" applyFont="1" applyBorder="1" applyAlignment="1" applyProtection="1">
      <alignment horizontal="left" vertical="center"/>
      <protection locked="0"/>
    </xf>
    <xf numFmtId="0" fontId="14" fillId="0" borderId="20" xfId="70" applyFont="1" applyBorder="1" applyAlignment="1" applyProtection="1">
      <alignment horizontal="right" vertical="center"/>
      <protection locked="0"/>
    </xf>
    <xf numFmtId="0" fontId="14" fillId="0" borderId="13" xfId="70" applyFont="1" applyBorder="1" applyAlignment="1" applyProtection="1">
      <alignment horizontal="center" vertical="center" shrinkToFit="1"/>
      <protection locked="0"/>
    </xf>
    <xf numFmtId="0" fontId="14" fillId="0" borderId="147" xfId="70" applyFont="1" applyBorder="1" applyAlignment="1" applyProtection="1">
      <alignment horizontal="center" vertical="center" shrinkToFit="1"/>
      <protection locked="0"/>
    </xf>
    <xf numFmtId="0" fontId="14" fillId="0" borderId="145" xfId="70" applyFont="1" applyBorder="1" applyAlignment="1" applyProtection="1">
      <alignment horizontal="center" vertical="center"/>
      <protection locked="0"/>
    </xf>
    <xf numFmtId="0" fontId="14" fillId="0" borderId="143" xfId="70" applyFont="1" applyBorder="1" applyAlignment="1" applyProtection="1">
      <alignment horizontal="center" vertical="center"/>
      <protection locked="0"/>
    </xf>
    <xf numFmtId="0" fontId="62" fillId="0" borderId="24" xfId="69" applyFont="1" applyBorder="1" applyAlignment="1" applyProtection="1">
      <alignment horizontal="right" vertical="center"/>
      <protection locked="0"/>
    </xf>
    <xf numFmtId="0" fontId="62" fillId="0" borderId="10" xfId="69" applyFont="1" applyBorder="1" applyAlignment="1" applyProtection="1">
      <alignment horizontal="center" vertical="center"/>
      <protection locked="0"/>
    </xf>
    <xf numFmtId="0" fontId="6" fillId="0" borderId="164" xfId="69" applyFont="1" applyBorder="1" applyAlignment="1" applyProtection="1">
      <alignment horizontal="left" vertical="center"/>
      <protection locked="0"/>
    </xf>
    <xf numFmtId="0" fontId="62" fillId="0" borderId="131" xfId="69" applyFont="1" applyBorder="1" applyAlignment="1" applyProtection="1">
      <alignment horizontal="right" vertical="center"/>
      <protection locked="0"/>
    </xf>
    <xf numFmtId="0" fontId="14" fillId="0" borderId="132" xfId="69" applyFont="1" applyBorder="1" applyAlignment="1" applyProtection="1">
      <alignment horizontal="center" vertical="center" shrinkToFit="1"/>
      <protection locked="0"/>
    </xf>
    <xf numFmtId="0" fontId="62" fillId="0" borderId="132" xfId="69" applyFont="1" applyBorder="1" applyAlignment="1" applyProtection="1">
      <alignment horizontal="center" vertical="center"/>
      <protection locked="0"/>
    </xf>
    <xf numFmtId="0" fontId="14" fillId="0" borderId="0" xfId="69" applyFont="1" applyAlignment="1">
      <alignment horizontal="right" vertical="center"/>
    </xf>
    <xf numFmtId="0" fontId="6" fillId="0" borderId="197" xfId="69" applyFont="1" applyBorder="1" applyAlignment="1" applyProtection="1">
      <alignment horizontal="left" vertical="center"/>
      <protection locked="0"/>
    </xf>
    <xf numFmtId="0" fontId="14" fillId="0" borderId="198" xfId="69" applyFont="1" applyBorder="1" applyAlignment="1" applyProtection="1">
      <alignment horizontal="right" vertical="center"/>
      <protection locked="0"/>
    </xf>
    <xf numFmtId="0" fontId="14" fillId="0" borderId="199" xfId="69" applyFont="1" applyBorder="1" applyAlignment="1" applyProtection="1">
      <alignment horizontal="center" vertical="center"/>
      <protection locked="0"/>
    </xf>
    <xf numFmtId="0" fontId="14" fillId="0" borderId="199" xfId="69" applyFont="1" applyBorder="1" applyAlignment="1" applyProtection="1">
      <alignment horizontal="center" vertical="center" shrinkToFit="1"/>
      <protection locked="0"/>
    </xf>
    <xf numFmtId="0" fontId="14" fillId="0" borderId="199" xfId="70" applyFont="1" applyBorder="1" applyAlignment="1" applyProtection="1">
      <alignment horizontal="center" vertical="center"/>
      <protection locked="0"/>
    </xf>
    <xf numFmtId="0" fontId="14" fillId="0" borderId="200" xfId="69" applyFont="1" applyBorder="1" applyAlignment="1" applyProtection="1">
      <alignment horizontal="center" vertical="center"/>
      <protection locked="0"/>
    </xf>
    <xf numFmtId="0" fontId="14" fillId="0" borderId="201" xfId="69" applyFont="1" applyBorder="1" applyAlignment="1" applyProtection="1">
      <alignment horizontal="center" vertical="center"/>
      <protection locked="0"/>
    </xf>
    <xf numFmtId="0" fontId="14" fillId="0" borderId="189" xfId="69" applyFont="1" applyBorder="1" applyProtection="1">
      <alignment vertical="center"/>
      <protection locked="0"/>
    </xf>
    <xf numFmtId="0" fontId="6" fillId="0" borderId="55" xfId="69" applyFont="1" applyBorder="1" applyAlignment="1" applyProtection="1">
      <alignment horizontal="left" vertical="center"/>
      <protection locked="0"/>
    </xf>
    <xf numFmtId="56" fontId="14" fillId="0" borderId="148" xfId="69" quotePrefix="1" applyNumberFormat="1" applyFont="1" applyBorder="1" applyAlignment="1" applyProtection="1">
      <alignment horizontal="center" vertical="center"/>
      <protection locked="0"/>
    </xf>
    <xf numFmtId="56" fontId="14" fillId="0" borderId="148" xfId="69" applyNumberFormat="1" applyFont="1" applyBorder="1" applyAlignment="1" applyProtection="1">
      <alignment horizontal="center" vertical="center"/>
      <protection locked="0"/>
    </xf>
    <xf numFmtId="0" fontId="14" fillId="0" borderId="24" xfId="69" applyFont="1" applyBorder="1" applyAlignment="1" applyProtection="1">
      <alignment horizontal="right" vertical="center"/>
      <protection locked="0"/>
    </xf>
    <xf numFmtId="0" fontId="6" fillId="0" borderId="117" xfId="69" applyFont="1" applyBorder="1" applyAlignment="1" applyProtection="1">
      <alignment horizontal="left" vertical="center"/>
      <protection locked="0"/>
    </xf>
    <xf numFmtId="0" fontId="14" fillId="0" borderId="27" xfId="69" applyFont="1" applyBorder="1" applyAlignment="1" applyProtection="1">
      <alignment horizontal="right" vertical="center"/>
      <protection locked="0"/>
    </xf>
    <xf numFmtId="0" fontId="14" fillId="0" borderId="11" xfId="69" applyFont="1" applyBorder="1" applyAlignment="1" applyProtection="1">
      <alignment horizontal="center" vertical="center"/>
      <protection locked="0"/>
    </xf>
    <xf numFmtId="0" fontId="14" fillId="0" borderId="11" xfId="69" applyFont="1" applyBorder="1" applyAlignment="1" applyProtection="1">
      <alignment horizontal="center" vertical="center" shrinkToFit="1"/>
      <protection locked="0"/>
    </xf>
    <xf numFmtId="0" fontId="14" fillId="0" borderId="11" xfId="70" applyFont="1" applyBorder="1" applyAlignment="1" applyProtection="1">
      <alignment horizontal="center" vertical="center"/>
      <protection locked="0"/>
    </xf>
    <xf numFmtId="0" fontId="14" fillId="0" borderId="156" xfId="69" applyFont="1" applyBorder="1" applyAlignment="1" applyProtection="1">
      <alignment horizontal="center" vertical="center"/>
      <protection locked="0"/>
    </xf>
    <xf numFmtId="0" fontId="14" fillId="0" borderId="157" xfId="69" applyFont="1" applyBorder="1" applyAlignment="1" applyProtection="1">
      <alignment horizontal="center" vertical="center"/>
      <protection locked="0"/>
    </xf>
    <xf numFmtId="0" fontId="14" fillId="0" borderId="158" xfId="69" applyFont="1" applyBorder="1" applyAlignment="1" applyProtection="1">
      <alignment horizontal="center" vertical="center"/>
      <protection locked="0"/>
    </xf>
    <xf numFmtId="0" fontId="14" fillId="0" borderId="156" xfId="69" applyFont="1" applyBorder="1" applyProtection="1">
      <alignment vertical="center"/>
      <protection locked="0"/>
    </xf>
    <xf numFmtId="0" fontId="6" fillId="0" borderId="115" xfId="69" applyFont="1" applyBorder="1" applyAlignment="1" applyProtection="1">
      <alignment horizontal="left" vertical="center"/>
      <protection locked="0"/>
    </xf>
    <xf numFmtId="0" fontId="14" fillId="0" borderId="8" xfId="69" applyFont="1" applyBorder="1" applyAlignment="1" applyProtection="1">
      <alignment horizontal="right" vertical="center"/>
      <protection locked="0"/>
    </xf>
    <xf numFmtId="0" fontId="14" fillId="0" borderId="23" xfId="69" applyFont="1" applyBorder="1" applyAlignment="1" applyProtection="1">
      <alignment horizontal="center" vertical="center" shrinkToFit="1"/>
      <protection locked="0"/>
    </xf>
    <xf numFmtId="0" fontId="14" fillId="0" borderId="23" xfId="69" applyFont="1" applyBorder="1" applyAlignment="1" applyProtection="1">
      <alignment horizontal="center" vertical="center"/>
      <protection locked="0"/>
    </xf>
    <xf numFmtId="0" fontId="14" fillId="0" borderId="120" xfId="69" applyFont="1" applyBorder="1" applyAlignment="1" applyProtection="1">
      <alignment horizontal="center" vertical="center"/>
      <protection locked="0"/>
    </xf>
    <xf numFmtId="0" fontId="14" fillId="0" borderId="100" xfId="69" applyFont="1" applyBorder="1" applyAlignment="1" applyProtection="1">
      <alignment horizontal="center" vertical="center"/>
      <protection locked="0"/>
    </xf>
    <xf numFmtId="0" fontId="14" fillId="0" borderId="69" xfId="69" applyFont="1" applyBorder="1" applyAlignment="1" applyProtection="1">
      <alignment horizontal="center" vertical="center"/>
      <protection locked="0"/>
    </xf>
    <xf numFmtId="0" fontId="14" fillId="0" borderId="68" xfId="69" applyFont="1" applyBorder="1" applyAlignment="1" applyProtection="1">
      <alignment horizontal="center" vertical="center"/>
      <protection locked="0"/>
    </xf>
    <xf numFmtId="0" fontId="14" fillId="4" borderId="23" xfId="69" applyFont="1" applyFill="1" applyBorder="1" applyAlignment="1" applyProtection="1">
      <alignment horizontal="center" vertical="center"/>
      <protection locked="0"/>
    </xf>
    <xf numFmtId="0" fontId="14" fillId="4" borderId="70" xfId="69" applyFont="1" applyFill="1" applyBorder="1" applyProtection="1">
      <alignment vertical="center"/>
      <protection locked="0"/>
    </xf>
    <xf numFmtId="0" fontId="14" fillId="4" borderId="69" xfId="69" applyFont="1" applyFill="1" applyBorder="1" applyAlignment="1" applyProtection="1">
      <alignment horizontal="center" vertical="center"/>
      <protection locked="0"/>
    </xf>
    <xf numFmtId="0" fontId="14" fillId="4" borderId="68" xfId="69" applyFont="1" applyFill="1" applyBorder="1" applyProtection="1">
      <alignment vertical="center"/>
      <protection locked="0"/>
    </xf>
    <xf numFmtId="0" fontId="14" fillId="4" borderId="68" xfId="69" applyFont="1" applyFill="1" applyBorder="1" applyAlignment="1" applyProtection="1">
      <alignment horizontal="center" vertical="center"/>
      <protection locked="0"/>
    </xf>
    <xf numFmtId="0" fontId="14" fillId="4" borderId="157" xfId="69" applyFont="1" applyFill="1" applyBorder="1" applyAlignment="1" applyProtection="1">
      <alignment horizontal="center" vertical="center"/>
      <protection locked="0"/>
    </xf>
    <xf numFmtId="0" fontId="14" fillId="4" borderId="156" xfId="69" applyFont="1" applyFill="1" applyBorder="1" applyProtection="1">
      <alignment vertical="center"/>
      <protection locked="0"/>
    </xf>
    <xf numFmtId="0" fontId="14" fillId="0" borderId="20" xfId="7" applyFont="1" applyBorder="1" applyAlignment="1" applyProtection="1">
      <alignment horizontal="right" vertical="center"/>
      <protection locked="0"/>
    </xf>
    <xf numFmtId="0" fontId="14" fillId="0" borderId="13" xfId="7" applyFont="1" applyBorder="1" applyAlignment="1" applyProtection="1">
      <alignment horizontal="center" vertical="center" shrinkToFit="1"/>
      <protection locked="0"/>
    </xf>
    <xf numFmtId="0" fontId="14" fillId="4" borderId="13" xfId="7" applyFont="1" applyFill="1" applyBorder="1" applyAlignment="1" applyProtection="1">
      <alignment horizontal="center" vertical="center"/>
      <protection locked="0"/>
    </xf>
    <xf numFmtId="0" fontId="14" fillId="4" borderId="147" xfId="7" applyFont="1" applyFill="1" applyBorder="1" applyAlignment="1" applyProtection="1">
      <alignment horizontal="center" vertical="center"/>
      <protection locked="0"/>
    </xf>
    <xf numFmtId="0" fontId="14" fillId="4" borderId="176" xfId="7" applyFont="1" applyFill="1" applyBorder="1" applyAlignment="1" applyProtection="1">
      <alignment horizontal="center" vertical="center"/>
      <protection locked="0"/>
    </xf>
    <xf numFmtId="0" fontId="14" fillId="4" borderId="148" xfId="7" applyFont="1" applyFill="1" applyBorder="1" applyAlignment="1" applyProtection="1">
      <alignment horizontal="center" vertical="center"/>
      <protection locked="0"/>
    </xf>
    <xf numFmtId="0" fontId="14" fillId="4" borderId="143" xfId="7" applyFont="1" applyFill="1" applyBorder="1" applyAlignment="1" applyProtection="1">
      <alignment horizontal="center" vertical="center"/>
      <protection locked="0"/>
    </xf>
    <xf numFmtId="0" fontId="14" fillId="4" borderId="147" xfId="7" applyFont="1" applyFill="1" applyBorder="1" applyProtection="1">
      <alignment vertical="center"/>
      <protection locked="0"/>
    </xf>
    <xf numFmtId="0" fontId="6" fillId="0" borderId="117" xfId="7" applyFont="1" applyBorder="1" applyAlignment="1" applyProtection="1">
      <alignment horizontal="left" vertical="center"/>
      <protection locked="0"/>
    </xf>
    <xf numFmtId="0" fontId="14" fillId="0" borderId="27" xfId="7" applyFont="1" applyBorder="1" applyAlignment="1" applyProtection="1">
      <alignment horizontal="right" vertical="center"/>
      <protection locked="0"/>
    </xf>
    <xf numFmtId="0" fontId="14" fillId="0" borderId="11" xfId="7" applyFont="1" applyBorder="1" applyAlignment="1" applyProtection="1">
      <alignment horizontal="center" vertical="center" shrinkToFit="1"/>
      <protection locked="0"/>
    </xf>
    <xf numFmtId="0" fontId="14" fillId="0" borderId="11" xfId="7" applyFont="1" applyBorder="1" applyAlignment="1" applyProtection="1">
      <alignment horizontal="center" vertical="center"/>
      <protection locked="0"/>
    </xf>
    <xf numFmtId="0" fontId="14" fillId="4" borderId="11" xfId="7" applyFont="1" applyFill="1" applyBorder="1" applyAlignment="1" applyProtection="1">
      <alignment horizontal="center" vertical="center"/>
      <protection locked="0"/>
    </xf>
    <xf numFmtId="0" fontId="14" fillId="4" borderId="156" xfId="7" applyFont="1" applyFill="1" applyBorder="1" applyAlignment="1" applyProtection="1">
      <alignment horizontal="center" vertical="center"/>
      <protection locked="0"/>
    </xf>
    <xf numFmtId="0" fontId="14" fillId="4" borderId="202" xfId="7" applyFont="1" applyFill="1" applyBorder="1" applyAlignment="1" applyProtection="1">
      <alignment horizontal="center" vertical="center"/>
      <protection locked="0"/>
    </xf>
    <xf numFmtId="0" fontId="14" fillId="4" borderId="158" xfId="7" applyFont="1" applyFill="1" applyBorder="1" applyAlignment="1" applyProtection="1">
      <alignment horizontal="center" vertical="center"/>
      <protection locked="0"/>
    </xf>
    <xf numFmtId="0" fontId="14" fillId="4" borderId="157" xfId="7" applyFont="1" applyFill="1" applyBorder="1" applyAlignment="1" applyProtection="1">
      <alignment horizontal="center" vertical="center"/>
      <protection locked="0"/>
    </xf>
    <xf numFmtId="0" fontId="14" fillId="4" borderId="156" xfId="7" applyFont="1" applyFill="1" applyBorder="1" applyProtection="1">
      <alignment vertical="center"/>
      <protection locked="0"/>
    </xf>
    <xf numFmtId="0" fontId="14" fillId="0" borderId="10" xfId="69" applyFont="1" applyBorder="1" applyAlignment="1" applyProtection="1">
      <alignment horizontal="right" vertical="center"/>
      <protection locked="0"/>
    </xf>
    <xf numFmtId="0" fontId="14" fillId="0" borderId="202" xfId="69" applyFont="1" applyBorder="1" applyProtection="1">
      <alignment vertical="center"/>
      <protection locked="0"/>
    </xf>
    <xf numFmtId="0" fontId="14" fillId="0" borderId="157" xfId="69" applyFont="1" applyBorder="1" applyProtection="1">
      <alignment vertical="center"/>
      <protection locked="0"/>
    </xf>
    <xf numFmtId="0" fontId="14" fillId="0" borderId="68" xfId="69" applyFont="1" applyBorder="1" applyProtection="1">
      <alignment vertical="center"/>
      <protection locked="0"/>
    </xf>
    <xf numFmtId="0" fontId="14" fillId="0" borderId="120" xfId="69" applyFont="1" applyBorder="1" applyProtection="1">
      <alignment vertical="center"/>
      <protection locked="0"/>
    </xf>
    <xf numFmtId="0" fontId="14" fillId="0" borderId="20" xfId="7" applyFont="1" applyBorder="1" applyAlignment="1" applyProtection="1">
      <alignment horizontal="right" vertical="center" shrinkToFit="1"/>
      <protection locked="0"/>
    </xf>
    <xf numFmtId="0" fontId="14" fillId="3" borderId="176" xfId="7" applyFont="1" applyFill="1" applyBorder="1" applyAlignment="1" applyProtection="1">
      <alignment horizontal="center" vertical="center"/>
      <protection locked="0"/>
    </xf>
    <xf numFmtId="0" fontId="14" fillId="3" borderId="154" xfId="7" applyFont="1" applyFill="1" applyBorder="1" applyAlignment="1" applyProtection="1">
      <alignment horizontal="center" vertical="center"/>
      <protection locked="0"/>
    </xf>
    <xf numFmtId="0" fontId="14" fillId="3" borderId="153" xfId="7" applyFont="1" applyFill="1" applyBorder="1" applyAlignment="1" applyProtection="1">
      <alignment horizontal="center" vertical="center"/>
      <protection locked="0"/>
    </xf>
    <xf numFmtId="0" fontId="14" fillId="4" borderId="154" xfId="7" applyFont="1" applyFill="1" applyBorder="1" applyAlignment="1" applyProtection="1">
      <alignment horizontal="center" vertical="center"/>
      <protection locked="0"/>
    </xf>
    <xf numFmtId="0" fontId="14" fillId="4" borderId="154" xfId="69" applyFont="1" applyFill="1" applyBorder="1" applyAlignment="1" applyProtection="1">
      <alignment horizontal="center" vertical="center"/>
      <protection locked="0"/>
    </xf>
    <xf numFmtId="0" fontId="14" fillId="0" borderId="203" xfId="69" applyFont="1" applyBorder="1" applyAlignment="1" applyProtection="1">
      <alignment horizontal="right" vertical="center"/>
      <protection locked="0"/>
    </xf>
    <xf numFmtId="0" fontId="14" fillId="0" borderId="149" xfId="70" applyFont="1" applyBorder="1" applyAlignment="1" applyProtection="1">
      <alignment horizontal="center" vertical="center"/>
      <protection locked="0"/>
    </xf>
    <xf numFmtId="0" fontId="14" fillId="0" borderId="149" xfId="69" applyFont="1" applyBorder="1" applyAlignment="1" applyProtection="1">
      <alignment horizontal="center" vertical="center"/>
      <protection locked="0"/>
    </xf>
    <xf numFmtId="0" fontId="14" fillId="0" borderId="150" xfId="69" applyFont="1" applyBorder="1" applyAlignment="1" applyProtection="1">
      <alignment horizontal="center" vertical="center"/>
      <protection locked="0"/>
    </xf>
    <xf numFmtId="0" fontId="14" fillId="0" borderId="110" xfId="69" applyFont="1" applyBorder="1" applyAlignment="1" applyProtection="1">
      <alignment horizontal="center" vertical="center"/>
      <protection locked="0"/>
    </xf>
    <xf numFmtId="0" fontId="14" fillId="0" borderId="109" xfId="69" applyFont="1" applyBorder="1" applyAlignment="1" applyProtection="1">
      <alignment horizontal="center" vertical="center"/>
      <protection locked="0"/>
    </xf>
    <xf numFmtId="0" fontId="14" fillId="0" borderId="150" xfId="69" applyFont="1" applyBorder="1" applyProtection="1">
      <alignment vertical="center"/>
      <protection locked="0"/>
    </xf>
    <xf numFmtId="0" fontId="64" fillId="0" borderId="0" xfId="113" applyFont="1" applyProtection="1">
      <alignment vertical="center"/>
      <protection locked="0"/>
    </xf>
    <xf numFmtId="0" fontId="72" fillId="0" borderId="0" xfId="113" applyFont="1">
      <alignment vertical="center"/>
    </xf>
    <xf numFmtId="0" fontId="64" fillId="0" borderId="0" xfId="113" applyFont="1">
      <alignment vertical="center"/>
    </xf>
    <xf numFmtId="0" fontId="4" fillId="0" borderId="0" xfId="0" applyFont="1" applyAlignment="1">
      <alignment horizontal="left" vertical="center"/>
    </xf>
    <xf numFmtId="49" fontId="5" fillId="0" borderId="30" xfId="0" applyNumberFormat="1" applyFont="1" applyBorder="1" applyAlignment="1">
      <alignment horizontal="center" vertical="center" shrinkToFit="1"/>
    </xf>
    <xf numFmtId="0" fontId="4" fillId="2" borderId="19" xfId="1" applyNumberFormat="1" applyFont="1" applyFill="1" applyBorder="1" applyAlignment="1">
      <alignment horizontal="center" vertical="center"/>
    </xf>
    <xf numFmtId="0" fontId="10" fillId="0" borderId="1" xfId="0" applyFont="1" applyBorder="1" applyAlignment="1">
      <alignment vertical="center"/>
    </xf>
    <xf numFmtId="0" fontId="3" fillId="0" borderId="1" xfId="0" applyFont="1" applyBorder="1" applyAlignment="1">
      <alignment vertical="center"/>
    </xf>
    <xf numFmtId="0" fontId="2" fillId="0" borderId="1" xfId="0" applyFont="1" applyBorder="1"/>
    <xf numFmtId="0" fontId="8" fillId="0" borderId="0" xfId="0" applyFont="1" applyAlignment="1">
      <alignment vertical="center"/>
    </xf>
    <xf numFmtId="0" fontId="3" fillId="0" borderId="0" xfId="0" applyFont="1" applyAlignment="1">
      <alignment vertical="center"/>
    </xf>
    <xf numFmtId="0" fontId="28" fillId="0" borderId="1" xfId="0" applyFont="1" applyBorder="1"/>
    <xf numFmtId="0" fontId="4" fillId="2" borderId="4" xfId="0" applyFont="1" applyFill="1" applyBorder="1" applyAlignment="1">
      <alignment horizontal="center" vertical="center"/>
    </xf>
    <xf numFmtId="176" fontId="53" fillId="0" borderId="2" xfId="0" applyNumberFormat="1" applyFont="1" applyBorder="1" applyAlignment="1">
      <alignment horizontal="right" vertical="center" shrinkToFit="1"/>
    </xf>
    <xf numFmtId="49" fontId="5" fillId="0" borderId="0" xfId="0" applyNumberFormat="1" applyFont="1" applyBorder="1" applyAlignment="1">
      <alignment horizontal="left" vertical="center" shrinkToFit="1"/>
    </xf>
    <xf numFmtId="49" fontId="5" fillId="0" borderId="18" xfId="0" applyNumberFormat="1" applyFont="1" applyBorder="1" applyAlignment="1">
      <alignment horizontal="left" vertical="center" shrinkToFit="1"/>
    </xf>
    <xf numFmtId="0" fontId="0" fillId="0" borderId="16" xfId="0" applyBorder="1" applyAlignment="1">
      <alignment horizontal="center" vertical="center"/>
    </xf>
    <xf numFmtId="199" fontId="5" fillId="0" borderId="24" xfId="0" applyNumberFormat="1" applyFont="1" applyBorder="1" applyAlignment="1">
      <alignment horizontal="center" vertical="center"/>
    </xf>
    <xf numFmtId="49" fontId="5" fillId="7" borderId="10" xfId="0" applyNumberFormat="1" applyFont="1" applyFill="1" applyBorder="1" applyAlignment="1">
      <alignment horizontal="center" vertical="center" shrinkToFit="1"/>
    </xf>
    <xf numFmtId="49" fontId="5" fillId="7" borderId="24" xfId="0" applyNumberFormat="1" applyFont="1" applyFill="1" applyBorder="1" applyAlignment="1">
      <alignment horizontal="center" vertical="center" shrinkToFit="1"/>
    </xf>
    <xf numFmtId="14" fontId="29" fillId="0" borderId="12" xfId="0" applyNumberFormat="1" applyFont="1" applyBorder="1" applyAlignment="1">
      <alignment horizontal="right"/>
    </xf>
    <xf numFmtId="49" fontId="0" fillId="0" borderId="12" xfId="0" applyNumberFormat="1" applyBorder="1"/>
    <xf numFmtId="14" fontId="29" fillId="0" borderId="16" xfId="0" applyNumberFormat="1" applyFont="1" applyBorder="1" applyAlignment="1">
      <alignment horizontal="right"/>
    </xf>
    <xf numFmtId="49" fontId="0" fillId="0" borderId="16" xfId="0" applyNumberFormat="1" applyBorder="1"/>
    <xf numFmtId="14" fontId="5" fillId="0" borderId="16" xfId="0" applyNumberFormat="1" applyFont="1" applyBorder="1" applyAlignment="1">
      <alignment horizontal="right"/>
    </xf>
    <xf numFmtId="49" fontId="0" fillId="0" borderId="23" xfId="0" applyNumberFormat="1" applyBorder="1"/>
    <xf numFmtId="49" fontId="0" fillId="0" borderId="6" xfId="0" applyNumberFormat="1" applyBorder="1"/>
    <xf numFmtId="49" fontId="0" fillId="0" borderId="0" xfId="0" applyNumberFormat="1" applyBorder="1"/>
    <xf numFmtId="14" fontId="5" fillId="0" borderId="16" xfId="0" applyNumberFormat="1" applyFont="1" applyBorder="1" applyAlignment="1">
      <alignment vertical="center"/>
    </xf>
    <xf numFmtId="0" fontId="0" fillId="0" borderId="0" xfId="0" applyBorder="1"/>
    <xf numFmtId="14" fontId="5" fillId="0" borderId="23" xfId="0" applyNumberFormat="1" applyFont="1" applyBorder="1" applyAlignment="1">
      <alignment vertical="center"/>
    </xf>
    <xf numFmtId="0" fontId="17" fillId="0" borderId="17" xfId="0" applyFont="1" applyBorder="1" applyAlignment="1" applyProtection="1">
      <alignment horizontal="center" vertical="center"/>
      <protection hidden="1"/>
    </xf>
    <xf numFmtId="0" fontId="17" fillId="0" borderId="19" xfId="0" applyFont="1" applyBorder="1" applyAlignment="1" applyProtection="1">
      <alignment horizontal="center" vertical="center"/>
      <protection hidden="1"/>
    </xf>
    <xf numFmtId="0" fontId="17" fillId="0" borderId="19" xfId="0" quotePrefix="1" applyFont="1" applyBorder="1" applyAlignment="1" applyProtection="1">
      <alignment horizontal="center" vertical="center"/>
      <protection hidden="1"/>
    </xf>
    <xf numFmtId="0" fontId="17" fillId="0" borderId="4" xfId="0" quotePrefix="1" applyFont="1" applyBorder="1" applyAlignment="1" applyProtection="1">
      <alignment horizontal="center" vertical="center"/>
      <protection hidden="1"/>
    </xf>
    <xf numFmtId="202" fontId="4" fillId="0" borderId="0" xfId="0" applyNumberFormat="1" applyFont="1" applyAlignment="1" applyProtection="1">
      <alignment horizontal="center" vertical="center"/>
      <protection locked="0"/>
    </xf>
    <xf numFmtId="31" fontId="4" fillId="0" borderId="0" xfId="0" applyNumberFormat="1" applyFont="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0" xfId="0" applyFont="1" applyBorder="1" applyAlignment="1">
      <alignment horizontal="center" vertical="center"/>
    </xf>
    <xf numFmtId="0" fontId="4" fillId="0" borderId="2" xfId="0" applyFont="1" applyBorder="1" applyAlignment="1">
      <alignment horizontal="center" vertical="center"/>
    </xf>
    <xf numFmtId="0" fontId="4" fillId="0" borderId="2" xfId="0" applyFont="1" applyBorder="1" applyAlignment="1" applyProtection="1">
      <alignment horizontal="center" vertical="center"/>
      <protection locked="0"/>
    </xf>
    <xf numFmtId="0" fontId="0" fillId="0" borderId="2" xfId="0" applyBorder="1" applyAlignment="1">
      <alignment horizontal="center" vertical="center"/>
    </xf>
    <xf numFmtId="0" fontId="4" fillId="0" borderId="0" xfId="0" applyFont="1" applyAlignment="1">
      <alignment horizontal="left" vertical="center"/>
    </xf>
    <xf numFmtId="0" fontId="28" fillId="0" borderId="0" xfId="0" applyFont="1" applyAlignment="1">
      <alignment horizontal="center" vertical="center"/>
    </xf>
    <xf numFmtId="203" fontId="28" fillId="0" borderId="33" xfId="0" applyNumberFormat="1" applyFont="1" applyBorder="1" applyAlignment="1">
      <alignment horizontal="center" vertical="center"/>
    </xf>
    <xf numFmtId="204" fontId="5" fillId="0" borderId="15" xfId="0" applyNumberFormat="1" applyFont="1" applyBorder="1" applyAlignment="1">
      <alignment horizontal="center" vertical="center"/>
    </xf>
    <xf numFmtId="204" fontId="5" fillId="0" borderId="16" xfId="0" applyNumberFormat="1" applyFont="1" applyBorder="1" applyAlignment="1">
      <alignment horizontal="center" vertical="center"/>
    </xf>
    <xf numFmtId="204" fontId="5" fillId="0" borderId="10" xfId="0" applyNumberFormat="1" applyFont="1" applyBorder="1" applyAlignment="1">
      <alignment horizontal="center" vertical="center"/>
    </xf>
    <xf numFmtId="49" fontId="5" fillId="0" borderId="24" xfId="0" applyNumberFormat="1" applyFont="1" applyBorder="1" applyAlignment="1">
      <alignment horizontal="center" vertical="center" shrinkToFit="1"/>
    </xf>
    <xf numFmtId="49" fontId="5" fillId="0" borderId="25" xfId="0" applyNumberFormat="1" applyFont="1" applyBorder="1" applyAlignment="1">
      <alignment horizontal="center" vertical="center" shrinkToFit="1"/>
    </xf>
    <xf numFmtId="182" fontId="5" fillId="0" borderId="15" xfId="0" applyNumberFormat="1" applyFont="1" applyBorder="1" applyAlignment="1">
      <alignment horizontal="center" vertical="center"/>
    </xf>
    <xf numFmtId="182" fontId="5" fillId="0" borderId="13" xfId="0" applyNumberFormat="1" applyFont="1" applyBorder="1" applyAlignment="1">
      <alignment horizontal="center" vertical="center"/>
    </xf>
    <xf numFmtId="49" fontId="63" fillId="0" borderId="24" xfId="0" applyNumberFormat="1" applyFont="1" applyBorder="1" applyAlignment="1">
      <alignment horizontal="center" vertical="center" shrinkToFit="1"/>
    </xf>
    <xf numFmtId="49" fontId="63" fillId="0" borderId="25" xfId="0" applyNumberFormat="1" applyFont="1" applyBorder="1" applyAlignment="1">
      <alignment horizontal="center" vertical="center" shrinkToFit="1"/>
    </xf>
    <xf numFmtId="49" fontId="5" fillId="0" borderId="24" xfId="0" applyNumberFormat="1" applyFont="1" applyBorder="1" applyAlignment="1">
      <alignment horizontal="left" vertical="center" shrinkToFit="1"/>
    </xf>
    <xf numFmtId="49" fontId="5" fillId="0" borderId="26" xfId="0" applyNumberFormat="1" applyFont="1" applyBorder="1" applyAlignment="1">
      <alignment horizontal="left" vertical="center" shrinkToFit="1"/>
    </xf>
    <xf numFmtId="49" fontId="5" fillId="0" borderId="25" xfId="0" applyNumberFormat="1" applyFont="1" applyBorder="1" applyAlignment="1">
      <alignment horizontal="left" vertical="center" shrinkToFit="1"/>
    </xf>
    <xf numFmtId="49" fontId="5" fillId="0" borderId="26" xfId="0" applyNumberFormat="1" applyFont="1" applyBorder="1" applyAlignment="1">
      <alignment horizontal="center" vertical="center" shrinkToFit="1"/>
    </xf>
    <xf numFmtId="0" fontId="11" fillId="2" borderId="17" xfId="0" applyFont="1" applyFill="1" applyBorder="1" applyAlignment="1">
      <alignment horizontal="distributed" vertical="center"/>
    </xf>
    <xf numFmtId="0" fontId="11" fillId="2" borderId="19" xfId="0" applyFont="1" applyFill="1" applyBorder="1" applyAlignment="1">
      <alignment horizontal="distributed" vertical="center"/>
    </xf>
    <xf numFmtId="0" fontId="11" fillId="2" borderId="4" xfId="0" applyFont="1" applyFill="1" applyBorder="1" applyAlignment="1">
      <alignment horizontal="distributed" vertical="center"/>
    </xf>
    <xf numFmtId="0" fontId="4" fillId="2" borderId="17" xfId="1" applyNumberFormat="1" applyFont="1" applyFill="1" applyBorder="1" applyAlignment="1">
      <alignment horizontal="center" vertical="center"/>
    </xf>
    <xf numFmtId="0" fontId="4" fillId="2" borderId="19" xfId="1" applyNumberFormat="1" applyFont="1" applyFill="1" applyBorder="1" applyAlignment="1">
      <alignment horizontal="center" vertical="center"/>
    </xf>
    <xf numFmtId="0" fontId="4" fillId="2" borderId="4" xfId="1" applyNumberFormat="1" applyFont="1" applyFill="1" applyBorder="1" applyAlignment="1">
      <alignment horizontal="center" vertical="center"/>
    </xf>
    <xf numFmtId="188" fontId="5" fillId="0" borderId="140" xfId="0" applyNumberFormat="1" applyFont="1" applyBorder="1" applyAlignment="1">
      <alignment horizontal="center" vertical="center"/>
    </xf>
    <xf numFmtId="188" fontId="5" fillId="0" borderId="10" xfId="0" applyNumberFormat="1" applyFont="1" applyBorder="1" applyAlignment="1">
      <alignment horizontal="center" vertical="center"/>
    </xf>
    <xf numFmtId="182" fontId="5" fillId="0" borderId="12" xfId="0" applyNumberFormat="1" applyFont="1" applyBorder="1" applyAlignment="1">
      <alignment horizontal="center" vertical="center"/>
    </xf>
    <xf numFmtId="204" fontId="5" fillId="0" borderId="16" xfId="0" applyNumberFormat="1" applyFont="1" applyBorder="1" applyAlignment="1">
      <alignment horizontal="center" vertical="center" shrinkToFit="1"/>
    </xf>
    <xf numFmtId="49" fontId="5" fillId="0" borderId="16" xfId="0" applyNumberFormat="1" applyFont="1" applyBorder="1" applyAlignment="1">
      <alignment horizontal="center" vertical="center" shrinkToFit="1"/>
    </xf>
    <xf numFmtId="49" fontId="5" fillId="0" borderId="20" xfId="0" applyNumberFormat="1" applyFont="1" applyBorder="1" applyAlignment="1">
      <alignment horizontal="center" vertical="center" shrinkToFit="1"/>
    </xf>
    <xf numFmtId="49" fontId="5" fillId="0" borderId="34" xfId="0" applyNumberFormat="1" applyFont="1" applyBorder="1" applyAlignment="1">
      <alignment horizontal="center" vertical="center" shrinkToFit="1"/>
    </xf>
    <xf numFmtId="204" fontId="5" fillId="0" borderId="169" xfId="0" applyNumberFormat="1" applyFont="1" applyBorder="1" applyAlignment="1">
      <alignment horizontal="center" vertical="center"/>
    </xf>
    <xf numFmtId="49" fontId="5" fillId="0" borderId="15" xfId="0" applyNumberFormat="1" applyFont="1" applyBorder="1" applyAlignment="1">
      <alignment horizontal="center" vertical="center"/>
    </xf>
    <xf numFmtId="49" fontId="5" fillId="0" borderId="13" xfId="0" applyNumberFormat="1" applyFont="1" applyBorder="1" applyAlignment="1">
      <alignment horizontal="center" vertical="center"/>
    </xf>
    <xf numFmtId="49" fontId="5" fillId="0" borderId="30" xfId="0" applyNumberFormat="1" applyFont="1" applyBorder="1" applyAlignment="1">
      <alignment horizontal="center" vertical="center" shrinkToFit="1"/>
    </xf>
    <xf numFmtId="49" fontId="5" fillId="0" borderId="32" xfId="0" applyNumberFormat="1" applyFont="1" applyBorder="1" applyAlignment="1">
      <alignment horizontal="center" vertical="center" shrinkToFit="1"/>
    </xf>
    <xf numFmtId="49" fontId="5" fillId="0" borderId="7" xfId="0" applyNumberFormat="1" applyFont="1" applyBorder="1" applyAlignment="1">
      <alignment horizontal="left" vertical="center" shrinkToFit="1"/>
    </xf>
    <xf numFmtId="49" fontId="5" fillId="0" borderId="0" xfId="0" applyNumberFormat="1" applyFont="1" applyBorder="1" applyAlignment="1">
      <alignment horizontal="left" vertical="center" shrinkToFit="1"/>
    </xf>
    <xf numFmtId="49" fontId="5" fillId="0" borderId="18" xfId="0" applyNumberFormat="1" applyFont="1" applyBorder="1" applyAlignment="1">
      <alignment horizontal="left" vertical="center" shrinkToFit="1"/>
    </xf>
    <xf numFmtId="49" fontId="5" fillId="0" borderId="30" xfId="0" applyNumberFormat="1" applyFont="1" applyBorder="1" applyAlignment="1">
      <alignment horizontal="left" vertical="center" shrinkToFit="1"/>
    </xf>
    <xf numFmtId="49" fontId="5" fillId="0" borderId="31" xfId="0" applyNumberFormat="1" applyFont="1" applyBorder="1" applyAlignment="1">
      <alignment horizontal="left" vertical="center" shrinkToFit="1"/>
    </xf>
    <xf numFmtId="49" fontId="5" fillId="0" borderId="32" xfId="0" applyNumberFormat="1" applyFont="1" applyBorder="1" applyAlignment="1">
      <alignment horizontal="left" vertical="center" shrinkToFit="1"/>
    </xf>
    <xf numFmtId="49" fontId="5" fillId="0" borderId="31" xfId="0" applyNumberFormat="1" applyFont="1" applyBorder="1" applyAlignment="1">
      <alignment horizontal="center" vertical="center" shrinkToFit="1"/>
    </xf>
    <xf numFmtId="49" fontId="5" fillId="0" borderId="33" xfId="0" applyNumberFormat="1" applyFont="1" applyBorder="1" applyAlignment="1">
      <alignment horizontal="center" vertical="center" shrinkToFit="1"/>
    </xf>
    <xf numFmtId="182" fontId="5" fillId="0" borderId="16" xfId="0" applyNumberFormat="1" applyFont="1" applyBorder="1" applyAlignment="1">
      <alignment horizontal="center" vertical="center"/>
    </xf>
    <xf numFmtId="182" fontId="5" fillId="0" borderId="23" xfId="0" applyNumberFormat="1" applyFont="1" applyBorder="1" applyAlignment="1">
      <alignment horizontal="center" vertical="center"/>
    </xf>
    <xf numFmtId="204" fontId="5" fillId="0" borderId="208" xfId="0" applyNumberFormat="1" applyFont="1" applyBorder="1" applyAlignment="1">
      <alignment horizontal="center" vertical="center"/>
    </xf>
    <xf numFmtId="204" fontId="5" fillId="0" borderId="170" xfId="0" applyNumberFormat="1" applyFont="1" applyBorder="1" applyAlignment="1">
      <alignment horizontal="center" vertical="center"/>
    </xf>
    <xf numFmtId="49" fontId="5" fillId="0" borderId="27" xfId="0" applyNumberFormat="1" applyFont="1" applyBorder="1" applyAlignment="1">
      <alignment horizontal="center" vertical="center" shrinkToFit="1"/>
    </xf>
    <xf numFmtId="49" fontId="5" fillId="0" borderId="29" xfId="0" applyNumberFormat="1" applyFont="1" applyBorder="1" applyAlignment="1">
      <alignment horizontal="center" vertical="center" shrinkToFit="1"/>
    </xf>
    <xf numFmtId="49" fontId="5" fillId="0" borderId="24" xfId="0" quotePrefix="1" applyNumberFormat="1" applyFont="1" applyBorder="1" applyAlignment="1">
      <alignment horizontal="center" vertical="center" shrinkToFit="1"/>
    </xf>
    <xf numFmtId="204" fontId="5" fillId="0" borderId="207" xfId="0" quotePrefix="1" applyNumberFormat="1" applyFont="1" applyBorder="1" applyAlignment="1">
      <alignment horizontal="center" vertical="center"/>
    </xf>
    <xf numFmtId="49" fontId="29" fillId="0" borderId="7" xfId="0" applyNumberFormat="1" applyFont="1" applyBorder="1" applyAlignment="1">
      <alignment horizontal="left" vertical="top" shrinkToFit="1"/>
    </xf>
    <xf numFmtId="49" fontId="29" fillId="0" borderId="0" xfId="0" applyNumberFormat="1" applyFont="1" applyBorder="1" applyAlignment="1">
      <alignment horizontal="left" vertical="top" shrinkToFit="1"/>
    </xf>
    <xf numFmtId="49" fontId="29" fillId="0" borderId="18" xfId="0" applyNumberFormat="1" applyFont="1" applyBorder="1" applyAlignment="1">
      <alignment horizontal="left" vertical="top" shrinkToFit="1"/>
    </xf>
    <xf numFmtId="49" fontId="5" fillId="0" borderId="24" xfId="0" applyNumberFormat="1" applyFont="1" applyBorder="1" applyAlignment="1">
      <alignment horizontal="left" vertical="center" wrapText="1" shrinkToFit="1"/>
    </xf>
    <xf numFmtId="49" fontId="5" fillId="0" borderId="26" xfId="0" applyNumberFormat="1" applyFont="1" applyBorder="1" applyAlignment="1">
      <alignment horizontal="left" vertical="center" wrapText="1" shrinkToFit="1"/>
    </xf>
    <xf numFmtId="49" fontId="5" fillId="0" borderId="25" xfId="0" applyNumberFormat="1" applyFont="1" applyBorder="1" applyAlignment="1">
      <alignment horizontal="left" vertical="center" wrapText="1" shrinkToFit="1"/>
    </xf>
    <xf numFmtId="49" fontId="5" fillId="0" borderId="204" xfId="0" applyNumberFormat="1" applyFont="1" applyBorder="1" applyAlignment="1">
      <alignment horizontal="center" vertical="center" shrinkToFit="1"/>
    </xf>
    <xf numFmtId="49" fontId="5" fillId="0" borderId="204" xfId="0" quotePrefix="1" applyNumberFormat="1" applyFont="1" applyBorder="1" applyAlignment="1">
      <alignment horizontal="center" vertical="center" shrinkToFit="1"/>
    </xf>
    <xf numFmtId="0" fontId="4" fillId="2" borderId="3" xfId="1" applyNumberFormat="1" applyFont="1" applyFill="1" applyBorder="1" applyAlignment="1">
      <alignment horizontal="center" vertical="center"/>
    </xf>
    <xf numFmtId="49" fontId="5" fillId="0" borderId="35" xfId="0" applyNumberFormat="1" applyFont="1" applyBorder="1" applyAlignment="1">
      <alignment horizontal="center" vertical="center" shrinkToFit="1"/>
    </xf>
    <xf numFmtId="49" fontId="5" fillId="0" borderId="36" xfId="0" applyNumberFormat="1" applyFont="1" applyBorder="1" applyAlignment="1">
      <alignment horizontal="center" vertical="center" shrinkToFit="1"/>
    </xf>
    <xf numFmtId="49" fontId="5" fillId="0" borderId="205" xfId="0" applyNumberFormat="1" applyFont="1" applyBorder="1" applyAlignment="1">
      <alignment horizontal="center" vertical="center" shrinkToFit="1"/>
    </xf>
    <xf numFmtId="49" fontId="5" fillId="0" borderId="35" xfId="0" applyNumberFormat="1" applyFont="1" applyBorder="1" applyAlignment="1">
      <alignment horizontal="left" vertical="center" wrapText="1" shrinkToFit="1"/>
    </xf>
    <xf numFmtId="49" fontId="5" fillId="0" borderId="37" xfId="0" applyNumberFormat="1" applyFont="1" applyBorder="1" applyAlignment="1">
      <alignment horizontal="left" vertical="center" wrapText="1" shrinkToFit="1"/>
    </xf>
    <xf numFmtId="49" fontId="5" fillId="0" borderId="36" xfId="0" applyNumberFormat="1" applyFont="1" applyBorder="1" applyAlignment="1">
      <alignment horizontal="left" vertical="center" wrapText="1" shrinkToFit="1"/>
    </xf>
    <xf numFmtId="204" fontId="0" fillId="0" borderId="23" xfId="0" applyNumberFormat="1" applyBorder="1"/>
    <xf numFmtId="49" fontId="5" fillId="0" borderId="23" xfId="0" applyNumberFormat="1" applyFont="1" applyBorder="1" applyAlignment="1">
      <alignment horizontal="center" vertical="center" shrinkToFit="1"/>
    </xf>
    <xf numFmtId="49" fontId="5" fillId="0" borderId="7" xfId="0" applyNumberFormat="1" applyFont="1" applyBorder="1" applyAlignment="1">
      <alignment horizontal="center" vertical="center" shrinkToFit="1"/>
    </xf>
    <xf numFmtId="49" fontId="5" fillId="0" borderId="18" xfId="0" applyNumberFormat="1" applyFont="1" applyBorder="1" applyAlignment="1">
      <alignment horizontal="center" vertical="center" shrinkToFit="1"/>
    </xf>
    <xf numFmtId="49" fontId="5" fillId="0" borderId="20" xfId="0" applyNumberFormat="1" applyFont="1" applyBorder="1" applyAlignment="1">
      <alignment horizontal="left" vertical="center" shrinkToFit="1"/>
    </xf>
    <xf numFmtId="49" fontId="5" fillId="0" borderId="33" xfId="0" applyNumberFormat="1" applyFont="1" applyBorder="1" applyAlignment="1">
      <alignment horizontal="left" vertical="center" shrinkToFit="1"/>
    </xf>
    <xf numFmtId="49" fontId="5" fillId="0" borderId="34" xfId="0" applyNumberFormat="1" applyFont="1" applyBorder="1" applyAlignment="1">
      <alignment horizontal="left" vertical="center" shrinkToFit="1"/>
    </xf>
    <xf numFmtId="204" fontId="41" fillId="0" borderId="15" xfId="0" applyNumberFormat="1" applyFont="1" applyBorder="1" applyAlignment="1">
      <alignment horizontal="center" vertical="center" shrinkToFit="1"/>
    </xf>
    <xf numFmtId="204" fontId="41" fillId="0" borderId="13" xfId="0" applyNumberFormat="1" applyFont="1" applyBorder="1" applyAlignment="1">
      <alignment horizontal="center" vertical="center" shrinkToFit="1"/>
    </xf>
    <xf numFmtId="49" fontId="41" fillId="0" borderId="15" xfId="0" applyNumberFormat="1" applyFont="1" applyBorder="1" applyAlignment="1">
      <alignment horizontal="center" vertical="center" shrinkToFit="1"/>
    </xf>
    <xf numFmtId="49" fontId="41" fillId="0" borderId="13" xfId="0" applyNumberFormat="1" applyFont="1" applyBorder="1" applyAlignment="1">
      <alignment horizontal="center" vertical="center" shrinkToFit="1"/>
    </xf>
    <xf numFmtId="49" fontId="5" fillId="0" borderId="25" xfId="0" quotePrefix="1" applyNumberFormat="1" applyFont="1" applyBorder="1" applyAlignment="1">
      <alignment horizontal="center" vertical="center" shrinkToFit="1"/>
    </xf>
    <xf numFmtId="49" fontId="5" fillId="0" borderId="27" xfId="0" applyNumberFormat="1" applyFont="1" applyBorder="1" applyAlignment="1">
      <alignment horizontal="left" vertical="center" shrinkToFit="1"/>
    </xf>
    <xf numFmtId="49" fontId="5" fillId="0" borderId="28" xfId="0" applyNumberFormat="1" applyFont="1" applyBorder="1" applyAlignment="1">
      <alignment horizontal="left" vertical="center" shrinkToFit="1"/>
    </xf>
    <xf numFmtId="49" fontId="5" fillId="0" borderId="29" xfId="0" applyNumberFormat="1" applyFont="1" applyBorder="1" applyAlignment="1">
      <alignment horizontal="left" vertical="center" shrinkToFit="1"/>
    </xf>
    <xf numFmtId="49" fontId="5" fillId="0" borderId="28" xfId="0" applyNumberFormat="1" applyFont="1" applyBorder="1" applyAlignment="1">
      <alignment horizontal="center" vertical="center" shrinkToFit="1"/>
    </xf>
    <xf numFmtId="49" fontId="5" fillId="0" borderId="24" xfId="0" quotePrefix="1" applyNumberFormat="1" applyFont="1" applyBorder="1" applyAlignment="1">
      <alignment horizontal="left" vertical="center" shrinkToFit="1"/>
    </xf>
    <xf numFmtId="49" fontId="5" fillId="0" borderId="26" xfId="0" quotePrefix="1" applyNumberFormat="1" applyFont="1" applyBorder="1" applyAlignment="1">
      <alignment horizontal="left" vertical="center" shrinkToFit="1"/>
    </xf>
    <xf numFmtId="49" fontId="5" fillId="0" borderId="25" xfId="0" quotePrefix="1" applyNumberFormat="1" applyFont="1" applyBorder="1" applyAlignment="1">
      <alignment horizontal="left" vertical="center" shrinkToFit="1"/>
    </xf>
    <xf numFmtId="49" fontId="5" fillId="0" borderId="35" xfId="0" quotePrefix="1" applyNumberFormat="1" applyFont="1" applyBorder="1" applyAlignment="1">
      <alignment horizontal="left" vertical="center" shrinkToFit="1"/>
    </xf>
    <xf numFmtId="49" fontId="5" fillId="0" borderId="37" xfId="0" quotePrefix="1" applyNumberFormat="1" applyFont="1" applyBorder="1" applyAlignment="1">
      <alignment horizontal="left" vertical="center" shrinkToFit="1"/>
    </xf>
    <xf numFmtId="49" fontId="5" fillId="0" borderId="36" xfId="0" quotePrefix="1" applyNumberFormat="1" applyFont="1" applyBorder="1" applyAlignment="1">
      <alignment horizontal="left" vertical="center" shrinkToFit="1"/>
    </xf>
    <xf numFmtId="0" fontId="0" fillId="0" borderId="5" xfId="0" applyBorder="1" applyAlignment="1">
      <alignment horizontal="left" vertical="top" wrapText="1"/>
    </xf>
    <xf numFmtId="0" fontId="9" fillId="0" borderId="6" xfId="0" applyFont="1" applyBorder="1" applyAlignment="1">
      <alignment horizontal="left" vertical="top"/>
    </xf>
    <xf numFmtId="0" fontId="9" fillId="0" borderId="21" xfId="0" applyFont="1" applyBorder="1" applyAlignment="1">
      <alignment horizontal="left" vertical="top"/>
    </xf>
    <xf numFmtId="0" fontId="9" fillId="0" borderId="7" xfId="0" applyFont="1" applyBorder="1" applyAlignment="1">
      <alignment horizontal="left" vertical="top"/>
    </xf>
    <xf numFmtId="0" fontId="9" fillId="0" borderId="0" xfId="0" applyFont="1" applyBorder="1" applyAlignment="1">
      <alignment horizontal="left" vertical="top"/>
    </xf>
    <xf numFmtId="0" fontId="9" fillId="0" borderId="18" xfId="0" applyFont="1" applyBorder="1" applyAlignment="1">
      <alignment horizontal="left" vertical="top"/>
    </xf>
    <xf numFmtId="0" fontId="9" fillId="0" borderId="8" xfId="0" applyFont="1" applyBorder="1" applyAlignment="1">
      <alignment horizontal="left" vertical="top"/>
    </xf>
    <xf numFmtId="0" fontId="9" fillId="0" borderId="9" xfId="0" applyFont="1" applyBorder="1" applyAlignment="1">
      <alignment horizontal="left" vertical="top"/>
    </xf>
    <xf numFmtId="0" fontId="9" fillId="0" borderId="22" xfId="0" applyFont="1" applyBorder="1" applyAlignment="1">
      <alignment horizontal="left" vertical="top"/>
    </xf>
    <xf numFmtId="49" fontId="5" fillId="0" borderId="24" xfId="0" quotePrefix="1" applyNumberFormat="1" applyFont="1" applyBorder="1" applyAlignment="1">
      <alignment horizontal="left" vertical="center" wrapText="1" shrinkToFit="1"/>
    </xf>
    <xf numFmtId="200" fontId="29" fillId="0" borderId="140" xfId="0" applyNumberFormat="1" applyFont="1" applyBorder="1" applyAlignment="1">
      <alignment horizontal="center" vertical="center"/>
    </xf>
    <xf numFmtId="200" fontId="29" fillId="0" borderId="10" xfId="0" applyNumberFormat="1" applyFont="1" applyBorder="1" applyAlignment="1">
      <alignment horizontal="center" vertical="center"/>
    </xf>
    <xf numFmtId="182" fontId="29" fillId="0" borderId="12" xfId="0" applyNumberFormat="1" applyFont="1" applyBorder="1" applyAlignment="1">
      <alignment horizontal="center" vertical="center"/>
    </xf>
    <xf numFmtId="182" fontId="29" fillId="0" borderId="13" xfId="0" applyNumberFormat="1" applyFont="1" applyBorder="1" applyAlignment="1">
      <alignment horizontal="center" vertical="center"/>
    </xf>
    <xf numFmtId="200" fontId="29" fillId="0" borderId="207" xfId="0" quotePrefix="1" applyNumberFormat="1" applyFont="1" applyBorder="1" applyAlignment="1">
      <alignment horizontal="center" vertical="center"/>
    </xf>
    <xf numFmtId="200" fontId="29" fillId="0" borderId="169" xfId="0" applyNumberFormat="1" applyFont="1" applyBorder="1" applyAlignment="1">
      <alignment horizontal="center" vertical="center"/>
    </xf>
    <xf numFmtId="0" fontId="29" fillId="0" borderId="10" xfId="0" applyFont="1" applyBorder="1" applyAlignment="1">
      <alignment horizontal="center" vertical="center"/>
    </xf>
    <xf numFmtId="182" fontId="29" fillId="0" borderId="15" xfId="0" applyNumberFormat="1" applyFont="1" applyBorder="1" applyAlignment="1">
      <alignment horizontal="center" vertical="center"/>
    </xf>
    <xf numFmtId="0" fontId="29" fillId="0" borderId="169" xfId="0" applyFont="1" applyBorder="1" applyAlignment="1">
      <alignment horizontal="center" vertical="center"/>
    </xf>
    <xf numFmtId="0" fontId="30" fillId="0" borderId="10" xfId="0" applyFont="1" applyBorder="1" applyAlignment="1">
      <alignment horizontal="center" vertical="center"/>
    </xf>
    <xf numFmtId="182" fontId="30" fillId="0" borderId="15" xfId="0" applyNumberFormat="1" applyFont="1" applyBorder="1" applyAlignment="1">
      <alignment horizontal="center" vertical="center"/>
    </xf>
    <xf numFmtId="182" fontId="30" fillId="0" borderId="13" xfId="0" applyNumberFormat="1" applyFont="1" applyBorder="1" applyAlignment="1">
      <alignment horizontal="center" vertical="center"/>
    </xf>
    <xf numFmtId="49" fontId="5" fillId="7" borderId="24" xfId="0" quotePrefix="1" applyNumberFormat="1" applyFont="1" applyFill="1" applyBorder="1" applyAlignment="1">
      <alignment horizontal="left" vertical="center" shrinkToFit="1"/>
    </xf>
    <xf numFmtId="49" fontId="5" fillId="7" borderId="26" xfId="0" quotePrefix="1" applyNumberFormat="1" applyFont="1" applyFill="1" applyBorder="1" applyAlignment="1">
      <alignment horizontal="left" vertical="center" shrinkToFit="1"/>
    </xf>
    <xf numFmtId="49" fontId="5" fillId="7" borderId="25" xfId="0" quotePrefix="1" applyNumberFormat="1" applyFont="1" applyFill="1" applyBorder="1" applyAlignment="1">
      <alignment horizontal="left" vertical="center" shrinkToFit="1"/>
    </xf>
    <xf numFmtId="0" fontId="75" fillId="0" borderId="169" xfId="0" applyFont="1" applyBorder="1" applyAlignment="1">
      <alignment horizontal="center" vertical="center"/>
    </xf>
    <xf numFmtId="182" fontId="75" fillId="0" borderId="15" xfId="0" applyNumberFormat="1" applyFont="1" applyBorder="1" applyAlignment="1">
      <alignment horizontal="center" vertical="center"/>
    </xf>
    <xf numFmtId="182" fontId="75" fillId="0" borderId="13" xfId="0" applyNumberFormat="1" applyFont="1" applyBorder="1" applyAlignment="1">
      <alignment horizontal="center" vertical="center"/>
    </xf>
    <xf numFmtId="0" fontId="75" fillId="0" borderId="10" xfId="0" applyFont="1" applyBorder="1" applyAlignment="1">
      <alignment horizontal="center" vertical="center"/>
    </xf>
    <xf numFmtId="0" fontId="30" fillId="0" borderId="169" xfId="0" applyFont="1" applyBorder="1" applyAlignment="1">
      <alignment horizontal="center" vertical="center"/>
    </xf>
    <xf numFmtId="49" fontId="5" fillId="7" borderId="24" xfId="0" applyNumberFormat="1" applyFont="1" applyFill="1" applyBorder="1" applyAlignment="1">
      <alignment horizontal="left" vertical="center" shrinkToFit="1"/>
    </xf>
    <xf numFmtId="49" fontId="5" fillId="7" borderId="26" xfId="0" applyNumberFormat="1" applyFont="1" applyFill="1" applyBorder="1" applyAlignment="1">
      <alignment horizontal="left" vertical="center" shrinkToFit="1"/>
    </xf>
    <xf numFmtId="49" fontId="5" fillId="7" borderId="25" xfId="0" applyNumberFormat="1" applyFont="1" applyFill="1" applyBorder="1" applyAlignment="1">
      <alignment horizontal="left" vertical="center" shrinkToFit="1"/>
    </xf>
    <xf numFmtId="49" fontId="5" fillId="0" borderId="38" xfId="0" applyNumberFormat="1" applyFont="1" applyBorder="1" applyAlignment="1">
      <alignment horizontal="center" vertical="center" shrinkToFit="1"/>
    </xf>
    <xf numFmtId="49" fontId="5" fillId="0" borderId="40" xfId="0" applyNumberFormat="1" applyFont="1" applyBorder="1" applyAlignment="1">
      <alignment horizontal="center" vertical="center" shrinkToFit="1"/>
    </xf>
    <xf numFmtId="0" fontId="29" fillId="0" borderId="15" xfId="0" applyFont="1" applyBorder="1" applyAlignment="1">
      <alignment horizontal="center" vertical="center"/>
    </xf>
    <xf numFmtId="0" fontId="29" fillId="0" borderId="16" xfId="0" applyFont="1" applyBorder="1" applyAlignment="1">
      <alignment horizontal="center" vertical="center"/>
    </xf>
    <xf numFmtId="49" fontId="5" fillId="4" borderId="24" xfId="0" applyNumberFormat="1" applyFont="1" applyFill="1" applyBorder="1" applyAlignment="1">
      <alignment horizontal="left" vertical="center" shrinkToFit="1"/>
    </xf>
    <xf numFmtId="49" fontId="5" fillId="4" borderId="26" xfId="0" applyNumberFormat="1" applyFont="1" applyFill="1" applyBorder="1" applyAlignment="1">
      <alignment horizontal="left" vertical="center" shrinkToFit="1"/>
    </xf>
    <xf numFmtId="49" fontId="5" fillId="4" borderId="25" xfId="0" applyNumberFormat="1" applyFont="1" applyFill="1" applyBorder="1" applyAlignment="1">
      <alignment horizontal="left" vertical="center" shrinkToFit="1"/>
    </xf>
    <xf numFmtId="49" fontId="5" fillId="4" borderId="10" xfId="0" applyNumberFormat="1" applyFont="1" applyFill="1" applyBorder="1" applyAlignment="1">
      <alignment horizontal="center" vertical="center" shrinkToFit="1"/>
    </xf>
    <xf numFmtId="49" fontId="41" fillId="0" borderId="23" xfId="0" applyNumberFormat="1" applyFont="1" applyBorder="1" applyAlignment="1">
      <alignment horizontal="center" vertical="center" shrinkToFit="1"/>
    </xf>
    <xf numFmtId="0" fontId="5" fillId="0" borderId="169" xfId="0" applyFont="1" applyBorder="1" applyAlignment="1">
      <alignment horizontal="center" vertical="center"/>
    </xf>
    <xf numFmtId="0" fontId="5" fillId="0" borderId="170" xfId="0" applyFont="1" applyBorder="1" applyAlignment="1">
      <alignment horizontal="center" vertical="center"/>
    </xf>
    <xf numFmtId="49" fontId="5" fillId="4" borderId="15" xfId="0" applyNumberFormat="1" applyFont="1" applyFill="1" applyBorder="1" applyAlignment="1">
      <alignment horizontal="center" vertical="center" shrinkToFit="1"/>
    </xf>
    <xf numFmtId="49" fontId="5" fillId="4" borderId="23" xfId="0" applyNumberFormat="1" applyFont="1" applyFill="1" applyBorder="1" applyAlignment="1">
      <alignment horizontal="center" vertical="center" shrinkToFit="1"/>
    </xf>
    <xf numFmtId="0" fontId="76" fillId="0" borderId="10" xfId="0" applyFont="1" applyBorder="1" applyAlignment="1">
      <alignment horizontal="center" vertical="center"/>
    </xf>
    <xf numFmtId="182" fontId="76" fillId="0" borderId="15" xfId="0" applyNumberFormat="1" applyFont="1" applyBorder="1" applyAlignment="1">
      <alignment horizontal="center" vertical="center"/>
    </xf>
    <xf numFmtId="182" fontId="76" fillId="0" borderId="13" xfId="0" applyNumberFormat="1" applyFont="1" applyBorder="1" applyAlignment="1">
      <alignment horizontal="center" vertical="center"/>
    </xf>
    <xf numFmtId="49" fontId="5" fillId="4" borderId="38" xfId="0" applyNumberFormat="1" applyFont="1" applyFill="1" applyBorder="1" applyAlignment="1">
      <alignment horizontal="center" vertical="center" shrinkToFit="1"/>
    </xf>
    <xf numFmtId="49" fontId="5" fillId="4" borderId="40" xfId="0" applyNumberFormat="1" applyFont="1" applyFill="1" applyBorder="1" applyAlignment="1">
      <alignment horizontal="center" vertical="center" shrinkToFit="1"/>
    </xf>
    <xf numFmtId="49" fontId="5" fillId="4" borderId="27" xfId="0" applyNumberFormat="1" applyFont="1" applyFill="1" applyBorder="1" applyAlignment="1">
      <alignment horizontal="left" vertical="center" shrinkToFit="1"/>
    </xf>
    <xf numFmtId="49" fontId="5" fillId="4" borderId="28" xfId="0" applyNumberFormat="1" applyFont="1" applyFill="1" applyBorder="1" applyAlignment="1">
      <alignment horizontal="left" vertical="center" shrinkToFit="1"/>
    </xf>
    <xf numFmtId="49" fontId="5" fillId="4" borderId="29" xfId="0" applyNumberFormat="1" applyFont="1" applyFill="1" applyBorder="1" applyAlignment="1">
      <alignment horizontal="left" vertical="center" shrinkToFit="1"/>
    </xf>
    <xf numFmtId="49" fontId="5" fillId="4" borderId="173" xfId="0" applyNumberFormat="1" applyFont="1" applyFill="1" applyBorder="1" applyAlignment="1">
      <alignment horizontal="center" vertical="center" shrinkToFit="1"/>
    </xf>
    <xf numFmtId="0" fontId="5" fillId="0" borderId="10" xfId="0" applyFont="1" applyBorder="1" applyAlignment="1">
      <alignment horizontal="center" vertical="center"/>
    </xf>
    <xf numFmtId="0" fontId="30" fillId="0" borderId="15" xfId="0" applyFont="1" applyBorder="1" applyAlignment="1">
      <alignment horizontal="center" vertical="center"/>
    </xf>
    <xf numFmtId="0" fontId="30" fillId="0" borderId="16" xfId="0" applyFont="1" applyBorder="1" applyAlignment="1">
      <alignment horizontal="center" vertical="center"/>
    </xf>
    <xf numFmtId="0" fontId="76" fillId="0" borderId="169" xfId="0" applyFont="1" applyBorder="1" applyAlignment="1">
      <alignment horizontal="center" vertical="center"/>
    </xf>
    <xf numFmtId="0" fontId="11" fillId="8" borderId="17" xfId="0" applyFont="1" applyFill="1" applyBorder="1" applyAlignment="1">
      <alignment horizontal="distributed" vertical="center"/>
    </xf>
    <xf numFmtId="0" fontId="11" fillId="8" borderId="19" xfId="0" applyFont="1" applyFill="1" applyBorder="1" applyAlignment="1">
      <alignment horizontal="distributed" vertical="center"/>
    </xf>
    <xf numFmtId="0" fontId="11" fillId="8" borderId="4" xfId="0" applyFont="1" applyFill="1" applyBorder="1" applyAlignment="1">
      <alignment horizontal="distributed" vertical="center"/>
    </xf>
    <xf numFmtId="200" fontId="76" fillId="0" borderId="140" xfId="0" applyNumberFormat="1" applyFont="1" applyBorder="1" applyAlignment="1">
      <alignment horizontal="center" vertical="center"/>
    </xf>
    <xf numFmtId="200" fontId="76" fillId="0" borderId="10" xfId="0" applyNumberFormat="1" applyFont="1" applyBorder="1" applyAlignment="1">
      <alignment horizontal="center" vertical="center"/>
    </xf>
    <xf numFmtId="182" fontId="76" fillId="0" borderId="12" xfId="0" applyNumberFormat="1" applyFont="1" applyBorder="1" applyAlignment="1">
      <alignment horizontal="center" vertical="center"/>
    </xf>
    <xf numFmtId="49" fontId="5" fillId="4" borderId="206" xfId="0" applyNumberFormat="1" applyFont="1" applyFill="1" applyBorder="1" applyAlignment="1">
      <alignment horizontal="center" vertical="center" shrinkToFit="1"/>
    </xf>
    <xf numFmtId="200" fontId="30" fillId="0" borderId="207" xfId="0" quotePrefix="1" applyNumberFormat="1" applyFont="1" applyBorder="1" applyAlignment="1">
      <alignment horizontal="center" vertical="center"/>
    </xf>
    <xf numFmtId="200" fontId="30" fillId="0" borderId="169" xfId="0" applyNumberFormat="1" applyFont="1" applyBorder="1" applyAlignment="1">
      <alignment horizontal="center" vertical="center"/>
    </xf>
    <xf numFmtId="182" fontId="30" fillId="0" borderId="12" xfId="0" applyNumberFormat="1" applyFont="1" applyBorder="1" applyAlignment="1">
      <alignment horizontal="center" vertical="center"/>
    </xf>
    <xf numFmtId="49" fontId="5" fillId="4" borderId="12" xfId="0" applyNumberFormat="1" applyFont="1" applyFill="1" applyBorder="1" applyAlignment="1">
      <alignment horizontal="center" vertical="center" shrinkToFit="1"/>
    </xf>
    <xf numFmtId="49" fontId="5" fillId="4" borderId="16" xfId="0" applyNumberFormat="1" applyFont="1" applyFill="1" applyBorder="1" applyAlignment="1">
      <alignment horizontal="center" vertical="center" shrinkToFit="1"/>
    </xf>
    <xf numFmtId="49" fontId="5" fillId="4" borderId="20" xfId="0" applyNumberFormat="1" applyFont="1" applyFill="1" applyBorder="1" applyAlignment="1">
      <alignment horizontal="left" vertical="center" shrinkToFit="1"/>
    </xf>
    <xf numFmtId="49" fontId="5" fillId="4" borderId="33" xfId="0" applyNumberFormat="1" applyFont="1" applyFill="1" applyBorder="1" applyAlignment="1">
      <alignment horizontal="left" vertical="center" shrinkToFit="1"/>
    </xf>
    <xf numFmtId="49" fontId="5" fillId="4" borderId="34" xfId="0" applyNumberFormat="1" applyFont="1" applyFill="1" applyBorder="1" applyAlignment="1">
      <alignment horizontal="left" vertical="center" shrinkToFit="1"/>
    </xf>
    <xf numFmtId="49" fontId="5" fillId="4" borderId="13" xfId="0" applyNumberFormat="1" applyFont="1" applyFill="1" applyBorder="1" applyAlignment="1">
      <alignment horizontal="center" vertical="center" shrinkToFit="1"/>
    </xf>
    <xf numFmtId="187" fontId="41" fillId="0" borderId="5" xfId="0" applyNumberFormat="1" applyFont="1" applyBorder="1" applyAlignment="1">
      <alignment horizontal="left" vertical="center" shrinkToFit="1"/>
    </xf>
    <xf numFmtId="187" fontId="41" fillId="0" borderId="6" xfId="0" applyNumberFormat="1" applyFont="1" applyBorder="1" applyAlignment="1">
      <alignment horizontal="left" vertical="center" shrinkToFit="1"/>
    </xf>
    <xf numFmtId="187" fontId="41" fillId="0" borderId="21" xfId="0" applyNumberFormat="1" applyFont="1" applyBorder="1" applyAlignment="1">
      <alignment horizontal="left" vertical="center" shrinkToFit="1"/>
    </xf>
    <xf numFmtId="204" fontId="41" fillId="0" borderId="23" xfId="0" applyNumberFormat="1" applyFont="1" applyBorder="1" applyAlignment="1">
      <alignment horizontal="center" vertical="center" shrinkToFit="1"/>
    </xf>
    <xf numFmtId="0" fontId="11" fillId="0" borderId="17" xfId="0" applyFont="1" applyBorder="1" applyAlignment="1">
      <alignment horizontal="distributed" vertical="center"/>
    </xf>
    <xf numFmtId="0" fontId="11" fillId="0" borderId="19" xfId="0" applyFont="1" applyBorder="1" applyAlignment="1">
      <alignment horizontal="distributed" vertical="center"/>
    </xf>
    <xf numFmtId="0" fontId="11" fillId="0" borderId="4" xfId="0" applyFont="1" applyBorder="1" applyAlignment="1">
      <alignment horizontal="distributed" vertical="center"/>
    </xf>
    <xf numFmtId="49" fontId="5" fillId="0" borderId="24" xfId="0" applyNumberFormat="1" applyFont="1" applyBorder="1" applyAlignment="1">
      <alignment vertical="center" wrapText="1"/>
    </xf>
    <xf numFmtId="49" fontId="5" fillId="0" borderId="26" xfId="0" applyNumberFormat="1" applyFont="1" applyBorder="1" applyAlignment="1">
      <alignment vertical="center" wrapText="1"/>
    </xf>
    <xf numFmtId="49" fontId="5" fillId="0" borderId="25" xfId="0" applyNumberFormat="1" applyFont="1" applyBorder="1" applyAlignment="1">
      <alignment vertical="center" wrapText="1"/>
    </xf>
    <xf numFmtId="49" fontId="5" fillId="0" borderId="24" xfId="0" applyNumberFormat="1" applyFont="1" applyBorder="1" applyAlignment="1">
      <alignment horizontal="center" vertical="center" wrapText="1"/>
    </xf>
    <xf numFmtId="49" fontId="5" fillId="0" borderId="25" xfId="0" applyNumberFormat="1" applyFont="1" applyBorder="1" applyAlignment="1">
      <alignment horizontal="center" vertical="center" wrapText="1"/>
    </xf>
    <xf numFmtId="49" fontId="5" fillId="0" borderId="35" xfId="0" applyNumberFormat="1" applyFont="1" applyBorder="1" applyAlignment="1">
      <alignment horizontal="left" vertical="center" shrinkToFit="1"/>
    </xf>
    <xf numFmtId="49" fontId="5" fillId="0" borderId="37" xfId="0" applyNumberFormat="1" applyFont="1" applyBorder="1" applyAlignment="1">
      <alignment horizontal="left" vertical="center" shrinkToFit="1"/>
    </xf>
    <xf numFmtId="49" fontId="5" fillId="0" borderId="36" xfId="0" applyNumberFormat="1" applyFont="1" applyBorder="1" applyAlignment="1">
      <alignment horizontal="left" vertical="center" shrinkToFit="1"/>
    </xf>
    <xf numFmtId="199" fontId="5" fillId="0" borderId="35" xfId="0" applyNumberFormat="1" applyFont="1" applyBorder="1" applyAlignment="1">
      <alignment horizontal="left" vertical="center"/>
    </xf>
    <xf numFmtId="199" fontId="5" fillId="0" borderId="37" xfId="0" applyNumberFormat="1" applyFont="1" applyBorder="1" applyAlignment="1">
      <alignment horizontal="left" vertical="center"/>
    </xf>
    <xf numFmtId="199" fontId="5" fillId="0" borderId="36" xfId="0" applyNumberFormat="1" applyFont="1" applyBorder="1" applyAlignment="1">
      <alignment horizontal="left" vertical="center"/>
    </xf>
    <xf numFmtId="49" fontId="15" fillId="0" borderId="7" xfId="0" applyNumberFormat="1" applyFont="1" applyBorder="1" applyAlignment="1">
      <alignment horizontal="left" vertical="center" shrinkToFit="1"/>
    </xf>
    <xf numFmtId="49" fontId="15" fillId="0" borderId="0" xfId="0" applyNumberFormat="1" applyFont="1" applyBorder="1" applyAlignment="1">
      <alignment horizontal="left" vertical="center" shrinkToFit="1"/>
    </xf>
    <xf numFmtId="49" fontId="15" fillId="0" borderId="18" xfId="0" applyNumberFormat="1" applyFont="1" applyBorder="1" applyAlignment="1">
      <alignment horizontal="left" vertical="center" shrinkToFit="1"/>
    </xf>
    <xf numFmtId="0" fontId="11" fillId="0" borderId="17" xfId="0" applyFont="1" applyBorder="1" applyAlignment="1">
      <alignment horizontal="center" vertical="center"/>
    </xf>
    <xf numFmtId="0" fontId="11" fillId="0" borderId="4" xfId="0" applyFont="1" applyBorder="1" applyAlignment="1">
      <alignment horizontal="center" vertical="center"/>
    </xf>
    <xf numFmtId="49" fontId="5" fillId="0" borderId="0" xfId="0" applyNumberFormat="1" applyFont="1" applyBorder="1" applyAlignment="1">
      <alignment horizontal="left" vertical="center"/>
    </xf>
    <xf numFmtId="49" fontId="5" fillId="0" borderId="5" xfId="0" applyNumberFormat="1" applyFont="1" applyBorder="1" applyAlignment="1">
      <alignment horizontal="left" vertical="center" wrapText="1" shrinkToFit="1"/>
    </xf>
    <xf numFmtId="49" fontId="5" fillId="0" borderId="6" xfId="0" applyNumberFormat="1" applyFont="1" applyBorder="1" applyAlignment="1">
      <alignment horizontal="left" vertical="center" wrapText="1" shrinkToFit="1"/>
    </xf>
    <xf numFmtId="49" fontId="5" fillId="0" borderId="21" xfId="0" applyNumberFormat="1" applyFont="1" applyBorder="1" applyAlignment="1">
      <alignment horizontal="left" vertical="center" wrapText="1" shrinkToFit="1"/>
    </xf>
    <xf numFmtId="182" fontId="73" fillId="0" borderId="12" xfId="0" applyNumberFormat="1" applyFont="1" applyBorder="1" applyAlignment="1">
      <alignment horizontal="center" vertical="center"/>
    </xf>
    <xf numFmtId="182" fontId="73" fillId="0" borderId="13" xfId="0" applyNumberFormat="1" applyFont="1" applyBorder="1" applyAlignment="1">
      <alignment horizontal="center" vertical="center"/>
    </xf>
    <xf numFmtId="49" fontId="5" fillId="0" borderId="9" xfId="0" applyNumberFormat="1" applyFont="1" applyBorder="1" applyAlignment="1">
      <alignment horizontal="left" vertical="center" shrinkToFit="1"/>
    </xf>
    <xf numFmtId="49" fontId="5" fillId="0" borderId="22" xfId="0" applyNumberFormat="1" applyFont="1" applyBorder="1" applyAlignment="1">
      <alignment horizontal="left" vertical="center" shrinkToFit="1"/>
    </xf>
    <xf numFmtId="187" fontId="41" fillId="0" borderId="7" xfId="0" applyNumberFormat="1" applyFont="1" applyBorder="1" applyAlignment="1">
      <alignment horizontal="left" vertical="center" shrinkToFit="1"/>
    </xf>
    <xf numFmtId="187" fontId="41" fillId="0" borderId="0" xfId="0" applyNumberFormat="1" applyFont="1" applyBorder="1" applyAlignment="1">
      <alignment horizontal="left" vertical="center" shrinkToFit="1"/>
    </xf>
    <xf numFmtId="187" fontId="41" fillId="0" borderId="18" xfId="0" applyNumberFormat="1" applyFont="1" applyBorder="1" applyAlignment="1">
      <alignment horizontal="left" vertical="center" shrinkToFit="1"/>
    </xf>
    <xf numFmtId="200" fontId="73" fillId="0" borderId="140" xfId="0" applyNumberFormat="1" applyFont="1" applyBorder="1" applyAlignment="1">
      <alignment horizontal="center" vertical="center"/>
    </xf>
    <xf numFmtId="200" fontId="73" fillId="0" borderId="10" xfId="0" applyNumberFormat="1" applyFont="1" applyBorder="1" applyAlignment="1">
      <alignment horizontal="center" vertical="center"/>
    </xf>
    <xf numFmtId="0" fontId="73" fillId="0" borderId="10" xfId="0" applyFont="1" applyBorder="1" applyAlignment="1">
      <alignment horizontal="center" vertical="center"/>
    </xf>
    <xf numFmtId="182" fontId="73" fillId="0" borderId="15" xfId="0" applyNumberFormat="1" applyFont="1" applyBorder="1" applyAlignment="1">
      <alignment horizontal="center" vertical="center"/>
    </xf>
    <xf numFmtId="0" fontId="0" fillId="0" borderId="0" xfId="0" applyAlignment="1">
      <alignment horizontal="center" vertical="center" wrapText="1"/>
    </xf>
    <xf numFmtId="0" fontId="2" fillId="0" borderId="9" xfId="0" applyFont="1" applyBorder="1" applyAlignment="1">
      <alignment horizontal="center" vertical="center" shrinkToFit="1"/>
    </xf>
    <xf numFmtId="0" fontId="11" fillId="2" borderId="17" xfId="0" applyFont="1" applyFill="1" applyBorder="1" applyAlignment="1">
      <alignment horizontal="center" vertical="center"/>
    </xf>
    <xf numFmtId="0" fontId="11" fillId="2" borderId="19" xfId="0" applyFont="1" applyFill="1" applyBorder="1" applyAlignment="1">
      <alignment horizontal="center" vertical="center"/>
    </xf>
    <xf numFmtId="0" fontId="11" fillId="2" borderId="4" xfId="0" applyFont="1" applyFill="1" applyBorder="1" applyAlignment="1">
      <alignment horizontal="center" vertical="center"/>
    </xf>
    <xf numFmtId="0" fontId="5" fillId="0" borderId="7" xfId="0" applyFont="1" applyBorder="1" applyAlignment="1">
      <alignment horizontal="left" vertical="center" shrinkToFit="1"/>
    </xf>
    <xf numFmtId="0" fontId="5" fillId="0" borderId="0" xfId="0" applyFont="1" applyBorder="1" applyAlignment="1">
      <alignment horizontal="left" vertical="center" shrinkToFit="1"/>
    </xf>
    <xf numFmtId="0" fontId="5" fillId="0" borderId="18" xfId="0" applyFont="1" applyBorder="1" applyAlignment="1">
      <alignment horizontal="left" vertical="center" shrinkToFit="1"/>
    </xf>
    <xf numFmtId="0" fontId="42" fillId="0" borderId="7" xfId="0" applyFont="1" applyBorder="1" applyAlignment="1">
      <alignment horizontal="left" vertical="center" shrinkToFit="1"/>
    </xf>
    <xf numFmtId="0" fontId="42" fillId="0" borderId="0" xfId="0" applyFont="1" applyBorder="1" applyAlignment="1">
      <alignment horizontal="left" vertical="center" shrinkToFit="1"/>
    </xf>
    <xf numFmtId="0" fontId="42" fillId="0" borderId="18" xfId="0" applyFont="1" applyBorder="1" applyAlignment="1">
      <alignment horizontal="left" vertical="center" shrinkToFit="1"/>
    </xf>
    <xf numFmtId="0" fontId="43" fillId="0" borderId="7" xfId="0" applyFont="1" applyBorder="1" applyAlignment="1">
      <alignment horizontal="left" vertical="center"/>
    </xf>
    <xf numFmtId="0" fontId="43" fillId="0" borderId="0" xfId="0" applyFont="1" applyBorder="1" applyAlignment="1">
      <alignment horizontal="left" vertical="center"/>
    </xf>
    <xf numFmtId="0" fontId="43" fillId="0" borderId="18" xfId="0" applyFont="1" applyBorder="1" applyAlignment="1">
      <alignment horizontal="left" vertical="center"/>
    </xf>
    <xf numFmtId="0" fontId="5" fillId="0" borderId="20" xfId="0" applyFont="1" applyBorder="1" applyAlignment="1">
      <alignment horizontal="left" vertical="center" shrinkToFit="1"/>
    </xf>
    <xf numFmtId="0" fontId="5" fillId="0" borderId="33" xfId="0" applyFont="1" applyBorder="1" applyAlignment="1">
      <alignment horizontal="left" vertical="center" shrinkToFit="1"/>
    </xf>
    <xf numFmtId="0" fontId="5" fillId="0" borderId="34" xfId="0" applyFont="1" applyBorder="1" applyAlignment="1">
      <alignment horizontal="left" vertical="center" shrinkToFit="1"/>
    </xf>
    <xf numFmtId="0" fontId="5" fillId="0" borderId="30" xfId="0" quotePrefix="1" applyFont="1" applyBorder="1" applyAlignment="1">
      <alignment horizontal="left" vertical="center" shrinkToFit="1"/>
    </xf>
    <xf numFmtId="0" fontId="5" fillId="0" borderId="31" xfId="0" applyFont="1" applyBorder="1" applyAlignment="1">
      <alignment horizontal="left" vertical="center" shrinkToFit="1"/>
    </xf>
    <xf numFmtId="0" fontId="5" fillId="0" borderId="32" xfId="0" applyFont="1" applyBorder="1" applyAlignment="1">
      <alignment horizontal="left" vertical="center" shrinkToFit="1"/>
    </xf>
    <xf numFmtId="0" fontId="5" fillId="0" borderId="20" xfId="0" quotePrefix="1" applyFont="1" applyBorder="1" applyAlignment="1">
      <alignment horizontal="left" vertical="center" shrinkToFit="1"/>
    </xf>
    <xf numFmtId="0" fontId="5" fillId="0" borderId="30" xfId="0" applyFont="1" applyBorder="1" applyAlignment="1">
      <alignment horizontal="left" vertical="center" shrinkToFit="1"/>
    </xf>
    <xf numFmtId="0" fontId="5" fillId="0" borderId="7" xfId="0" quotePrefix="1" applyFont="1" applyBorder="1" applyAlignment="1">
      <alignment horizontal="left" vertical="center" shrinkToFit="1"/>
    </xf>
    <xf numFmtId="204" fontId="5" fillId="0" borderId="140" xfId="0" quotePrefix="1" applyNumberFormat="1" applyFont="1" applyBorder="1" applyAlignment="1">
      <alignment horizontal="center" vertical="center"/>
    </xf>
    <xf numFmtId="0" fontId="11" fillId="2" borderId="17" xfId="0" applyFont="1" applyFill="1" applyBorder="1" applyAlignment="1">
      <alignment horizontal="left" vertical="center"/>
    </xf>
    <xf numFmtId="0" fontId="11" fillId="2" borderId="19" xfId="0" applyFont="1" applyFill="1" applyBorder="1" applyAlignment="1">
      <alignment horizontal="left" vertical="center"/>
    </xf>
    <xf numFmtId="0" fontId="11" fillId="2" borderId="4" xfId="0" applyFont="1" applyFill="1" applyBorder="1" applyAlignment="1">
      <alignment horizontal="left" vertical="center"/>
    </xf>
    <xf numFmtId="6" fontId="4" fillId="0" borderId="19" xfId="1" applyFont="1" applyBorder="1" applyAlignment="1">
      <alignment horizontal="center" vertical="center" shrinkToFit="1"/>
    </xf>
    <xf numFmtId="6" fontId="4" fillId="0" borderId="4" xfId="1" applyFont="1" applyBorder="1" applyAlignment="1">
      <alignment horizontal="center" vertical="center" shrinkToFit="1"/>
    </xf>
    <xf numFmtId="0" fontId="5" fillId="0" borderId="5" xfId="0" quotePrefix="1" applyFont="1" applyBorder="1" applyAlignment="1">
      <alignment horizontal="left" vertical="center" shrinkToFit="1"/>
    </xf>
    <xf numFmtId="0" fontId="5" fillId="0" borderId="6" xfId="0" applyFont="1" applyBorder="1" applyAlignment="1">
      <alignment horizontal="left" vertical="center" shrinkToFit="1"/>
    </xf>
    <xf numFmtId="0" fontId="5" fillId="0" borderId="21" xfId="0" applyFont="1" applyBorder="1" applyAlignment="1">
      <alignment horizontal="left" vertical="center" shrinkToFit="1"/>
    </xf>
    <xf numFmtId="0" fontId="5" fillId="0" borderId="5" xfId="0" applyFont="1" applyBorder="1" applyAlignment="1">
      <alignment horizontal="left" vertical="center" shrinkToFit="1"/>
    </xf>
    <xf numFmtId="6" fontId="4" fillId="0" borderId="17" xfId="1" applyFont="1" applyBorder="1" applyAlignment="1">
      <alignment horizontal="center" vertical="center" shrinkToFit="1"/>
    </xf>
    <xf numFmtId="178" fontId="6" fillId="0" borderId="19" xfId="0" applyNumberFormat="1" applyFont="1" applyBorder="1" applyAlignment="1">
      <alignment horizontal="left" vertical="center" shrinkToFit="1"/>
    </xf>
    <xf numFmtId="0" fontId="5" fillId="0" borderId="31" xfId="0" quotePrefix="1" applyFont="1" applyBorder="1" applyAlignment="1">
      <alignment horizontal="left" vertical="center" shrinkToFit="1"/>
    </xf>
    <xf numFmtId="0" fontId="5" fillId="0" borderId="32" xfId="0" quotePrefix="1" applyFont="1" applyBorder="1" applyAlignment="1">
      <alignment horizontal="left" vertical="center" shrinkToFit="1"/>
    </xf>
    <xf numFmtId="0" fontId="5" fillId="0" borderId="8" xfId="0" applyFont="1" applyBorder="1" applyAlignment="1">
      <alignment horizontal="left" vertical="center" shrinkToFit="1"/>
    </xf>
    <xf numFmtId="0" fontId="5" fillId="0" borderId="9" xfId="0" applyFont="1" applyBorder="1" applyAlignment="1">
      <alignment horizontal="left" vertical="center" shrinkToFit="1"/>
    </xf>
    <xf numFmtId="0" fontId="5" fillId="0" borderId="22" xfId="0" applyFont="1" applyBorder="1" applyAlignment="1">
      <alignment horizontal="left" vertical="center" shrinkToFit="1"/>
    </xf>
    <xf numFmtId="0" fontId="5" fillId="0" borderId="30" xfId="0" quotePrefix="1" applyFont="1" applyBorder="1" applyAlignment="1">
      <alignment horizontal="left" vertical="center" wrapText="1" shrinkToFit="1"/>
    </xf>
    <xf numFmtId="0" fontId="20" fillId="0" borderId="12" xfId="0" applyFont="1" applyBorder="1" applyAlignment="1">
      <alignment horizontal="center" vertical="center" textRotation="255" shrinkToFit="1"/>
    </xf>
    <xf numFmtId="0" fontId="20" fillId="0" borderId="16" xfId="0" applyFont="1" applyBorder="1" applyAlignment="1">
      <alignment horizontal="center" vertical="center" textRotation="255" shrinkToFit="1"/>
    </xf>
    <xf numFmtId="0" fontId="20" fillId="0" borderId="23" xfId="0" applyFont="1" applyBorder="1" applyAlignment="1">
      <alignment horizontal="center" vertical="center" textRotation="255" shrinkToFit="1"/>
    </xf>
    <xf numFmtId="204" fontId="5" fillId="0" borderId="15" xfId="0" quotePrefix="1" applyNumberFormat="1" applyFont="1" applyBorder="1" applyAlignment="1">
      <alignment horizontal="center" vertical="center"/>
    </xf>
    <xf numFmtId="204" fontId="5" fillId="0" borderId="23" xfId="0" quotePrefix="1" applyNumberFormat="1" applyFont="1" applyBorder="1" applyAlignment="1">
      <alignment horizontal="center" vertical="center"/>
    </xf>
    <xf numFmtId="0" fontId="5" fillId="0" borderId="6" xfId="0" applyFont="1" applyBorder="1" applyAlignment="1">
      <alignment horizontal="center" vertical="center" shrinkToFit="1"/>
    </xf>
    <xf numFmtId="0" fontId="5" fillId="0" borderId="21" xfId="0" applyFont="1" applyBorder="1" applyAlignment="1">
      <alignment horizontal="center" vertical="center" shrinkToFit="1"/>
    </xf>
    <xf numFmtId="0" fontId="0" fillId="0" borderId="20" xfId="0" applyBorder="1" applyAlignment="1">
      <alignment horizontal="left" vertical="center" shrinkToFit="1"/>
    </xf>
    <xf numFmtId="0" fontId="0" fillId="0" borderId="33" xfId="0" applyBorder="1" applyAlignment="1">
      <alignment horizontal="left" vertical="center" shrinkToFit="1"/>
    </xf>
    <xf numFmtId="0" fontId="0" fillId="0" borderId="34" xfId="0" applyBorder="1" applyAlignment="1">
      <alignment horizontal="left" vertical="center" shrinkToFit="1"/>
    </xf>
    <xf numFmtId="0" fontId="5" fillId="0" borderId="16" xfId="0" applyFont="1" applyBorder="1" applyAlignment="1">
      <alignment horizontal="left" vertical="center" shrinkToFit="1"/>
    </xf>
    <xf numFmtId="0" fontId="5" fillId="0" borderId="15" xfId="0" applyFont="1" applyBorder="1" applyAlignment="1">
      <alignment horizontal="left" vertical="center" shrinkToFit="1"/>
    </xf>
    <xf numFmtId="200" fontId="5" fillId="0" borderId="140" xfId="0" applyNumberFormat="1" applyFont="1" applyBorder="1" applyAlignment="1">
      <alignment horizontal="center" vertical="center"/>
    </xf>
    <xf numFmtId="200" fontId="5" fillId="0" borderId="10" xfId="0" applyNumberFormat="1" applyFont="1" applyBorder="1" applyAlignment="1">
      <alignment horizontal="center" vertical="center"/>
    </xf>
    <xf numFmtId="200" fontId="5" fillId="0" borderId="140" xfId="0" quotePrefix="1" applyNumberFormat="1" applyFont="1" applyBorder="1" applyAlignment="1">
      <alignment horizontal="center" vertical="center"/>
    </xf>
    <xf numFmtId="0" fontId="74" fillId="0" borderId="10" xfId="0" applyFont="1" applyBorder="1" applyAlignment="1">
      <alignment horizontal="center" vertical="center"/>
    </xf>
    <xf numFmtId="182" fontId="74" fillId="0" borderId="15" xfId="0" applyNumberFormat="1" applyFont="1" applyBorder="1" applyAlignment="1">
      <alignment horizontal="center" vertical="center"/>
    </xf>
    <xf numFmtId="182" fontId="74" fillId="0" borderId="13" xfId="0" applyNumberFormat="1" applyFont="1" applyBorder="1" applyAlignment="1">
      <alignment horizontal="center" vertical="center"/>
    </xf>
    <xf numFmtId="0" fontId="5" fillId="0" borderId="15" xfId="0" applyFont="1" applyBorder="1" applyAlignment="1">
      <alignment horizontal="center" vertical="center"/>
    </xf>
    <xf numFmtId="0" fontId="5" fillId="0" borderId="16" xfId="0" applyFont="1" applyBorder="1" applyAlignment="1">
      <alignment horizontal="center" vertical="center"/>
    </xf>
    <xf numFmtId="49" fontId="5" fillId="0" borderId="15" xfId="0" quotePrefix="1" applyNumberFormat="1" applyFont="1" applyBorder="1" applyAlignment="1">
      <alignment horizontal="center" vertical="center"/>
    </xf>
    <xf numFmtId="49" fontId="5" fillId="0" borderId="23" xfId="0" quotePrefix="1" applyNumberFormat="1" applyFont="1" applyBorder="1" applyAlignment="1">
      <alignment horizontal="center" vertical="center"/>
    </xf>
    <xf numFmtId="0" fontId="2" fillId="0" borderId="56" xfId="6" applyBorder="1" applyAlignment="1">
      <alignment horizontal="center" vertical="center" textRotation="255"/>
    </xf>
    <xf numFmtId="0" fontId="2" fillId="0" borderId="46" xfId="6" applyBorder="1" applyAlignment="1">
      <alignment horizontal="center" vertical="center" textRotation="255"/>
    </xf>
    <xf numFmtId="0" fontId="2" fillId="0" borderId="51" xfId="6" applyBorder="1" applyAlignment="1">
      <alignment horizontal="center" vertical="center" textRotation="255"/>
    </xf>
    <xf numFmtId="0" fontId="2" fillId="0" borderId="58" xfId="6" applyBorder="1" applyAlignment="1">
      <alignment horizontal="center" vertical="center" textRotation="255"/>
    </xf>
    <xf numFmtId="0" fontId="2" fillId="0" borderId="64" xfId="6" applyBorder="1" applyAlignment="1">
      <alignment horizontal="center" vertical="center" textRotation="255"/>
    </xf>
    <xf numFmtId="0" fontId="0" fillId="2" borderId="42" xfId="6" applyFont="1" applyFill="1" applyBorder="1" applyAlignment="1">
      <alignment horizontal="center" vertical="center"/>
    </xf>
    <xf numFmtId="0" fontId="2" fillId="0" borderId="44" xfId="6" applyBorder="1" applyAlignment="1">
      <alignment horizontal="center" vertical="center"/>
    </xf>
    <xf numFmtId="0" fontId="2" fillId="2" borderId="41" xfId="6" applyFill="1" applyBorder="1" applyAlignment="1">
      <alignment horizontal="center" vertical="center"/>
    </xf>
    <xf numFmtId="0" fontId="2" fillId="2" borderId="46" xfId="6" applyFill="1" applyBorder="1" applyAlignment="1">
      <alignment horizontal="center" vertical="center"/>
    </xf>
    <xf numFmtId="0" fontId="2" fillId="0" borderId="41" xfId="6" applyBorder="1" applyAlignment="1">
      <alignment horizontal="center" vertical="center" textRotation="255"/>
    </xf>
    <xf numFmtId="0" fontId="2" fillId="0" borderId="67" xfId="6" applyBorder="1" applyAlignment="1">
      <alignment horizontal="center" vertical="center" textRotation="255"/>
    </xf>
    <xf numFmtId="0" fontId="2" fillId="0" borderId="75" xfId="6" applyBorder="1" applyAlignment="1">
      <alignment horizontal="center" vertical="center" textRotation="255"/>
    </xf>
    <xf numFmtId="0" fontId="2" fillId="0" borderId="43" xfId="6" applyBorder="1" applyAlignment="1">
      <alignment horizontal="center" vertical="center"/>
    </xf>
    <xf numFmtId="0" fontId="2" fillId="2" borderId="42" xfId="6" applyFill="1" applyBorder="1" applyAlignment="1">
      <alignment horizontal="center" vertical="center"/>
    </xf>
    <xf numFmtId="0" fontId="0" fillId="2" borderId="42" xfId="6" quotePrefix="1" applyFont="1" applyFill="1" applyBorder="1" applyAlignment="1">
      <alignment horizontal="center" vertical="center"/>
    </xf>
    <xf numFmtId="0" fontId="44" fillId="0" borderId="0" xfId="65" applyFont="1" applyAlignment="1">
      <alignment horizontal="left" vertical="center"/>
    </xf>
    <xf numFmtId="0" fontId="44" fillId="0" borderId="0" xfId="65" quotePrefix="1" applyFont="1" applyAlignment="1">
      <alignment horizontal="left" vertical="center"/>
    </xf>
    <xf numFmtId="0" fontId="28" fillId="0" borderId="0" xfId="66" quotePrefix="1" applyFont="1" applyAlignment="1">
      <alignment horizontal="left"/>
    </xf>
    <xf numFmtId="0" fontId="28" fillId="0" borderId="0" xfId="66" applyFont="1" applyAlignment="1">
      <alignment horizontal="left"/>
    </xf>
    <xf numFmtId="0" fontId="45" fillId="2" borderId="41" xfId="6" applyFont="1" applyFill="1" applyBorder="1" applyAlignment="1">
      <alignment horizontal="center"/>
    </xf>
    <xf numFmtId="0" fontId="45" fillId="2" borderId="46" xfId="6" applyFont="1" applyFill="1" applyBorder="1" applyAlignment="1">
      <alignment horizontal="center"/>
    </xf>
    <xf numFmtId="0" fontId="2" fillId="2" borderId="41" xfId="6" applyFill="1" applyBorder="1" applyAlignment="1">
      <alignment horizontal="center" vertical="center" shrinkToFit="1"/>
    </xf>
    <xf numFmtId="0" fontId="2" fillId="2" borderId="46" xfId="6" applyFill="1" applyBorder="1" applyAlignment="1">
      <alignment horizontal="center" vertical="center" shrinkToFit="1"/>
    </xf>
    <xf numFmtId="0" fontId="0" fillId="2" borderId="45" xfId="6" applyFont="1" applyFill="1" applyBorder="1" applyAlignment="1">
      <alignment horizontal="center" vertical="center"/>
    </xf>
    <xf numFmtId="0" fontId="4" fillId="0" borderId="41" xfId="67" applyFont="1" applyBorder="1" applyAlignment="1">
      <alignment horizontal="center" vertical="center" textRotation="255"/>
    </xf>
    <xf numFmtId="0" fontId="4" fillId="0" borderId="46" xfId="67" applyFont="1" applyBorder="1" applyAlignment="1">
      <alignment horizontal="center" vertical="center" textRotation="255"/>
    </xf>
    <xf numFmtId="0" fontId="4" fillId="0" borderId="55" xfId="67" applyFont="1" applyBorder="1" applyAlignment="1">
      <alignment horizontal="center" vertical="center"/>
    </xf>
    <xf numFmtId="0" fontId="4" fillId="0" borderId="82" xfId="67" applyFont="1" applyBorder="1" applyAlignment="1">
      <alignment horizontal="center" vertical="center"/>
    </xf>
    <xf numFmtId="0" fontId="4" fillId="0" borderId="63" xfId="67" applyFont="1" applyBorder="1" applyAlignment="1">
      <alignment horizontal="center" vertical="center"/>
    </xf>
    <xf numFmtId="0" fontId="4" fillId="0" borderId="66" xfId="67" applyFont="1" applyBorder="1" applyAlignment="1">
      <alignment horizontal="center" vertical="center"/>
    </xf>
    <xf numFmtId="0" fontId="4" fillId="0" borderId="41" xfId="67" quotePrefix="1" applyFont="1" applyBorder="1" applyAlignment="1">
      <alignment horizontal="center" vertical="center" textRotation="255"/>
    </xf>
    <xf numFmtId="0" fontId="4" fillId="0" borderId="56" xfId="67" applyFont="1" applyBorder="1" applyAlignment="1">
      <alignment horizontal="center" vertical="center" textRotation="255"/>
    </xf>
    <xf numFmtId="0" fontId="4" fillId="0" borderId="45" xfId="67" applyFont="1" applyBorder="1" applyAlignment="1">
      <alignment horizontal="center" vertical="center"/>
    </xf>
    <xf numFmtId="0" fontId="4" fillId="0" borderId="44" xfId="67" applyFont="1" applyBorder="1" applyAlignment="1">
      <alignment horizontal="center" vertical="center"/>
    </xf>
    <xf numFmtId="0" fontId="4" fillId="0" borderId="72" xfId="67" applyFont="1" applyBorder="1" applyAlignment="1">
      <alignment horizontal="center" vertical="center"/>
    </xf>
    <xf numFmtId="0" fontId="4" fillId="0" borderId="71" xfId="67" applyFont="1" applyBorder="1" applyAlignment="1">
      <alignment horizontal="center" vertical="center"/>
    </xf>
    <xf numFmtId="0" fontId="4" fillId="0" borderId="57" xfId="67" applyFont="1" applyBorder="1" applyAlignment="1">
      <alignment horizontal="center" vertical="center"/>
    </xf>
    <xf numFmtId="0" fontId="4" fillId="0" borderId="62" xfId="67" applyFont="1" applyBorder="1" applyAlignment="1">
      <alignment horizontal="center" vertical="center"/>
    </xf>
    <xf numFmtId="0" fontId="4" fillId="0" borderId="99" xfId="67" quotePrefix="1" applyFont="1" applyBorder="1" applyAlignment="1">
      <alignment horizontal="center" vertical="center"/>
    </xf>
    <xf numFmtId="0" fontId="4" fillId="0" borderId="79" xfId="67" quotePrefix="1" applyFont="1" applyBorder="1" applyAlignment="1">
      <alignment horizontal="center" vertical="center"/>
    </xf>
    <xf numFmtId="0" fontId="4" fillId="0" borderId="45" xfId="67" applyFont="1" applyBorder="1" applyAlignment="1">
      <alignment horizontal="left" vertical="center"/>
    </xf>
    <xf numFmtId="0" fontId="4" fillId="0" borderId="44" xfId="67" applyFont="1" applyBorder="1" applyAlignment="1">
      <alignment horizontal="left" vertical="center"/>
    </xf>
    <xf numFmtId="0" fontId="4" fillId="0" borderId="72" xfId="67" applyFont="1" applyBorder="1" applyAlignment="1">
      <alignment horizontal="left" vertical="center"/>
    </xf>
    <xf numFmtId="0" fontId="4" fillId="0" borderId="71" xfId="67" applyFont="1" applyBorder="1" applyAlignment="1">
      <alignment horizontal="left" vertical="center"/>
    </xf>
    <xf numFmtId="0" fontId="4" fillId="0" borderId="99" xfId="67" applyFont="1" applyBorder="1" applyAlignment="1">
      <alignment horizontal="left" vertical="center"/>
    </xf>
    <xf numFmtId="0" fontId="4" fillId="0" borderId="79" xfId="67" applyFont="1" applyBorder="1" applyAlignment="1">
      <alignment horizontal="left" vertical="center"/>
    </xf>
    <xf numFmtId="0" fontId="4" fillId="0" borderId="56" xfId="67" quotePrefix="1" applyFont="1" applyBorder="1" applyAlignment="1">
      <alignment horizontal="center" vertical="center" textRotation="255"/>
    </xf>
    <xf numFmtId="0" fontId="2" fillId="0" borderId="46" xfId="5" applyBorder="1" applyAlignment="1">
      <alignment horizontal="center" vertical="center" textRotation="255"/>
    </xf>
    <xf numFmtId="0" fontId="4" fillId="0" borderId="57" xfId="67" applyFont="1" applyBorder="1" applyAlignment="1">
      <alignment horizontal="left" vertical="center" wrapText="1"/>
    </xf>
    <xf numFmtId="0" fontId="4" fillId="0" borderId="62" xfId="67" applyFont="1" applyBorder="1" applyAlignment="1">
      <alignment horizontal="left" vertical="center"/>
    </xf>
    <xf numFmtId="0" fontId="4" fillId="0" borderId="57" xfId="67" applyFont="1" applyBorder="1" applyAlignment="1">
      <alignment horizontal="left" vertical="center"/>
    </xf>
    <xf numFmtId="0" fontId="4" fillId="0" borderId="63" xfId="67" applyFont="1" applyBorder="1" applyAlignment="1">
      <alignment horizontal="left" vertical="center"/>
    </xf>
    <xf numFmtId="0" fontId="4" fillId="0" borderId="66" xfId="67" applyFont="1" applyBorder="1" applyAlignment="1">
      <alignment horizontal="left" vertical="center"/>
    </xf>
    <xf numFmtId="0" fontId="4" fillId="2" borderId="45" xfId="67" applyFont="1" applyFill="1" applyBorder="1" applyAlignment="1">
      <alignment horizontal="center" vertical="center"/>
    </xf>
    <xf numFmtId="0" fontId="4" fillId="2" borderId="86" xfId="67" applyFont="1" applyFill="1" applyBorder="1" applyAlignment="1">
      <alignment horizontal="center" vertical="center"/>
    </xf>
    <xf numFmtId="0" fontId="4" fillId="2" borderId="42" xfId="67" applyFont="1" applyFill="1" applyBorder="1" applyAlignment="1">
      <alignment horizontal="center" vertical="center"/>
    </xf>
    <xf numFmtId="0" fontId="4" fillId="0" borderId="63" xfId="67" applyFont="1" applyBorder="1" applyAlignment="1">
      <alignment horizontal="left" vertical="center" wrapText="1"/>
    </xf>
    <xf numFmtId="0" fontId="44" fillId="0" borderId="0" xfId="66" quotePrefix="1" applyFont="1" applyAlignment="1">
      <alignment horizontal="left" vertical="center"/>
    </xf>
    <xf numFmtId="0" fontId="44" fillId="0" borderId="0" xfId="66" applyFont="1" applyAlignment="1">
      <alignment horizontal="left" vertical="center"/>
    </xf>
    <xf numFmtId="0" fontId="4" fillId="0" borderId="93" xfId="67" applyFont="1" applyBorder="1" applyAlignment="1">
      <alignment horizontal="center"/>
    </xf>
    <xf numFmtId="0" fontId="4" fillId="0" borderId="39" xfId="67" applyFont="1" applyBorder="1" applyAlignment="1">
      <alignment horizontal="center"/>
    </xf>
    <xf numFmtId="0" fontId="4" fillId="0" borderId="94" xfId="67" applyFont="1" applyBorder="1" applyAlignment="1">
      <alignment horizontal="center"/>
    </xf>
    <xf numFmtId="0" fontId="4" fillId="2" borderId="41" xfId="67" applyFont="1" applyFill="1" applyBorder="1" applyAlignment="1">
      <alignment horizontal="center" vertical="center"/>
    </xf>
    <xf numFmtId="0" fontId="4" fillId="2" borderId="46" xfId="67" applyFont="1" applyFill="1" applyBorder="1" applyAlignment="1">
      <alignment horizontal="center" vertical="center"/>
    </xf>
    <xf numFmtId="0" fontId="4" fillId="2" borderId="43" xfId="67" applyFont="1" applyFill="1" applyBorder="1" applyAlignment="1">
      <alignment horizontal="center" vertical="center"/>
    </xf>
    <xf numFmtId="0" fontId="4" fillId="2" borderId="44" xfId="67" applyFont="1" applyFill="1" applyBorder="1" applyAlignment="1">
      <alignment horizontal="center" vertical="center"/>
    </xf>
    <xf numFmtId="0" fontId="4" fillId="2" borderId="95" xfId="67" applyFont="1" applyFill="1" applyBorder="1" applyAlignment="1">
      <alignment horizontal="center" vertical="center"/>
    </xf>
    <xf numFmtId="0" fontId="4" fillId="2" borderId="96" xfId="67" applyFont="1" applyFill="1" applyBorder="1" applyAlignment="1">
      <alignment horizontal="center" vertical="center"/>
    </xf>
    <xf numFmtId="0" fontId="4" fillId="2" borderId="97" xfId="67" applyFont="1" applyFill="1" applyBorder="1" applyAlignment="1">
      <alignment horizontal="center" vertical="center"/>
    </xf>
    <xf numFmtId="0" fontId="4" fillId="2" borderId="98" xfId="67" applyFont="1" applyFill="1" applyBorder="1" applyAlignment="1">
      <alignment horizontal="center" vertical="center"/>
    </xf>
    <xf numFmtId="0" fontId="14" fillId="2" borderId="76" xfId="69" applyFont="1" applyFill="1" applyBorder="1" applyAlignment="1">
      <alignment horizontal="center" vertical="center"/>
    </xf>
    <xf numFmtId="0" fontId="14" fillId="2" borderId="69" xfId="69" applyFont="1" applyFill="1" applyBorder="1" applyAlignment="1">
      <alignment horizontal="center" vertical="center"/>
    </xf>
    <xf numFmtId="0" fontId="14" fillId="2" borderId="77" xfId="69" applyFont="1" applyFill="1" applyBorder="1" applyAlignment="1">
      <alignment horizontal="center" vertical="center"/>
    </xf>
    <xf numFmtId="0" fontId="14" fillId="2" borderId="68" xfId="69" applyFont="1" applyFill="1" applyBorder="1" applyAlignment="1">
      <alignment horizontal="center" vertical="center"/>
    </xf>
    <xf numFmtId="0" fontId="14" fillId="2" borderId="42" xfId="69" applyFont="1" applyFill="1" applyBorder="1" applyAlignment="1">
      <alignment horizontal="center" vertical="center"/>
    </xf>
    <xf numFmtId="0" fontId="14" fillId="2" borderId="43" xfId="69" applyFont="1" applyFill="1" applyBorder="1" applyAlignment="1">
      <alignment horizontal="center" vertical="center"/>
    </xf>
    <xf numFmtId="0" fontId="14" fillId="2" borderId="12" xfId="69" applyFont="1" applyFill="1" applyBorder="1" applyAlignment="1">
      <alignment horizontal="center" vertical="center" wrapText="1"/>
    </xf>
    <xf numFmtId="0" fontId="14" fillId="2" borderId="23" xfId="69" applyFont="1" applyFill="1" applyBorder="1" applyAlignment="1">
      <alignment horizontal="center" vertical="center" wrapText="1"/>
    </xf>
    <xf numFmtId="0" fontId="14" fillId="2" borderId="17" xfId="69" applyFont="1" applyFill="1" applyBorder="1" applyAlignment="1">
      <alignment horizontal="center" vertical="center"/>
    </xf>
    <xf numFmtId="0" fontId="14" fillId="2" borderId="4" xfId="69" applyFont="1" applyFill="1" applyBorder="1" applyAlignment="1">
      <alignment horizontal="center" vertical="center"/>
    </xf>
    <xf numFmtId="0" fontId="14" fillId="2" borderId="105" xfId="69" applyFont="1" applyFill="1" applyBorder="1" applyAlignment="1">
      <alignment horizontal="center" vertical="center"/>
    </xf>
    <xf numFmtId="0" fontId="14" fillId="2" borderId="70" xfId="69" applyFont="1" applyFill="1" applyBorder="1" applyAlignment="1">
      <alignment horizontal="center" vertical="center"/>
    </xf>
    <xf numFmtId="0" fontId="14" fillId="2" borderId="21" xfId="69" applyFont="1" applyFill="1" applyBorder="1" applyAlignment="1">
      <alignment horizontal="center" vertical="center"/>
    </xf>
    <xf numFmtId="0" fontId="14" fillId="2" borderId="22" xfId="69" applyFont="1" applyFill="1" applyBorder="1" applyAlignment="1">
      <alignment horizontal="center" vertical="center"/>
    </xf>
    <xf numFmtId="0" fontId="14" fillId="2" borderId="125" xfId="69" applyFont="1" applyFill="1" applyBorder="1" applyAlignment="1">
      <alignment horizontal="center" vertical="center"/>
    </xf>
    <xf numFmtId="0" fontId="14" fillId="2" borderId="138" xfId="69" applyFont="1" applyFill="1" applyBorder="1" applyAlignment="1">
      <alignment horizontal="center" vertical="center"/>
    </xf>
    <xf numFmtId="0" fontId="14" fillId="2" borderId="117" xfId="69" applyFont="1" applyFill="1" applyBorder="1" applyAlignment="1">
      <alignment horizontal="center" vertical="center"/>
    </xf>
    <xf numFmtId="0" fontId="14" fillId="2" borderId="126" xfId="69" applyFont="1" applyFill="1" applyBorder="1" applyAlignment="1">
      <alignment horizontal="center" vertical="center"/>
    </xf>
    <xf numFmtId="0" fontId="14" fillId="2" borderId="16" xfId="69" applyFont="1" applyFill="1" applyBorder="1" applyAlignment="1">
      <alignment horizontal="center" vertical="center"/>
    </xf>
    <xf numFmtId="0" fontId="14" fillId="2" borderId="23" xfId="69" applyFont="1" applyFill="1" applyBorder="1" applyAlignment="1">
      <alignment horizontal="center" vertical="center"/>
    </xf>
    <xf numFmtId="0" fontId="14" fillId="2" borderId="136" xfId="69" applyFont="1" applyFill="1" applyBorder="1" applyAlignment="1">
      <alignment horizontal="center" vertical="center"/>
    </xf>
    <xf numFmtId="0" fontId="14" fillId="2" borderId="7" xfId="69" applyFont="1" applyFill="1" applyBorder="1" applyAlignment="1">
      <alignment horizontal="center" vertical="center"/>
    </xf>
    <xf numFmtId="0" fontId="14" fillId="2" borderId="8" xfId="69" applyFont="1" applyFill="1" applyBorder="1" applyAlignment="1">
      <alignment horizontal="center" vertical="center"/>
    </xf>
    <xf numFmtId="0" fontId="14" fillId="2" borderId="137" xfId="69" applyFont="1" applyFill="1" applyBorder="1" applyAlignment="1">
      <alignment horizontal="center" vertical="center"/>
    </xf>
    <xf numFmtId="0" fontId="14" fillId="2" borderId="139" xfId="69" applyFont="1" applyFill="1" applyBorder="1" applyAlignment="1">
      <alignment horizontal="center" vertical="center"/>
    </xf>
    <xf numFmtId="0" fontId="14" fillId="2" borderId="120" xfId="69" applyFont="1" applyFill="1" applyBorder="1" applyAlignment="1">
      <alignment horizontal="center" vertical="center"/>
    </xf>
    <xf numFmtId="0" fontId="14" fillId="2" borderId="45" xfId="69" applyFont="1" applyFill="1" applyBorder="1" applyAlignment="1">
      <alignment horizontal="center" vertical="center"/>
    </xf>
    <xf numFmtId="0" fontId="14" fillId="4" borderId="24" xfId="70" applyFont="1" applyFill="1" applyBorder="1" applyAlignment="1" applyProtection="1">
      <alignment horizontal="center" vertical="center"/>
      <protection locked="0"/>
    </xf>
    <xf numFmtId="0" fontId="1" fillId="0" borderId="129" xfId="111" applyBorder="1" applyAlignment="1" applyProtection="1">
      <alignment horizontal="center" vertical="center"/>
      <protection locked="0"/>
    </xf>
    <xf numFmtId="0" fontId="14" fillId="0" borderId="131" xfId="69" applyFont="1" applyBorder="1" applyAlignment="1" applyProtection="1">
      <alignment horizontal="center" vertical="center"/>
      <protection locked="0"/>
    </xf>
    <xf numFmtId="0" fontId="1" fillId="0" borderId="135" xfId="111" applyBorder="1" applyAlignment="1" applyProtection="1">
      <alignment horizontal="center" vertical="center"/>
      <protection locked="0"/>
    </xf>
    <xf numFmtId="0" fontId="14" fillId="0" borderId="151" xfId="69" applyFont="1" applyBorder="1" applyProtection="1">
      <alignment vertical="center"/>
      <protection locked="0"/>
    </xf>
    <xf numFmtId="0" fontId="14" fillId="0" borderId="134" xfId="69" applyFont="1" applyBorder="1" applyProtection="1">
      <alignment vertical="center"/>
      <protection locked="0"/>
    </xf>
    <xf numFmtId="0" fontId="14" fillId="0" borderId="135" xfId="69" applyFont="1" applyBorder="1" applyProtection="1">
      <alignment vertical="center"/>
      <protection locked="0"/>
    </xf>
    <xf numFmtId="0" fontId="14" fillId="4" borderId="5" xfId="70" applyFont="1" applyFill="1" applyBorder="1" applyAlignment="1" applyProtection="1">
      <alignment horizontal="center" vertical="center"/>
      <protection locked="0"/>
    </xf>
    <xf numFmtId="0" fontId="1" fillId="0" borderId="79" xfId="111" applyBorder="1" applyAlignment="1" applyProtection="1">
      <alignment horizontal="center" vertical="center"/>
      <protection locked="0"/>
    </xf>
    <xf numFmtId="0" fontId="14" fillId="4" borderId="37" xfId="70" applyFont="1" applyFill="1" applyBorder="1" applyAlignment="1" applyProtection="1">
      <alignment horizontal="left" vertical="center"/>
      <protection locked="0"/>
    </xf>
    <xf numFmtId="0" fontId="14" fillId="4" borderId="142" xfId="70" applyFont="1" applyFill="1" applyBorder="1" applyAlignment="1" applyProtection="1">
      <alignment horizontal="left" vertical="center"/>
      <protection locked="0"/>
    </xf>
    <xf numFmtId="38" fontId="11" fillId="0" borderId="131" xfId="22" applyFont="1" applyBorder="1" applyAlignment="1" applyProtection="1">
      <alignment horizontal="right" vertical="center"/>
    </xf>
    <xf numFmtId="38" fontId="11" fillId="0" borderId="134" xfId="22" applyFont="1" applyBorder="1" applyAlignment="1" applyProtection="1">
      <alignment horizontal="right" vertical="center"/>
    </xf>
    <xf numFmtId="198" fontId="11" fillId="0" borderId="131" xfId="7" applyNumberFormat="1" applyFont="1" applyBorder="1" applyAlignment="1">
      <alignment horizontal="right" vertical="center"/>
    </xf>
    <xf numFmtId="198" fontId="11" fillId="0" borderId="135" xfId="7" applyNumberFormat="1" applyFont="1" applyBorder="1" applyAlignment="1">
      <alignment horizontal="right" vertical="center"/>
    </xf>
    <xf numFmtId="0" fontId="1" fillId="0" borderId="96" xfId="111" applyBorder="1">
      <alignment vertical="center"/>
    </xf>
    <xf numFmtId="0" fontId="1" fillId="0" borderId="82" xfId="111" applyBorder="1">
      <alignment vertical="center"/>
    </xf>
    <xf numFmtId="0" fontId="1" fillId="0" borderId="71" xfId="111" applyBorder="1">
      <alignment vertical="center"/>
    </xf>
    <xf numFmtId="0" fontId="14" fillId="2" borderId="95" xfId="69" applyFont="1" applyFill="1" applyBorder="1" applyAlignment="1">
      <alignment horizontal="center" vertical="center"/>
    </xf>
    <xf numFmtId="0" fontId="14" fillId="2" borderId="92" xfId="69" applyFont="1" applyFill="1" applyBorder="1" applyAlignment="1">
      <alignment horizontal="center" vertical="center"/>
    </xf>
    <xf numFmtId="0" fontId="14" fillId="2" borderId="96" xfId="69" applyFont="1" applyFill="1" applyBorder="1" applyAlignment="1">
      <alignment horizontal="center" vertical="center"/>
    </xf>
    <xf numFmtId="0" fontId="14" fillId="2" borderId="55" xfId="69" applyFont="1" applyFill="1" applyBorder="1" applyAlignment="1">
      <alignment horizontal="center" vertical="center"/>
    </xf>
    <xf numFmtId="0" fontId="14" fillId="2" borderId="0" xfId="69" applyFont="1" applyFill="1" applyAlignment="1">
      <alignment horizontal="center" vertical="center"/>
    </xf>
    <xf numFmtId="0" fontId="14" fillId="2" borderId="82" xfId="69" applyFont="1" applyFill="1" applyBorder="1" applyAlignment="1">
      <alignment horizontal="center" vertical="center"/>
    </xf>
    <xf numFmtId="0" fontId="14" fillId="2" borderId="72" xfId="69" applyFont="1" applyFill="1" applyBorder="1" applyAlignment="1">
      <alignment horizontal="center" vertical="center"/>
    </xf>
    <xf numFmtId="0" fontId="14" fillId="2" borderId="9" xfId="69" applyFont="1" applyFill="1" applyBorder="1" applyAlignment="1">
      <alignment horizontal="center" vertical="center"/>
    </xf>
    <xf numFmtId="0" fontId="14" fillId="2" borderId="71" xfId="69" applyFont="1" applyFill="1" applyBorder="1" applyAlignment="1">
      <alignment horizontal="center" vertical="center"/>
    </xf>
    <xf numFmtId="197" fontId="11" fillId="0" borderId="131" xfId="7" applyNumberFormat="1" applyFont="1" applyBorder="1" applyAlignment="1">
      <alignment horizontal="right" vertical="center"/>
    </xf>
    <xf numFmtId="197" fontId="11" fillId="0" borderId="134" xfId="7" applyNumberFormat="1" applyFont="1" applyBorder="1" applyAlignment="1">
      <alignment horizontal="right" vertical="center"/>
    </xf>
    <xf numFmtId="198" fontId="11" fillId="0" borderId="134" xfId="7" applyNumberFormat="1" applyFont="1" applyBorder="1" applyAlignment="1">
      <alignment horizontal="right" vertical="center"/>
    </xf>
    <xf numFmtId="38" fontId="11" fillId="0" borderId="24" xfId="22" applyFont="1" applyBorder="1" applyAlignment="1" applyProtection="1">
      <alignment horizontal="right" vertical="center"/>
    </xf>
    <xf numFmtId="38" fontId="11" fillId="0" borderId="26" xfId="22" applyFont="1" applyBorder="1" applyAlignment="1" applyProtection="1">
      <alignment horizontal="right" vertical="center"/>
    </xf>
    <xf numFmtId="198" fontId="11" fillId="0" borderId="24" xfId="7" applyNumberFormat="1" applyFont="1" applyBorder="1" applyAlignment="1">
      <alignment horizontal="right" vertical="center"/>
    </xf>
    <xf numFmtId="198" fontId="11" fillId="0" borderId="129" xfId="7" applyNumberFormat="1" applyFont="1" applyBorder="1" applyAlignment="1">
      <alignment horizontal="right" vertical="center"/>
    </xf>
    <xf numFmtId="197" fontId="11" fillId="0" borderId="24" xfId="7" applyNumberFormat="1" applyFont="1" applyBorder="1" applyAlignment="1">
      <alignment horizontal="right" vertical="center"/>
    </xf>
    <xf numFmtId="197" fontId="11" fillId="0" borderId="26" xfId="7" applyNumberFormat="1" applyFont="1" applyBorder="1" applyAlignment="1">
      <alignment horizontal="right" vertical="center"/>
    </xf>
    <xf numFmtId="198" fontId="11" fillId="0" borderId="26" xfId="7" applyNumberFormat="1" applyFont="1" applyBorder="1" applyAlignment="1">
      <alignment horizontal="right" vertical="center"/>
    </xf>
    <xf numFmtId="0" fontId="64" fillId="0" borderId="86" xfId="112" applyFont="1" applyBorder="1" applyAlignment="1">
      <alignment horizontal="center" vertical="center"/>
    </xf>
    <xf numFmtId="0" fontId="64" fillId="0" borderId="44" xfId="112" applyFont="1" applyBorder="1" applyAlignment="1">
      <alignment horizontal="center" vertical="center"/>
    </xf>
    <xf numFmtId="0" fontId="14" fillId="0" borderId="17" xfId="69" applyFont="1" applyBorder="1" applyAlignment="1">
      <alignment horizontal="center" vertical="center"/>
    </xf>
    <xf numFmtId="0" fontId="14" fillId="0" borderId="19" xfId="69" applyFont="1" applyBorder="1" applyAlignment="1">
      <alignment horizontal="center" vertical="center"/>
    </xf>
    <xf numFmtId="0" fontId="14" fillId="0" borderId="62" xfId="69" applyFont="1" applyBorder="1" applyAlignment="1">
      <alignment horizontal="center" vertical="center"/>
    </xf>
    <xf numFmtId="0" fontId="14" fillId="0" borderId="57" xfId="69" applyFont="1" applyBorder="1" applyAlignment="1">
      <alignment horizontal="center" vertical="center"/>
    </xf>
    <xf numFmtId="0" fontId="14" fillId="0" borderId="4" xfId="69" applyFont="1" applyBorder="1" applyAlignment="1">
      <alignment horizontal="center" vertical="center"/>
    </xf>
    <xf numFmtId="0" fontId="14" fillId="2" borderId="86" xfId="69" applyFont="1" applyFill="1" applyBorder="1" applyAlignment="1">
      <alignment horizontal="center" vertical="center"/>
    </xf>
    <xf numFmtId="0" fontId="14" fillId="2" borderId="44" xfId="69" applyFont="1" applyFill="1" applyBorder="1" applyAlignment="1">
      <alignment horizontal="center" vertical="center"/>
    </xf>
    <xf numFmtId="0" fontId="11" fillId="8" borderId="42" xfId="7" applyFont="1" applyFill="1" applyBorder="1" applyAlignment="1">
      <alignment horizontal="center" vertical="center"/>
    </xf>
    <xf numFmtId="0" fontId="11" fillId="8" borderId="43" xfId="7" applyFont="1" applyFill="1" applyBorder="1" applyAlignment="1">
      <alignment horizontal="center" vertical="center"/>
    </xf>
    <xf numFmtId="0" fontId="11" fillId="8" borderId="44" xfId="7" applyFont="1" applyFill="1" applyBorder="1" applyAlignment="1">
      <alignment horizontal="center" vertical="center"/>
    </xf>
    <xf numFmtId="197" fontId="11" fillId="0" borderId="5" xfId="7" applyNumberFormat="1" applyFont="1" applyBorder="1" applyAlignment="1">
      <alignment horizontal="right" vertical="center"/>
    </xf>
    <xf numFmtId="197" fontId="11" fillId="0" borderId="6" xfId="7" applyNumberFormat="1" applyFont="1" applyBorder="1" applyAlignment="1">
      <alignment horizontal="right" vertical="center"/>
    </xf>
    <xf numFmtId="38" fontId="11" fillId="0" borderId="5" xfId="22" applyFont="1" applyBorder="1" applyAlignment="1" applyProtection="1">
      <alignment horizontal="right" vertical="center"/>
    </xf>
    <xf numFmtId="38" fontId="11" fillId="0" borderId="6" xfId="22" applyFont="1" applyBorder="1" applyAlignment="1" applyProtection="1">
      <alignment horizontal="right" vertical="center"/>
    </xf>
    <xf numFmtId="198" fontId="11" fillId="0" borderId="5" xfId="7" applyNumberFormat="1" applyFont="1" applyBorder="1" applyAlignment="1">
      <alignment horizontal="right" vertical="center"/>
    </xf>
    <xf numFmtId="198" fontId="11" fillId="0" borderId="6" xfId="7" applyNumberFormat="1" applyFont="1" applyBorder="1" applyAlignment="1">
      <alignment horizontal="right" vertical="center"/>
    </xf>
    <xf numFmtId="198" fontId="11" fillId="0" borderId="79" xfId="7" applyNumberFormat="1" applyFont="1" applyBorder="1" applyAlignment="1">
      <alignment horizontal="right" vertical="center"/>
    </xf>
    <xf numFmtId="0" fontId="14" fillId="0" borderId="19" xfId="69" applyFont="1" applyBorder="1" applyAlignment="1" applyProtection="1">
      <alignment horizontal="center" vertical="center" wrapText="1"/>
      <protection locked="0"/>
    </xf>
    <xf numFmtId="0" fontId="14" fillId="0" borderId="62" xfId="69" applyFont="1" applyBorder="1" applyAlignment="1" applyProtection="1">
      <alignment horizontal="center" vertical="center" wrapText="1"/>
      <protection locked="0"/>
    </xf>
    <xf numFmtId="0" fontId="14" fillId="0" borderId="49" xfId="69" applyFont="1" applyBorder="1" applyAlignment="1" applyProtection="1">
      <alignment horizontal="center" vertical="center"/>
      <protection locked="0"/>
    </xf>
    <xf numFmtId="0" fontId="14" fillId="0" borderId="48" xfId="69" applyFont="1" applyBorder="1" applyAlignment="1" applyProtection="1">
      <alignment horizontal="center" vertical="center"/>
      <protection locked="0"/>
    </xf>
    <xf numFmtId="9" fontId="14" fillId="0" borderId="124" xfId="69" applyNumberFormat="1" applyFont="1" applyBorder="1" applyAlignment="1" applyProtection="1">
      <alignment horizontal="center" vertical="center"/>
      <protection locked="0"/>
    </xf>
    <xf numFmtId="0" fontId="14" fillId="0" borderId="66" xfId="69" applyFont="1" applyBorder="1" applyAlignment="1" applyProtection="1">
      <alignment horizontal="center" vertical="center"/>
      <protection locked="0"/>
    </xf>
  </cellXfs>
  <cellStyles count="155">
    <cellStyle name="Calc Currency (0)" xfId="8" xr:uid="{00000000-0005-0000-0000-000000000000}"/>
    <cellStyle name="Grey" xfId="9" xr:uid="{00000000-0005-0000-0000-000001000000}"/>
    <cellStyle name="Header1" xfId="10" xr:uid="{00000000-0005-0000-0000-000002000000}"/>
    <cellStyle name="Header2" xfId="11" xr:uid="{00000000-0005-0000-0000-000003000000}"/>
    <cellStyle name="Input [yellow]" xfId="12" xr:uid="{00000000-0005-0000-0000-000004000000}"/>
    <cellStyle name="MainData" xfId="13" xr:uid="{00000000-0005-0000-0000-000005000000}"/>
    <cellStyle name="MajorTotal" xfId="14" xr:uid="{00000000-0005-0000-0000-000006000000}"/>
    <cellStyle name="Normal - Style1" xfId="15" xr:uid="{00000000-0005-0000-0000-000007000000}"/>
    <cellStyle name="Normal_#18-Internet" xfId="16" xr:uid="{00000000-0005-0000-0000-000008000000}"/>
    <cellStyle name="NormalOPrint_Module_E (2)" xfId="17" xr:uid="{00000000-0005-0000-0000-000009000000}"/>
    <cellStyle name="Percent [2]" xfId="18" xr:uid="{00000000-0005-0000-0000-00000A000000}"/>
    <cellStyle name="SubTotal" xfId="19" xr:uid="{00000000-0005-0000-0000-00000B000000}"/>
    <cellStyle name="w12" xfId="20" xr:uid="{00000000-0005-0000-0000-00000C000000}"/>
    <cellStyle name="パーセント 2" xfId="21" xr:uid="{00000000-0005-0000-0000-00000D000000}"/>
    <cellStyle name="桁区切り 2" xfId="22" xr:uid="{00000000-0005-0000-0000-00000E000000}"/>
    <cellStyle name="桁区切り 2 2" xfId="23" xr:uid="{00000000-0005-0000-0000-00000F000000}"/>
    <cellStyle name="通貨" xfId="1" builtinId="7"/>
    <cellStyle name="通貨 10" xfId="24" xr:uid="{00000000-0005-0000-0000-000011000000}"/>
    <cellStyle name="通貨 10 2" xfId="74" xr:uid="{00000000-0005-0000-0000-000012000000}"/>
    <cellStyle name="通貨 10 3" xfId="118" xr:uid="{00000000-0005-0000-0000-000013000000}"/>
    <cellStyle name="通貨 11" xfId="25" xr:uid="{00000000-0005-0000-0000-000014000000}"/>
    <cellStyle name="通貨 11 2" xfId="75" xr:uid="{00000000-0005-0000-0000-000015000000}"/>
    <cellStyle name="通貨 11 3" xfId="119" xr:uid="{00000000-0005-0000-0000-000016000000}"/>
    <cellStyle name="通貨 12" xfId="26" xr:uid="{00000000-0005-0000-0000-000017000000}"/>
    <cellStyle name="通貨 12 2" xfId="76" xr:uid="{00000000-0005-0000-0000-000018000000}"/>
    <cellStyle name="通貨 12 3" xfId="120" xr:uid="{00000000-0005-0000-0000-000019000000}"/>
    <cellStyle name="通貨 13" xfId="27" xr:uid="{00000000-0005-0000-0000-00001A000000}"/>
    <cellStyle name="通貨 13 2" xfId="77" xr:uid="{00000000-0005-0000-0000-00001B000000}"/>
    <cellStyle name="通貨 13 3" xfId="121" xr:uid="{00000000-0005-0000-0000-00001C000000}"/>
    <cellStyle name="通貨 14" xfId="28" xr:uid="{00000000-0005-0000-0000-00001D000000}"/>
    <cellStyle name="通貨 14 2" xfId="78" xr:uid="{00000000-0005-0000-0000-00001E000000}"/>
    <cellStyle name="通貨 14 3" xfId="122" xr:uid="{00000000-0005-0000-0000-00001F000000}"/>
    <cellStyle name="通貨 15" xfId="29" xr:uid="{00000000-0005-0000-0000-000020000000}"/>
    <cellStyle name="通貨 15 2" xfId="79" xr:uid="{00000000-0005-0000-0000-000021000000}"/>
    <cellStyle name="通貨 15 3" xfId="123" xr:uid="{00000000-0005-0000-0000-000022000000}"/>
    <cellStyle name="通貨 16" xfId="30" xr:uid="{00000000-0005-0000-0000-000023000000}"/>
    <cellStyle name="通貨 16 2" xfId="80" xr:uid="{00000000-0005-0000-0000-000024000000}"/>
    <cellStyle name="通貨 16 3" xfId="124" xr:uid="{00000000-0005-0000-0000-000025000000}"/>
    <cellStyle name="通貨 17" xfId="31" xr:uid="{00000000-0005-0000-0000-000026000000}"/>
    <cellStyle name="通貨 17 2" xfId="81" xr:uid="{00000000-0005-0000-0000-000027000000}"/>
    <cellStyle name="通貨 17 3" xfId="125" xr:uid="{00000000-0005-0000-0000-000028000000}"/>
    <cellStyle name="通貨 18" xfId="32" xr:uid="{00000000-0005-0000-0000-000029000000}"/>
    <cellStyle name="通貨 18 2" xfId="82" xr:uid="{00000000-0005-0000-0000-00002A000000}"/>
    <cellStyle name="通貨 18 3" xfId="126" xr:uid="{00000000-0005-0000-0000-00002B000000}"/>
    <cellStyle name="通貨 19" xfId="33" xr:uid="{00000000-0005-0000-0000-00002C000000}"/>
    <cellStyle name="通貨 19 2" xfId="83" xr:uid="{00000000-0005-0000-0000-00002D000000}"/>
    <cellStyle name="通貨 19 3" xfId="127" xr:uid="{00000000-0005-0000-0000-00002E000000}"/>
    <cellStyle name="通貨 2" xfId="34" xr:uid="{00000000-0005-0000-0000-00002F000000}"/>
    <cellStyle name="通貨 2 2" xfId="35" xr:uid="{00000000-0005-0000-0000-000030000000}"/>
    <cellStyle name="通貨 2 2 2" xfId="85" xr:uid="{00000000-0005-0000-0000-000031000000}"/>
    <cellStyle name="通貨 2 2 3" xfId="129" xr:uid="{00000000-0005-0000-0000-000032000000}"/>
    <cellStyle name="通貨 2 3" xfId="84" xr:uid="{00000000-0005-0000-0000-000033000000}"/>
    <cellStyle name="通貨 2 4" xfId="128" xr:uid="{00000000-0005-0000-0000-000034000000}"/>
    <cellStyle name="通貨 20" xfId="36" xr:uid="{00000000-0005-0000-0000-000035000000}"/>
    <cellStyle name="通貨 20 2" xfId="86" xr:uid="{00000000-0005-0000-0000-000036000000}"/>
    <cellStyle name="通貨 20 3" xfId="130" xr:uid="{00000000-0005-0000-0000-000037000000}"/>
    <cellStyle name="通貨 21" xfId="37" xr:uid="{00000000-0005-0000-0000-000038000000}"/>
    <cellStyle name="通貨 21 2" xfId="87" xr:uid="{00000000-0005-0000-0000-000039000000}"/>
    <cellStyle name="通貨 21 3" xfId="131" xr:uid="{00000000-0005-0000-0000-00003A000000}"/>
    <cellStyle name="通貨 22" xfId="38" xr:uid="{00000000-0005-0000-0000-00003B000000}"/>
    <cellStyle name="通貨 22 2" xfId="88" xr:uid="{00000000-0005-0000-0000-00003C000000}"/>
    <cellStyle name="通貨 22 3" xfId="132" xr:uid="{00000000-0005-0000-0000-00003D000000}"/>
    <cellStyle name="通貨 23" xfId="39" xr:uid="{00000000-0005-0000-0000-00003E000000}"/>
    <cellStyle name="通貨 23 2" xfId="89" xr:uid="{00000000-0005-0000-0000-00003F000000}"/>
    <cellStyle name="通貨 23 3" xfId="133" xr:uid="{00000000-0005-0000-0000-000040000000}"/>
    <cellStyle name="通貨 24" xfId="40" xr:uid="{00000000-0005-0000-0000-000041000000}"/>
    <cellStyle name="通貨 24 2" xfId="90" xr:uid="{00000000-0005-0000-0000-000042000000}"/>
    <cellStyle name="通貨 24 3" xfId="134" xr:uid="{00000000-0005-0000-0000-000043000000}"/>
    <cellStyle name="通貨 25" xfId="41" xr:uid="{00000000-0005-0000-0000-000044000000}"/>
    <cellStyle name="通貨 25 2" xfId="91" xr:uid="{00000000-0005-0000-0000-000045000000}"/>
    <cellStyle name="通貨 25 3" xfId="135" xr:uid="{00000000-0005-0000-0000-000046000000}"/>
    <cellStyle name="通貨 26" xfId="42" xr:uid="{00000000-0005-0000-0000-000047000000}"/>
    <cellStyle name="通貨 26 2" xfId="92" xr:uid="{00000000-0005-0000-0000-000048000000}"/>
    <cellStyle name="通貨 26 3" xfId="136" xr:uid="{00000000-0005-0000-0000-000049000000}"/>
    <cellStyle name="通貨 27" xfId="43" xr:uid="{00000000-0005-0000-0000-00004A000000}"/>
    <cellStyle name="通貨 27 2" xfId="93" xr:uid="{00000000-0005-0000-0000-00004B000000}"/>
    <cellStyle name="通貨 27 3" xfId="137" xr:uid="{00000000-0005-0000-0000-00004C000000}"/>
    <cellStyle name="通貨 28" xfId="44" xr:uid="{00000000-0005-0000-0000-00004D000000}"/>
    <cellStyle name="通貨 28 2" xfId="94" xr:uid="{00000000-0005-0000-0000-00004E000000}"/>
    <cellStyle name="通貨 28 3" xfId="138" xr:uid="{00000000-0005-0000-0000-00004F000000}"/>
    <cellStyle name="通貨 29" xfId="45" xr:uid="{00000000-0005-0000-0000-000050000000}"/>
    <cellStyle name="通貨 29 2" xfId="95" xr:uid="{00000000-0005-0000-0000-000051000000}"/>
    <cellStyle name="通貨 29 3" xfId="139" xr:uid="{00000000-0005-0000-0000-000052000000}"/>
    <cellStyle name="通貨 3" xfId="46" xr:uid="{00000000-0005-0000-0000-000053000000}"/>
    <cellStyle name="通貨 3 2" xfId="47" xr:uid="{00000000-0005-0000-0000-000054000000}"/>
    <cellStyle name="通貨 3 2 2" xfId="97" xr:uid="{00000000-0005-0000-0000-000055000000}"/>
    <cellStyle name="通貨 3 2 3" xfId="141" xr:uid="{00000000-0005-0000-0000-000056000000}"/>
    <cellStyle name="通貨 3 3" xfId="96" xr:uid="{00000000-0005-0000-0000-000057000000}"/>
    <cellStyle name="通貨 3 4" xfId="140" xr:uid="{00000000-0005-0000-0000-000058000000}"/>
    <cellStyle name="通貨 30" xfId="48" xr:uid="{00000000-0005-0000-0000-000059000000}"/>
    <cellStyle name="通貨 30 2" xfId="98" xr:uid="{00000000-0005-0000-0000-00005A000000}"/>
    <cellStyle name="通貨 30 3" xfId="142" xr:uid="{00000000-0005-0000-0000-00005B000000}"/>
    <cellStyle name="通貨 31" xfId="49" xr:uid="{00000000-0005-0000-0000-00005C000000}"/>
    <cellStyle name="通貨 31 2" xfId="99" xr:uid="{00000000-0005-0000-0000-00005D000000}"/>
    <cellStyle name="通貨 31 3" xfId="143" xr:uid="{00000000-0005-0000-0000-00005E000000}"/>
    <cellStyle name="通貨 32" xfId="50" xr:uid="{00000000-0005-0000-0000-00005F000000}"/>
    <cellStyle name="通貨 32 2" xfId="100" xr:uid="{00000000-0005-0000-0000-000060000000}"/>
    <cellStyle name="通貨 32 3" xfId="144" xr:uid="{00000000-0005-0000-0000-000061000000}"/>
    <cellStyle name="通貨 33" xfId="73" xr:uid="{00000000-0005-0000-0000-000062000000}"/>
    <cellStyle name="通貨 34" xfId="117" xr:uid="{00000000-0005-0000-0000-000063000000}"/>
    <cellStyle name="通貨 4" xfId="51" xr:uid="{00000000-0005-0000-0000-000064000000}"/>
    <cellStyle name="通貨 4 2" xfId="52" xr:uid="{00000000-0005-0000-0000-000065000000}"/>
    <cellStyle name="通貨 4 2 2" xfId="102" xr:uid="{00000000-0005-0000-0000-000066000000}"/>
    <cellStyle name="通貨 4 2 3" xfId="146" xr:uid="{00000000-0005-0000-0000-000067000000}"/>
    <cellStyle name="通貨 4 3" xfId="101" xr:uid="{00000000-0005-0000-0000-000068000000}"/>
    <cellStyle name="通貨 4 4" xfId="145" xr:uid="{00000000-0005-0000-0000-000069000000}"/>
    <cellStyle name="通貨 5" xfId="53" xr:uid="{00000000-0005-0000-0000-00006A000000}"/>
    <cellStyle name="通貨 5 2" xfId="54" xr:uid="{00000000-0005-0000-0000-00006B000000}"/>
    <cellStyle name="通貨 5 2 2" xfId="104" xr:uid="{00000000-0005-0000-0000-00006C000000}"/>
    <cellStyle name="通貨 5 2 3" xfId="148" xr:uid="{00000000-0005-0000-0000-00006D000000}"/>
    <cellStyle name="通貨 5 3" xfId="103" xr:uid="{00000000-0005-0000-0000-00006E000000}"/>
    <cellStyle name="通貨 5 4" xfId="147" xr:uid="{00000000-0005-0000-0000-00006F000000}"/>
    <cellStyle name="通貨 6" xfId="55" xr:uid="{00000000-0005-0000-0000-000070000000}"/>
    <cellStyle name="通貨 6 2" xfId="56" xr:uid="{00000000-0005-0000-0000-000071000000}"/>
    <cellStyle name="通貨 6 2 2" xfId="106" xr:uid="{00000000-0005-0000-0000-000072000000}"/>
    <cellStyle name="通貨 6 2 3" xfId="150" xr:uid="{00000000-0005-0000-0000-000073000000}"/>
    <cellStyle name="通貨 6 3" xfId="105" xr:uid="{00000000-0005-0000-0000-000074000000}"/>
    <cellStyle name="通貨 6 4" xfId="149" xr:uid="{00000000-0005-0000-0000-000075000000}"/>
    <cellStyle name="通貨 7" xfId="57" xr:uid="{00000000-0005-0000-0000-000076000000}"/>
    <cellStyle name="通貨 7 2" xfId="58" xr:uid="{00000000-0005-0000-0000-000077000000}"/>
    <cellStyle name="通貨 7 2 2" xfId="108" xr:uid="{00000000-0005-0000-0000-000078000000}"/>
    <cellStyle name="通貨 7 2 3" xfId="152" xr:uid="{00000000-0005-0000-0000-000079000000}"/>
    <cellStyle name="通貨 7 3" xfId="107" xr:uid="{00000000-0005-0000-0000-00007A000000}"/>
    <cellStyle name="通貨 7 4" xfId="151" xr:uid="{00000000-0005-0000-0000-00007B000000}"/>
    <cellStyle name="通貨 8" xfId="59" xr:uid="{00000000-0005-0000-0000-00007C000000}"/>
    <cellStyle name="通貨 8 2" xfId="109" xr:uid="{00000000-0005-0000-0000-00007D000000}"/>
    <cellStyle name="通貨 8 3" xfId="153" xr:uid="{00000000-0005-0000-0000-00007E000000}"/>
    <cellStyle name="通貨 9" xfId="60" xr:uid="{00000000-0005-0000-0000-00007F000000}"/>
    <cellStyle name="通貨 9 2" xfId="110" xr:uid="{00000000-0005-0000-0000-000080000000}"/>
    <cellStyle name="通貨 9 3" xfId="154" xr:uid="{00000000-0005-0000-0000-000081000000}"/>
    <cellStyle name="標準" xfId="0" builtinId="0"/>
    <cellStyle name="標準 2" xfId="2" xr:uid="{00000000-0005-0000-0000-000083000000}"/>
    <cellStyle name="標準 2 2" xfId="3" xr:uid="{00000000-0005-0000-0000-000084000000}"/>
    <cellStyle name="標準 2 2 2" xfId="7" xr:uid="{00000000-0005-0000-0000-000085000000}"/>
    <cellStyle name="標準 2 2 2 2" xfId="72" xr:uid="{00000000-0005-0000-0000-000086000000}"/>
    <cellStyle name="標準 2 3" xfId="4" xr:uid="{00000000-0005-0000-0000-000087000000}"/>
    <cellStyle name="標準 2 3 2" xfId="6" xr:uid="{00000000-0005-0000-0000-000088000000}"/>
    <cellStyle name="標準 3" xfId="5" xr:uid="{00000000-0005-0000-0000-000089000000}"/>
    <cellStyle name="標準 4" xfId="61" xr:uid="{00000000-0005-0000-0000-00008A000000}"/>
    <cellStyle name="標準 4 2" xfId="62" xr:uid="{00000000-0005-0000-0000-00008B000000}"/>
    <cellStyle name="標準 4 2 2" xfId="113" xr:uid="{00000000-0005-0000-0000-00008C000000}"/>
    <cellStyle name="標準 4 3" xfId="63" xr:uid="{00000000-0005-0000-0000-00008D000000}"/>
    <cellStyle name="標準 5" xfId="111" xr:uid="{00000000-0005-0000-0000-00008E000000}"/>
    <cellStyle name="標準 6" xfId="64" xr:uid="{00000000-0005-0000-0000-00008F000000}"/>
    <cellStyle name="標準 6 2" xfId="112" xr:uid="{00000000-0005-0000-0000-000090000000}"/>
    <cellStyle name="標準_（2・3号館）管理業務スケジュール表2010.06" xfId="71" xr:uid="{00000000-0005-0000-0000-000091000000}"/>
    <cellStyle name="標準_(住友ビルディング）管理業務スケジュール表2010" xfId="70" xr:uid="{00000000-0005-0000-0000-000092000000}"/>
    <cellStyle name="標準_（住友商事フカミヤ大通ビル）管理業務スケジュール表 2010 0608修正1 (2) 2" xfId="115" xr:uid="{00000000-0005-0000-0000-000093000000}"/>
    <cellStyle name="標準_（竹橋）管理業務スケジュール表2010 2" xfId="69" xr:uid="{00000000-0005-0000-0000-000094000000}"/>
    <cellStyle name="標準_（竹橋）管理業務スケジュール表2010 2 2" xfId="116" xr:uid="{00000000-0005-0000-0000-000095000000}"/>
    <cellStyle name="標準_（日通・住商神田ビル）管理業務スケジュール表2010 (2)_20107月度月次報告書　ファイナル版（フカミヤ大通） (version 1) 2" xfId="114" xr:uid="{00000000-0005-0000-0000-000096000000}"/>
    <cellStyle name="標準_00_作業予定" xfId="66" xr:uid="{00000000-0005-0000-0000-000097000000}"/>
    <cellStyle name="標準_Sheet1" xfId="67" xr:uid="{00000000-0005-0000-0000-000098000000}"/>
    <cellStyle name="標準_Sheet1 2" xfId="68" xr:uid="{00000000-0005-0000-0000-000099000000}"/>
    <cellStyle name="標準_赤坂イイヌマビル　年報（2004年度）_日通・住商神田ビル　月報（2005.12）" xfId="65" xr:uid="{00000000-0005-0000-0000-00009A000000}"/>
  </cellStyles>
  <dxfs count="2000">
    <dxf>
      <fill>
        <patternFill>
          <bgColor indexed="22"/>
        </patternFill>
      </fill>
    </dxf>
    <dxf>
      <fill>
        <patternFill>
          <bgColor rgb="FFCCFFFF"/>
        </patternFill>
      </fill>
    </dxf>
    <dxf>
      <fill>
        <patternFill>
          <bgColor theme="0" tint="-0.24994659260841701"/>
        </patternFill>
      </fill>
    </dxf>
    <dxf>
      <fill>
        <patternFill>
          <bgColor rgb="FFCCFFFF"/>
        </patternFill>
      </fill>
    </dxf>
    <dxf>
      <fill>
        <patternFill>
          <bgColor theme="0" tint="-0.24994659260841701"/>
        </patternFill>
      </fill>
    </dxf>
    <dxf>
      <fill>
        <patternFill>
          <bgColor rgb="FFCCFFFF"/>
        </patternFill>
      </fill>
    </dxf>
    <dxf>
      <fill>
        <patternFill>
          <bgColor theme="0" tint="-0.24994659260841701"/>
        </patternFill>
      </fill>
    </dxf>
    <dxf>
      <fill>
        <patternFill>
          <bgColor rgb="FFCCFFFF"/>
        </patternFill>
      </fill>
    </dxf>
    <dxf>
      <fill>
        <patternFill>
          <bgColor theme="0" tint="-0.24994659260841701"/>
        </patternFill>
      </fill>
    </dxf>
    <dxf>
      <fill>
        <patternFill>
          <bgColor indexed="22"/>
        </patternFill>
      </fill>
    </dxf>
    <dxf>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theme="0" tint="-0.24994659260841701"/>
        </patternFill>
      </fill>
    </dxf>
    <dxf>
      <font>
        <color auto="1"/>
      </font>
      <fill>
        <patternFill>
          <bgColor theme="0" tint="-0.24994659260841701"/>
        </patternFill>
      </fill>
    </dxf>
    <dxf>
      <fill>
        <patternFill>
          <bgColor theme="0" tint="-0.24994659260841701"/>
        </patternFill>
      </fill>
    </dxf>
    <dxf>
      <font>
        <color auto="1"/>
      </font>
      <fill>
        <patternFill>
          <bgColor theme="0" tint="-0.24994659260841701"/>
        </patternFill>
      </fill>
    </dxf>
    <dxf>
      <fill>
        <patternFill>
          <bgColor theme="0" tint="-0.24994659260841701"/>
        </patternFill>
      </fill>
    </dxf>
    <dxf>
      <font>
        <color auto="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auto="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auto="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CCFFFF"/>
        </patternFill>
      </fill>
    </dxf>
    <dxf>
      <fill>
        <patternFill>
          <bgColor rgb="FFCCFFFF"/>
        </patternFill>
      </fill>
    </dxf>
    <dxf>
      <fill>
        <patternFill>
          <bgColor rgb="FFCCFFFF"/>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CCFFFF"/>
        </patternFill>
      </fill>
    </dxf>
    <dxf>
      <fill>
        <patternFill>
          <bgColor rgb="FFCCFFFF"/>
        </patternFill>
      </fill>
    </dxf>
    <dxf>
      <fill>
        <patternFill>
          <bgColor theme="0" tint="-0.24994659260841701"/>
        </patternFill>
      </fill>
    </dxf>
    <dxf>
      <fill>
        <patternFill>
          <bgColor rgb="FFCCFFFF"/>
        </patternFill>
      </fill>
    </dxf>
    <dxf>
      <fill>
        <patternFill>
          <bgColor theme="0" tint="-0.24994659260841701"/>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theme="0" tint="-0.24994659260841701"/>
        </patternFill>
      </fill>
    </dxf>
    <dxf>
      <fill>
        <patternFill>
          <bgColor rgb="FFCCFFFF"/>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ndense val="0"/>
        <extend val="0"/>
        <color indexed="10"/>
      </font>
    </dxf>
    <dxf>
      <font>
        <condense val="0"/>
        <extend val="0"/>
        <color indexed="10"/>
      </font>
    </dxf>
    <dxf>
      <font>
        <condense val="0"/>
        <extend val="0"/>
        <color indexed="12"/>
      </font>
    </dxf>
    <dxf>
      <font>
        <condense val="0"/>
        <extend val="0"/>
        <color indexed="10"/>
      </font>
    </dxf>
    <dxf>
      <font>
        <condense val="0"/>
        <extend val="0"/>
        <color indexed="12"/>
      </font>
    </dxf>
    <dxf>
      <font>
        <color rgb="FF0070C0"/>
      </font>
    </dxf>
    <dxf>
      <font>
        <color rgb="FFFF0000"/>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lor rgb="FF0070C0"/>
      </font>
    </dxf>
    <dxf>
      <font>
        <color rgb="FFFF0000"/>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lor rgb="FF0070C0"/>
      </font>
    </dxf>
    <dxf>
      <font>
        <color rgb="FFFF0000"/>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lor rgb="FF0070C0"/>
      </font>
    </dxf>
    <dxf>
      <font>
        <color rgb="FFFF0000"/>
      </font>
    </dxf>
    <dxf>
      <font>
        <condense val="0"/>
        <extend val="0"/>
        <color indexed="10"/>
      </font>
    </dxf>
    <dxf>
      <font>
        <condense val="0"/>
        <extend val="0"/>
        <color indexed="12"/>
      </font>
    </dxf>
  </dxfs>
  <tableStyles count="0" defaultTableStyle="TableStyleMedium9" defaultPivotStyle="PivotStyleLight16"/>
  <colors>
    <mruColors>
      <color rgb="FF0025C0"/>
      <color rgb="FF0030FE"/>
      <color rgb="FF0C03BD"/>
      <color rgb="FFCCFFCC"/>
      <color rgb="FF0070C0"/>
      <color rgb="FF0319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openxmlformats.org/officeDocument/2006/relationships/externalLink" Target="externalLinks/externalLink12.xml"/><Relationship Id="rId3" Type="http://schemas.openxmlformats.org/officeDocument/2006/relationships/worksheet" Target="worksheets/sheet3.xml"/><Relationship Id="rId21" Type="http://schemas.openxmlformats.org/officeDocument/2006/relationships/externalLink" Target="externalLinks/externalLink7.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externalLink" Target="externalLinks/externalLink11.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externalLink" Target="externalLinks/externalLink6.xml"/><Relationship Id="rId29" Type="http://schemas.openxmlformats.org/officeDocument/2006/relationships/externalLink" Target="externalLinks/externalLink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0.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externalLink" Target="externalLinks/externalLink9.xml"/><Relationship Id="rId28" Type="http://schemas.openxmlformats.org/officeDocument/2006/relationships/externalLink" Target="externalLinks/externalLink14.xml"/><Relationship Id="rId10" Type="http://schemas.openxmlformats.org/officeDocument/2006/relationships/worksheet" Target="worksheets/sheet10.xml"/><Relationship Id="rId19" Type="http://schemas.openxmlformats.org/officeDocument/2006/relationships/externalLink" Target="externalLinks/externalLink5.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8.xml"/><Relationship Id="rId27" Type="http://schemas.openxmlformats.org/officeDocument/2006/relationships/externalLink" Target="externalLinks/externalLink13.xml"/><Relationship Id="rId30" Type="http://schemas.openxmlformats.org/officeDocument/2006/relationships/externalLink" Target="externalLinks/externalLink16.xml"/><Relationship Id="rId35"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12</xdr:col>
      <xdr:colOff>733426</xdr:colOff>
      <xdr:row>7</xdr:row>
      <xdr:rowOff>238126</xdr:rowOff>
    </xdr:from>
    <xdr:to>
      <xdr:col>18</xdr:col>
      <xdr:colOff>671905</xdr:colOff>
      <xdr:row>17</xdr:row>
      <xdr:rowOff>47625</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325226" y="1676401"/>
          <a:ext cx="3929454" cy="238124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bmsv03\10%20&#12499;&#12523;&#20107;&#26989;&#37096;\&#20491;&#20154;&#12501;&#12457;&#12523;&#12480;\T_naito\PM&#29289;&#20214;\&#65319;&#65317;&#65315;&#65330;&#29289;&#20214;\02_&#25552;&#20986;&#24115;&#31080;&#20316;&#25104;\0203&#26376;&#27425;&#25552;&#20986;&#29992;\&#20803;&#12487;&#12540;&#12479;\G-0203_&#35531;&#27714;&#12487;&#12540;&#1247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2000year\02%20&#22865;&#32004;&#26356;&#25913;\2001year\&#20445;&#23432;&#35531;&#36000;&#65288;&#24180;&#21021;&#65289;\&#20445;&#23432;&#65298;&#65296;&#65296;&#65297;.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bmnas\sbmshare\53_&#25237;&#36039;&#36939;&#29992;&#37096;\60_&#65328;&#65325;&#12524;&#12509;&#65293;&#12488;\2012&#24180;3&#26376;\1009_&#37670;&#30010;&#12499;&#12523;\1009_&#31070;&#30000;&#37670;&#30010;&#19977;&#19969;&#30446;&#12499;&#12523;&#12487;&#12451;&#12531;&#12464;_PM&#12524;&#12509;&#12540;&#12488;_2012&#24180;_3&#26376;&#20998;&#65288;5&#21942;&#26989;&#26085;&#65289;_TRAM0406.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bnkbs03\&#20849;&#26377;\&#20491;&#20154;&#12501;&#12457;&#12523;&#12480;\T_naito\PM&#29289;&#20214;\&#65319;&#65317;&#65315;&#65330;&#29289;&#20214;\02_&#25552;&#20986;&#24115;&#31080;&#20316;&#25104;\0203&#26376;&#27425;&#25552;&#20986;&#29992;\&#20803;&#12487;&#12540;&#12479;\G-0203_&#35531;&#27714;&#12487;&#12540;&#12479;.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Apljp01\Company\Acquisition\Properties\Radio%20Shack\Lender%20Relations\Refinancing%20(Second%20Attempt)\Final%20Info%20Sent%20to%20Lender\Lender%20Approved%20Annual%20Budget%20Sources%20&amp;%20Uses%20and%20Other%20Calculations%20020403.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Sv-server2003\System\NOTE_PC\pb8\kouyou\doc\&#12501;&#12449;&#12452;&#12523;&#20181;&#27096;&#26360;\&#12486;&#12540;&#12502;&#12523;&#23450;&#32681;&#26360;.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Nbnkbs03\&#20849;&#26377;\P&#12489;&#12521;&#12452;&#12502;&#65288;&#12499;&#12523;&#12510;&#12493;&#65289;\&#26412;&#31038;\&#12499;&#12523;&#12510;&#12493;\&#20107;&#21209;&#21729;\&#31649;&#29702;&#38306;&#20418;\&#65420;&#65439;&#65435;&#65418;&#65439;&#65411;&#65384;\G&#65317;\&#26376;&#27425;&#22577;&#21578;&#26360;\7&#26376;&#20998;\&#20210;&#22478;\Mito.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sbmhw-e\CacheRoot\sbmcore\sbmnas\sbmShare\&#26481;&#26085;&#26412;\160_&#12499;&#12523;&#21942;&#26989;&#31532;1&#37096;\&#31532;&#20108;&#12481;&#12540;&#12512;&#65288;&#31070;&#30000;&#65289;\00.&#12499;&#12523;&#21029;&#12487;&#12540;&#12479;\08.&#37670;&#30010;&#12499;&#12523;\&#12488;&#12483;&#12503;&#12522;&#12540;&#12488;&#22577;&#21578;&#38306;&#20418;\&#24180;&#38291;&#36939;&#29992;&#35336;&#30011;\&#20462;&#32341;&#35211;&#31309;&#12288;&#31561;\&#9313;&#65374;&#9316;&#24180;&#38291;&#36939;&#29992;&#35336;&#30011;&#28155;&#20184;&#36039;&#26009;(&#37670;)20100305.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sbmhw-e\CacheRoot\&#19981;&#21205;&#29987;&#31649;&#29702;&#37096;\04&#65328;&#65325;&#26989;&#21209;\0606%20&#36196;&#22338;&#29579;&#23376;&#12499;&#12523;\&#9670;&#65328;&#65325;&#26989;&#21209;\&#9733;1&#12288;&#36196;&#22338;&#26376;&#27425;&#12524;&#12509;&#12540;&#12488;\&#36196;&#22338;090929Correct-Ver12.9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O:\DOCUME~1\9900762\LOCALS~1\Temp\&#12304;&#25903;&#25173;&#12469;&#12531;&#12503;&#12523;&#12305;&#20837;&#21147;&#12471;&#12540;&#12488;&#65288;&#35336;&#19978;&#31185;&#30446;&#12467;&#12513;&#12531;&#12488;&#65289;080523.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sbmhw-e\CacheRoot\53_&#25237;&#36039;&#36939;&#29992;&#37096;\20_&#36939;&#29992;\80_&#29289;&#20214;&#21029;&#26908;&#35342;&#20107;&#38917;\1005_&#12501;&#12449;&#12540;&#12524;&#12452;&#12540;&#12473;&#12488;&#12499;&#12523;\&#20449;&#35351;&#12539;&#65325;&#65324;&#22865;&#32004;&#26356;&#26032;090228\&#12501;&#12449;&#12540;&#12524;&#22865;&#32004;&#26360;\4-&#9675;_&#12501;&#12449;&#12540;&#12524;&#20181;&#27096;&#21512;&#24847;&#26360;\4-2&#65288;&#21029;&#32025;1-1&#65289;_&#12304;&#65325;&#65333;&#65332;&#65314;&#12305;&#25903;&#25173;&#25351;&#22259;&#26360;&#65288;&#28040;&#36027;&#31246;&#38750;&#35336;&#19978;&#65289;&#65288;pw&#65306;top&#65289;.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sbmhw-e\CacheRoot\&#20491;&#20154;&#12501;&#12457;&#12523;&#12480;\T_naito\PM&#29289;&#20214;\&#65319;&#65317;&#65315;&#65330;&#29289;&#20214;\02_&#25552;&#20986;&#24115;&#31080;&#20316;&#25104;\0203&#26376;&#27425;&#25552;&#20986;&#29992;\&#20803;&#12487;&#12540;&#12479;\G-0203_&#35531;&#27714;&#12487;&#12540;&#12479;.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Sbmnas\sbmshare\&#26481;&#26085;&#26412;\160_&#12499;&#12523;&#21942;&#26989;&#31532;1&#37096;\&#31532;&#20108;&#12481;&#12540;&#12512;&#65288;&#31070;&#30000;&#65289;\00.&#12499;&#12523;&#21029;&#12487;&#12540;&#12479;\08.&#31070;&#30000;&#37670;&#30010;&#19977;&#19969;&#30446;&#12499;&#12523;\&#12467;&#12524;&#12463;&#12488;&#12539;&#12524;&#12531;&#12488;&#12525;&#12540;&#12523;\&#37670;&#30010;(Correct).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Nbnkbs03\&#20849;&#26377;\&#26412;&#31038;\&#12499;&#12523;&#12510;&#12493;\&#32076;&#29702;&#12481;&#12540;&#12512;\&#40434;&#25285;&#24403;\&#12288;ASK&#12288;\&#26376;&#27425;\2003\04&#26376;.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Sbmnas\sbmshare\53_&#25237;&#36039;&#36939;&#29992;&#37096;\70_&#24180;&#38291;&#36939;&#29992;&#35336;&#30011;\&#31532;13&#26399;&#65381;14&#26399;&#36939;&#29992;&#35336;&#30011;\1009_&#31070;&#30000;&#37670;&#30010;\&#12304;&#37670;&#30010;&#12305;&#24037;&#20107;&#31649;&#29702;&#34920;_13&#26399;&#65374;14&#26399;.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Nbnkbs03\&#20849;&#26377;\&#26412;&#31038;\&#12499;&#12523;&#12510;&#12493;\GE&#12539;AXA&#29289;&#20214;\&#26376;&#27425;&#22577;&#21578;&#26360;\2003&#24180;2&#26376;\&#32076;&#29702;&#32232;\&#38306;&#26481;&#30002;&#20449;\0902m&#12539;Utsunomiy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自販機手数料"/>
      <sheetName val="関内（按分後データ"/>
      <sheetName val="関内（会計データ作成シート"/>
      <sheetName val="Pibot"/>
      <sheetName val="0203月次債権"/>
      <sheetName val="0203"/>
      <sheetName val="ｴｼﾞｿﾝPibot"/>
      <sheetName val="ｴｼﾞｿﾝ自用分"/>
      <sheetName val="マスタ"/>
    </sheetNames>
    <sheetDataSet>
      <sheetData sheetId="0"/>
      <sheetData sheetId="1"/>
      <sheetData sheetId="2"/>
      <sheetData sheetId="3"/>
      <sheetData sheetId="4"/>
      <sheetData sheetId="5"/>
      <sheetData sheetId="6"/>
      <sheetData sheetId="7"/>
      <sheetData sheetId="8" refreshError="1">
        <row r="1">
          <cell r="D1" t="str">
            <v>si</v>
          </cell>
          <cell r="E1" t="str">
            <v>si_名称</v>
          </cell>
          <cell r="F1" t="str">
            <v>GECR勘定</v>
          </cell>
          <cell r="G1" t="str">
            <v>GECR分類</v>
          </cell>
          <cell r="H1" t="str">
            <v>CODE</v>
          </cell>
          <cell r="I1" t="str">
            <v>勘定名称</v>
          </cell>
          <cell r="J1" t="str">
            <v>分類名称</v>
          </cell>
          <cell r="K1" t="str">
            <v>月分Ｆ</v>
          </cell>
          <cell r="L1" t="str">
            <v>月分</v>
          </cell>
          <cell r="N1" t="str">
            <v>新ビル</v>
          </cell>
          <cell r="O1" t="str">
            <v>ＭＦＴＳ</v>
          </cell>
          <cell r="P1" t="str">
            <v>東邦NO</v>
          </cell>
          <cell r="Q1" t="str">
            <v>ビル略称</v>
          </cell>
          <cell r="R1" t="str">
            <v>gecr_NO</v>
          </cell>
          <cell r="S1" t="str">
            <v>ビル名称</v>
          </cell>
          <cell r="T1" t="str">
            <v>ｶﾅ</v>
          </cell>
          <cell r="U1" t="str">
            <v>所在</v>
          </cell>
          <cell r="V1" t="str">
            <v>住所</v>
          </cell>
          <cell r="W1" t="str">
            <v>延床面積</v>
          </cell>
          <cell r="X1" t="str">
            <v>所有者</v>
          </cell>
          <cell r="Y1" t="str">
            <v>入：番号</v>
          </cell>
          <cell r="Z1" t="str">
            <v>入：銀行</v>
          </cell>
          <cell r="AA1" t="str">
            <v>入：支店</v>
          </cell>
          <cell r="AB1" t="str">
            <v>入：種別</v>
          </cell>
          <cell r="AC1" t="str">
            <v>入：口座</v>
          </cell>
          <cell r="AD1" t="str">
            <v>出：番号</v>
          </cell>
          <cell r="AE1" t="str">
            <v>出：銀行</v>
          </cell>
          <cell r="AF1" t="str">
            <v>出：支店</v>
          </cell>
          <cell r="AG1" t="str">
            <v>出：種別</v>
          </cell>
          <cell r="AH1" t="str">
            <v>出：口座</v>
          </cell>
        </row>
        <row r="2">
          <cell r="D2" t="str">
            <v>110111</v>
          </cell>
          <cell r="E2" t="str">
            <v>賃料</v>
          </cell>
          <cell r="F2" t="str">
            <v>4100</v>
          </cell>
          <cell r="G2" t="str">
            <v>1000</v>
          </cell>
          <cell r="H2" t="str">
            <v>4100-1000</v>
          </cell>
          <cell r="I2" t="str">
            <v>賃貸収益</v>
          </cell>
          <cell r="J2" t="str">
            <v>総賃料</v>
          </cell>
          <cell r="K2">
            <v>1</v>
          </cell>
          <cell r="L2" t="str">
            <v>200204</v>
          </cell>
          <cell r="N2" t="str">
            <v>53157</v>
          </cell>
          <cell r="O2" t="str">
            <v>0386</v>
          </cell>
          <cell r="P2">
            <v>126</v>
          </cell>
          <cell r="Q2" t="str">
            <v>水戸ビル</v>
          </cell>
          <cell r="R2" t="str">
            <v>3010126</v>
          </cell>
          <cell r="S2" t="str">
            <v>水戸東邦生命ビル</v>
          </cell>
          <cell r="T2" t="str">
            <v>ﾐﾄﾄｳﾎｳｾｲﾒｲﾋﾞﾙ</v>
          </cell>
          <cell r="U2" t="str">
            <v>茨城</v>
          </cell>
          <cell r="V2" t="str">
            <v>茨城県水戸市泉町２丁目７４番</v>
          </cell>
          <cell r="W2">
            <v>2580.9</v>
          </cell>
          <cell r="X2" t="str">
            <v>Citi trust</v>
          </cell>
          <cell r="Y2" t="str">
            <v>301</v>
          </cell>
          <cell r="Z2" t="str">
            <v>さくら</v>
          </cell>
          <cell r="AA2" t="str">
            <v>東京営業部</v>
          </cell>
          <cell r="AB2" t="str">
            <v>普通</v>
          </cell>
          <cell r="AC2" t="str">
            <v>9106497</v>
          </cell>
          <cell r="AD2" t="str">
            <v>203</v>
          </cell>
          <cell r="AE2" t="str">
            <v>さくら</v>
          </cell>
          <cell r="AF2" t="str">
            <v>日本橋営業部</v>
          </cell>
          <cell r="AG2" t="str">
            <v>普通</v>
          </cell>
          <cell r="AH2" t="str">
            <v>7145566</v>
          </cell>
        </row>
        <row r="3">
          <cell r="D3" t="str">
            <v>110112</v>
          </cell>
          <cell r="E3" t="str">
            <v>変動賃料</v>
          </cell>
          <cell r="F3" t="str">
            <v>4100</v>
          </cell>
          <cell r="G3" t="str">
            <v>4000</v>
          </cell>
          <cell r="H3" t="str">
            <v>4100-4000</v>
          </cell>
          <cell r="I3" t="str">
            <v>賃貸収益</v>
          </cell>
          <cell r="J3" t="str">
            <v>仮想賃料</v>
          </cell>
          <cell r="K3">
            <v>1</v>
          </cell>
          <cell r="L3" t="str">
            <v>200204</v>
          </cell>
          <cell r="N3" t="str">
            <v>53158</v>
          </cell>
          <cell r="O3" t="str">
            <v>0399</v>
          </cell>
          <cell r="P3">
            <v>234</v>
          </cell>
          <cell r="Q3" t="str">
            <v>川崎ビル</v>
          </cell>
          <cell r="R3" t="str">
            <v>3010234</v>
          </cell>
          <cell r="S3" t="str">
            <v>川崎東邦生命ビル</v>
          </cell>
          <cell r="T3" t="str">
            <v>ｶﾜｻｷﾄｳﾎｳｾｲﾒｲﾋﾞﾙ</v>
          </cell>
          <cell r="U3" t="str">
            <v>神奈川</v>
          </cell>
          <cell r="V3" t="str">
            <v>神奈川県川崎市川崎区砂子１丁目５番１</v>
          </cell>
          <cell r="W3">
            <v>967.61</v>
          </cell>
          <cell r="X3" t="str">
            <v>Citi trust</v>
          </cell>
          <cell r="Y3" t="str">
            <v>301</v>
          </cell>
          <cell r="Z3" t="str">
            <v>さくら</v>
          </cell>
          <cell r="AA3" t="str">
            <v>東京営業部</v>
          </cell>
          <cell r="AB3" t="str">
            <v>普通</v>
          </cell>
          <cell r="AC3" t="str">
            <v>9106497</v>
          </cell>
          <cell r="AD3" t="str">
            <v>203</v>
          </cell>
          <cell r="AE3" t="str">
            <v>さくら</v>
          </cell>
          <cell r="AF3" t="str">
            <v>日本橋営業部</v>
          </cell>
          <cell r="AG3" t="str">
            <v>普通</v>
          </cell>
          <cell r="AH3" t="str">
            <v>7145566</v>
          </cell>
        </row>
        <row r="4">
          <cell r="D4" t="str">
            <v>111111</v>
          </cell>
          <cell r="E4" t="str">
            <v>共益費</v>
          </cell>
          <cell r="F4" t="str">
            <v>4300</v>
          </cell>
          <cell r="G4" t="str">
            <v>1000</v>
          </cell>
          <cell r="H4" t="str">
            <v>4300-1000</v>
          </cell>
          <cell r="I4" t="str">
            <v>原価回収収益</v>
          </cell>
          <cell r="J4" t="str">
            <v>共益費</v>
          </cell>
          <cell r="K4">
            <v>1</v>
          </cell>
          <cell r="L4" t="str">
            <v>200204</v>
          </cell>
          <cell r="N4" t="str">
            <v>53159</v>
          </cell>
          <cell r="O4" t="str">
            <v>0400</v>
          </cell>
          <cell r="P4">
            <v>237</v>
          </cell>
          <cell r="Q4" t="str">
            <v>関内ＳＴビル</v>
          </cell>
          <cell r="R4" t="str">
            <v>3010237</v>
          </cell>
          <cell r="S4" t="str">
            <v>関内ＳＴビル</v>
          </cell>
          <cell r="T4" t="str">
            <v>ｶﾝﾅｲｴｽﾃｨｰﾋﾞﾙ</v>
          </cell>
          <cell r="U4" t="str">
            <v>神奈川</v>
          </cell>
          <cell r="V4" t="str">
            <v>神奈川県横浜市中区尾上町１丁目４番１</v>
          </cell>
          <cell r="W4">
            <v>2895.75</v>
          </cell>
          <cell r="X4" t="str">
            <v>Citi trust</v>
          </cell>
          <cell r="Y4" t="str">
            <v>301</v>
          </cell>
          <cell r="Z4" t="str">
            <v>さくら</v>
          </cell>
          <cell r="AA4" t="str">
            <v>東京営業部</v>
          </cell>
          <cell r="AB4" t="str">
            <v>普通</v>
          </cell>
          <cell r="AC4" t="str">
            <v>9106497</v>
          </cell>
          <cell r="AD4" t="str">
            <v>203</v>
          </cell>
          <cell r="AE4" t="str">
            <v>さくら</v>
          </cell>
          <cell r="AF4" t="str">
            <v>日本橋営業部</v>
          </cell>
          <cell r="AG4" t="str">
            <v>普通</v>
          </cell>
          <cell r="AH4" t="str">
            <v>7145566</v>
          </cell>
        </row>
        <row r="5">
          <cell r="D5" t="str">
            <v>111112</v>
          </cell>
          <cell r="E5" t="str">
            <v>時間内空調料</v>
          </cell>
          <cell r="F5" t="str">
            <v>4300</v>
          </cell>
          <cell r="G5" t="str">
            <v>1050</v>
          </cell>
          <cell r="H5" t="str">
            <v>4300-1050</v>
          </cell>
          <cell r="I5" t="str">
            <v>原価回収収益</v>
          </cell>
          <cell r="J5" t="str">
            <v>仮想共益費</v>
          </cell>
          <cell r="K5">
            <v>1</v>
          </cell>
          <cell r="L5" t="str">
            <v>200204</v>
          </cell>
          <cell r="N5" t="str">
            <v>53160</v>
          </cell>
          <cell r="O5" t="str">
            <v>0402</v>
          </cell>
          <cell r="P5">
            <v>578</v>
          </cell>
          <cell r="Q5" t="str">
            <v>横須賀営業所</v>
          </cell>
          <cell r="R5" t="str">
            <v>3010578</v>
          </cell>
          <cell r="S5" t="str">
            <v>横須賀東邦生命ビル</v>
          </cell>
          <cell r="T5" t="str">
            <v>ﾖｺｽｶﾄｳﾎｳｾｲﾒｲﾋﾞﾙ</v>
          </cell>
          <cell r="U5" t="str">
            <v>神奈川</v>
          </cell>
          <cell r="V5" t="str">
            <v>神奈川県横須賀市米が浜通１丁目５番５</v>
          </cell>
          <cell r="W5">
            <v>1811.38</v>
          </cell>
          <cell r="X5" t="str">
            <v>Citi trust</v>
          </cell>
          <cell r="Y5" t="str">
            <v>301</v>
          </cell>
          <cell r="Z5" t="str">
            <v>さくら</v>
          </cell>
          <cell r="AA5" t="str">
            <v>東京営業部</v>
          </cell>
          <cell r="AB5" t="str">
            <v>普通</v>
          </cell>
          <cell r="AC5" t="str">
            <v>9106497</v>
          </cell>
          <cell r="AD5" t="str">
            <v>203</v>
          </cell>
          <cell r="AE5" t="str">
            <v>さくら</v>
          </cell>
          <cell r="AF5" t="str">
            <v>日本橋営業部</v>
          </cell>
          <cell r="AG5" t="str">
            <v>普通</v>
          </cell>
          <cell r="AH5" t="str">
            <v>7145566</v>
          </cell>
        </row>
        <row r="6">
          <cell r="D6" t="str">
            <v>112111</v>
          </cell>
          <cell r="E6" t="str">
            <v>駐車場使用料</v>
          </cell>
          <cell r="F6" t="str">
            <v>4200</v>
          </cell>
          <cell r="G6" t="str">
            <v>6000</v>
          </cell>
          <cell r="H6" t="str">
            <v>4200-6000</v>
          </cell>
          <cell r="I6" t="str">
            <v>その他収益</v>
          </cell>
          <cell r="J6" t="str">
            <v>駐車場収入</v>
          </cell>
          <cell r="K6">
            <v>1</v>
          </cell>
          <cell r="L6" t="str">
            <v>200204</v>
          </cell>
          <cell r="N6" t="str">
            <v>53161</v>
          </cell>
          <cell r="O6" t="str">
            <v>0384</v>
          </cell>
          <cell r="P6">
            <v>119</v>
          </cell>
          <cell r="Q6" t="str">
            <v>高崎ビル</v>
          </cell>
          <cell r="R6" t="str">
            <v>3030119</v>
          </cell>
          <cell r="S6" t="str">
            <v>高崎東邦生命ビル</v>
          </cell>
          <cell r="T6" t="str">
            <v>ﾀｶｻｷﾄｳﾎｳｾｲﾒｲﾋﾞﾙ</v>
          </cell>
          <cell r="U6" t="str">
            <v>群馬</v>
          </cell>
          <cell r="V6" t="str">
            <v>群馬県高崎市新町６７番１</v>
          </cell>
          <cell r="W6">
            <v>4593.29</v>
          </cell>
          <cell r="X6" t="str">
            <v>Edison</v>
          </cell>
          <cell r="Y6" t="str">
            <v>303</v>
          </cell>
          <cell r="Z6" t="str">
            <v>さくら</v>
          </cell>
          <cell r="AA6" t="str">
            <v>東京営業部</v>
          </cell>
          <cell r="AB6" t="str">
            <v>普通</v>
          </cell>
          <cell r="AC6" t="str">
            <v>9109364</v>
          </cell>
          <cell r="AD6" t="str">
            <v>201</v>
          </cell>
          <cell r="AE6" t="str">
            <v>さくら</v>
          </cell>
          <cell r="AF6" t="str">
            <v>日本橋営業部</v>
          </cell>
          <cell r="AG6" t="str">
            <v>普通</v>
          </cell>
          <cell r="AH6" t="str">
            <v>7145540</v>
          </cell>
        </row>
        <row r="7">
          <cell r="D7" t="str">
            <v>210103</v>
          </cell>
          <cell r="E7" t="str">
            <v>ファシリティマネジメント</v>
          </cell>
          <cell r="F7" t="str">
            <v>4200</v>
          </cell>
          <cell r="G7" t="str">
            <v>6050</v>
          </cell>
          <cell r="H7" t="str">
            <v>4200-6050</v>
          </cell>
          <cell r="I7" t="str">
            <v>その他収益</v>
          </cell>
          <cell r="J7" t="str">
            <v>仮想駐車場収入</v>
          </cell>
          <cell r="K7">
            <v>1</v>
          </cell>
          <cell r="L7" t="str">
            <v>200204</v>
          </cell>
          <cell r="N7" t="str">
            <v>53162</v>
          </cell>
          <cell r="O7" t="str">
            <v>0385</v>
          </cell>
          <cell r="P7">
            <v>120</v>
          </cell>
          <cell r="Q7" t="str">
            <v>前橋ビル</v>
          </cell>
          <cell r="R7" t="str">
            <v>3010120</v>
          </cell>
          <cell r="S7" t="str">
            <v>前橋東邦生命ビル</v>
          </cell>
          <cell r="T7" t="str">
            <v>ﾏｴﾊﾞｼﾄｳﾎｳｾｲﾒｲﾋﾞﾙ</v>
          </cell>
          <cell r="U7" t="str">
            <v>群馬</v>
          </cell>
          <cell r="V7" t="str">
            <v>群馬県前橋市本町２丁目２番１５</v>
          </cell>
          <cell r="W7">
            <v>6093.14</v>
          </cell>
          <cell r="X7" t="str">
            <v>Citi trust</v>
          </cell>
          <cell r="Y7" t="str">
            <v>301</v>
          </cell>
          <cell r="Z7" t="str">
            <v>さくら</v>
          </cell>
          <cell r="AA7" t="str">
            <v>東京営業部</v>
          </cell>
          <cell r="AB7" t="str">
            <v>普通</v>
          </cell>
          <cell r="AC7" t="str">
            <v>9106497</v>
          </cell>
          <cell r="AD7" t="str">
            <v>203</v>
          </cell>
          <cell r="AE7" t="str">
            <v>さくら</v>
          </cell>
          <cell r="AF7" t="str">
            <v>日本橋営業部</v>
          </cell>
          <cell r="AG7" t="str">
            <v>普通</v>
          </cell>
          <cell r="AH7" t="str">
            <v>7145566</v>
          </cell>
        </row>
        <row r="8">
          <cell r="D8" t="str">
            <v>112118</v>
          </cell>
          <cell r="E8" t="str">
            <v>時間貸駐車場使用料</v>
          </cell>
          <cell r="F8" t="str">
            <v>4200</v>
          </cell>
          <cell r="G8" t="str">
            <v>9000</v>
          </cell>
          <cell r="H8" t="str">
            <v>4200-9000</v>
          </cell>
          <cell r="I8" t="str">
            <v>その他収益</v>
          </cell>
          <cell r="J8" t="str">
            <v>その他の雑収入</v>
          </cell>
          <cell r="K8">
            <v>-1</v>
          </cell>
          <cell r="L8" t="str">
            <v>200202</v>
          </cell>
          <cell r="N8" t="str">
            <v>53163</v>
          </cell>
          <cell r="O8" t="str">
            <v>0390</v>
          </cell>
          <cell r="P8">
            <v>139</v>
          </cell>
          <cell r="Q8" t="str">
            <v>大宮ビル</v>
          </cell>
          <cell r="R8" t="str">
            <v>3010139</v>
          </cell>
          <cell r="S8" t="str">
            <v>大宮東邦生命ビル</v>
          </cell>
          <cell r="T8" t="str">
            <v>ｵｵﾐﾔﾄｳﾎｳｾｲﾒｲﾋﾞﾙ</v>
          </cell>
          <cell r="U8" t="str">
            <v>埼玉</v>
          </cell>
          <cell r="V8" t="str">
            <v>埼玉県大宮市宮町１丁目８６番</v>
          </cell>
          <cell r="W8">
            <v>2195.4699999999998</v>
          </cell>
          <cell r="X8" t="str">
            <v>Citi trust</v>
          </cell>
          <cell r="Y8" t="str">
            <v>301</v>
          </cell>
          <cell r="Z8" t="str">
            <v>さくら</v>
          </cell>
          <cell r="AA8" t="str">
            <v>東京営業部</v>
          </cell>
          <cell r="AB8" t="str">
            <v>普通</v>
          </cell>
          <cell r="AC8" t="str">
            <v>9106497</v>
          </cell>
          <cell r="AD8" t="str">
            <v>203</v>
          </cell>
          <cell r="AE8" t="str">
            <v>さくら</v>
          </cell>
          <cell r="AF8" t="str">
            <v>日本橋営業部</v>
          </cell>
          <cell r="AG8" t="str">
            <v>普通</v>
          </cell>
          <cell r="AH8" t="str">
            <v>7145566</v>
          </cell>
        </row>
        <row r="9">
          <cell r="D9" t="str">
            <v>112117</v>
          </cell>
          <cell r="E9" t="str">
            <v>看板掲出料</v>
          </cell>
          <cell r="F9" t="str">
            <v>4200</v>
          </cell>
          <cell r="G9" t="str">
            <v>7500</v>
          </cell>
          <cell r="H9" t="str">
            <v>4200-7500</v>
          </cell>
          <cell r="I9" t="str">
            <v>その他収益</v>
          </cell>
          <cell r="J9" t="str">
            <v>看板</v>
          </cell>
          <cell r="K9">
            <v>1</v>
          </cell>
          <cell r="L9" t="str">
            <v>200204</v>
          </cell>
          <cell r="N9" t="str">
            <v>53164</v>
          </cell>
          <cell r="O9" t="str">
            <v>0387</v>
          </cell>
          <cell r="P9">
            <v>129</v>
          </cell>
          <cell r="Q9" t="str">
            <v>船橋ビル</v>
          </cell>
          <cell r="R9" t="str">
            <v>3010129</v>
          </cell>
          <cell r="S9" t="str">
            <v>船橋東邦生命ビル</v>
          </cell>
          <cell r="T9" t="str">
            <v>ﾌﾅﾊﾞｼﾄｳﾎｳｾｲﾒｲﾋﾞﾙ</v>
          </cell>
          <cell r="U9" t="str">
            <v>千葉</v>
          </cell>
          <cell r="V9" t="str">
            <v>千葉県船橋市本町２丁目２３３７番３</v>
          </cell>
          <cell r="W9">
            <v>5942.86</v>
          </cell>
          <cell r="X9" t="str">
            <v>Citi trust</v>
          </cell>
          <cell r="Y9" t="str">
            <v>301</v>
          </cell>
          <cell r="Z9" t="str">
            <v>さくら</v>
          </cell>
          <cell r="AA9" t="str">
            <v>東京営業部</v>
          </cell>
          <cell r="AB9" t="str">
            <v>普通</v>
          </cell>
          <cell r="AC9" t="str">
            <v>9106497</v>
          </cell>
          <cell r="AD9" t="str">
            <v>203</v>
          </cell>
          <cell r="AE9" t="str">
            <v>さくら</v>
          </cell>
          <cell r="AF9" t="str">
            <v>日本橋営業部</v>
          </cell>
          <cell r="AG9" t="str">
            <v>普通</v>
          </cell>
          <cell r="AH9" t="str">
            <v>7145566</v>
          </cell>
        </row>
        <row r="10">
          <cell r="D10" t="str">
            <v>112116</v>
          </cell>
          <cell r="E10" t="str">
            <v>看板設置料</v>
          </cell>
          <cell r="F10" t="str">
            <v>4200</v>
          </cell>
          <cell r="G10" t="str">
            <v>7500</v>
          </cell>
          <cell r="H10" t="str">
            <v>4200-7500</v>
          </cell>
          <cell r="I10" t="str">
            <v>その他収益</v>
          </cell>
          <cell r="J10" t="str">
            <v>看板</v>
          </cell>
          <cell r="K10">
            <v>1</v>
          </cell>
          <cell r="L10" t="str">
            <v>200204</v>
          </cell>
          <cell r="N10" t="str">
            <v>53165</v>
          </cell>
          <cell r="O10" t="str">
            <v>0388</v>
          </cell>
          <cell r="P10">
            <v>135</v>
          </cell>
          <cell r="Q10" t="str">
            <v>松戸ビル</v>
          </cell>
          <cell r="R10" t="str">
            <v>3010135</v>
          </cell>
          <cell r="S10" t="str">
            <v>松戸東邦生命ビル</v>
          </cell>
          <cell r="T10" t="str">
            <v>ﾏﾂﾄﾞﾄｳﾎｳｾｲﾒｲﾋﾞﾙ</v>
          </cell>
          <cell r="U10" t="str">
            <v>千葉</v>
          </cell>
          <cell r="V10" t="str">
            <v>千葉県松戸市本町１４番１</v>
          </cell>
          <cell r="W10">
            <v>4238.99</v>
          </cell>
          <cell r="X10" t="str">
            <v>Citi trust</v>
          </cell>
          <cell r="Y10" t="str">
            <v>301</v>
          </cell>
          <cell r="Z10" t="str">
            <v>さくら</v>
          </cell>
          <cell r="AA10" t="str">
            <v>東京営業部</v>
          </cell>
          <cell r="AB10" t="str">
            <v>普通</v>
          </cell>
          <cell r="AC10" t="str">
            <v>9106497</v>
          </cell>
          <cell r="AD10" t="str">
            <v>203</v>
          </cell>
          <cell r="AE10" t="str">
            <v>さくら</v>
          </cell>
          <cell r="AF10" t="str">
            <v>日本橋営業部</v>
          </cell>
          <cell r="AG10" t="str">
            <v>普通</v>
          </cell>
          <cell r="AH10" t="str">
            <v>7145566</v>
          </cell>
        </row>
        <row r="11">
          <cell r="D11" t="str">
            <v>112112</v>
          </cell>
          <cell r="E11" t="str">
            <v>施設使用料</v>
          </cell>
          <cell r="F11" t="str">
            <v>4200</v>
          </cell>
          <cell r="G11" t="str">
            <v>9000</v>
          </cell>
          <cell r="H11" t="str">
            <v>4200-9000</v>
          </cell>
          <cell r="I11" t="str">
            <v>その他収益</v>
          </cell>
          <cell r="J11" t="str">
            <v>その他の雑収入</v>
          </cell>
          <cell r="K11">
            <v>1</v>
          </cell>
          <cell r="L11" t="str">
            <v>200204</v>
          </cell>
          <cell r="N11" t="str">
            <v>53166</v>
          </cell>
          <cell r="O11" t="str">
            <v>0389</v>
          </cell>
          <cell r="P11">
            <v>136</v>
          </cell>
          <cell r="Q11" t="str">
            <v>本八幡ビル</v>
          </cell>
          <cell r="R11" t="str">
            <v>3010136</v>
          </cell>
          <cell r="S11" t="str">
            <v>本八幡東邦生命ビル</v>
          </cell>
          <cell r="T11" t="str">
            <v>ﾓﾄﾔﾜﾀﾄｳﾎｳｾｲﾒｲﾋﾞﾙ</v>
          </cell>
          <cell r="U11" t="str">
            <v>千葉</v>
          </cell>
          <cell r="V11" t="str">
            <v>千葉県市川市八幡２丁目１６９２番１</v>
          </cell>
          <cell r="W11">
            <v>1044.23</v>
          </cell>
          <cell r="X11" t="str">
            <v>Citi trust</v>
          </cell>
          <cell r="Y11" t="str">
            <v>301</v>
          </cell>
          <cell r="Z11" t="str">
            <v>さくら</v>
          </cell>
          <cell r="AA11" t="str">
            <v>東京営業部</v>
          </cell>
          <cell r="AB11" t="str">
            <v>普通</v>
          </cell>
          <cell r="AC11" t="str">
            <v>9106497</v>
          </cell>
          <cell r="AD11" t="str">
            <v>203</v>
          </cell>
          <cell r="AE11" t="str">
            <v>さくら</v>
          </cell>
          <cell r="AF11" t="str">
            <v>日本橋営業部</v>
          </cell>
          <cell r="AG11" t="str">
            <v>普通</v>
          </cell>
          <cell r="AH11" t="str">
            <v>7145566</v>
          </cell>
        </row>
        <row r="12">
          <cell r="D12" t="str">
            <v>112113</v>
          </cell>
          <cell r="E12" t="str">
            <v>施設設置料</v>
          </cell>
          <cell r="F12" t="str">
            <v>4200</v>
          </cell>
          <cell r="G12" t="str">
            <v>9000</v>
          </cell>
          <cell r="H12" t="str">
            <v>4200-9000</v>
          </cell>
          <cell r="I12" t="str">
            <v>その他収益</v>
          </cell>
          <cell r="J12" t="str">
            <v>その他の雑収入</v>
          </cell>
          <cell r="K12">
            <v>1</v>
          </cell>
          <cell r="L12" t="str">
            <v>200204</v>
          </cell>
          <cell r="N12" t="str">
            <v>53167</v>
          </cell>
          <cell r="O12" t="str">
            <v>0382</v>
          </cell>
          <cell r="P12">
            <v>2</v>
          </cell>
          <cell r="Q12" t="str">
            <v>高田馬場ビル</v>
          </cell>
          <cell r="R12" t="str">
            <v>3020002</v>
          </cell>
          <cell r="S12" t="str">
            <v>高田馬場東邦生命ビル</v>
          </cell>
          <cell r="T12" t="str">
            <v>ﾀｶﾀﾉﾊﾞﾊﾞﾄｳﾎｳｾｲﾒｲﾋﾞﾙ</v>
          </cell>
          <cell r="U12" t="str">
            <v>東京</v>
          </cell>
          <cell r="V12" t="str">
            <v>東京都豊島区高田３丁目７７７番１</v>
          </cell>
          <cell r="W12">
            <v>7498</v>
          </cell>
          <cell r="X12" t="str">
            <v>安田信託</v>
          </cell>
          <cell r="Y12" t="str">
            <v>302</v>
          </cell>
          <cell r="Z12" t="str">
            <v>さくら</v>
          </cell>
          <cell r="AA12" t="str">
            <v>東京営業部</v>
          </cell>
          <cell r="AB12" t="str">
            <v>普通</v>
          </cell>
          <cell r="AC12" t="str">
            <v>9106527</v>
          </cell>
          <cell r="AD12" t="str">
            <v>202</v>
          </cell>
          <cell r="AE12" t="str">
            <v>さくら</v>
          </cell>
          <cell r="AF12" t="str">
            <v>日本橋営業部</v>
          </cell>
          <cell r="AG12" t="str">
            <v>普通</v>
          </cell>
          <cell r="AH12" t="str">
            <v>7145558</v>
          </cell>
        </row>
        <row r="13">
          <cell r="D13" t="str">
            <v>112115</v>
          </cell>
          <cell r="E13" t="str">
            <v>会議室使用料</v>
          </cell>
          <cell r="F13" t="str">
            <v>4200</v>
          </cell>
          <cell r="G13" t="str">
            <v>5000</v>
          </cell>
          <cell r="H13" t="str">
            <v>4200-5000</v>
          </cell>
          <cell r="I13" t="str">
            <v>その他収益</v>
          </cell>
          <cell r="J13" t="str">
            <v>会議室設備回収</v>
          </cell>
          <cell r="K13">
            <v>-1</v>
          </cell>
          <cell r="L13" t="str">
            <v>200202</v>
          </cell>
          <cell r="N13" t="str">
            <v>53168</v>
          </cell>
          <cell r="O13" t="str">
            <v>0391</v>
          </cell>
          <cell r="P13">
            <v>152</v>
          </cell>
          <cell r="Q13" t="str">
            <v>両国ビル</v>
          </cell>
          <cell r="R13" t="str">
            <v>3010152</v>
          </cell>
          <cell r="S13" t="str">
            <v>両国東邦生命ビル</v>
          </cell>
          <cell r="T13" t="str">
            <v>ﾘｮｳｺﾞｸﾄｳﾎｳｾｲﾒｲﾋﾞﾙ</v>
          </cell>
          <cell r="U13" t="str">
            <v>東京</v>
          </cell>
          <cell r="V13" t="str">
            <v>東京都墨田区両国１丁目４番４</v>
          </cell>
          <cell r="W13">
            <v>2094.65</v>
          </cell>
          <cell r="X13" t="str">
            <v>Citi trust</v>
          </cell>
          <cell r="Y13" t="str">
            <v>301</v>
          </cell>
          <cell r="Z13" t="str">
            <v>さくら</v>
          </cell>
          <cell r="AA13" t="str">
            <v>東京営業部</v>
          </cell>
          <cell r="AB13" t="str">
            <v>普通</v>
          </cell>
          <cell r="AC13" t="str">
            <v>9106497</v>
          </cell>
          <cell r="AD13" t="str">
            <v>203</v>
          </cell>
          <cell r="AE13" t="str">
            <v>さくら</v>
          </cell>
          <cell r="AF13" t="str">
            <v>日本橋営業部</v>
          </cell>
          <cell r="AG13" t="str">
            <v>普通</v>
          </cell>
          <cell r="AH13" t="str">
            <v>7145566</v>
          </cell>
        </row>
        <row r="14">
          <cell r="D14" t="str">
            <v>112114</v>
          </cell>
          <cell r="E14" t="str">
            <v>共用部使用料</v>
          </cell>
          <cell r="F14" t="str">
            <v>4200</v>
          </cell>
          <cell r="G14" t="str">
            <v>5000</v>
          </cell>
          <cell r="H14" t="str">
            <v>4200-5000</v>
          </cell>
          <cell r="I14" t="str">
            <v>その他収益</v>
          </cell>
          <cell r="J14" t="str">
            <v>会議室設備回収</v>
          </cell>
          <cell r="K14">
            <v>1</v>
          </cell>
          <cell r="L14" t="str">
            <v>200204</v>
          </cell>
          <cell r="N14" t="str">
            <v>53169</v>
          </cell>
          <cell r="O14" t="str">
            <v>0392</v>
          </cell>
          <cell r="P14">
            <v>159</v>
          </cell>
          <cell r="Q14" t="str">
            <v>大森ビル</v>
          </cell>
          <cell r="R14" t="str">
            <v>3010159</v>
          </cell>
          <cell r="S14" t="str">
            <v>大森東邦生命ビル</v>
          </cell>
          <cell r="T14" t="str">
            <v>ｵｵﾓﾘﾄｳﾎｳｾｲﾒｲﾋﾞﾙ</v>
          </cell>
          <cell r="U14" t="str">
            <v>東京</v>
          </cell>
          <cell r="V14" t="str">
            <v>東京都大田区大森北１丁目１３番６</v>
          </cell>
          <cell r="W14">
            <v>1075.08</v>
          </cell>
          <cell r="X14" t="str">
            <v>Citi trust</v>
          </cell>
          <cell r="Y14" t="str">
            <v>301</v>
          </cell>
          <cell r="Z14" t="str">
            <v>さくら</v>
          </cell>
          <cell r="AA14" t="str">
            <v>東京営業部</v>
          </cell>
          <cell r="AB14" t="str">
            <v>普通</v>
          </cell>
          <cell r="AC14" t="str">
            <v>9106497</v>
          </cell>
          <cell r="AD14" t="str">
            <v>203</v>
          </cell>
          <cell r="AE14" t="str">
            <v>さくら</v>
          </cell>
          <cell r="AF14" t="str">
            <v>日本橋営業部</v>
          </cell>
          <cell r="AG14" t="str">
            <v>普通</v>
          </cell>
          <cell r="AH14" t="str">
            <v>7145566</v>
          </cell>
        </row>
        <row r="15">
          <cell r="D15" t="str">
            <v>112113</v>
          </cell>
          <cell r="E15" t="str">
            <v>施設設置料</v>
          </cell>
          <cell r="F15" t="str">
            <v>4200</v>
          </cell>
          <cell r="G15" t="str">
            <v>9000</v>
          </cell>
          <cell r="H15" t="str">
            <v>4200-9000</v>
          </cell>
          <cell r="I15" t="str">
            <v>その他収益</v>
          </cell>
          <cell r="J15" t="str">
            <v>その他の雑収入</v>
          </cell>
          <cell r="K15">
            <v>1</v>
          </cell>
          <cell r="L15" t="str">
            <v>200204</v>
          </cell>
          <cell r="N15" t="str">
            <v>53170</v>
          </cell>
          <cell r="O15" t="str">
            <v>0393</v>
          </cell>
          <cell r="P15">
            <v>160</v>
          </cell>
          <cell r="Q15" t="str">
            <v>五反田ビル</v>
          </cell>
          <cell r="R15" t="str">
            <v>3010160</v>
          </cell>
          <cell r="S15" t="str">
            <v>五反田東邦生命ビル</v>
          </cell>
          <cell r="T15" t="str">
            <v>ｺﾞﾀﾝﾀﾞﾄｳﾎｳｾｲﾒｲﾋﾞﾙ</v>
          </cell>
          <cell r="U15" t="str">
            <v>東京</v>
          </cell>
          <cell r="V15" t="str">
            <v>東京都品川区東五反田１丁目４４３番３</v>
          </cell>
          <cell r="W15">
            <v>2399.7600000000002</v>
          </cell>
          <cell r="X15" t="str">
            <v>Citi trust</v>
          </cell>
          <cell r="Y15" t="str">
            <v>301</v>
          </cell>
          <cell r="Z15" t="str">
            <v>さくら</v>
          </cell>
          <cell r="AA15" t="str">
            <v>東京営業部</v>
          </cell>
          <cell r="AB15" t="str">
            <v>普通</v>
          </cell>
          <cell r="AC15" t="str">
            <v>9106497</v>
          </cell>
          <cell r="AD15" t="str">
            <v>203</v>
          </cell>
          <cell r="AE15" t="str">
            <v>さくら</v>
          </cell>
          <cell r="AF15" t="str">
            <v>日本橋営業部</v>
          </cell>
          <cell r="AG15" t="str">
            <v>普通</v>
          </cell>
          <cell r="AH15" t="str">
            <v>7145566</v>
          </cell>
        </row>
        <row r="16">
          <cell r="D16" t="str">
            <v>111115</v>
          </cell>
          <cell r="E16" t="str">
            <v>倉庫使用料</v>
          </cell>
          <cell r="F16" t="str">
            <v>4200</v>
          </cell>
          <cell r="G16" t="str">
            <v>3000</v>
          </cell>
          <cell r="H16" t="str">
            <v>4200-3000</v>
          </cell>
          <cell r="I16" t="str">
            <v>その他収益</v>
          </cell>
          <cell r="J16" t="str">
            <v>倉庫スペース賃貸料</v>
          </cell>
          <cell r="K16">
            <v>1</v>
          </cell>
          <cell r="L16" t="str">
            <v>200204</v>
          </cell>
          <cell r="N16" t="str">
            <v>53171</v>
          </cell>
          <cell r="O16" t="str">
            <v>0394</v>
          </cell>
          <cell r="P16">
            <v>161</v>
          </cell>
          <cell r="Q16" t="str">
            <v>本郷ビル</v>
          </cell>
          <cell r="R16" t="str">
            <v>3010161</v>
          </cell>
          <cell r="S16" t="str">
            <v>本郷東邦生命ビル</v>
          </cell>
          <cell r="T16" t="str">
            <v>ﾎﾝｺﾞｳﾄｳﾎｳｾｲﾒｲﾋﾞﾙ</v>
          </cell>
          <cell r="U16" t="str">
            <v>東京</v>
          </cell>
          <cell r="V16" t="str">
            <v>東京都文京区湯島２丁目２０７番３</v>
          </cell>
          <cell r="W16">
            <v>1310.08</v>
          </cell>
          <cell r="X16" t="str">
            <v>Citi trust</v>
          </cell>
          <cell r="Y16" t="str">
            <v>301</v>
          </cell>
          <cell r="Z16" t="str">
            <v>さくら</v>
          </cell>
          <cell r="AA16" t="str">
            <v>東京営業部</v>
          </cell>
          <cell r="AB16" t="str">
            <v>普通</v>
          </cell>
          <cell r="AC16" t="str">
            <v>9106497</v>
          </cell>
          <cell r="AD16" t="str">
            <v>203</v>
          </cell>
          <cell r="AE16" t="str">
            <v>さくら</v>
          </cell>
          <cell r="AF16" t="str">
            <v>日本橋営業部</v>
          </cell>
          <cell r="AG16" t="str">
            <v>普通</v>
          </cell>
          <cell r="AH16" t="str">
            <v>7145566</v>
          </cell>
        </row>
        <row r="17">
          <cell r="D17" t="str">
            <v>112112</v>
          </cell>
          <cell r="E17" t="str">
            <v>施設使用料</v>
          </cell>
          <cell r="F17" t="str">
            <v>4200</v>
          </cell>
          <cell r="G17" t="str">
            <v>9000</v>
          </cell>
          <cell r="H17" t="str">
            <v>4200-9000</v>
          </cell>
          <cell r="I17" t="str">
            <v>その他収益</v>
          </cell>
          <cell r="J17" t="str">
            <v>その他の雑収入</v>
          </cell>
          <cell r="K17">
            <v>1</v>
          </cell>
          <cell r="L17" t="str">
            <v>200204</v>
          </cell>
          <cell r="N17" t="str">
            <v>53172</v>
          </cell>
          <cell r="O17" t="str">
            <v>0395</v>
          </cell>
          <cell r="P17">
            <v>162</v>
          </cell>
          <cell r="Q17" t="str">
            <v>銀座ビル</v>
          </cell>
          <cell r="R17" t="str">
            <v>3020162</v>
          </cell>
          <cell r="S17" t="str">
            <v>銀座東邦生命ビル</v>
          </cell>
          <cell r="T17" t="str">
            <v>ｷﾞﾝｻﾞﾄｳﾎｳｾｲﾒｲﾋﾞﾙ</v>
          </cell>
          <cell r="U17" t="str">
            <v>東京</v>
          </cell>
          <cell r="V17" t="str">
            <v>東京都中央区銀座３丁目１０３番１６</v>
          </cell>
          <cell r="W17">
            <v>6912</v>
          </cell>
          <cell r="X17" t="str">
            <v>安田信託</v>
          </cell>
          <cell r="Y17" t="str">
            <v>302</v>
          </cell>
          <cell r="Z17" t="str">
            <v>さくら</v>
          </cell>
          <cell r="AA17" t="str">
            <v>東京営業部</v>
          </cell>
          <cell r="AB17" t="str">
            <v>普通</v>
          </cell>
          <cell r="AC17" t="str">
            <v>9106527</v>
          </cell>
          <cell r="AD17" t="str">
            <v>202</v>
          </cell>
          <cell r="AE17" t="str">
            <v>さくら</v>
          </cell>
          <cell r="AF17" t="str">
            <v>日本橋営業部</v>
          </cell>
          <cell r="AG17" t="str">
            <v>普通</v>
          </cell>
          <cell r="AH17" t="str">
            <v>7145558</v>
          </cell>
        </row>
        <row r="18">
          <cell r="D18" t="str">
            <v>114111</v>
          </cell>
          <cell r="E18" t="str">
            <v>電気料</v>
          </cell>
          <cell r="F18" t="str">
            <v>4300</v>
          </cell>
          <cell r="G18" t="str">
            <v>4000</v>
          </cell>
          <cell r="H18" t="str">
            <v>4300-4000</v>
          </cell>
          <cell r="I18" t="str">
            <v>原価回収収益</v>
          </cell>
          <cell r="J18" t="str">
            <v>光熱費</v>
          </cell>
          <cell r="K18">
            <v>-1</v>
          </cell>
          <cell r="L18" t="str">
            <v>200202</v>
          </cell>
          <cell r="N18" t="str">
            <v>53173</v>
          </cell>
          <cell r="O18" t="str">
            <v>0396</v>
          </cell>
          <cell r="P18">
            <v>170</v>
          </cell>
          <cell r="Q18" t="str">
            <v>目黒ビル</v>
          </cell>
          <cell r="R18" t="str">
            <v>3010170</v>
          </cell>
          <cell r="S18" t="str">
            <v>目黒東邦生命ビル</v>
          </cell>
          <cell r="T18" t="str">
            <v>ﾒｸﾞﾛﾄｳﾎｳｾｲﾒｲﾋﾞﾙ</v>
          </cell>
          <cell r="U18" t="str">
            <v>東京</v>
          </cell>
          <cell r="V18" t="str">
            <v>東京都目黒区鷹番２丁目１９２番２８</v>
          </cell>
          <cell r="W18">
            <v>636.04</v>
          </cell>
          <cell r="X18" t="str">
            <v>Citi trust</v>
          </cell>
          <cell r="Y18" t="str">
            <v>301</v>
          </cell>
          <cell r="Z18" t="str">
            <v>さくら</v>
          </cell>
          <cell r="AA18" t="str">
            <v>東京営業部</v>
          </cell>
          <cell r="AB18" t="str">
            <v>普通</v>
          </cell>
          <cell r="AC18" t="str">
            <v>9106497</v>
          </cell>
          <cell r="AD18" t="str">
            <v>203</v>
          </cell>
          <cell r="AE18" t="str">
            <v>さくら</v>
          </cell>
          <cell r="AF18" t="str">
            <v>日本橋営業部</v>
          </cell>
          <cell r="AG18" t="str">
            <v>普通</v>
          </cell>
          <cell r="AH18" t="str">
            <v>7145566</v>
          </cell>
        </row>
        <row r="19">
          <cell r="D19" t="str">
            <v>413199</v>
          </cell>
          <cell r="E19" t="str">
            <v>その他ワークオーダー収益</v>
          </cell>
          <cell r="F19" t="str">
            <v>4300</v>
          </cell>
          <cell r="G19" t="str">
            <v>4050</v>
          </cell>
          <cell r="H19" t="str">
            <v>4300-4050</v>
          </cell>
          <cell r="I19" t="str">
            <v>原価回収収益</v>
          </cell>
          <cell r="J19" t="str">
            <v>仮想光熱費</v>
          </cell>
          <cell r="K19">
            <v>-1</v>
          </cell>
          <cell r="L19" t="str">
            <v>200202</v>
          </cell>
          <cell r="N19" t="str">
            <v>53174</v>
          </cell>
          <cell r="O19" t="str">
            <v>0397</v>
          </cell>
          <cell r="P19">
            <v>178</v>
          </cell>
          <cell r="Q19" t="str">
            <v>恵比寿ビル</v>
          </cell>
          <cell r="R19" t="str">
            <v>3010178</v>
          </cell>
          <cell r="S19" t="str">
            <v>恵比寿東邦生命ビル</v>
          </cell>
          <cell r="T19" t="str">
            <v>ｴﾋﾞｽﾄｳﾎｳｾｲﾒｲﾋﾞﾙ</v>
          </cell>
          <cell r="U19" t="str">
            <v>東京</v>
          </cell>
          <cell r="V19" t="str">
            <v>東京都渋谷区恵比寿西１丁目２０番５</v>
          </cell>
          <cell r="W19">
            <v>992.42</v>
          </cell>
          <cell r="X19" t="str">
            <v>Citi trust</v>
          </cell>
          <cell r="Y19" t="str">
            <v>301</v>
          </cell>
          <cell r="Z19" t="str">
            <v>さくら</v>
          </cell>
          <cell r="AA19" t="str">
            <v>東京営業部</v>
          </cell>
          <cell r="AB19" t="str">
            <v>普通</v>
          </cell>
          <cell r="AC19" t="str">
            <v>9106497</v>
          </cell>
          <cell r="AD19" t="str">
            <v>203</v>
          </cell>
          <cell r="AE19" t="str">
            <v>さくら</v>
          </cell>
          <cell r="AF19" t="str">
            <v>日本橋営業部</v>
          </cell>
          <cell r="AG19" t="str">
            <v>普通</v>
          </cell>
          <cell r="AH19" t="str">
            <v>7145566</v>
          </cell>
        </row>
        <row r="20">
          <cell r="D20" t="str">
            <v>114112</v>
          </cell>
          <cell r="E20" t="str">
            <v>水道料</v>
          </cell>
          <cell r="F20" t="str">
            <v>4300</v>
          </cell>
          <cell r="G20" t="str">
            <v>4000</v>
          </cell>
          <cell r="H20" t="str">
            <v>4300-4000</v>
          </cell>
          <cell r="I20" t="str">
            <v>原価回収収益</v>
          </cell>
          <cell r="J20" t="str">
            <v>光熱費</v>
          </cell>
          <cell r="K20">
            <v>-1</v>
          </cell>
          <cell r="L20" t="str">
            <v>200202</v>
          </cell>
          <cell r="N20" t="str">
            <v>53175</v>
          </cell>
          <cell r="O20" t="str">
            <v>0398</v>
          </cell>
          <cell r="P20">
            <v>195</v>
          </cell>
          <cell r="Q20" t="str">
            <v>富ケ谷ビル</v>
          </cell>
          <cell r="R20" t="str">
            <v>3010195</v>
          </cell>
          <cell r="S20" t="str">
            <v>富ケ谷東邦生命ビル</v>
          </cell>
          <cell r="T20" t="str">
            <v>ﾄﾐｶﾞﾔﾄｳﾎｳｾｲﾒｲﾋﾞﾙ</v>
          </cell>
          <cell r="U20" t="str">
            <v>東京</v>
          </cell>
          <cell r="V20" t="str">
            <v>東京都渋谷区富ヶ谷１丁目１５１５－１７</v>
          </cell>
          <cell r="W20">
            <v>3106.69</v>
          </cell>
          <cell r="X20" t="str">
            <v>Citi trust</v>
          </cell>
          <cell r="Y20" t="str">
            <v>301</v>
          </cell>
          <cell r="Z20" t="str">
            <v>さくら</v>
          </cell>
          <cell r="AA20" t="str">
            <v>東京営業部</v>
          </cell>
          <cell r="AB20" t="str">
            <v>普通</v>
          </cell>
          <cell r="AC20" t="str">
            <v>9106497</v>
          </cell>
          <cell r="AD20" t="str">
            <v>203</v>
          </cell>
          <cell r="AE20" t="str">
            <v>さくら</v>
          </cell>
          <cell r="AF20" t="str">
            <v>日本橋営業部</v>
          </cell>
          <cell r="AG20" t="str">
            <v>普通</v>
          </cell>
          <cell r="AH20" t="str">
            <v>7145566</v>
          </cell>
        </row>
        <row r="21">
          <cell r="D21" t="str">
            <v>114114</v>
          </cell>
          <cell r="E21" t="str">
            <v>時間外空調料</v>
          </cell>
          <cell r="F21" t="str">
            <v>4300</v>
          </cell>
          <cell r="G21" t="str">
            <v>4000</v>
          </cell>
          <cell r="H21" t="str">
            <v>4300-9000</v>
          </cell>
          <cell r="I21" t="str">
            <v>原価回収収益</v>
          </cell>
          <cell r="J21" t="str">
            <v>その他の光熱費</v>
          </cell>
          <cell r="K21">
            <v>-1</v>
          </cell>
          <cell r="L21" t="str">
            <v>200202</v>
          </cell>
          <cell r="N21" t="str">
            <v>53176</v>
          </cell>
          <cell r="O21" t="str">
            <v>0403</v>
          </cell>
          <cell r="P21">
            <v>583</v>
          </cell>
          <cell r="Q21" t="str">
            <v>八王子ビル</v>
          </cell>
          <cell r="R21" t="str">
            <v>3030583</v>
          </cell>
          <cell r="S21" t="str">
            <v>八王子東邦生命ビル</v>
          </cell>
          <cell r="T21" t="str">
            <v>ﾊﾁｵｳｼﾞﾄｳﾎｳｾｲﾒｲﾋﾞﾙ</v>
          </cell>
          <cell r="U21" t="str">
            <v>東京</v>
          </cell>
          <cell r="V21" t="str">
            <v>東京都八王子市東町３５番７</v>
          </cell>
          <cell r="W21">
            <v>4200.59</v>
          </cell>
          <cell r="X21" t="str">
            <v>Edison</v>
          </cell>
          <cell r="Y21" t="str">
            <v>303</v>
          </cell>
          <cell r="Z21" t="str">
            <v>さくら</v>
          </cell>
          <cell r="AA21" t="str">
            <v>東京営業部</v>
          </cell>
          <cell r="AB21" t="str">
            <v>普通</v>
          </cell>
          <cell r="AC21" t="str">
            <v>9109364</v>
          </cell>
          <cell r="AD21" t="str">
            <v>201</v>
          </cell>
          <cell r="AE21" t="str">
            <v>さくら</v>
          </cell>
          <cell r="AF21" t="str">
            <v>日本橋営業部</v>
          </cell>
          <cell r="AG21" t="str">
            <v>普通</v>
          </cell>
          <cell r="AH21" t="str">
            <v>7145540</v>
          </cell>
        </row>
        <row r="22">
          <cell r="D22" t="str">
            <v>119916</v>
          </cell>
          <cell r="E22" t="str">
            <v>自動販売機収入</v>
          </cell>
          <cell r="F22" t="str">
            <v>4200</v>
          </cell>
          <cell r="G22" t="str">
            <v>2500</v>
          </cell>
          <cell r="H22" t="str">
            <v>4200-2500</v>
          </cell>
          <cell r="I22" t="str">
            <v>その他収益</v>
          </cell>
          <cell r="J22" t="str">
            <v>自動販売機収入</v>
          </cell>
          <cell r="K22">
            <v>-1</v>
          </cell>
          <cell r="L22" t="str">
            <v>200202</v>
          </cell>
          <cell r="N22" t="str">
            <v>53177</v>
          </cell>
          <cell r="O22" t="str">
            <v>0404</v>
          </cell>
          <cell r="P22">
            <v>9002</v>
          </cell>
          <cell r="Q22" t="str">
            <v>渋谷第2ビル</v>
          </cell>
          <cell r="R22" t="str">
            <v>3029002</v>
          </cell>
          <cell r="S22" t="str">
            <v>渋谷第2東邦生命ビル</v>
          </cell>
          <cell r="T22" t="str">
            <v>ｼﾌﾞﾔﾀﾞｲﾆﾄｳﾎｳｾｲﾒｲﾋﾞﾙ</v>
          </cell>
          <cell r="U22" t="str">
            <v>東京</v>
          </cell>
          <cell r="V22" t="str">
            <v>東京都渋谷区渋谷３丁目５番地１６</v>
          </cell>
          <cell r="W22">
            <v>3679</v>
          </cell>
          <cell r="X22" t="str">
            <v>安田信託</v>
          </cell>
          <cell r="Y22" t="str">
            <v>302</v>
          </cell>
          <cell r="Z22" t="str">
            <v>さくら</v>
          </cell>
          <cell r="AA22" t="str">
            <v>東京営業部</v>
          </cell>
          <cell r="AB22" t="str">
            <v>普通</v>
          </cell>
          <cell r="AC22" t="str">
            <v>9106527</v>
          </cell>
          <cell r="AD22" t="str">
            <v>202</v>
          </cell>
          <cell r="AE22" t="str">
            <v>さくら</v>
          </cell>
          <cell r="AF22" t="str">
            <v>日本橋営業部</v>
          </cell>
          <cell r="AG22" t="str">
            <v>普通</v>
          </cell>
          <cell r="AH22" t="str">
            <v>7145558</v>
          </cell>
        </row>
        <row r="23">
          <cell r="D23" t="str">
            <v>119911</v>
          </cell>
          <cell r="E23" t="str">
            <v>物品販売代金</v>
          </cell>
          <cell r="F23" t="str">
            <v>4200</v>
          </cell>
          <cell r="G23" t="str">
            <v>2500</v>
          </cell>
          <cell r="H23" t="str">
            <v>4200-2500</v>
          </cell>
          <cell r="I23" t="str">
            <v>その他収益</v>
          </cell>
          <cell r="J23" t="str">
            <v>自動販売機収入</v>
          </cell>
          <cell r="K23">
            <v>-1</v>
          </cell>
          <cell r="L23" t="str">
            <v>200202</v>
          </cell>
          <cell r="N23" t="str">
            <v>53178</v>
          </cell>
          <cell r="O23" t="str">
            <v>0405</v>
          </cell>
          <cell r="P23">
            <v>9038</v>
          </cell>
          <cell r="Q23" t="str">
            <v>四谷ビル</v>
          </cell>
          <cell r="R23" t="str">
            <v>3039038</v>
          </cell>
          <cell r="S23" t="str">
            <v>四谷東邦生命ビル</v>
          </cell>
          <cell r="T23" t="str">
            <v>ﾖﾂﾔﾄｳﾎｳｾｲﾒｲﾋﾞﾙ</v>
          </cell>
          <cell r="U23" t="str">
            <v>東京</v>
          </cell>
          <cell r="V23" t="str">
            <v>東京都新宿区四谷１丁目１８－６</v>
          </cell>
          <cell r="W23">
            <v>915.55</v>
          </cell>
          <cell r="X23" t="str">
            <v>Edison</v>
          </cell>
          <cell r="Y23" t="str">
            <v>303</v>
          </cell>
          <cell r="Z23" t="str">
            <v>さくら</v>
          </cell>
          <cell r="AA23" t="str">
            <v>東京営業部</v>
          </cell>
          <cell r="AB23" t="str">
            <v>普通</v>
          </cell>
          <cell r="AC23" t="str">
            <v>9109364</v>
          </cell>
          <cell r="AD23" t="str">
            <v>201</v>
          </cell>
          <cell r="AE23" t="str">
            <v>さくら</v>
          </cell>
          <cell r="AF23" t="str">
            <v>日本橋営業部</v>
          </cell>
          <cell r="AG23" t="str">
            <v>普通</v>
          </cell>
          <cell r="AH23" t="str">
            <v>7145540</v>
          </cell>
        </row>
        <row r="24">
          <cell r="D24" t="str">
            <v>119917</v>
          </cell>
          <cell r="E24" t="str">
            <v>販売促進費</v>
          </cell>
          <cell r="F24" t="str">
            <v>4200</v>
          </cell>
          <cell r="G24" t="str">
            <v>5500</v>
          </cell>
          <cell r="H24" t="str">
            <v>4200-5500</v>
          </cell>
          <cell r="I24" t="str">
            <v>その他収益</v>
          </cell>
          <cell r="J24" t="str">
            <v>電話収入</v>
          </cell>
          <cell r="K24">
            <v>-1</v>
          </cell>
          <cell r="L24" t="str">
            <v>200202</v>
          </cell>
          <cell r="N24" t="str">
            <v>53179</v>
          </cell>
          <cell r="O24" t="str">
            <v>0383</v>
          </cell>
          <cell r="P24">
            <v>113</v>
          </cell>
          <cell r="Q24" t="str">
            <v>宇都宮第二ビル</v>
          </cell>
          <cell r="R24" t="str">
            <v>3010113</v>
          </cell>
          <cell r="S24" t="str">
            <v>宇都宮第二東邦生命ビル</v>
          </cell>
          <cell r="T24" t="str">
            <v>ｳﾂﾉﾐﾔﾀﾞｲﾆﾄｳﾎｳｾﾒｲﾋﾞﾙ</v>
          </cell>
          <cell r="U24" t="str">
            <v>栃木</v>
          </cell>
          <cell r="V24" t="str">
            <v>栃木県宇都宮市大通り４丁目１－３４</v>
          </cell>
          <cell r="W24">
            <v>4039.09</v>
          </cell>
          <cell r="X24" t="str">
            <v>Citi trust</v>
          </cell>
          <cell r="Y24" t="str">
            <v>301</v>
          </cell>
          <cell r="Z24" t="str">
            <v>さくら</v>
          </cell>
          <cell r="AA24" t="str">
            <v>東京営業部</v>
          </cell>
          <cell r="AB24" t="str">
            <v>普通</v>
          </cell>
          <cell r="AC24" t="str">
            <v>9106497</v>
          </cell>
          <cell r="AD24" t="str">
            <v>203</v>
          </cell>
          <cell r="AE24" t="str">
            <v>さくら</v>
          </cell>
          <cell r="AF24" t="str">
            <v>日本橋営業部</v>
          </cell>
          <cell r="AG24" t="str">
            <v>普通</v>
          </cell>
          <cell r="AH24" t="str">
            <v>7145566</v>
          </cell>
        </row>
        <row r="25">
          <cell r="D25" t="str">
            <v>119999</v>
          </cell>
          <cell r="E25" t="str">
            <v>その他の賃貸収益</v>
          </cell>
          <cell r="F25" t="str">
            <v>4200</v>
          </cell>
          <cell r="G25" t="str">
            <v>9000</v>
          </cell>
          <cell r="H25" t="str">
            <v>4200-9000</v>
          </cell>
          <cell r="I25" t="str">
            <v>その他収益</v>
          </cell>
          <cell r="J25" t="str">
            <v>その他の雑収入</v>
          </cell>
          <cell r="K25">
            <v>-1</v>
          </cell>
          <cell r="L25" t="str">
            <v>200202</v>
          </cell>
          <cell r="N25" t="str">
            <v>53180</v>
          </cell>
          <cell r="O25" t="str">
            <v>0401</v>
          </cell>
          <cell r="P25">
            <v>260</v>
          </cell>
          <cell r="Q25" t="str">
            <v>新潟ビル</v>
          </cell>
          <cell r="R25" t="str">
            <v>3010260</v>
          </cell>
          <cell r="S25" t="str">
            <v>新潟東邦生命ビル</v>
          </cell>
          <cell r="T25" t="str">
            <v>ﾆｲｶﾞﾀﾄｳﾎｳｾｲﾒｲﾋﾞﾙ</v>
          </cell>
          <cell r="U25" t="str">
            <v>新潟</v>
          </cell>
          <cell r="V25" t="str">
            <v>新潟県新潟市花町２０６９番</v>
          </cell>
          <cell r="W25">
            <v>4441.62</v>
          </cell>
          <cell r="X25" t="str">
            <v>Citi trust</v>
          </cell>
          <cell r="Y25" t="str">
            <v>301</v>
          </cell>
          <cell r="Z25" t="str">
            <v>さくら</v>
          </cell>
          <cell r="AA25" t="str">
            <v>東京営業部</v>
          </cell>
          <cell r="AB25" t="str">
            <v>普通</v>
          </cell>
          <cell r="AC25" t="str">
            <v>9106497</v>
          </cell>
          <cell r="AD25" t="str">
            <v>203</v>
          </cell>
          <cell r="AE25" t="str">
            <v>さくら</v>
          </cell>
          <cell r="AF25" t="str">
            <v>日本橋営業部</v>
          </cell>
          <cell r="AG25" t="str">
            <v>普通</v>
          </cell>
          <cell r="AH25" t="str">
            <v>7145566</v>
          </cell>
        </row>
        <row r="26">
          <cell r="D26" t="str">
            <v>190111</v>
          </cell>
          <cell r="E26" t="str">
            <v>預り敷金（貸室）</v>
          </cell>
          <cell r="F26" t="str">
            <v>2400</v>
          </cell>
          <cell r="G26" t="str">
            <v>1000</v>
          </cell>
          <cell r="H26" t="str">
            <v>2400-1000</v>
          </cell>
          <cell r="I26" t="str">
            <v>流動負債</v>
          </cell>
          <cell r="J26" t="str">
            <v>敷金、テナント保証敷金</v>
          </cell>
          <cell r="K26">
            <v>0</v>
          </cell>
          <cell r="L26" t="str">
            <v>200203</v>
          </cell>
        </row>
        <row r="27">
          <cell r="D27" t="str">
            <v>190112</v>
          </cell>
          <cell r="E27" t="str">
            <v>預り敷金（駐車場）</v>
          </cell>
          <cell r="F27" t="str">
            <v>2400</v>
          </cell>
          <cell r="G27" t="str">
            <v>1000</v>
          </cell>
          <cell r="H27" t="str">
            <v>2400-1000</v>
          </cell>
          <cell r="I27" t="str">
            <v>流動負債</v>
          </cell>
          <cell r="J27" t="str">
            <v>敷金、テナント保証敷金</v>
          </cell>
          <cell r="K27">
            <v>0</v>
          </cell>
          <cell r="L27" t="str">
            <v>200203</v>
          </cell>
        </row>
        <row r="28">
          <cell r="D28" t="str">
            <v>119915</v>
          </cell>
          <cell r="E28" t="str">
            <v>損害金</v>
          </cell>
          <cell r="F28" t="str">
            <v>4200</v>
          </cell>
          <cell r="G28" t="str">
            <v>2000</v>
          </cell>
          <cell r="H28" t="str">
            <v>4200-2000</v>
          </cell>
          <cell r="I28" t="str">
            <v>その他非課税収益</v>
          </cell>
          <cell r="J28" t="str">
            <v>違約金</v>
          </cell>
          <cell r="K28">
            <v>0</v>
          </cell>
          <cell r="L28" t="str">
            <v>200203</v>
          </cell>
        </row>
        <row r="29">
          <cell r="D29" t="str">
            <v>911111</v>
          </cell>
          <cell r="E29" t="str">
            <v>受取利息</v>
          </cell>
          <cell r="F29" t="str">
            <v>4650</v>
          </cell>
          <cell r="G29" t="str">
            <v>0000</v>
          </cell>
          <cell r="H29" t="str">
            <v>4650-0000</v>
          </cell>
          <cell r="I29" t="str">
            <v>その他非課税収益</v>
          </cell>
          <cell r="J29" t="str">
            <v>預金利息</v>
          </cell>
          <cell r="K29">
            <v>0</v>
          </cell>
          <cell r="L29" t="str">
            <v>200203</v>
          </cell>
        </row>
        <row r="30">
          <cell r="F30" t="str">
            <v>2000</v>
          </cell>
          <cell r="G30" t="str">
            <v>4000</v>
          </cell>
          <cell r="H30" t="str">
            <v>2000-4000</v>
          </cell>
          <cell r="I30" t="str">
            <v>流動負債</v>
          </cell>
          <cell r="J30" t="str">
            <v>借受消費税</v>
          </cell>
          <cell r="K30">
            <v>0</v>
          </cell>
          <cell r="L30" t="str">
            <v>200203</v>
          </cell>
        </row>
        <row r="31">
          <cell r="L31" t="str">
            <v>200203</v>
          </cell>
        </row>
        <row r="32">
          <cell r="L32" t="str">
            <v>200203</v>
          </cell>
        </row>
        <row r="33">
          <cell r="L33" t="str">
            <v>200203</v>
          </cell>
        </row>
        <row r="34">
          <cell r="L34" t="str">
            <v>200203</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3"/>
      <sheetName val="入力"/>
      <sheetName val="印刷"/>
      <sheetName val="ﾋﾞﾙ"/>
    </sheetNames>
    <sheetDataSet>
      <sheetData sheetId="0" refreshError="1"/>
      <sheetData sheetId="1" refreshError="1">
        <row r="1">
          <cell r="B1" t="str">
            <v>検索</v>
          </cell>
          <cell r="C1" t="str">
            <v>ﾋﾞﾙ</v>
          </cell>
          <cell r="D1" t="str">
            <v>連番</v>
          </cell>
          <cell r="F1" t="str">
            <v>ビル名</v>
          </cell>
          <cell r="G1" t="str">
            <v>項目</v>
          </cell>
          <cell r="H1" t="str">
            <v>業者名</v>
          </cell>
          <cell r="I1" t="str">
            <v>委託</v>
          </cell>
          <cell r="J1" t="str">
            <v>受託</v>
          </cell>
          <cell r="K1" t="str">
            <v>回</v>
          </cell>
          <cell r="L1">
            <v>1</v>
          </cell>
          <cell r="M1">
            <v>2</v>
          </cell>
          <cell r="N1">
            <v>3</v>
          </cell>
          <cell r="O1">
            <v>4</v>
          </cell>
          <cell r="P1">
            <v>5</v>
          </cell>
          <cell r="Q1">
            <v>6</v>
          </cell>
          <cell r="R1">
            <v>7</v>
          </cell>
          <cell r="S1">
            <v>8</v>
          </cell>
          <cell r="T1">
            <v>9</v>
          </cell>
          <cell r="U1">
            <v>10</v>
          </cell>
          <cell r="V1">
            <v>11</v>
          </cell>
          <cell r="W1">
            <v>12</v>
          </cell>
          <cell r="X1" t="str">
            <v>④</v>
          </cell>
          <cell r="Y1" t="str">
            <v>⑤</v>
          </cell>
          <cell r="Z1" t="str">
            <v>⑥</v>
          </cell>
          <cell r="AA1" t="str">
            <v>⑦</v>
          </cell>
          <cell r="AB1" t="str">
            <v>⑧</v>
          </cell>
          <cell r="AC1" t="str">
            <v>⑨</v>
          </cell>
          <cell r="AD1" t="str">
            <v>⑩</v>
          </cell>
          <cell r="AE1" t="str">
            <v>⑪</v>
          </cell>
          <cell r="AF1" t="str">
            <v>⑫</v>
          </cell>
          <cell r="AG1" t="str">
            <v>①</v>
          </cell>
          <cell r="AH1" t="str">
            <v>②</v>
          </cell>
          <cell r="AI1" t="str">
            <v>③</v>
          </cell>
        </row>
        <row r="2">
          <cell r="B2">
            <v>101</v>
          </cell>
          <cell r="C2">
            <v>1</v>
          </cell>
          <cell r="D2">
            <v>1</v>
          </cell>
          <cell r="F2" t="str">
            <v>札幌</v>
          </cell>
          <cell r="G2" t="str">
            <v>二段式駐車装置設備保守</v>
          </cell>
          <cell r="H2" t="str">
            <v>石川島運搬機械</v>
          </cell>
          <cell r="I2">
            <v>57648</v>
          </cell>
          <cell r="J2">
            <v>58800</v>
          </cell>
          <cell r="K2">
            <v>12</v>
          </cell>
          <cell r="L2">
            <v>58800</v>
          </cell>
          <cell r="M2">
            <v>58800</v>
          </cell>
          <cell r="N2">
            <v>58800</v>
          </cell>
          <cell r="O2">
            <v>58800</v>
          </cell>
          <cell r="P2">
            <v>58800</v>
          </cell>
          <cell r="Q2">
            <v>58800</v>
          </cell>
          <cell r="R2">
            <v>58800</v>
          </cell>
          <cell r="S2">
            <v>58800</v>
          </cell>
          <cell r="T2">
            <v>58800</v>
          </cell>
          <cell r="U2">
            <v>58800</v>
          </cell>
          <cell r="V2">
            <v>58800</v>
          </cell>
          <cell r="W2">
            <v>58800</v>
          </cell>
          <cell r="X2" t="str">
            <v>④</v>
          </cell>
          <cell r="Y2" t="str">
            <v>⑤</v>
          </cell>
          <cell r="Z2" t="str">
            <v>⑥</v>
          </cell>
          <cell r="AA2" t="str">
            <v>⑦</v>
          </cell>
          <cell r="AB2" t="str">
            <v>⑧</v>
          </cell>
          <cell r="AC2" t="str">
            <v>⑨</v>
          </cell>
          <cell r="AD2" t="str">
            <v>⑩</v>
          </cell>
          <cell r="AE2" t="str">
            <v>⑪</v>
          </cell>
          <cell r="AF2" t="str">
            <v>⑫</v>
          </cell>
          <cell r="AG2" t="str">
            <v>①</v>
          </cell>
          <cell r="AH2" t="str">
            <v>②</v>
          </cell>
          <cell r="AI2" t="str">
            <v>③</v>
          </cell>
        </row>
        <row r="3">
          <cell r="B3">
            <v>102</v>
          </cell>
          <cell r="C3">
            <v>1</v>
          </cell>
          <cell r="D3">
            <v>2</v>
          </cell>
          <cell r="F3" t="str">
            <v>札幌</v>
          </cell>
          <cell r="G3" t="str">
            <v>スライドパーク設備保守</v>
          </cell>
          <cell r="H3" t="str">
            <v>三菱重工ﾊﾟｰｷﾝｸﾞ建設</v>
          </cell>
          <cell r="I3">
            <v>136000</v>
          </cell>
          <cell r="J3">
            <v>138720</v>
          </cell>
          <cell r="K3">
            <v>12</v>
          </cell>
          <cell r="L3">
            <v>138720</v>
          </cell>
          <cell r="M3">
            <v>138720</v>
          </cell>
          <cell r="N3">
            <v>138720</v>
          </cell>
          <cell r="O3">
            <v>138720</v>
          </cell>
          <cell r="P3">
            <v>138720</v>
          </cell>
          <cell r="Q3">
            <v>138720</v>
          </cell>
          <cell r="R3">
            <v>138720</v>
          </cell>
          <cell r="S3">
            <v>138720</v>
          </cell>
          <cell r="T3">
            <v>138720</v>
          </cell>
          <cell r="U3">
            <v>138720</v>
          </cell>
          <cell r="V3">
            <v>138720</v>
          </cell>
          <cell r="W3">
            <v>138720</v>
          </cell>
          <cell r="X3" t="str">
            <v>④</v>
          </cell>
          <cell r="Y3" t="str">
            <v>⑤</v>
          </cell>
          <cell r="Z3" t="str">
            <v>⑥</v>
          </cell>
          <cell r="AA3" t="str">
            <v>⑦</v>
          </cell>
          <cell r="AB3" t="str">
            <v>⑧</v>
          </cell>
          <cell r="AC3" t="str">
            <v>⑨</v>
          </cell>
          <cell r="AD3" t="str">
            <v>⑩</v>
          </cell>
          <cell r="AE3" t="str">
            <v>⑪</v>
          </cell>
          <cell r="AF3" t="str">
            <v>⑫</v>
          </cell>
          <cell r="AG3" t="str">
            <v>①</v>
          </cell>
          <cell r="AH3" t="str">
            <v>②</v>
          </cell>
          <cell r="AI3" t="str">
            <v>③</v>
          </cell>
        </row>
        <row r="4">
          <cell r="B4">
            <v>103</v>
          </cell>
          <cell r="C4">
            <v>1</v>
          </cell>
          <cell r="D4">
            <v>3</v>
          </cell>
          <cell r="F4" t="str">
            <v>札幌</v>
          </cell>
          <cell r="G4" t="str">
            <v>エレベーター保守</v>
          </cell>
          <cell r="H4" t="str">
            <v>三菱電機ﾋﾞﾙﾃｸﾉｻｰﾋﾞｽ</v>
          </cell>
          <cell r="I4">
            <v>204300</v>
          </cell>
          <cell r="J4">
            <v>208386</v>
          </cell>
          <cell r="K4">
            <v>12</v>
          </cell>
          <cell r="L4">
            <v>208386</v>
          </cell>
          <cell r="M4">
            <v>208386</v>
          </cell>
          <cell r="N4">
            <v>208386</v>
          </cell>
          <cell r="O4">
            <v>208386</v>
          </cell>
          <cell r="P4">
            <v>208386</v>
          </cell>
          <cell r="Q4">
            <v>208386</v>
          </cell>
          <cell r="R4">
            <v>208386</v>
          </cell>
          <cell r="S4">
            <v>208386</v>
          </cell>
          <cell r="T4">
            <v>208386</v>
          </cell>
          <cell r="U4">
            <v>208386</v>
          </cell>
          <cell r="V4">
            <v>208386</v>
          </cell>
          <cell r="W4">
            <v>208386</v>
          </cell>
          <cell r="X4" t="str">
            <v>④</v>
          </cell>
          <cell r="Y4" t="str">
            <v>⑤</v>
          </cell>
          <cell r="Z4" t="str">
            <v>⑥</v>
          </cell>
          <cell r="AA4" t="str">
            <v>⑦</v>
          </cell>
          <cell r="AB4" t="str">
            <v>⑧</v>
          </cell>
          <cell r="AC4" t="str">
            <v>⑨</v>
          </cell>
          <cell r="AD4" t="str">
            <v>⑩</v>
          </cell>
          <cell r="AE4" t="str">
            <v>⑪</v>
          </cell>
          <cell r="AF4" t="str">
            <v>⑫</v>
          </cell>
          <cell r="AG4" t="str">
            <v>①</v>
          </cell>
          <cell r="AH4" t="str">
            <v>②</v>
          </cell>
          <cell r="AI4" t="str">
            <v>③</v>
          </cell>
        </row>
        <row r="5">
          <cell r="B5">
            <v>104</v>
          </cell>
          <cell r="C5">
            <v>1</v>
          </cell>
          <cell r="D5">
            <v>4</v>
          </cell>
          <cell r="F5" t="str">
            <v>札幌</v>
          </cell>
          <cell r="G5" t="str">
            <v>ゴンドラ設備保守</v>
          </cell>
          <cell r="H5" t="str">
            <v>日本ビソー</v>
          </cell>
          <cell r="I5">
            <v>46750</v>
          </cell>
          <cell r="J5">
            <v>47685</v>
          </cell>
          <cell r="K5">
            <v>4</v>
          </cell>
          <cell r="L5">
            <v>0</v>
          </cell>
          <cell r="M5">
            <v>0</v>
          </cell>
          <cell r="N5">
            <v>47685</v>
          </cell>
          <cell r="O5">
            <v>0</v>
          </cell>
          <cell r="P5">
            <v>0</v>
          </cell>
          <cell r="Q5">
            <v>47685</v>
          </cell>
          <cell r="R5">
            <v>0</v>
          </cell>
          <cell r="S5">
            <v>0</v>
          </cell>
          <cell r="T5">
            <v>47685</v>
          </cell>
          <cell r="U5">
            <v>0</v>
          </cell>
          <cell r="V5">
            <v>0</v>
          </cell>
          <cell r="W5">
            <v>47685</v>
          </cell>
          <cell r="X5" t="str">
            <v/>
          </cell>
          <cell r="Y5" t="str">
            <v/>
          </cell>
          <cell r="Z5" t="str">
            <v>⑥</v>
          </cell>
          <cell r="AA5" t="str">
            <v/>
          </cell>
          <cell r="AB5" t="str">
            <v/>
          </cell>
          <cell r="AC5" t="str">
            <v>⑨</v>
          </cell>
          <cell r="AD5" t="str">
            <v/>
          </cell>
          <cell r="AE5" t="str">
            <v/>
          </cell>
          <cell r="AF5" t="str">
            <v>⑫</v>
          </cell>
          <cell r="AG5" t="str">
            <v/>
          </cell>
          <cell r="AH5" t="str">
            <v/>
          </cell>
          <cell r="AI5" t="str">
            <v>③</v>
          </cell>
        </row>
        <row r="6">
          <cell r="B6">
            <v>105</v>
          </cell>
          <cell r="C6">
            <v>1</v>
          </cell>
          <cell r="D6">
            <v>5</v>
          </cell>
          <cell r="F6" t="str">
            <v>札幌</v>
          </cell>
          <cell r="G6" t="str">
            <v>ｽﾌﾟﾘﾝｸﾗｰ設備(外観)</v>
          </cell>
          <cell r="H6" t="str">
            <v>ホーチキ</v>
          </cell>
          <cell r="I6">
            <v>102000</v>
          </cell>
          <cell r="J6">
            <v>104040</v>
          </cell>
          <cell r="K6">
            <v>1</v>
          </cell>
          <cell r="L6">
            <v>0</v>
          </cell>
          <cell r="M6">
            <v>104040</v>
          </cell>
          <cell r="N6">
            <v>0</v>
          </cell>
          <cell r="O6">
            <v>0</v>
          </cell>
          <cell r="P6">
            <v>0</v>
          </cell>
          <cell r="Q6">
            <v>0</v>
          </cell>
          <cell r="R6">
            <v>0</v>
          </cell>
          <cell r="S6">
            <v>0</v>
          </cell>
          <cell r="T6">
            <v>0</v>
          </cell>
          <cell r="U6">
            <v>0</v>
          </cell>
          <cell r="V6">
            <v>0</v>
          </cell>
          <cell r="W6">
            <v>0</v>
          </cell>
          <cell r="X6" t="str">
            <v/>
          </cell>
          <cell r="Y6" t="str">
            <v>⑤</v>
          </cell>
          <cell r="Z6" t="str">
            <v/>
          </cell>
          <cell r="AA6" t="str">
            <v/>
          </cell>
          <cell r="AB6" t="str">
            <v/>
          </cell>
          <cell r="AC6" t="str">
            <v/>
          </cell>
          <cell r="AD6" t="str">
            <v/>
          </cell>
          <cell r="AE6" t="str">
            <v/>
          </cell>
          <cell r="AF6" t="str">
            <v/>
          </cell>
          <cell r="AG6" t="str">
            <v/>
          </cell>
          <cell r="AH6" t="str">
            <v/>
          </cell>
          <cell r="AI6" t="str">
            <v/>
          </cell>
        </row>
        <row r="7">
          <cell r="B7">
            <v>106</v>
          </cell>
          <cell r="C7">
            <v>1</v>
          </cell>
          <cell r="D7">
            <v>6</v>
          </cell>
          <cell r="F7" t="str">
            <v>札幌</v>
          </cell>
          <cell r="G7" t="str">
            <v>ｽﾌﾟﾘﾝｸﾗｰ設備(総合)</v>
          </cell>
          <cell r="H7" t="str">
            <v>ホーチキ</v>
          </cell>
          <cell r="I7">
            <v>118000</v>
          </cell>
          <cell r="J7">
            <v>120360</v>
          </cell>
          <cell r="K7">
            <v>1</v>
          </cell>
          <cell r="L7">
            <v>0</v>
          </cell>
          <cell r="M7">
            <v>0</v>
          </cell>
          <cell r="N7">
            <v>0</v>
          </cell>
          <cell r="O7">
            <v>0</v>
          </cell>
          <cell r="P7">
            <v>0</v>
          </cell>
          <cell r="Q7">
            <v>0</v>
          </cell>
          <cell r="R7">
            <v>0</v>
          </cell>
          <cell r="S7">
            <v>120360</v>
          </cell>
          <cell r="T7">
            <v>0</v>
          </cell>
          <cell r="U7">
            <v>0</v>
          </cell>
          <cell r="V7">
            <v>0</v>
          </cell>
          <cell r="W7">
            <v>0</v>
          </cell>
          <cell r="X7" t="str">
            <v/>
          </cell>
          <cell r="Y7" t="str">
            <v/>
          </cell>
          <cell r="Z7" t="str">
            <v/>
          </cell>
          <cell r="AA7" t="str">
            <v/>
          </cell>
          <cell r="AB7" t="str">
            <v/>
          </cell>
          <cell r="AC7" t="str">
            <v/>
          </cell>
          <cell r="AD7" t="str">
            <v/>
          </cell>
          <cell r="AE7" t="str">
            <v>⑪</v>
          </cell>
          <cell r="AF7" t="str">
            <v/>
          </cell>
          <cell r="AG7" t="str">
            <v/>
          </cell>
          <cell r="AH7" t="str">
            <v/>
          </cell>
          <cell r="AI7" t="str">
            <v/>
          </cell>
        </row>
        <row r="8">
          <cell r="B8">
            <v>107</v>
          </cell>
          <cell r="C8">
            <v>1</v>
          </cell>
          <cell r="D8">
            <v>7</v>
          </cell>
          <cell r="F8" t="str">
            <v>札幌</v>
          </cell>
          <cell r="G8" t="str">
            <v>ハロゲン消火(外観)</v>
          </cell>
          <cell r="H8" t="str">
            <v>ホーチキ</v>
          </cell>
          <cell r="I8">
            <v>77000</v>
          </cell>
          <cell r="J8">
            <v>78540</v>
          </cell>
          <cell r="K8">
            <v>1</v>
          </cell>
          <cell r="L8">
            <v>0</v>
          </cell>
          <cell r="M8">
            <v>78540</v>
          </cell>
          <cell r="N8">
            <v>0</v>
          </cell>
          <cell r="O8">
            <v>0</v>
          </cell>
          <cell r="P8">
            <v>0</v>
          </cell>
          <cell r="Q8">
            <v>0</v>
          </cell>
          <cell r="R8">
            <v>0</v>
          </cell>
          <cell r="S8">
            <v>0</v>
          </cell>
          <cell r="T8">
            <v>0</v>
          </cell>
          <cell r="U8">
            <v>0</v>
          </cell>
          <cell r="V8">
            <v>0</v>
          </cell>
          <cell r="W8">
            <v>0</v>
          </cell>
          <cell r="X8" t="str">
            <v/>
          </cell>
          <cell r="Y8" t="str">
            <v>⑤</v>
          </cell>
          <cell r="Z8" t="str">
            <v/>
          </cell>
          <cell r="AA8" t="str">
            <v/>
          </cell>
          <cell r="AB8" t="str">
            <v/>
          </cell>
          <cell r="AC8" t="str">
            <v/>
          </cell>
          <cell r="AD8" t="str">
            <v/>
          </cell>
          <cell r="AE8" t="str">
            <v/>
          </cell>
          <cell r="AF8" t="str">
            <v/>
          </cell>
          <cell r="AG8" t="str">
            <v/>
          </cell>
          <cell r="AH8" t="str">
            <v/>
          </cell>
          <cell r="AI8" t="str">
            <v/>
          </cell>
        </row>
        <row r="9">
          <cell r="B9">
            <v>108</v>
          </cell>
          <cell r="C9">
            <v>1</v>
          </cell>
          <cell r="D9">
            <v>8</v>
          </cell>
          <cell r="F9" t="str">
            <v>札幌</v>
          </cell>
          <cell r="G9" t="str">
            <v>ハロゲン消火(総合)</v>
          </cell>
          <cell r="H9" t="str">
            <v>ホーチキ</v>
          </cell>
          <cell r="I9">
            <v>140000</v>
          </cell>
          <cell r="J9">
            <v>142800</v>
          </cell>
          <cell r="K9">
            <v>1</v>
          </cell>
          <cell r="L9">
            <v>0</v>
          </cell>
          <cell r="M9">
            <v>0</v>
          </cell>
          <cell r="N9">
            <v>0</v>
          </cell>
          <cell r="O9">
            <v>0</v>
          </cell>
          <cell r="P9">
            <v>0</v>
          </cell>
          <cell r="Q9">
            <v>0</v>
          </cell>
          <cell r="R9">
            <v>0</v>
          </cell>
          <cell r="S9">
            <v>142800</v>
          </cell>
          <cell r="T9">
            <v>0</v>
          </cell>
          <cell r="U9">
            <v>0</v>
          </cell>
          <cell r="V9">
            <v>0</v>
          </cell>
          <cell r="W9">
            <v>0</v>
          </cell>
          <cell r="X9" t="str">
            <v/>
          </cell>
          <cell r="Y9" t="str">
            <v/>
          </cell>
          <cell r="Z9" t="str">
            <v/>
          </cell>
          <cell r="AA9" t="str">
            <v/>
          </cell>
          <cell r="AB9" t="str">
            <v/>
          </cell>
          <cell r="AC9" t="str">
            <v/>
          </cell>
          <cell r="AD9" t="str">
            <v/>
          </cell>
          <cell r="AE9" t="str">
            <v>⑪</v>
          </cell>
          <cell r="AF9" t="str">
            <v/>
          </cell>
          <cell r="AG9" t="str">
            <v/>
          </cell>
          <cell r="AH9" t="str">
            <v/>
          </cell>
          <cell r="AI9" t="str">
            <v/>
          </cell>
        </row>
        <row r="10">
          <cell r="B10">
            <v>109</v>
          </cell>
          <cell r="C10">
            <v>1</v>
          </cell>
          <cell r="D10">
            <v>9</v>
          </cell>
          <cell r="F10" t="str">
            <v>札幌</v>
          </cell>
          <cell r="G10" t="str">
            <v>非常放送(外観)</v>
          </cell>
          <cell r="H10" t="str">
            <v>ホーチキ</v>
          </cell>
          <cell r="I10">
            <v>54000</v>
          </cell>
          <cell r="J10">
            <v>55080</v>
          </cell>
          <cell r="K10">
            <v>1</v>
          </cell>
          <cell r="L10">
            <v>0</v>
          </cell>
          <cell r="M10">
            <v>55080</v>
          </cell>
          <cell r="N10">
            <v>0</v>
          </cell>
          <cell r="O10">
            <v>0</v>
          </cell>
          <cell r="P10">
            <v>0</v>
          </cell>
          <cell r="Q10">
            <v>0</v>
          </cell>
          <cell r="R10">
            <v>0</v>
          </cell>
          <cell r="S10">
            <v>0</v>
          </cell>
          <cell r="T10">
            <v>0</v>
          </cell>
          <cell r="U10">
            <v>0</v>
          </cell>
          <cell r="V10">
            <v>0</v>
          </cell>
          <cell r="W10">
            <v>0</v>
          </cell>
          <cell r="X10" t="str">
            <v/>
          </cell>
          <cell r="Y10" t="str">
            <v>⑤</v>
          </cell>
          <cell r="Z10" t="str">
            <v/>
          </cell>
          <cell r="AA10" t="str">
            <v/>
          </cell>
          <cell r="AB10" t="str">
            <v/>
          </cell>
          <cell r="AC10" t="str">
            <v/>
          </cell>
          <cell r="AD10" t="str">
            <v/>
          </cell>
          <cell r="AE10" t="str">
            <v/>
          </cell>
          <cell r="AF10" t="str">
            <v/>
          </cell>
          <cell r="AG10" t="str">
            <v/>
          </cell>
          <cell r="AH10" t="str">
            <v/>
          </cell>
          <cell r="AI10" t="str">
            <v/>
          </cell>
        </row>
        <row r="11">
          <cell r="B11">
            <v>110</v>
          </cell>
          <cell r="C11">
            <v>1</v>
          </cell>
          <cell r="D11">
            <v>10</v>
          </cell>
          <cell r="F11" t="str">
            <v>札幌</v>
          </cell>
          <cell r="G11" t="str">
            <v>非常放送(総合)</v>
          </cell>
          <cell r="H11" t="str">
            <v>ホーチキ</v>
          </cell>
          <cell r="I11">
            <v>61000</v>
          </cell>
          <cell r="J11">
            <v>62220</v>
          </cell>
          <cell r="K11">
            <v>1</v>
          </cell>
          <cell r="L11">
            <v>0</v>
          </cell>
          <cell r="M11">
            <v>0</v>
          </cell>
          <cell r="N11">
            <v>0</v>
          </cell>
          <cell r="O11">
            <v>0</v>
          </cell>
          <cell r="P11">
            <v>0</v>
          </cell>
          <cell r="Q11">
            <v>0</v>
          </cell>
          <cell r="R11">
            <v>0</v>
          </cell>
          <cell r="S11">
            <v>62220</v>
          </cell>
          <cell r="T11">
            <v>0</v>
          </cell>
          <cell r="U11">
            <v>0</v>
          </cell>
          <cell r="V11">
            <v>0</v>
          </cell>
          <cell r="W11">
            <v>0</v>
          </cell>
          <cell r="X11" t="str">
            <v/>
          </cell>
          <cell r="Y11" t="str">
            <v/>
          </cell>
          <cell r="Z11" t="str">
            <v/>
          </cell>
          <cell r="AA11" t="str">
            <v/>
          </cell>
          <cell r="AB11" t="str">
            <v/>
          </cell>
          <cell r="AC11" t="str">
            <v/>
          </cell>
          <cell r="AD11" t="str">
            <v/>
          </cell>
          <cell r="AE11" t="str">
            <v>⑪</v>
          </cell>
          <cell r="AF11" t="str">
            <v/>
          </cell>
          <cell r="AG11" t="str">
            <v/>
          </cell>
          <cell r="AH11" t="str">
            <v/>
          </cell>
          <cell r="AI11" t="str">
            <v/>
          </cell>
        </row>
        <row r="12">
          <cell r="B12">
            <v>111</v>
          </cell>
          <cell r="C12">
            <v>1</v>
          </cell>
          <cell r="D12">
            <v>11</v>
          </cell>
          <cell r="F12" t="str">
            <v>札幌</v>
          </cell>
          <cell r="G12" t="str">
            <v>Ｐ型防排煙制御(外観)</v>
          </cell>
          <cell r="H12" t="str">
            <v>ホーチキ</v>
          </cell>
          <cell r="I12">
            <v>94000</v>
          </cell>
          <cell r="J12">
            <v>95880</v>
          </cell>
          <cell r="K12">
            <v>1</v>
          </cell>
          <cell r="L12">
            <v>0</v>
          </cell>
          <cell r="M12">
            <v>95880</v>
          </cell>
          <cell r="N12">
            <v>0</v>
          </cell>
          <cell r="O12">
            <v>0</v>
          </cell>
          <cell r="P12">
            <v>0</v>
          </cell>
          <cell r="Q12">
            <v>0</v>
          </cell>
          <cell r="R12">
            <v>0</v>
          </cell>
          <cell r="S12">
            <v>0</v>
          </cell>
          <cell r="T12">
            <v>0</v>
          </cell>
          <cell r="U12">
            <v>0</v>
          </cell>
          <cell r="V12">
            <v>0</v>
          </cell>
          <cell r="W12">
            <v>0</v>
          </cell>
          <cell r="X12" t="str">
            <v/>
          </cell>
          <cell r="Y12" t="str">
            <v>⑤</v>
          </cell>
          <cell r="Z12" t="str">
            <v/>
          </cell>
          <cell r="AA12" t="str">
            <v/>
          </cell>
          <cell r="AB12" t="str">
            <v/>
          </cell>
          <cell r="AC12" t="str">
            <v/>
          </cell>
          <cell r="AD12" t="str">
            <v/>
          </cell>
          <cell r="AE12" t="str">
            <v/>
          </cell>
          <cell r="AF12" t="str">
            <v/>
          </cell>
          <cell r="AG12" t="str">
            <v/>
          </cell>
          <cell r="AH12" t="str">
            <v/>
          </cell>
          <cell r="AI12" t="str">
            <v/>
          </cell>
        </row>
        <row r="13">
          <cell r="B13">
            <v>112</v>
          </cell>
          <cell r="C13">
            <v>1</v>
          </cell>
          <cell r="D13">
            <v>12</v>
          </cell>
          <cell r="F13" t="str">
            <v>札幌</v>
          </cell>
          <cell r="G13" t="str">
            <v>Ｐ型防排煙制御(総合)</v>
          </cell>
          <cell r="H13" t="str">
            <v>ホーチキ</v>
          </cell>
          <cell r="I13">
            <v>135000</v>
          </cell>
          <cell r="J13">
            <v>137700</v>
          </cell>
          <cell r="K13">
            <v>1</v>
          </cell>
          <cell r="L13">
            <v>0</v>
          </cell>
          <cell r="M13">
            <v>0</v>
          </cell>
          <cell r="N13">
            <v>0</v>
          </cell>
          <cell r="O13">
            <v>0</v>
          </cell>
          <cell r="P13">
            <v>0</v>
          </cell>
          <cell r="Q13">
            <v>0</v>
          </cell>
          <cell r="R13">
            <v>0</v>
          </cell>
          <cell r="S13">
            <v>137700</v>
          </cell>
          <cell r="T13">
            <v>0</v>
          </cell>
          <cell r="U13">
            <v>0</v>
          </cell>
          <cell r="V13">
            <v>0</v>
          </cell>
          <cell r="W13">
            <v>0</v>
          </cell>
          <cell r="X13" t="str">
            <v/>
          </cell>
          <cell r="Y13" t="str">
            <v/>
          </cell>
          <cell r="Z13" t="str">
            <v/>
          </cell>
          <cell r="AA13" t="str">
            <v/>
          </cell>
          <cell r="AB13" t="str">
            <v/>
          </cell>
          <cell r="AC13" t="str">
            <v/>
          </cell>
          <cell r="AD13" t="str">
            <v/>
          </cell>
          <cell r="AE13" t="str">
            <v>⑪</v>
          </cell>
          <cell r="AF13" t="str">
            <v/>
          </cell>
          <cell r="AG13" t="str">
            <v/>
          </cell>
          <cell r="AH13" t="str">
            <v/>
          </cell>
          <cell r="AI13" t="str">
            <v/>
          </cell>
        </row>
        <row r="14">
          <cell r="B14">
            <v>113</v>
          </cell>
          <cell r="C14">
            <v>1</v>
          </cell>
          <cell r="D14">
            <v>13</v>
          </cell>
          <cell r="F14" t="str">
            <v>札幌</v>
          </cell>
          <cell r="G14" t="str">
            <v>Ｐ型ｶﾞｽ漏火災警報(外観)</v>
          </cell>
          <cell r="H14" t="str">
            <v>ホーチキ</v>
          </cell>
          <cell r="I14">
            <v>14000</v>
          </cell>
          <cell r="J14">
            <v>14280</v>
          </cell>
          <cell r="K14">
            <v>1</v>
          </cell>
          <cell r="L14">
            <v>0</v>
          </cell>
          <cell r="M14">
            <v>14280</v>
          </cell>
          <cell r="N14">
            <v>0</v>
          </cell>
          <cell r="O14">
            <v>0</v>
          </cell>
          <cell r="P14">
            <v>0</v>
          </cell>
          <cell r="Q14">
            <v>0</v>
          </cell>
          <cell r="R14">
            <v>0</v>
          </cell>
          <cell r="S14">
            <v>0</v>
          </cell>
          <cell r="T14">
            <v>0</v>
          </cell>
          <cell r="U14">
            <v>0</v>
          </cell>
          <cell r="V14">
            <v>0</v>
          </cell>
          <cell r="W14">
            <v>0</v>
          </cell>
          <cell r="X14" t="str">
            <v/>
          </cell>
          <cell r="Y14" t="str">
            <v>⑤</v>
          </cell>
          <cell r="Z14" t="str">
            <v/>
          </cell>
          <cell r="AA14" t="str">
            <v/>
          </cell>
          <cell r="AB14" t="str">
            <v/>
          </cell>
          <cell r="AC14" t="str">
            <v/>
          </cell>
          <cell r="AD14" t="str">
            <v/>
          </cell>
          <cell r="AE14" t="str">
            <v/>
          </cell>
          <cell r="AF14" t="str">
            <v/>
          </cell>
          <cell r="AG14" t="str">
            <v/>
          </cell>
          <cell r="AH14" t="str">
            <v/>
          </cell>
          <cell r="AI14" t="str">
            <v/>
          </cell>
        </row>
        <row r="15">
          <cell r="B15">
            <v>114</v>
          </cell>
          <cell r="C15">
            <v>1</v>
          </cell>
          <cell r="D15">
            <v>14</v>
          </cell>
          <cell r="F15" t="str">
            <v>札幌</v>
          </cell>
          <cell r="G15" t="str">
            <v>Ｐ型ｶﾞｽ漏火災警報(総合)</v>
          </cell>
          <cell r="H15" t="str">
            <v>ホーチキ</v>
          </cell>
          <cell r="I15">
            <v>26000</v>
          </cell>
          <cell r="J15">
            <v>26520</v>
          </cell>
          <cell r="K15">
            <v>1</v>
          </cell>
          <cell r="L15">
            <v>0</v>
          </cell>
          <cell r="M15">
            <v>0</v>
          </cell>
          <cell r="N15">
            <v>0</v>
          </cell>
          <cell r="O15">
            <v>0</v>
          </cell>
          <cell r="P15">
            <v>0</v>
          </cell>
          <cell r="Q15">
            <v>0</v>
          </cell>
          <cell r="R15">
            <v>0</v>
          </cell>
          <cell r="S15">
            <v>26520</v>
          </cell>
          <cell r="T15">
            <v>0</v>
          </cell>
          <cell r="U15">
            <v>0</v>
          </cell>
          <cell r="V15">
            <v>0</v>
          </cell>
          <cell r="W15">
            <v>0</v>
          </cell>
          <cell r="X15" t="str">
            <v/>
          </cell>
          <cell r="Y15" t="str">
            <v/>
          </cell>
          <cell r="Z15" t="str">
            <v/>
          </cell>
          <cell r="AA15" t="str">
            <v/>
          </cell>
          <cell r="AB15" t="str">
            <v/>
          </cell>
          <cell r="AC15" t="str">
            <v/>
          </cell>
          <cell r="AD15" t="str">
            <v/>
          </cell>
          <cell r="AE15" t="str">
            <v>⑪</v>
          </cell>
          <cell r="AF15" t="str">
            <v/>
          </cell>
          <cell r="AG15" t="str">
            <v/>
          </cell>
          <cell r="AH15" t="str">
            <v/>
          </cell>
          <cell r="AI15" t="str">
            <v/>
          </cell>
        </row>
        <row r="16">
          <cell r="B16">
            <v>115</v>
          </cell>
          <cell r="C16">
            <v>1</v>
          </cell>
          <cell r="D16">
            <v>15</v>
          </cell>
          <cell r="F16" t="str">
            <v>札幌</v>
          </cell>
          <cell r="G16" t="str">
            <v>Ｐ型自火報(外観)</v>
          </cell>
          <cell r="H16" t="str">
            <v>ホーチキ</v>
          </cell>
          <cell r="I16">
            <v>75000</v>
          </cell>
          <cell r="J16">
            <v>76500</v>
          </cell>
          <cell r="K16">
            <v>1</v>
          </cell>
          <cell r="L16">
            <v>0</v>
          </cell>
          <cell r="M16">
            <v>76500</v>
          </cell>
          <cell r="N16">
            <v>0</v>
          </cell>
          <cell r="O16">
            <v>0</v>
          </cell>
          <cell r="P16">
            <v>0</v>
          </cell>
          <cell r="Q16">
            <v>0</v>
          </cell>
          <cell r="R16">
            <v>0</v>
          </cell>
          <cell r="S16">
            <v>0</v>
          </cell>
          <cell r="T16">
            <v>0</v>
          </cell>
          <cell r="U16">
            <v>0</v>
          </cell>
          <cell r="V16">
            <v>0</v>
          </cell>
          <cell r="W16">
            <v>0</v>
          </cell>
          <cell r="X16" t="str">
            <v/>
          </cell>
          <cell r="Y16" t="str">
            <v>⑤</v>
          </cell>
          <cell r="Z16" t="str">
            <v/>
          </cell>
          <cell r="AA16" t="str">
            <v/>
          </cell>
          <cell r="AB16" t="str">
            <v/>
          </cell>
          <cell r="AC16" t="str">
            <v/>
          </cell>
          <cell r="AD16" t="str">
            <v/>
          </cell>
          <cell r="AE16" t="str">
            <v/>
          </cell>
          <cell r="AF16" t="str">
            <v/>
          </cell>
          <cell r="AG16" t="str">
            <v/>
          </cell>
          <cell r="AH16" t="str">
            <v/>
          </cell>
          <cell r="AI16" t="str">
            <v/>
          </cell>
        </row>
        <row r="17">
          <cell r="B17">
            <v>116</v>
          </cell>
          <cell r="C17">
            <v>1</v>
          </cell>
          <cell r="D17">
            <v>16</v>
          </cell>
          <cell r="F17" t="str">
            <v>札幌</v>
          </cell>
          <cell r="G17" t="str">
            <v>Ｐ型自火報(総合)</v>
          </cell>
          <cell r="H17" t="str">
            <v>ホーチキ</v>
          </cell>
          <cell r="I17">
            <v>204000</v>
          </cell>
          <cell r="J17">
            <v>208080</v>
          </cell>
          <cell r="K17">
            <v>1</v>
          </cell>
          <cell r="L17">
            <v>0</v>
          </cell>
          <cell r="M17">
            <v>0</v>
          </cell>
          <cell r="N17">
            <v>0</v>
          </cell>
          <cell r="O17">
            <v>0</v>
          </cell>
          <cell r="P17">
            <v>0</v>
          </cell>
          <cell r="Q17">
            <v>0</v>
          </cell>
          <cell r="R17">
            <v>0</v>
          </cell>
          <cell r="S17">
            <v>208080</v>
          </cell>
          <cell r="T17">
            <v>0</v>
          </cell>
          <cell r="U17">
            <v>0</v>
          </cell>
          <cell r="V17">
            <v>0</v>
          </cell>
          <cell r="W17">
            <v>0</v>
          </cell>
          <cell r="X17" t="str">
            <v/>
          </cell>
          <cell r="Y17" t="str">
            <v/>
          </cell>
          <cell r="Z17" t="str">
            <v/>
          </cell>
          <cell r="AA17" t="str">
            <v/>
          </cell>
          <cell r="AB17" t="str">
            <v/>
          </cell>
          <cell r="AC17" t="str">
            <v/>
          </cell>
          <cell r="AD17" t="str">
            <v/>
          </cell>
          <cell r="AE17" t="str">
            <v>⑪</v>
          </cell>
          <cell r="AF17" t="str">
            <v/>
          </cell>
          <cell r="AG17" t="str">
            <v/>
          </cell>
          <cell r="AH17" t="str">
            <v/>
          </cell>
          <cell r="AI17" t="str">
            <v/>
          </cell>
        </row>
        <row r="18">
          <cell r="B18">
            <v>117</v>
          </cell>
          <cell r="C18">
            <v>1</v>
          </cell>
          <cell r="D18">
            <v>17</v>
          </cell>
          <cell r="F18" t="str">
            <v>札幌</v>
          </cell>
          <cell r="G18" t="str">
            <v>自家用発電機設備保守</v>
          </cell>
          <cell r="H18" t="str">
            <v>北海道消防機材</v>
          </cell>
          <cell r="I18">
            <v>60000</v>
          </cell>
          <cell r="J18">
            <v>61200</v>
          </cell>
          <cell r="K18">
            <v>1</v>
          </cell>
          <cell r="L18">
            <v>0</v>
          </cell>
          <cell r="M18">
            <v>0</v>
          </cell>
          <cell r="N18">
            <v>61200</v>
          </cell>
          <cell r="O18">
            <v>0</v>
          </cell>
          <cell r="P18">
            <v>0</v>
          </cell>
          <cell r="Q18">
            <v>0</v>
          </cell>
          <cell r="R18">
            <v>0</v>
          </cell>
          <cell r="S18">
            <v>0</v>
          </cell>
          <cell r="T18">
            <v>0</v>
          </cell>
          <cell r="U18">
            <v>0</v>
          </cell>
          <cell r="V18">
            <v>0</v>
          </cell>
          <cell r="W18">
            <v>0</v>
          </cell>
          <cell r="X18" t="str">
            <v/>
          </cell>
          <cell r="Y18" t="str">
            <v/>
          </cell>
          <cell r="Z18" t="str">
            <v>⑥</v>
          </cell>
          <cell r="AA18" t="str">
            <v/>
          </cell>
          <cell r="AB18" t="str">
            <v/>
          </cell>
          <cell r="AC18" t="str">
            <v/>
          </cell>
          <cell r="AD18" t="str">
            <v/>
          </cell>
          <cell r="AE18" t="str">
            <v/>
          </cell>
          <cell r="AF18" t="str">
            <v/>
          </cell>
          <cell r="AG18" t="str">
            <v/>
          </cell>
          <cell r="AH18" t="str">
            <v/>
          </cell>
          <cell r="AI18" t="str">
            <v/>
          </cell>
        </row>
        <row r="19">
          <cell r="B19">
            <v>118</v>
          </cell>
          <cell r="C19">
            <v>1</v>
          </cell>
          <cell r="D19">
            <v>18</v>
          </cell>
          <cell r="F19" t="str">
            <v>札幌</v>
          </cell>
          <cell r="G19" t="str">
            <v>自家用発電機設備保守</v>
          </cell>
          <cell r="H19" t="str">
            <v>北海道消防機材</v>
          </cell>
          <cell r="I19">
            <v>160000</v>
          </cell>
          <cell r="J19">
            <v>163200</v>
          </cell>
          <cell r="K19">
            <v>1</v>
          </cell>
          <cell r="L19">
            <v>0</v>
          </cell>
          <cell r="M19">
            <v>0</v>
          </cell>
          <cell r="N19">
            <v>0</v>
          </cell>
          <cell r="O19">
            <v>0</v>
          </cell>
          <cell r="P19">
            <v>0</v>
          </cell>
          <cell r="Q19">
            <v>0</v>
          </cell>
          <cell r="R19">
            <v>0</v>
          </cell>
          <cell r="S19">
            <v>0</v>
          </cell>
          <cell r="T19">
            <v>163200</v>
          </cell>
          <cell r="U19">
            <v>0</v>
          </cell>
          <cell r="V19">
            <v>0</v>
          </cell>
          <cell r="W19">
            <v>0</v>
          </cell>
          <cell r="X19" t="str">
            <v/>
          </cell>
          <cell r="Y19" t="str">
            <v/>
          </cell>
          <cell r="Z19" t="str">
            <v/>
          </cell>
          <cell r="AA19" t="str">
            <v/>
          </cell>
          <cell r="AB19" t="str">
            <v/>
          </cell>
          <cell r="AC19" t="str">
            <v/>
          </cell>
          <cell r="AD19" t="str">
            <v/>
          </cell>
          <cell r="AE19" t="str">
            <v/>
          </cell>
          <cell r="AF19" t="str">
            <v>⑫</v>
          </cell>
          <cell r="AG19" t="str">
            <v/>
          </cell>
          <cell r="AH19" t="str">
            <v/>
          </cell>
          <cell r="AI19" t="str">
            <v/>
          </cell>
        </row>
        <row r="20">
          <cell r="B20">
            <v>119</v>
          </cell>
          <cell r="C20">
            <v>1</v>
          </cell>
          <cell r="D20">
            <v>19</v>
          </cell>
          <cell r="F20" t="str">
            <v>札幌</v>
          </cell>
          <cell r="G20" t="str">
            <v>屋内消火栓設備保守</v>
          </cell>
          <cell r="H20" t="str">
            <v>北海道消防機材</v>
          </cell>
          <cell r="I20">
            <v>37800</v>
          </cell>
          <cell r="J20">
            <v>38556</v>
          </cell>
          <cell r="K20">
            <v>1</v>
          </cell>
          <cell r="L20">
            <v>0</v>
          </cell>
          <cell r="M20">
            <v>0</v>
          </cell>
          <cell r="N20">
            <v>38556</v>
          </cell>
          <cell r="O20">
            <v>0</v>
          </cell>
          <cell r="P20">
            <v>0</v>
          </cell>
          <cell r="Q20">
            <v>0</v>
          </cell>
          <cell r="R20">
            <v>0</v>
          </cell>
          <cell r="S20">
            <v>0</v>
          </cell>
          <cell r="T20">
            <v>0</v>
          </cell>
          <cell r="U20">
            <v>0</v>
          </cell>
          <cell r="V20">
            <v>0</v>
          </cell>
          <cell r="W20">
            <v>0</v>
          </cell>
          <cell r="X20" t="str">
            <v/>
          </cell>
          <cell r="Y20" t="str">
            <v/>
          </cell>
          <cell r="Z20" t="str">
            <v>⑥</v>
          </cell>
          <cell r="AA20" t="str">
            <v/>
          </cell>
          <cell r="AB20" t="str">
            <v/>
          </cell>
          <cell r="AC20" t="str">
            <v/>
          </cell>
          <cell r="AD20" t="str">
            <v/>
          </cell>
          <cell r="AE20" t="str">
            <v/>
          </cell>
          <cell r="AF20" t="str">
            <v/>
          </cell>
          <cell r="AG20" t="str">
            <v/>
          </cell>
          <cell r="AH20" t="str">
            <v/>
          </cell>
          <cell r="AI20" t="str">
            <v/>
          </cell>
        </row>
        <row r="21">
          <cell r="B21">
            <v>120</v>
          </cell>
          <cell r="C21">
            <v>1</v>
          </cell>
          <cell r="D21">
            <v>20</v>
          </cell>
          <cell r="F21" t="str">
            <v>札幌</v>
          </cell>
          <cell r="G21" t="str">
            <v>屋内消火栓設備保守</v>
          </cell>
          <cell r="H21" t="str">
            <v>北海道消防機材</v>
          </cell>
          <cell r="I21">
            <v>51700</v>
          </cell>
          <cell r="J21">
            <v>52734</v>
          </cell>
          <cell r="K21">
            <v>1</v>
          </cell>
          <cell r="L21">
            <v>0</v>
          </cell>
          <cell r="M21">
            <v>0</v>
          </cell>
          <cell r="N21">
            <v>0</v>
          </cell>
          <cell r="O21">
            <v>0</v>
          </cell>
          <cell r="P21">
            <v>0</v>
          </cell>
          <cell r="Q21">
            <v>0</v>
          </cell>
          <cell r="R21">
            <v>0</v>
          </cell>
          <cell r="S21">
            <v>0</v>
          </cell>
          <cell r="T21">
            <v>52734</v>
          </cell>
          <cell r="U21">
            <v>0</v>
          </cell>
          <cell r="V21">
            <v>0</v>
          </cell>
          <cell r="W21">
            <v>0</v>
          </cell>
          <cell r="X21" t="str">
            <v/>
          </cell>
          <cell r="Y21" t="str">
            <v/>
          </cell>
          <cell r="Z21" t="str">
            <v/>
          </cell>
          <cell r="AA21" t="str">
            <v/>
          </cell>
          <cell r="AB21" t="str">
            <v/>
          </cell>
          <cell r="AC21" t="str">
            <v/>
          </cell>
          <cell r="AD21" t="str">
            <v/>
          </cell>
          <cell r="AE21" t="str">
            <v/>
          </cell>
          <cell r="AF21" t="str">
            <v>⑫</v>
          </cell>
          <cell r="AG21" t="str">
            <v/>
          </cell>
          <cell r="AH21" t="str">
            <v/>
          </cell>
          <cell r="AI21" t="str">
            <v/>
          </cell>
        </row>
        <row r="22">
          <cell r="B22">
            <v>121</v>
          </cell>
          <cell r="C22">
            <v>1</v>
          </cell>
          <cell r="D22">
            <v>21</v>
          </cell>
          <cell r="F22" t="str">
            <v>札幌</v>
          </cell>
          <cell r="G22" t="str">
            <v>連結送水管設備保守</v>
          </cell>
          <cell r="H22" t="str">
            <v>北海道消防機材</v>
          </cell>
          <cell r="I22">
            <v>12100</v>
          </cell>
          <cell r="J22">
            <v>12342</v>
          </cell>
          <cell r="K22">
            <v>1</v>
          </cell>
          <cell r="L22">
            <v>0</v>
          </cell>
          <cell r="M22">
            <v>0</v>
          </cell>
          <cell r="N22">
            <v>12342</v>
          </cell>
          <cell r="O22">
            <v>0</v>
          </cell>
          <cell r="P22">
            <v>0</v>
          </cell>
          <cell r="Q22">
            <v>0</v>
          </cell>
          <cell r="R22">
            <v>0</v>
          </cell>
          <cell r="S22">
            <v>0</v>
          </cell>
          <cell r="T22">
            <v>0</v>
          </cell>
          <cell r="U22">
            <v>0</v>
          </cell>
          <cell r="V22">
            <v>0</v>
          </cell>
          <cell r="W22">
            <v>0</v>
          </cell>
          <cell r="X22" t="str">
            <v/>
          </cell>
          <cell r="Y22" t="str">
            <v/>
          </cell>
          <cell r="Z22" t="str">
            <v>⑥</v>
          </cell>
          <cell r="AA22" t="str">
            <v/>
          </cell>
          <cell r="AB22" t="str">
            <v/>
          </cell>
          <cell r="AC22" t="str">
            <v/>
          </cell>
          <cell r="AD22" t="str">
            <v/>
          </cell>
          <cell r="AE22" t="str">
            <v/>
          </cell>
          <cell r="AF22" t="str">
            <v/>
          </cell>
          <cell r="AG22" t="str">
            <v/>
          </cell>
          <cell r="AH22" t="str">
            <v/>
          </cell>
          <cell r="AI22" t="str">
            <v/>
          </cell>
        </row>
        <row r="23">
          <cell r="B23">
            <v>122</v>
          </cell>
          <cell r="C23">
            <v>1</v>
          </cell>
          <cell r="D23">
            <v>22</v>
          </cell>
          <cell r="F23" t="str">
            <v>札幌</v>
          </cell>
          <cell r="G23" t="str">
            <v>連結送水管設備保守</v>
          </cell>
          <cell r="H23" t="str">
            <v>北海道消防機材</v>
          </cell>
          <cell r="I23">
            <v>16600</v>
          </cell>
          <cell r="J23">
            <v>16932</v>
          </cell>
          <cell r="K23">
            <v>1</v>
          </cell>
          <cell r="L23">
            <v>0</v>
          </cell>
          <cell r="M23">
            <v>0</v>
          </cell>
          <cell r="N23">
            <v>0</v>
          </cell>
          <cell r="O23">
            <v>0</v>
          </cell>
          <cell r="P23">
            <v>0</v>
          </cell>
          <cell r="Q23">
            <v>0</v>
          </cell>
          <cell r="R23">
            <v>0</v>
          </cell>
          <cell r="S23">
            <v>0</v>
          </cell>
          <cell r="T23">
            <v>16932</v>
          </cell>
          <cell r="U23">
            <v>0</v>
          </cell>
          <cell r="V23">
            <v>0</v>
          </cell>
          <cell r="W23">
            <v>0</v>
          </cell>
          <cell r="X23" t="str">
            <v/>
          </cell>
          <cell r="Y23" t="str">
            <v/>
          </cell>
          <cell r="Z23" t="str">
            <v/>
          </cell>
          <cell r="AA23" t="str">
            <v/>
          </cell>
          <cell r="AB23" t="str">
            <v/>
          </cell>
          <cell r="AC23" t="str">
            <v/>
          </cell>
          <cell r="AD23" t="str">
            <v/>
          </cell>
          <cell r="AE23" t="str">
            <v/>
          </cell>
          <cell r="AF23" t="str">
            <v>⑫</v>
          </cell>
          <cell r="AG23" t="str">
            <v/>
          </cell>
          <cell r="AH23" t="str">
            <v/>
          </cell>
          <cell r="AI23" t="str">
            <v/>
          </cell>
        </row>
        <row r="24">
          <cell r="B24">
            <v>123</v>
          </cell>
          <cell r="C24">
            <v>1</v>
          </cell>
          <cell r="D24">
            <v>23</v>
          </cell>
          <cell r="F24" t="str">
            <v>札幌</v>
          </cell>
          <cell r="G24" t="str">
            <v>誘導灯設備保守</v>
          </cell>
          <cell r="H24" t="str">
            <v>北海道消防機材</v>
          </cell>
          <cell r="I24">
            <v>48100</v>
          </cell>
          <cell r="J24">
            <v>49062</v>
          </cell>
          <cell r="K24">
            <v>1</v>
          </cell>
          <cell r="L24">
            <v>0</v>
          </cell>
          <cell r="M24">
            <v>0</v>
          </cell>
          <cell r="N24">
            <v>49062</v>
          </cell>
          <cell r="O24">
            <v>0</v>
          </cell>
          <cell r="P24">
            <v>0</v>
          </cell>
          <cell r="Q24">
            <v>0</v>
          </cell>
          <cell r="R24">
            <v>0</v>
          </cell>
          <cell r="S24">
            <v>0</v>
          </cell>
          <cell r="T24">
            <v>0</v>
          </cell>
          <cell r="U24">
            <v>0</v>
          </cell>
          <cell r="V24">
            <v>0</v>
          </cell>
          <cell r="W24">
            <v>0</v>
          </cell>
          <cell r="X24" t="str">
            <v/>
          </cell>
          <cell r="Y24" t="str">
            <v/>
          </cell>
          <cell r="Z24" t="str">
            <v>⑥</v>
          </cell>
          <cell r="AA24" t="str">
            <v/>
          </cell>
          <cell r="AB24" t="str">
            <v/>
          </cell>
          <cell r="AC24" t="str">
            <v/>
          </cell>
          <cell r="AD24" t="str">
            <v/>
          </cell>
          <cell r="AE24" t="str">
            <v/>
          </cell>
          <cell r="AF24" t="str">
            <v/>
          </cell>
          <cell r="AG24" t="str">
            <v/>
          </cell>
          <cell r="AH24" t="str">
            <v/>
          </cell>
          <cell r="AI24" t="str">
            <v/>
          </cell>
        </row>
        <row r="25">
          <cell r="B25">
            <v>124</v>
          </cell>
          <cell r="C25">
            <v>1</v>
          </cell>
          <cell r="D25">
            <v>24</v>
          </cell>
          <cell r="F25" t="str">
            <v>札幌</v>
          </cell>
          <cell r="G25" t="str">
            <v>誘導灯設備保守</v>
          </cell>
          <cell r="H25" t="str">
            <v>北海道消防機材</v>
          </cell>
          <cell r="I25">
            <v>65900</v>
          </cell>
          <cell r="J25">
            <v>67218</v>
          </cell>
          <cell r="K25">
            <v>1</v>
          </cell>
          <cell r="L25">
            <v>0</v>
          </cell>
          <cell r="M25">
            <v>0</v>
          </cell>
          <cell r="N25">
            <v>0</v>
          </cell>
          <cell r="O25">
            <v>0</v>
          </cell>
          <cell r="P25">
            <v>0</v>
          </cell>
          <cell r="Q25">
            <v>0</v>
          </cell>
          <cell r="R25">
            <v>0</v>
          </cell>
          <cell r="S25">
            <v>0</v>
          </cell>
          <cell r="T25">
            <v>67218</v>
          </cell>
          <cell r="U25">
            <v>0</v>
          </cell>
          <cell r="V25">
            <v>0</v>
          </cell>
          <cell r="W25">
            <v>0</v>
          </cell>
          <cell r="X25" t="str">
            <v/>
          </cell>
          <cell r="Y25" t="str">
            <v/>
          </cell>
          <cell r="Z25" t="str">
            <v/>
          </cell>
          <cell r="AA25" t="str">
            <v/>
          </cell>
          <cell r="AB25" t="str">
            <v/>
          </cell>
          <cell r="AC25" t="str">
            <v/>
          </cell>
          <cell r="AD25" t="str">
            <v/>
          </cell>
          <cell r="AE25" t="str">
            <v/>
          </cell>
          <cell r="AF25" t="str">
            <v>⑫</v>
          </cell>
          <cell r="AG25" t="str">
            <v/>
          </cell>
          <cell r="AH25" t="str">
            <v/>
          </cell>
          <cell r="AI25" t="str">
            <v/>
          </cell>
        </row>
        <row r="26">
          <cell r="B26">
            <v>125</v>
          </cell>
          <cell r="C26">
            <v>1</v>
          </cell>
          <cell r="D26">
            <v>25</v>
          </cell>
          <cell r="F26" t="str">
            <v>札幌</v>
          </cell>
          <cell r="G26" t="str">
            <v>消火器設備保守</v>
          </cell>
          <cell r="H26" t="str">
            <v>北海道消防機材</v>
          </cell>
          <cell r="I26">
            <v>27000</v>
          </cell>
          <cell r="J26">
            <v>27540</v>
          </cell>
          <cell r="K26">
            <v>1</v>
          </cell>
          <cell r="L26">
            <v>0</v>
          </cell>
          <cell r="M26">
            <v>0</v>
          </cell>
          <cell r="N26">
            <v>27540</v>
          </cell>
          <cell r="O26">
            <v>0</v>
          </cell>
          <cell r="P26">
            <v>0</v>
          </cell>
          <cell r="Q26">
            <v>0</v>
          </cell>
          <cell r="R26">
            <v>0</v>
          </cell>
          <cell r="S26">
            <v>0</v>
          </cell>
          <cell r="T26">
            <v>0</v>
          </cell>
          <cell r="U26">
            <v>0</v>
          </cell>
          <cell r="V26">
            <v>0</v>
          </cell>
          <cell r="W26">
            <v>0</v>
          </cell>
          <cell r="X26" t="str">
            <v/>
          </cell>
          <cell r="Y26" t="str">
            <v/>
          </cell>
          <cell r="Z26" t="str">
            <v>⑥</v>
          </cell>
          <cell r="AA26" t="str">
            <v/>
          </cell>
          <cell r="AB26" t="str">
            <v/>
          </cell>
          <cell r="AC26" t="str">
            <v/>
          </cell>
          <cell r="AD26" t="str">
            <v/>
          </cell>
          <cell r="AE26" t="str">
            <v/>
          </cell>
          <cell r="AF26" t="str">
            <v/>
          </cell>
          <cell r="AG26" t="str">
            <v/>
          </cell>
          <cell r="AH26" t="str">
            <v/>
          </cell>
          <cell r="AI26" t="str">
            <v/>
          </cell>
        </row>
        <row r="27">
          <cell r="B27">
            <v>126</v>
          </cell>
          <cell r="C27">
            <v>1</v>
          </cell>
          <cell r="D27">
            <v>26</v>
          </cell>
          <cell r="F27" t="str">
            <v>札幌</v>
          </cell>
          <cell r="G27" t="str">
            <v>消火器設備保守</v>
          </cell>
          <cell r="H27" t="str">
            <v>北海道消防機材</v>
          </cell>
          <cell r="I27">
            <v>37000</v>
          </cell>
          <cell r="J27">
            <v>37740</v>
          </cell>
          <cell r="K27">
            <v>1</v>
          </cell>
          <cell r="L27">
            <v>0</v>
          </cell>
          <cell r="M27">
            <v>0</v>
          </cell>
          <cell r="N27">
            <v>0</v>
          </cell>
          <cell r="O27">
            <v>0</v>
          </cell>
          <cell r="P27">
            <v>0</v>
          </cell>
          <cell r="Q27">
            <v>0</v>
          </cell>
          <cell r="R27">
            <v>0</v>
          </cell>
          <cell r="S27">
            <v>0</v>
          </cell>
          <cell r="T27">
            <v>37740</v>
          </cell>
          <cell r="U27">
            <v>0</v>
          </cell>
          <cell r="V27">
            <v>0</v>
          </cell>
          <cell r="W27">
            <v>0</v>
          </cell>
          <cell r="X27" t="str">
            <v/>
          </cell>
          <cell r="Y27" t="str">
            <v/>
          </cell>
          <cell r="Z27" t="str">
            <v/>
          </cell>
          <cell r="AA27" t="str">
            <v/>
          </cell>
          <cell r="AB27" t="str">
            <v/>
          </cell>
          <cell r="AC27" t="str">
            <v/>
          </cell>
          <cell r="AD27" t="str">
            <v/>
          </cell>
          <cell r="AE27" t="str">
            <v/>
          </cell>
          <cell r="AF27" t="str">
            <v>⑫</v>
          </cell>
          <cell r="AG27" t="str">
            <v/>
          </cell>
          <cell r="AH27" t="str">
            <v/>
          </cell>
          <cell r="AI27" t="str">
            <v/>
          </cell>
        </row>
        <row r="28">
          <cell r="B28">
            <v>127</v>
          </cell>
          <cell r="C28">
            <v>1</v>
          </cell>
          <cell r="D28">
            <v>27</v>
          </cell>
          <cell r="F28" t="str">
            <v>札幌</v>
          </cell>
          <cell r="G28" t="str">
            <v>避難タラップ設備保守</v>
          </cell>
          <cell r="H28" t="str">
            <v>北海道消防機材</v>
          </cell>
          <cell r="I28">
            <v>11255</v>
          </cell>
          <cell r="J28">
            <v>11480</v>
          </cell>
          <cell r="K28">
            <v>1</v>
          </cell>
          <cell r="L28">
            <v>0</v>
          </cell>
          <cell r="M28">
            <v>0</v>
          </cell>
          <cell r="N28">
            <v>11480</v>
          </cell>
          <cell r="O28">
            <v>0</v>
          </cell>
          <cell r="P28">
            <v>0</v>
          </cell>
          <cell r="Q28">
            <v>0</v>
          </cell>
          <cell r="R28">
            <v>0</v>
          </cell>
          <cell r="S28">
            <v>0</v>
          </cell>
          <cell r="T28">
            <v>0</v>
          </cell>
          <cell r="U28">
            <v>0</v>
          </cell>
          <cell r="V28">
            <v>0</v>
          </cell>
          <cell r="W28">
            <v>0</v>
          </cell>
          <cell r="X28" t="str">
            <v/>
          </cell>
          <cell r="Y28" t="str">
            <v/>
          </cell>
          <cell r="Z28" t="str">
            <v>⑥</v>
          </cell>
          <cell r="AA28" t="str">
            <v/>
          </cell>
          <cell r="AB28" t="str">
            <v/>
          </cell>
          <cell r="AC28" t="str">
            <v/>
          </cell>
          <cell r="AD28" t="str">
            <v/>
          </cell>
          <cell r="AE28" t="str">
            <v/>
          </cell>
          <cell r="AF28" t="str">
            <v/>
          </cell>
          <cell r="AG28" t="str">
            <v/>
          </cell>
          <cell r="AH28" t="str">
            <v/>
          </cell>
          <cell r="AI28" t="str">
            <v/>
          </cell>
        </row>
        <row r="29">
          <cell r="B29">
            <v>128</v>
          </cell>
          <cell r="C29">
            <v>1</v>
          </cell>
          <cell r="D29">
            <v>28</v>
          </cell>
          <cell r="F29" t="str">
            <v>札幌</v>
          </cell>
          <cell r="G29" t="str">
            <v>避難タラップ設備保守</v>
          </cell>
          <cell r="H29" t="str">
            <v>北海道消防機材</v>
          </cell>
          <cell r="I29">
            <v>15500</v>
          </cell>
          <cell r="J29">
            <v>15810</v>
          </cell>
          <cell r="K29">
            <v>1</v>
          </cell>
          <cell r="L29">
            <v>0</v>
          </cell>
          <cell r="M29">
            <v>0</v>
          </cell>
          <cell r="N29">
            <v>0</v>
          </cell>
          <cell r="O29">
            <v>0</v>
          </cell>
          <cell r="P29">
            <v>0</v>
          </cell>
          <cell r="Q29">
            <v>0</v>
          </cell>
          <cell r="R29">
            <v>0</v>
          </cell>
          <cell r="S29">
            <v>0</v>
          </cell>
          <cell r="T29">
            <v>15810</v>
          </cell>
          <cell r="U29">
            <v>0</v>
          </cell>
          <cell r="V29">
            <v>0</v>
          </cell>
          <cell r="W29">
            <v>0</v>
          </cell>
          <cell r="X29" t="str">
            <v/>
          </cell>
          <cell r="Y29" t="str">
            <v/>
          </cell>
          <cell r="Z29" t="str">
            <v/>
          </cell>
          <cell r="AA29" t="str">
            <v/>
          </cell>
          <cell r="AB29" t="str">
            <v/>
          </cell>
          <cell r="AC29" t="str">
            <v/>
          </cell>
          <cell r="AD29" t="str">
            <v/>
          </cell>
          <cell r="AE29" t="str">
            <v/>
          </cell>
          <cell r="AF29" t="str">
            <v>⑫</v>
          </cell>
          <cell r="AG29" t="str">
            <v/>
          </cell>
          <cell r="AH29" t="str">
            <v/>
          </cell>
          <cell r="AI29" t="str">
            <v/>
          </cell>
        </row>
        <row r="30">
          <cell r="B30">
            <v>129</v>
          </cell>
          <cell r="C30">
            <v>1</v>
          </cell>
          <cell r="D30">
            <v>29</v>
          </cell>
          <cell r="F30" t="str">
            <v>札幌</v>
          </cell>
          <cell r="G30" t="str">
            <v>緩降機設備保守</v>
          </cell>
          <cell r="H30" t="str">
            <v>北海道消防機材</v>
          </cell>
          <cell r="I30">
            <v>12345</v>
          </cell>
          <cell r="J30">
            <v>12591</v>
          </cell>
          <cell r="K30">
            <v>1</v>
          </cell>
          <cell r="L30">
            <v>0</v>
          </cell>
          <cell r="M30">
            <v>0</v>
          </cell>
          <cell r="N30">
            <v>12591</v>
          </cell>
          <cell r="O30">
            <v>0</v>
          </cell>
          <cell r="P30">
            <v>0</v>
          </cell>
          <cell r="Q30">
            <v>0</v>
          </cell>
          <cell r="R30">
            <v>0</v>
          </cell>
          <cell r="S30">
            <v>0</v>
          </cell>
          <cell r="T30">
            <v>0</v>
          </cell>
          <cell r="U30">
            <v>0</v>
          </cell>
          <cell r="V30">
            <v>0</v>
          </cell>
          <cell r="W30">
            <v>0</v>
          </cell>
          <cell r="X30" t="str">
            <v/>
          </cell>
          <cell r="Y30" t="str">
            <v/>
          </cell>
          <cell r="Z30" t="str">
            <v>⑥</v>
          </cell>
          <cell r="AA30" t="str">
            <v/>
          </cell>
          <cell r="AB30" t="str">
            <v/>
          </cell>
          <cell r="AC30" t="str">
            <v/>
          </cell>
          <cell r="AD30" t="str">
            <v/>
          </cell>
          <cell r="AE30" t="str">
            <v/>
          </cell>
          <cell r="AF30" t="str">
            <v/>
          </cell>
          <cell r="AG30" t="str">
            <v/>
          </cell>
          <cell r="AH30" t="str">
            <v/>
          </cell>
          <cell r="AI30" t="str">
            <v/>
          </cell>
        </row>
        <row r="31">
          <cell r="B31">
            <v>130</v>
          </cell>
          <cell r="C31">
            <v>1</v>
          </cell>
          <cell r="D31">
            <v>30</v>
          </cell>
          <cell r="F31" t="str">
            <v>札幌</v>
          </cell>
          <cell r="G31" t="str">
            <v>緩降機設備保守</v>
          </cell>
          <cell r="H31" t="str">
            <v>北海道消防機材</v>
          </cell>
          <cell r="I31">
            <v>16900</v>
          </cell>
          <cell r="J31">
            <v>17238</v>
          </cell>
          <cell r="K31">
            <v>1</v>
          </cell>
          <cell r="L31">
            <v>0</v>
          </cell>
          <cell r="M31">
            <v>0</v>
          </cell>
          <cell r="N31">
            <v>0</v>
          </cell>
          <cell r="O31">
            <v>0</v>
          </cell>
          <cell r="P31">
            <v>0</v>
          </cell>
          <cell r="Q31">
            <v>0</v>
          </cell>
          <cell r="R31">
            <v>0</v>
          </cell>
          <cell r="S31">
            <v>0</v>
          </cell>
          <cell r="T31">
            <v>17238</v>
          </cell>
          <cell r="U31">
            <v>0</v>
          </cell>
          <cell r="V31">
            <v>0</v>
          </cell>
          <cell r="W31">
            <v>0</v>
          </cell>
          <cell r="X31" t="str">
            <v/>
          </cell>
          <cell r="Y31" t="str">
            <v/>
          </cell>
          <cell r="Z31" t="str">
            <v/>
          </cell>
          <cell r="AA31" t="str">
            <v/>
          </cell>
          <cell r="AB31" t="str">
            <v/>
          </cell>
          <cell r="AC31" t="str">
            <v/>
          </cell>
          <cell r="AD31" t="str">
            <v/>
          </cell>
          <cell r="AE31" t="str">
            <v/>
          </cell>
          <cell r="AF31" t="str">
            <v>⑫</v>
          </cell>
          <cell r="AG31" t="str">
            <v/>
          </cell>
          <cell r="AH31" t="str">
            <v/>
          </cell>
          <cell r="AI31" t="str">
            <v/>
          </cell>
        </row>
        <row r="32">
          <cell r="B32">
            <v>131</v>
          </cell>
          <cell r="C32">
            <v>1</v>
          </cell>
          <cell r="D32">
            <v>31</v>
          </cell>
          <cell r="F32" t="str">
            <v>札幌</v>
          </cell>
          <cell r="G32" t="str">
            <v>害虫駆除</v>
          </cell>
          <cell r="H32" t="str">
            <v>にっかん</v>
          </cell>
          <cell r="I32">
            <v>103500</v>
          </cell>
          <cell r="J32">
            <v>113850</v>
          </cell>
          <cell r="K32">
            <v>2</v>
          </cell>
          <cell r="L32">
            <v>0</v>
          </cell>
          <cell r="M32">
            <v>113850</v>
          </cell>
          <cell r="N32">
            <v>0</v>
          </cell>
          <cell r="O32">
            <v>0</v>
          </cell>
          <cell r="P32">
            <v>0</v>
          </cell>
          <cell r="Q32">
            <v>0</v>
          </cell>
          <cell r="R32">
            <v>0</v>
          </cell>
          <cell r="S32">
            <v>113850</v>
          </cell>
          <cell r="T32">
            <v>0</v>
          </cell>
          <cell r="U32">
            <v>0</v>
          </cell>
          <cell r="V32">
            <v>0</v>
          </cell>
          <cell r="W32">
            <v>0</v>
          </cell>
          <cell r="X32" t="str">
            <v/>
          </cell>
          <cell r="Y32" t="str">
            <v>⑤</v>
          </cell>
          <cell r="Z32" t="str">
            <v/>
          </cell>
          <cell r="AA32" t="str">
            <v/>
          </cell>
          <cell r="AB32" t="str">
            <v/>
          </cell>
          <cell r="AC32" t="str">
            <v/>
          </cell>
          <cell r="AD32" t="str">
            <v/>
          </cell>
          <cell r="AE32" t="str">
            <v>⑪</v>
          </cell>
          <cell r="AF32" t="str">
            <v/>
          </cell>
          <cell r="AG32" t="str">
            <v/>
          </cell>
          <cell r="AH32" t="str">
            <v/>
          </cell>
          <cell r="AI32" t="str">
            <v/>
          </cell>
        </row>
        <row r="33">
          <cell r="B33">
            <v>132</v>
          </cell>
          <cell r="C33">
            <v>1</v>
          </cell>
          <cell r="D33">
            <v>32</v>
          </cell>
          <cell r="F33" t="str">
            <v>札幌</v>
          </cell>
          <cell r="G33" t="str">
            <v>汚水･雑排水槽清掃</v>
          </cell>
          <cell r="H33" t="str">
            <v>札幌東管サービス</v>
          </cell>
          <cell r="I33">
            <v>120000</v>
          </cell>
          <cell r="J33">
            <v>134400</v>
          </cell>
          <cell r="K33">
            <v>2</v>
          </cell>
          <cell r="L33">
            <v>0</v>
          </cell>
          <cell r="M33">
            <v>134400</v>
          </cell>
          <cell r="N33">
            <v>0</v>
          </cell>
          <cell r="O33">
            <v>0</v>
          </cell>
          <cell r="P33">
            <v>0</v>
          </cell>
          <cell r="Q33">
            <v>0</v>
          </cell>
          <cell r="R33">
            <v>0</v>
          </cell>
          <cell r="S33">
            <v>134400</v>
          </cell>
          <cell r="T33">
            <v>0</v>
          </cell>
          <cell r="U33">
            <v>0</v>
          </cell>
          <cell r="V33">
            <v>0</v>
          </cell>
          <cell r="W33">
            <v>0</v>
          </cell>
          <cell r="X33" t="str">
            <v/>
          </cell>
          <cell r="Y33" t="str">
            <v>⑤</v>
          </cell>
          <cell r="Z33" t="str">
            <v/>
          </cell>
          <cell r="AA33" t="str">
            <v/>
          </cell>
          <cell r="AB33" t="str">
            <v/>
          </cell>
          <cell r="AC33" t="str">
            <v/>
          </cell>
          <cell r="AD33" t="str">
            <v/>
          </cell>
          <cell r="AE33" t="str">
            <v>⑪</v>
          </cell>
          <cell r="AF33" t="str">
            <v/>
          </cell>
          <cell r="AG33" t="str">
            <v/>
          </cell>
          <cell r="AH33" t="str">
            <v/>
          </cell>
          <cell r="AI33" t="str">
            <v/>
          </cell>
        </row>
        <row r="34">
          <cell r="B34">
            <v>133</v>
          </cell>
          <cell r="C34">
            <v>1</v>
          </cell>
          <cell r="D34">
            <v>33</v>
          </cell>
          <cell r="F34" t="str">
            <v>札幌</v>
          </cell>
          <cell r="G34" t="str">
            <v>受水槽清掃(含む高架水槽)</v>
          </cell>
          <cell r="H34" t="str">
            <v>札幌東管サービス</v>
          </cell>
          <cell r="I34">
            <v>239200</v>
          </cell>
          <cell r="J34">
            <v>270296</v>
          </cell>
          <cell r="K34">
            <v>1</v>
          </cell>
          <cell r="L34">
            <v>0</v>
          </cell>
          <cell r="M34">
            <v>0</v>
          </cell>
          <cell r="N34">
            <v>0</v>
          </cell>
          <cell r="O34">
            <v>0</v>
          </cell>
          <cell r="P34">
            <v>270296</v>
          </cell>
          <cell r="Q34">
            <v>0</v>
          </cell>
          <cell r="R34">
            <v>0</v>
          </cell>
          <cell r="S34">
            <v>0</v>
          </cell>
          <cell r="T34">
            <v>0</v>
          </cell>
          <cell r="U34">
            <v>0</v>
          </cell>
          <cell r="V34">
            <v>0</v>
          </cell>
          <cell r="W34">
            <v>0</v>
          </cell>
          <cell r="X34" t="str">
            <v/>
          </cell>
          <cell r="Y34" t="str">
            <v/>
          </cell>
          <cell r="Z34" t="str">
            <v/>
          </cell>
          <cell r="AA34" t="str">
            <v/>
          </cell>
          <cell r="AB34" t="str">
            <v>⑧</v>
          </cell>
          <cell r="AC34" t="str">
            <v/>
          </cell>
          <cell r="AD34" t="str">
            <v/>
          </cell>
          <cell r="AE34" t="str">
            <v/>
          </cell>
          <cell r="AF34" t="str">
            <v/>
          </cell>
          <cell r="AG34" t="str">
            <v/>
          </cell>
          <cell r="AH34" t="str">
            <v/>
          </cell>
          <cell r="AI34" t="str">
            <v/>
          </cell>
        </row>
        <row r="35">
          <cell r="B35">
            <v>134</v>
          </cell>
          <cell r="C35">
            <v>1</v>
          </cell>
          <cell r="D35">
            <v>34</v>
          </cell>
          <cell r="F35" t="str">
            <v>札幌</v>
          </cell>
          <cell r="G35" t="str">
            <v>オートドア設備保守</v>
          </cell>
          <cell r="H35" t="str">
            <v>東日本寺岡オートドア</v>
          </cell>
          <cell r="I35">
            <v>142500</v>
          </cell>
          <cell r="J35">
            <v>145350</v>
          </cell>
          <cell r="K35">
            <v>2</v>
          </cell>
          <cell r="L35">
            <v>145350</v>
          </cell>
          <cell r="M35">
            <v>0</v>
          </cell>
          <cell r="N35">
            <v>0</v>
          </cell>
          <cell r="O35">
            <v>0</v>
          </cell>
          <cell r="P35">
            <v>145350</v>
          </cell>
          <cell r="Q35">
            <v>0</v>
          </cell>
          <cell r="R35">
            <v>0</v>
          </cell>
          <cell r="S35">
            <v>0</v>
          </cell>
          <cell r="T35">
            <v>0</v>
          </cell>
          <cell r="U35">
            <v>0</v>
          </cell>
          <cell r="V35">
            <v>0</v>
          </cell>
          <cell r="W35">
            <v>0</v>
          </cell>
          <cell r="X35" t="str">
            <v>④</v>
          </cell>
          <cell r="Y35" t="str">
            <v/>
          </cell>
          <cell r="Z35" t="str">
            <v/>
          </cell>
          <cell r="AA35" t="str">
            <v/>
          </cell>
          <cell r="AB35" t="str">
            <v>⑧</v>
          </cell>
          <cell r="AC35" t="str">
            <v/>
          </cell>
          <cell r="AD35" t="str">
            <v/>
          </cell>
          <cell r="AE35" t="str">
            <v/>
          </cell>
          <cell r="AF35" t="str">
            <v/>
          </cell>
          <cell r="AG35" t="str">
            <v/>
          </cell>
          <cell r="AH35" t="str">
            <v/>
          </cell>
          <cell r="AI35" t="str">
            <v/>
          </cell>
        </row>
        <row r="36">
          <cell r="B36">
            <v>135</v>
          </cell>
          <cell r="C36">
            <v>1</v>
          </cell>
          <cell r="D36">
            <v>35</v>
          </cell>
          <cell r="F36" t="str">
            <v>札幌</v>
          </cell>
          <cell r="G36" t="str">
            <v>自動制御機器設備保守</v>
          </cell>
          <cell r="H36" t="str">
            <v>高砂熱学工業</v>
          </cell>
          <cell r="I36">
            <v>500000</v>
          </cell>
          <cell r="J36">
            <v>522600</v>
          </cell>
          <cell r="K36">
            <v>1</v>
          </cell>
          <cell r="L36">
            <v>0</v>
          </cell>
          <cell r="M36">
            <v>0</v>
          </cell>
          <cell r="N36">
            <v>0</v>
          </cell>
          <cell r="O36">
            <v>0</v>
          </cell>
          <cell r="P36">
            <v>522600</v>
          </cell>
          <cell r="Q36">
            <v>0</v>
          </cell>
          <cell r="R36">
            <v>0</v>
          </cell>
          <cell r="S36">
            <v>0</v>
          </cell>
          <cell r="T36">
            <v>0</v>
          </cell>
          <cell r="U36">
            <v>0</v>
          </cell>
          <cell r="V36">
            <v>0</v>
          </cell>
          <cell r="W36">
            <v>0</v>
          </cell>
          <cell r="X36" t="str">
            <v/>
          </cell>
          <cell r="Y36" t="str">
            <v/>
          </cell>
          <cell r="Z36" t="str">
            <v/>
          </cell>
          <cell r="AA36" t="str">
            <v/>
          </cell>
          <cell r="AB36" t="str">
            <v>⑧</v>
          </cell>
          <cell r="AC36" t="str">
            <v/>
          </cell>
          <cell r="AD36" t="str">
            <v/>
          </cell>
          <cell r="AE36" t="str">
            <v/>
          </cell>
          <cell r="AF36" t="str">
            <v/>
          </cell>
          <cell r="AG36" t="str">
            <v/>
          </cell>
          <cell r="AH36" t="str">
            <v/>
          </cell>
          <cell r="AI36" t="str">
            <v/>
          </cell>
          <cell r="AJ36" t="str">
            <v>変</v>
          </cell>
        </row>
        <row r="37">
          <cell r="B37">
            <v>136</v>
          </cell>
          <cell r="C37">
            <v>1</v>
          </cell>
          <cell r="D37">
            <v>36</v>
          </cell>
          <cell r="F37" t="str">
            <v>札幌</v>
          </cell>
          <cell r="G37" t="str">
            <v>吸収式冷凍機設備保守</v>
          </cell>
          <cell r="H37" t="str">
            <v>東洋製作所</v>
          </cell>
          <cell r="I37">
            <v>208000</v>
          </cell>
          <cell r="J37">
            <v>212160</v>
          </cell>
          <cell r="K37">
            <v>3</v>
          </cell>
          <cell r="L37">
            <v>0</v>
          </cell>
          <cell r="M37">
            <v>0</v>
          </cell>
          <cell r="N37">
            <v>0</v>
          </cell>
          <cell r="O37">
            <v>212160</v>
          </cell>
          <cell r="P37">
            <v>0</v>
          </cell>
          <cell r="Q37">
            <v>0</v>
          </cell>
          <cell r="R37">
            <v>212160</v>
          </cell>
          <cell r="S37">
            <v>0</v>
          </cell>
          <cell r="T37">
            <v>0</v>
          </cell>
          <cell r="U37">
            <v>0</v>
          </cell>
          <cell r="V37">
            <v>0</v>
          </cell>
          <cell r="W37">
            <v>212160</v>
          </cell>
          <cell r="X37" t="str">
            <v/>
          </cell>
          <cell r="Y37" t="str">
            <v/>
          </cell>
          <cell r="Z37" t="str">
            <v/>
          </cell>
          <cell r="AA37" t="str">
            <v>⑦</v>
          </cell>
          <cell r="AB37" t="str">
            <v/>
          </cell>
          <cell r="AC37" t="str">
            <v/>
          </cell>
          <cell r="AD37" t="str">
            <v>⑩</v>
          </cell>
          <cell r="AE37" t="str">
            <v/>
          </cell>
          <cell r="AF37" t="str">
            <v/>
          </cell>
          <cell r="AG37" t="str">
            <v/>
          </cell>
          <cell r="AH37" t="str">
            <v/>
          </cell>
          <cell r="AI37" t="str">
            <v>③</v>
          </cell>
        </row>
        <row r="38">
          <cell r="B38">
            <v>137</v>
          </cell>
          <cell r="C38">
            <v>1</v>
          </cell>
          <cell r="D38">
            <v>37</v>
          </cell>
          <cell r="F38" t="str">
            <v>札幌</v>
          </cell>
          <cell r="G38" t="str">
            <v>圧縮式冷凍機設備保守</v>
          </cell>
          <cell r="H38" t="str">
            <v>東洋製作所</v>
          </cell>
          <cell r="I38">
            <v>83200</v>
          </cell>
          <cell r="J38">
            <v>84864</v>
          </cell>
          <cell r="K38">
            <v>3</v>
          </cell>
          <cell r="L38">
            <v>0</v>
          </cell>
          <cell r="M38">
            <v>0</v>
          </cell>
          <cell r="N38">
            <v>0</v>
          </cell>
          <cell r="O38">
            <v>84864</v>
          </cell>
          <cell r="P38">
            <v>0</v>
          </cell>
          <cell r="Q38">
            <v>0</v>
          </cell>
          <cell r="R38">
            <v>84864</v>
          </cell>
          <cell r="S38">
            <v>0</v>
          </cell>
          <cell r="T38">
            <v>0</v>
          </cell>
          <cell r="U38">
            <v>0</v>
          </cell>
          <cell r="V38">
            <v>0</v>
          </cell>
          <cell r="W38">
            <v>84864</v>
          </cell>
          <cell r="X38" t="str">
            <v/>
          </cell>
          <cell r="Y38" t="str">
            <v/>
          </cell>
          <cell r="Z38" t="str">
            <v/>
          </cell>
          <cell r="AA38" t="str">
            <v>⑦</v>
          </cell>
          <cell r="AB38" t="str">
            <v/>
          </cell>
          <cell r="AC38" t="str">
            <v/>
          </cell>
          <cell r="AD38" t="str">
            <v>⑩</v>
          </cell>
          <cell r="AE38" t="str">
            <v/>
          </cell>
          <cell r="AF38" t="str">
            <v/>
          </cell>
          <cell r="AG38" t="str">
            <v/>
          </cell>
          <cell r="AH38" t="str">
            <v/>
          </cell>
          <cell r="AI38" t="str">
            <v>③</v>
          </cell>
        </row>
        <row r="39">
          <cell r="B39">
            <v>138</v>
          </cell>
          <cell r="C39">
            <v>1</v>
          </cell>
          <cell r="D39">
            <v>38</v>
          </cell>
          <cell r="F39" t="str">
            <v>札幌</v>
          </cell>
          <cell r="G39" t="str">
            <v>駐車場管制装置点検整備</v>
          </cell>
          <cell r="H39" t="str">
            <v>東光デンキ工事</v>
          </cell>
          <cell r="I39">
            <v>85000</v>
          </cell>
          <cell r="J39">
            <v>97750</v>
          </cell>
          <cell r="K39">
            <v>1</v>
          </cell>
          <cell r="L39">
            <v>0</v>
          </cell>
          <cell r="M39">
            <v>0</v>
          </cell>
          <cell r="N39">
            <v>0</v>
          </cell>
          <cell r="O39">
            <v>0</v>
          </cell>
          <cell r="P39">
            <v>0</v>
          </cell>
          <cell r="Q39">
            <v>0</v>
          </cell>
          <cell r="R39">
            <v>0</v>
          </cell>
          <cell r="S39">
            <v>97750</v>
          </cell>
          <cell r="T39">
            <v>0</v>
          </cell>
          <cell r="U39">
            <v>0</v>
          </cell>
          <cell r="V39">
            <v>0</v>
          </cell>
          <cell r="W39">
            <v>0</v>
          </cell>
          <cell r="X39" t="str">
            <v/>
          </cell>
          <cell r="Y39" t="str">
            <v/>
          </cell>
          <cell r="Z39" t="str">
            <v/>
          </cell>
          <cell r="AA39" t="str">
            <v/>
          </cell>
          <cell r="AB39" t="str">
            <v/>
          </cell>
          <cell r="AC39" t="str">
            <v/>
          </cell>
          <cell r="AD39" t="str">
            <v/>
          </cell>
          <cell r="AE39" t="str">
            <v>⑪</v>
          </cell>
          <cell r="AF39" t="str">
            <v/>
          </cell>
          <cell r="AG39" t="str">
            <v/>
          </cell>
          <cell r="AH39" t="str">
            <v/>
          </cell>
          <cell r="AI39" t="str">
            <v/>
          </cell>
        </row>
        <row r="40">
          <cell r="B40">
            <v>139</v>
          </cell>
          <cell r="C40">
            <v>1</v>
          </cell>
          <cell r="D40">
            <v>39</v>
          </cell>
          <cell r="F40" t="str">
            <v>札幌</v>
          </cell>
          <cell r="G40" t="str">
            <v>電光温度計点検整備</v>
          </cell>
          <cell r="H40" t="str">
            <v>エムイシー丸和</v>
          </cell>
          <cell r="I40">
            <v>95000</v>
          </cell>
          <cell r="J40">
            <v>109250</v>
          </cell>
          <cell r="K40">
            <v>1</v>
          </cell>
          <cell r="L40">
            <v>0</v>
          </cell>
          <cell r="M40">
            <v>0</v>
          </cell>
          <cell r="N40">
            <v>0</v>
          </cell>
          <cell r="O40">
            <v>0</v>
          </cell>
          <cell r="P40">
            <v>0</v>
          </cell>
          <cell r="Q40">
            <v>0</v>
          </cell>
          <cell r="R40">
            <v>109250</v>
          </cell>
          <cell r="S40">
            <v>0</v>
          </cell>
          <cell r="T40">
            <v>0</v>
          </cell>
          <cell r="U40">
            <v>0</v>
          </cell>
          <cell r="V40">
            <v>0</v>
          </cell>
          <cell r="W40">
            <v>0</v>
          </cell>
          <cell r="X40" t="str">
            <v/>
          </cell>
          <cell r="Y40" t="str">
            <v/>
          </cell>
          <cell r="Z40" t="str">
            <v/>
          </cell>
          <cell r="AA40" t="str">
            <v/>
          </cell>
          <cell r="AB40" t="str">
            <v/>
          </cell>
          <cell r="AC40" t="str">
            <v/>
          </cell>
          <cell r="AD40" t="str">
            <v>⑩</v>
          </cell>
          <cell r="AE40" t="str">
            <v/>
          </cell>
          <cell r="AF40" t="str">
            <v/>
          </cell>
          <cell r="AG40" t="str">
            <v/>
          </cell>
          <cell r="AH40" t="str">
            <v/>
          </cell>
          <cell r="AI40" t="str">
            <v/>
          </cell>
          <cell r="AJ40" t="str">
            <v>追</v>
          </cell>
        </row>
        <row r="41">
          <cell r="B41">
            <v>140</v>
          </cell>
          <cell r="C41">
            <v>1</v>
          </cell>
          <cell r="D41">
            <v>40</v>
          </cell>
          <cell r="F41" t="str">
            <v>札幌</v>
          </cell>
          <cell r="G41" t="str">
            <v>ﾌｨﾙﾀｰ交換･洗浄</v>
          </cell>
          <cell r="H41" t="str">
            <v>モリミツ</v>
          </cell>
          <cell r="I41">
            <v>97500</v>
          </cell>
          <cell r="J41">
            <v>112125</v>
          </cell>
          <cell r="K41">
            <v>4</v>
          </cell>
          <cell r="L41">
            <v>0</v>
          </cell>
          <cell r="M41">
            <v>112125</v>
          </cell>
          <cell r="N41">
            <v>0</v>
          </cell>
          <cell r="O41">
            <v>0</v>
          </cell>
          <cell r="P41">
            <v>112125</v>
          </cell>
          <cell r="Q41">
            <v>0</v>
          </cell>
          <cell r="R41">
            <v>0</v>
          </cell>
          <cell r="S41">
            <v>112125</v>
          </cell>
          <cell r="T41">
            <v>0</v>
          </cell>
          <cell r="U41">
            <v>0</v>
          </cell>
          <cell r="V41">
            <v>112125</v>
          </cell>
          <cell r="W41">
            <v>0</v>
          </cell>
          <cell r="Y41" t="str">
            <v>⑤</v>
          </cell>
          <cell r="AB41" t="str">
            <v>⑧</v>
          </cell>
          <cell r="AE41" t="str">
            <v>⑪</v>
          </cell>
          <cell r="AH41" t="str">
            <v>②</v>
          </cell>
          <cell r="AJ41" t="str">
            <v>追</v>
          </cell>
        </row>
        <row r="42">
          <cell r="B42">
            <v>141</v>
          </cell>
          <cell r="C42">
            <v>1</v>
          </cell>
          <cell r="D42">
            <v>41</v>
          </cell>
          <cell r="F42" t="str">
            <v>札幌</v>
          </cell>
          <cell r="G42" t="str">
            <v>全熱交換器用ﾌｨﾙﾀｰ洗浄</v>
          </cell>
          <cell r="H42" t="str">
            <v>モリミツ</v>
          </cell>
          <cell r="I42">
            <v>57000</v>
          </cell>
          <cell r="J42">
            <v>65550</v>
          </cell>
          <cell r="K42">
            <v>8</v>
          </cell>
          <cell r="L42">
            <v>65550</v>
          </cell>
          <cell r="M42">
            <v>0</v>
          </cell>
          <cell r="N42">
            <v>65550</v>
          </cell>
          <cell r="O42">
            <v>65550</v>
          </cell>
          <cell r="P42">
            <v>0</v>
          </cell>
          <cell r="Q42">
            <v>65550</v>
          </cell>
          <cell r="R42">
            <v>65550</v>
          </cell>
          <cell r="S42">
            <v>0</v>
          </cell>
          <cell r="T42">
            <v>65550</v>
          </cell>
          <cell r="U42">
            <v>65550</v>
          </cell>
          <cell r="V42">
            <v>0</v>
          </cell>
          <cell r="W42">
            <v>65550</v>
          </cell>
          <cell r="X42" t="str">
            <v>④</v>
          </cell>
          <cell r="Z42" t="str">
            <v>⑥</v>
          </cell>
          <cell r="AA42" t="str">
            <v>⑦</v>
          </cell>
          <cell r="AC42" t="str">
            <v>⑨</v>
          </cell>
          <cell r="AD42" t="str">
            <v>⑩</v>
          </cell>
          <cell r="AF42" t="str">
            <v>⑫</v>
          </cell>
          <cell r="AG42" t="str">
            <v>①</v>
          </cell>
          <cell r="AI42" t="str">
            <v>③</v>
          </cell>
          <cell r="AJ42" t="str">
            <v>追</v>
          </cell>
        </row>
        <row r="43">
          <cell r="B43">
            <v>142</v>
          </cell>
          <cell r="C43">
            <v>1</v>
          </cell>
          <cell r="D43">
            <v>42</v>
          </cell>
          <cell r="F43" t="str">
            <v>札幌</v>
          </cell>
          <cell r="G43" t="str">
            <v>冷却塔点検整備</v>
          </cell>
          <cell r="H43" t="str">
            <v>荏原サービス</v>
          </cell>
          <cell r="I43">
            <v>94400</v>
          </cell>
          <cell r="J43">
            <v>108560</v>
          </cell>
          <cell r="K43">
            <v>1</v>
          </cell>
          <cell r="L43">
            <v>0</v>
          </cell>
          <cell r="M43">
            <v>108560</v>
          </cell>
          <cell r="N43">
            <v>0</v>
          </cell>
          <cell r="O43">
            <v>0</v>
          </cell>
          <cell r="P43">
            <v>0</v>
          </cell>
          <cell r="Q43">
            <v>0</v>
          </cell>
          <cell r="R43">
            <v>0</v>
          </cell>
          <cell r="S43">
            <v>0</v>
          </cell>
          <cell r="T43">
            <v>0</v>
          </cell>
          <cell r="U43">
            <v>0</v>
          </cell>
          <cell r="V43">
            <v>0</v>
          </cell>
          <cell r="W43">
            <v>0</v>
          </cell>
          <cell r="X43" t="str">
            <v/>
          </cell>
          <cell r="Y43" t="str">
            <v>⑤</v>
          </cell>
          <cell r="Z43" t="str">
            <v/>
          </cell>
          <cell r="AA43" t="str">
            <v/>
          </cell>
          <cell r="AB43" t="str">
            <v/>
          </cell>
          <cell r="AC43" t="str">
            <v/>
          </cell>
          <cell r="AD43" t="str">
            <v/>
          </cell>
          <cell r="AE43" t="str">
            <v/>
          </cell>
          <cell r="AF43" t="str">
            <v/>
          </cell>
          <cell r="AG43" t="str">
            <v/>
          </cell>
          <cell r="AH43" t="str">
            <v/>
          </cell>
          <cell r="AI43" t="str">
            <v/>
          </cell>
          <cell r="AJ43" t="str">
            <v>追</v>
          </cell>
        </row>
        <row r="44">
          <cell r="B44">
            <v>143</v>
          </cell>
          <cell r="C44">
            <v>1</v>
          </cell>
          <cell r="D44">
            <v>43</v>
          </cell>
          <cell r="F44" t="str">
            <v>札幌</v>
          </cell>
          <cell r="G44" t="str">
            <v>送排風機点検整備</v>
          </cell>
          <cell r="H44" t="str">
            <v>高砂熱学工業</v>
          </cell>
          <cell r="I44">
            <v>350000</v>
          </cell>
          <cell r="J44">
            <v>402500</v>
          </cell>
          <cell r="K44">
            <v>1</v>
          </cell>
          <cell r="L44">
            <v>0</v>
          </cell>
          <cell r="M44">
            <v>0</v>
          </cell>
          <cell r="N44">
            <v>0</v>
          </cell>
          <cell r="O44">
            <v>0</v>
          </cell>
          <cell r="P44">
            <v>0</v>
          </cell>
          <cell r="Q44">
            <v>0</v>
          </cell>
          <cell r="R44">
            <v>402500</v>
          </cell>
          <cell r="S44">
            <v>0</v>
          </cell>
          <cell r="T44">
            <v>0</v>
          </cell>
          <cell r="U44">
            <v>0</v>
          </cell>
          <cell r="V44">
            <v>0</v>
          </cell>
          <cell r="W44">
            <v>0</v>
          </cell>
          <cell r="X44" t="str">
            <v/>
          </cell>
          <cell r="Y44" t="str">
            <v/>
          </cell>
          <cell r="Z44" t="str">
            <v/>
          </cell>
          <cell r="AA44" t="str">
            <v/>
          </cell>
          <cell r="AB44" t="str">
            <v/>
          </cell>
          <cell r="AC44" t="str">
            <v/>
          </cell>
          <cell r="AD44" t="str">
            <v>⑩</v>
          </cell>
          <cell r="AE44" t="str">
            <v/>
          </cell>
          <cell r="AF44" t="str">
            <v/>
          </cell>
          <cell r="AH44" t="str">
            <v/>
          </cell>
          <cell r="AI44" t="str">
            <v/>
          </cell>
          <cell r="AJ44" t="str">
            <v>追</v>
          </cell>
        </row>
        <row r="45">
          <cell r="B45">
            <v>144</v>
          </cell>
          <cell r="C45">
            <v>1</v>
          </cell>
          <cell r="D45">
            <v>44</v>
          </cell>
          <cell r="F45" t="str">
            <v>札幌</v>
          </cell>
          <cell r="G45" t="str">
            <v>外気処理機電気集塵機整備</v>
          </cell>
          <cell r="H45" t="str">
            <v>高砂熱学工業</v>
          </cell>
          <cell r="I45">
            <v>200000</v>
          </cell>
          <cell r="J45">
            <v>230000</v>
          </cell>
          <cell r="K45">
            <v>1</v>
          </cell>
          <cell r="L45">
            <v>0</v>
          </cell>
          <cell r="M45">
            <v>0</v>
          </cell>
          <cell r="N45">
            <v>0</v>
          </cell>
          <cell r="O45">
            <v>0</v>
          </cell>
          <cell r="P45">
            <v>0</v>
          </cell>
          <cell r="Q45">
            <v>0</v>
          </cell>
          <cell r="R45">
            <v>0</v>
          </cell>
          <cell r="S45">
            <v>0</v>
          </cell>
          <cell r="T45">
            <v>0</v>
          </cell>
          <cell r="U45">
            <v>0</v>
          </cell>
          <cell r="V45">
            <v>230000</v>
          </cell>
          <cell r="W45">
            <v>0</v>
          </cell>
          <cell r="X45" t="str">
            <v/>
          </cell>
          <cell r="Y45" t="str">
            <v/>
          </cell>
          <cell r="Z45" t="str">
            <v/>
          </cell>
          <cell r="AA45" t="str">
            <v/>
          </cell>
          <cell r="AB45" t="str">
            <v/>
          </cell>
          <cell r="AC45" t="str">
            <v/>
          </cell>
          <cell r="AD45" t="str">
            <v/>
          </cell>
          <cell r="AE45" t="str">
            <v/>
          </cell>
          <cell r="AF45" t="str">
            <v/>
          </cell>
          <cell r="AG45" t="str">
            <v/>
          </cell>
          <cell r="AH45" t="str">
            <v>②</v>
          </cell>
          <cell r="AI45" t="str">
            <v/>
          </cell>
          <cell r="AJ45" t="str">
            <v>追</v>
          </cell>
        </row>
        <row r="46">
          <cell r="B46">
            <v>145</v>
          </cell>
          <cell r="C46">
            <v>1</v>
          </cell>
          <cell r="D46">
            <v>45</v>
          </cell>
          <cell r="F46" t="str">
            <v>札幌</v>
          </cell>
          <cell r="G46" t="str">
            <v>店舗送排風機点検整備</v>
          </cell>
          <cell r="H46" t="str">
            <v>高砂熱学工業</v>
          </cell>
          <cell r="I46">
            <v>110000</v>
          </cell>
          <cell r="J46">
            <v>126500</v>
          </cell>
          <cell r="K46">
            <v>1</v>
          </cell>
          <cell r="L46">
            <v>0</v>
          </cell>
          <cell r="M46">
            <v>0</v>
          </cell>
          <cell r="N46">
            <v>0</v>
          </cell>
          <cell r="O46">
            <v>0</v>
          </cell>
          <cell r="P46">
            <v>0</v>
          </cell>
          <cell r="Q46">
            <v>0</v>
          </cell>
          <cell r="R46">
            <v>126500</v>
          </cell>
          <cell r="S46">
            <v>0</v>
          </cell>
          <cell r="T46">
            <v>0</v>
          </cell>
          <cell r="U46">
            <v>0</v>
          </cell>
          <cell r="V46">
            <v>0</v>
          </cell>
          <cell r="W46">
            <v>0</v>
          </cell>
          <cell r="X46" t="str">
            <v/>
          </cell>
          <cell r="Y46" t="str">
            <v/>
          </cell>
          <cell r="Z46" t="str">
            <v/>
          </cell>
          <cell r="AA46" t="str">
            <v/>
          </cell>
          <cell r="AB46" t="str">
            <v/>
          </cell>
          <cell r="AC46" t="str">
            <v/>
          </cell>
          <cell r="AD46" t="str">
            <v>⑩</v>
          </cell>
          <cell r="AE46" t="str">
            <v/>
          </cell>
          <cell r="AF46" t="str">
            <v/>
          </cell>
          <cell r="AH46" t="str">
            <v/>
          </cell>
          <cell r="AI46" t="str">
            <v/>
          </cell>
          <cell r="AJ46" t="str">
            <v>追</v>
          </cell>
        </row>
        <row r="47">
          <cell r="B47">
            <v>146</v>
          </cell>
          <cell r="C47">
            <v>1</v>
          </cell>
          <cell r="D47">
            <v>46</v>
          </cell>
          <cell r="F47" t="str">
            <v>札幌</v>
          </cell>
          <cell r="G47" t="str">
            <v>ファンコイル点検整備</v>
          </cell>
          <cell r="H47" t="str">
            <v>高砂熱学工業</v>
          </cell>
          <cell r="I47">
            <v>620000</v>
          </cell>
          <cell r="J47">
            <v>713000</v>
          </cell>
          <cell r="K47">
            <v>1</v>
          </cell>
          <cell r="L47">
            <v>0</v>
          </cell>
          <cell r="M47">
            <v>0</v>
          </cell>
          <cell r="N47">
            <v>0</v>
          </cell>
          <cell r="O47">
            <v>0</v>
          </cell>
          <cell r="P47">
            <v>0</v>
          </cell>
          <cell r="Q47">
            <v>0</v>
          </cell>
          <cell r="R47">
            <v>713000</v>
          </cell>
          <cell r="S47">
            <v>0</v>
          </cell>
          <cell r="T47">
            <v>0</v>
          </cell>
          <cell r="U47">
            <v>0</v>
          </cell>
          <cell r="V47">
            <v>0</v>
          </cell>
          <cell r="W47">
            <v>0</v>
          </cell>
          <cell r="X47" t="str">
            <v/>
          </cell>
          <cell r="Y47" t="str">
            <v/>
          </cell>
          <cell r="Z47" t="str">
            <v/>
          </cell>
          <cell r="AA47" t="str">
            <v/>
          </cell>
          <cell r="AB47" t="str">
            <v/>
          </cell>
          <cell r="AC47" t="str">
            <v/>
          </cell>
          <cell r="AD47" t="str">
            <v>⑩</v>
          </cell>
          <cell r="AE47" t="str">
            <v/>
          </cell>
          <cell r="AF47" t="str">
            <v/>
          </cell>
          <cell r="AG47" t="str">
            <v/>
          </cell>
          <cell r="AH47" t="str">
            <v/>
          </cell>
          <cell r="AI47" t="str">
            <v/>
          </cell>
          <cell r="AJ47" t="str">
            <v>追</v>
          </cell>
        </row>
        <row r="48">
          <cell r="B48">
            <v>147</v>
          </cell>
          <cell r="C48">
            <v>1</v>
          </cell>
          <cell r="D48">
            <v>47</v>
          </cell>
          <cell r="F48" t="str">
            <v>札幌</v>
          </cell>
          <cell r="G48" t="str">
            <v>ﾊﾟｯｹｰｼﾞエアコン点検整備</v>
          </cell>
          <cell r="H48" t="str">
            <v>高砂熱学工業</v>
          </cell>
          <cell r="I48">
            <v>300000</v>
          </cell>
          <cell r="J48">
            <v>345000</v>
          </cell>
          <cell r="K48">
            <v>1</v>
          </cell>
          <cell r="L48">
            <v>0</v>
          </cell>
          <cell r="M48">
            <v>0</v>
          </cell>
          <cell r="N48">
            <v>0</v>
          </cell>
          <cell r="O48">
            <v>0</v>
          </cell>
          <cell r="P48">
            <v>345000</v>
          </cell>
          <cell r="Q48">
            <v>0</v>
          </cell>
          <cell r="R48">
            <v>0</v>
          </cell>
          <cell r="S48">
            <v>0</v>
          </cell>
          <cell r="T48">
            <v>0</v>
          </cell>
          <cell r="U48">
            <v>0</v>
          </cell>
          <cell r="V48">
            <v>0</v>
          </cell>
          <cell r="W48">
            <v>0</v>
          </cell>
          <cell r="X48" t="str">
            <v/>
          </cell>
          <cell r="Y48" t="str">
            <v/>
          </cell>
          <cell r="Z48" t="str">
            <v/>
          </cell>
          <cell r="AA48" t="str">
            <v/>
          </cell>
          <cell r="AB48" t="str">
            <v>⑧</v>
          </cell>
          <cell r="AC48" t="str">
            <v/>
          </cell>
          <cell r="AE48" t="str">
            <v/>
          </cell>
          <cell r="AF48" t="str">
            <v/>
          </cell>
          <cell r="AG48" t="str">
            <v/>
          </cell>
          <cell r="AH48" t="str">
            <v/>
          </cell>
          <cell r="AI48" t="str">
            <v/>
          </cell>
          <cell r="AJ48" t="str">
            <v>追</v>
          </cell>
        </row>
        <row r="49">
          <cell r="B49">
            <v>148</v>
          </cell>
          <cell r="C49">
            <v>1</v>
          </cell>
          <cell r="D49">
            <v>48</v>
          </cell>
          <cell r="F49" t="str">
            <v>札幌</v>
          </cell>
          <cell r="G49" t="str">
            <v>植栽管理(消毒･清掃)</v>
          </cell>
          <cell r="H49" t="str">
            <v>盤渓園</v>
          </cell>
          <cell r="I49">
            <v>20000</v>
          </cell>
          <cell r="J49">
            <v>23000</v>
          </cell>
          <cell r="K49">
            <v>2</v>
          </cell>
          <cell r="L49">
            <v>0</v>
          </cell>
          <cell r="M49">
            <v>23000</v>
          </cell>
          <cell r="N49">
            <v>0</v>
          </cell>
          <cell r="O49">
            <v>0</v>
          </cell>
          <cell r="P49">
            <v>0</v>
          </cell>
          <cell r="Q49">
            <v>23000</v>
          </cell>
          <cell r="R49">
            <v>0</v>
          </cell>
          <cell r="S49">
            <v>0</v>
          </cell>
          <cell r="T49">
            <v>0</v>
          </cell>
          <cell r="U49">
            <v>0</v>
          </cell>
          <cell r="V49">
            <v>0</v>
          </cell>
          <cell r="W49">
            <v>0</v>
          </cell>
          <cell r="X49" t="str">
            <v/>
          </cell>
          <cell r="Y49" t="str">
            <v>⑤</v>
          </cell>
          <cell r="AA49" t="str">
            <v/>
          </cell>
          <cell r="AB49" t="str">
            <v/>
          </cell>
          <cell r="AC49" t="str">
            <v>⑨</v>
          </cell>
          <cell r="AD49" t="str">
            <v/>
          </cell>
          <cell r="AE49" t="str">
            <v/>
          </cell>
          <cell r="AG49" t="str">
            <v/>
          </cell>
          <cell r="AH49" t="str">
            <v/>
          </cell>
          <cell r="AI49" t="str">
            <v/>
          </cell>
          <cell r="AJ49" t="str">
            <v>追</v>
          </cell>
        </row>
        <row r="50">
          <cell r="B50">
            <v>149</v>
          </cell>
          <cell r="C50">
            <v>1</v>
          </cell>
          <cell r="D50">
            <v>49</v>
          </cell>
          <cell r="F50" t="str">
            <v>札幌</v>
          </cell>
          <cell r="G50" t="str">
            <v>植栽管理(剪定)</v>
          </cell>
          <cell r="H50" t="str">
            <v>盤渓園</v>
          </cell>
          <cell r="I50">
            <v>30000</v>
          </cell>
          <cell r="J50">
            <v>34500</v>
          </cell>
          <cell r="K50">
            <v>1</v>
          </cell>
          <cell r="L50">
            <v>0</v>
          </cell>
          <cell r="M50">
            <v>0</v>
          </cell>
          <cell r="N50">
            <v>0</v>
          </cell>
          <cell r="O50">
            <v>34500</v>
          </cell>
          <cell r="P50">
            <v>0</v>
          </cell>
          <cell r="Q50">
            <v>0</v>
          </cell>
          <cell r="R50">
            <v>0</v>
          </cell>
          <cell r="S50">
            <v>0</v>
          </cell>
          <cell r="T50">
            <v>0</v>
          </cell>
          <cell r="U50">
            <v>0</v>
          </cell>
          <cell r="V50">
            <v>0</v>
          </cell>
          <cell r="W50">
            <v>0</v>
          </cell>
          <cell r="X50" t="str">
            <v/>
          </cell>
          <cell r="AA50" t="str">
            <v>⑦</v>
          </cell>
          <cell r="AB50" t="str">
            <v/>
          </cell>
          <cell r="AD50" t="str">
            <v/>
          </cell>
          <cell r="AE50" t="str">
            <v/>
          </cell>
          <cell r="AG50" t="str">
            <v/>
          </cell>
          <cell r="AH50" t="str">
            <v/>
          </cell>
          <cell r="AI50" t="str">
            <v/>
          </cell>
          <cell r="AJ50" t="str">
            <v>追</v>
          </cell>
        </row>
        <row r="51">
          <cell r="B51">
            <v>150</v>
          </cell>
          <cell r="C51">
            <v>1</v>
          </cell>
          <cell r="D51">
            <v>50</v>
          </cell>
          <cell r="F51" t="str">
            <v>札幌</v>
          </cell>
          <cell r="G51" t="str">
            <v>シャッター設備点検整備</v>
          </cell>
          <cell r="H51" t="str">
            <v>文化シャッター</v>
          </cell>
          <cell r="I51">
            <v>120000</v>
          </cell>
          <cell r="J51">
            <v>138000</v>
          </cell>
          <cell r="K51">
            <v>1</v>
          </cell>
          <cell r="L51">
            <v>0</v>
          </cell>
          <cell r="M51">
            <v>0</v>
          </cell>
          <cell r="N51">
            <v>138000</v>
          </cell>
          <cell r="O51">
            <v>0</v>
          </cell>
          <cell r="P51">
            <v>0</v>
          </cell>
          <cell r="Q51">
            <v>0</v>
          </cell>
          <cell r="R51">
            <v>0</v>
          </cell>
          <cell r="S51">
            <v>0</v>
          </cell>
          <cell r="T51">
            <v>0</v>
          </cell>
          <cell r="U51">
            <v>0</v>
          </cell>
          <cell r="V51">
            <v>0</v>
          </cell>
          <cell r="W51">
            <v>0</v>
          </cell>
          <cell r="X51" t="str">
            <v/>
          </cell>
          <cell r="Y51" t="str">
            <v/>
          </cell>
          <cell r="Z51" t="str">
            <v>⑥</v>
          </cell>
          <cell r="AB51" t="str">
            <v/>
          </cell>
          <cell r="AC51" t="str">
            <v/>
          </cell>
          <cell r="AD51" t="str">
            <v/>
          </cell>
          <cell r="AF51" t="str">
            <v/>
          </cell>
          <cell r="AG51" t="str">
            <v/>
          </cell>
          <cell r="AH51" t="str">
            <v/>
          </cell>
          <cell r="AI51" t="str">
            <v/>
          </cell>
          <cell r="AJ51" t="str">
            <v>追</v>
          </cell>
        </row>
        <row r="52">
          <cell r="B52">
            <v>151</v>
          </cell>
          <cell r="C52">
            <v>1</v>
          </cell>
          <cell r="D52">
            <v>51</v>
          </cell>
          <cell r="F52" t="str">
            <v>札幌</v>
          </cell>
          <cell r="G52" t="str">
            <v>電気湯沸器点検整備</v>
          </cell>
          <cell r="H52" t="str">
            <v>北海道イトミック</v>
          </cell>
          <cell r="I52">
            <v>133000</v>
          </cell>
          <cell r="J52">
            <v>152950</v>
          </cell>
          <cell r="K52">
            <v>1</v>
          </cell>
          <cell r="L52">
            <v>0</v>
          </cell>
          <cell r="M52">
            <v>0</v>
          </cell>
          <cell r="N52">
            <v>0</v>
          </cell>
          <cell r="O52">
            <v>0</v>
          </cell>
          <cell r="P52">
            <v>0</v>
          </cell>
          <cell r="Q52">
            <v>0</v>
          </cell>
          <cell r="R52">
            <v>152950</v>
          </cell>
          <cell r="S52">
            <v>0</v>
          </cell>
          <cell r="T52">
            <v>0</v>
          </cell>
          <cell r="U52">
            <v>0</v>
          </cell>
          <cell r="V52">
            <v>0</v>
          </cell>
          <cell r="W52">
            <v>0</v>
          </cell>
          <cell r="X52" t="str">
            <v/>
          </cell>
          <cell r="Y52" t="str">
            <v/>
          </cell>
          <cell r="AA52" t="str">
            <v/>
          </cell>
          <cell r="AB52" t="str">
            <v/>
          </cell>
          <cell r="AC52" t="str">
            <v/>
          </cell>
          <cell r="AD52" t="str">
            <v>⑩</v>
          </cell>
          <cell r="AE52" t="str">
            <v/>
          </cell>
          <cell r="AF52" t="str">
            <v/>
          </cell>
          <cell r="AG52" t="str">
            <v/>
          </cell>
          <cell r="AH52" t="str">
            <v/>
          </cell>
          <cell r="AI52" t="str">
            <v/>
          </cell>
          <cell r="AJ52" t="str">
            <v>追</v>
          </cell>
        </row>
        <row r="53">
          <cell r="B53">
            <v>152</v>
          </cell>
          <cell r="C53">
            <v>1</v>
          </cell>
          <cell r="D53">
            <v>52</v>
          </cell>
          <cell r="F53" t="str">
            <v>札幌</v>
          </cell>
          <cell r="G53" t="str">
            <v>蓄電池設備点検整備</v>
          </cell>
          <cell r="H53" t="str">
            <v>北成予電</v>
          </cell>
          <cell r="I53">
            <v>80000</v>
          </cell>
          <cell r="J53">
            <v>92000</v>
          </cell>
          <cell r="K53">
            <v>4</v>
          </cell>
          <cell r="L53">
            <v>92000</v>
          </cell>
          <cell r="M53">
            <v>0</v>
          </cell>
          <cell r="N53">
            <v>0</v>
          </cell>
          <cell r="O53">
            <v>92000</v>
          </cell>
          <cell r="P53">
            <v>0</v>
          </cell>
          <cell r="Q53">
            <v>0</v>
          </cell>
          <cell r="R53">
            <v>92000</v>
          </cell>
          <cell r="S53">
            <v>0</v>
          </cell>
          <cell r="T53">
            <v>0</v>
          </cell>
          <cell r="U53">
            <v>0</v>
          </cell>
          <cell r="V53">
            <v>92000</v>
          </cell>
          <cell r="W53">
            <v>0</v>
          </cell>
          <cell r="X53" t="str">
            <v>④</v>
          </cell>
          <cell r="Y53" t="str">
            <v/>
          </cell>
          <cell r="Z53" t="str">
            <v/>
          </cell>
          <cell r="AA53" t="str">
            <v>⑦</v>
          </cell>
          <cell r="AB53" t="str">
            <v/>
          </cell>
          <cell r="AC53" t="str">
            <v/>
          </cell>
          <cell r="AD53" t="str">
            <v>⑩</v>
          </cell>
          <cell r="AE53" t="str">
            <v/>
          </cell>
          <cell r="AF53" t="str">
            <v/>
          </cell>
          <cell r="AG53" t="str">
            <v/>
          </cell>
          <cell r="AH53" t="str">
            <v>②</v>
          </cell>
          <cell r="AI53" t="str">
            <v/>
          </cell>
          <cell r="AJ53" t="str">
            <v>追</v>
          </cell>
        </row>
        <row r="54">
          <cell r="B54">
            <v>201</v>
          </cell>
          <cell r="C54">
            <v>2</v>
          </cell>
          <cell r="D54">
            <v>1</v>
          </cell>
          <cell r="F54" t="str">
            <v>滝川</v>
          </cell>
          <cell r="G54" t="str">
            <v>機械式駐車場設備保守</v>
          </cell>
          <cell r="H54" t="str">
            <v>石川島運搬機械</v>
          </cell>
          <cell r="I54">
            <v>72942</v>
          </cell>
          <cell r="J54">
            <v>74400</v>
          </cell>
          <cell r="K54">
            <v>12</v>
          </cell>
          <cell r="L54">
            <v>74400</v>
          </cell>
          <cell r="M54">
            <v>74400</v>
          </cell>
          <cell r="N54">
            <v>74400</v>
          </cell>
          <cell r="O54">
            <v>74400</v>
          </cell>
          <cell r="P54">
            <v>74400</v>
          </cell>
          <cell r="Q54">
            <v>74400</v>
          </cell>
          <cell r="R54">
            <v>74400</v>
          </cell>
          <cell r="S54">
            <v>74400</v>
          </cell>
          <cell r="T54">
            <v>74400</v>
          </cell>
          <cell r="U54">
            <v>74400</v>
          </cell>
          <cell r="V54">
            <v>74400</v>
          </cell>
          <cell r="W54">
            <v>74400</v>
          </cell>
          <cell r="X54" t="str">
            <v>④</v>
          </cell>
          <cell r="Y54" t="str">
            <v>⑤</v>
          </cell>
          <cell r="Z54" t="str">
            <v>⑥</v>
          </cell>
          <cell r="AA54" t="str">
            <v>⑦</v>
          </cell>
          <cell r="AB54" t="str">
            <v>⑧</v>
          </cell>
          <cell r="AC54" t="str">
            <v>⑨</v>
          </cell>
          <cell r="AD54" t="str">
            <v>⑩</v>
          </cell>
          <cell r="AE54" t="str">
            <v>⑪</v>
          </cell>
          <cell r="AF54" t="str">
            <v>⑫</v>
          </cell>
          <cell r="AG54" t="str">
            <v>①</v>
          </cell>
          <cell r="AH54" t="str">
            <v>②</v>
          </cell>
          <cell r="AI54" t="str">
            <v>③</v>
          </cell>
        </row>
        <row r="55">
          <cell r="B55">
            <v>202</v>
          </cell>
          <cell r="C55">
            <v>2</v>
          </cell>
          <cell r="D55">
            <v>2</v>
          </cell>
          <cell r="F55" t="str">
            <v>滝川</v>
          </cell>
          <cell r="G55" t="str">
            <v>エレベーター保守</v>
          </cell>
          <cell r="H55" t="str">
            <v>三菱電機ﾋﾞﾙﾃｸﾉｻｰﾋﾞｽ</v>
          </cell>
          <cell r="I55">
            <v>66300</v>
          </cell>
          <cell r="J55">
            <v>67626</v>
          </cell>
          <cell r="K55">
            <v>12</v>
          </cell>
          <cell r="L55">
            <v>67626</v>
          </cell>
          <cell r="M55">
            <v>67626</v>
          </cell>
          <cell r="N55">
            <v>67626</v>
          </cell>
          <cell r="O55">
            <v>67626</v>
          </cell>
          <cell r="P55">
            <v>67626</v>
          </cell>
          <cell r="Q55">
            <v>67626</v>
          </cell>
          <cell r="R55">
            <v>67626</v>
          </cell>
          <cell r="S55">
            <v>67626</v>
          </cell>
          <cell r="T55">
            <v>67626</v>
          </cell>
          <cell r="U55">
            <v>67626</v>
          </cell>
          <cell r="V55">
            <v>67626</v>
          </cell>
          <cell r="W55">
            <v>67626</v>
          </cell>
          <cell r="X55" t="str">
            <v>④</v>
          </cell>
          <cell r="Y55" t="str">
            <v>⑤</v>
          </cell>
          <cell r="Z55" t="str">
            <v>⑥</v>
          </cell>
          <cell r="AA55" t="str">
            <v>⑦</v>
          </cell>
          <cell r="AB55" t="str">
            <v>⑧</v>
          </cell>
          <cell r="AC55" t="str">
            <v>⑨</v>
          </cell>
          <cell r="AD55" t="str">
            <v>⑩</v>
          </cell>
          <cell r="AE55" t="str">
            <v>⑪</v>
          </cell>
          <cell r="AF55" t="str">
            <v>⑫</v>
          </cell>
          <cell r="AG55" t="str">
            <v>①</v>
          </cell>
          <cell r="AH55" t="str">
            <v>②</v>
          </cell>
          <cell r="AI55" t="str">
            <v>③</v>
          </cell>
        </row>
        <row r="56">
          <cell r="B56">
            <v>203</v>
          </cell>
          <cell r="C56">
            <v>2</v>
          </cell>
          <cell r="D56">
            <v>3</v>
          </cell>
          <cell r="F56" t="str">
            <v>滝川</v>
          </cell>
          <cell r="G56" t="str">
            <v>消防設備点検保守(外観)</v>
          </cell>
          <cell r="H56" t="str">
            <v>ホーチキシステム</v>
          </cell>
          <cell r="I56">
            <v>153000</v>
          </cell>
          <cell r="J56">
            <v>156060</v>
          </cell>
          <cell r="K56">
            <v>1</v>
          </cell>
          <cell r="L56">
            <v>0</v>
          </cell>
          <cell r="M56">
            <v>0</v>
          </cell>
          <cell r="N56">
            <v>0</v>
          </cell>
          <cell r="O56">
            <v>0</v>
          </cell>
          <cell r="P56">
            <v>156060</v>
          </cell>
          <cell r="Q56">
            <v>0</v>
          </cell>
          <cell r="R56">
            <v>0</v>
          </cell>
          <cell r="S56">
            <v>0</v>
          </cell>
          <cell r="T56">
            <v>0</v>
          </cell>
          <cell r="U56">
            <v>0</v>
          </cell>
          <cell r="V56">
            <v>0</v>
          </cell>
          <cell r="W56">
            <v>0</v>
          </cell>
          <cell r="X56" t="str">
            <v/>
          </cell>
          <cell r="Y56" t="str">
            <v/>
          </cell>
          <cell r="Z56" t="str">
            <v/>
          </cell>
          <cell r="AA56" t="str">
            <v/>
          </cell>
          <cell r="AB56" t="str">
            <v>⑧</v>
          </cell>
          <cell r="AC56" t="str">
            <v/>
          </cell>
          <cell r="AD56" t="str">
            <v/>
          </cell>
          <cell r="AE56" t="str">
            <v/>
          </cell>
          <cell r="AF56" t="str">
            <v/>
          </cell>
          <cell r="AG56" t="str">
            <v/>
          </cell>
          <cell r="AH56" t="str">
            <v/>
          </cell>
          <cell r="AI56" t="str">
            <v/>
          </cell>
        </row>
        <row r="57">
          <cell r="B57">
            <v>204</v>
          </cell>
          <cell r="C57">
            <v>2</v>
          </cell>
          <cell r="D57">
            <v>4</v>
          </cell>
          <cell r="F57" t="str">
            <v>滝川</v>
          </cell>
          <cell r="G57" t="str">
            <v>消防設備点検保守(総合)</v>
          </cell>
          <cell r="H57" t="str">
            <v>ホーチキシステム</v>
          </cell>
          <cell r="I57">
            <v>207000</v>
          </cell>
          <cell r="J57">
            <v>211140</v>
          </cell>
          <cell r="K57">
            <v>1</v>
          </cell>
          <cell r="L57">
            <v>0</v>
          </cell>
          <cell r="M57">
            <v>0</v>
          </cell>
          <cell r="N57">
            <v>0</v>
          </cell>
          <cell r="O57">
            <v>0</v>
          </cell>
          <cell r="P57">
            <v>0</v>
          </cell>
          <cell r="Q57">
            <v>0</v>
          </cell>
          <cell r="R57">
            <v>0</v>
          </cell>
          <cell r="S57">
            <v>0</v>
          </cell>
          <cell r="T57">
            <v>0</v>
          </cell>
          <cell r="U57">
            <v>0</v>
          </cell>
          <cell r="V57">
            <v>211140</v>
          </cell>
          <cell r="W57">
            <v>0</v>
          </cell>
          <cell r="X57" t="str">
            <v/>
          </cell>
          <cell r="Y57" t="str">
            <v/>
          </cell>
          <cell r="Z57" t="str">
            <v/>
          </cell>
          <cell r="AA57" t="str">
            <v/>
          </cell>
          <cell r="AB57" t="str">
            <v/>
          </cell>
          <cell r="AC57" t="str">
            <v/>
          </cell>
          <cell r="AD57" t="str">
            <v/>
          </cell>
          <cell r="AE57" t="str">
            <v/>
          </cell>
          <cell r="AF57" t="str">
            <v/>
          </cell>
          <cell r="AG57" t="str">
            <v/>
          </cell>
          <cell r="AH57" t="str">
            <v>②</v>
          </cell>
          <cell r="AI57" t="str">
            <v/>
          </cell>
        </row>
        <row r="58">
          <cell r="B58">
            <v>205</v>
          </cell>
          <cell r="C58">
            <v>2</v>
          </cell>
          <cell r="D58">
            <v>5</v>
          </cell>
          <cell r="F58" t="str">
            <v>滝川</v>
          </cell>
          <cell r="G58" t="str">
            <v>害虫駆除</v>
          </cell>
          <cell r="H58" t="str">
            <v>ホクカン</v>
          </cell>
          <cell r="I58">
            <v>20000</v>
          </cell>
          <cell r="J58">
            <v>22000</v>
          </cell>
          <cell r="K58">
            <v>2</v>
          </cell>
          <cell r="L58">
            <v>0</v>
          </cell>
          <cell r="M58">
            <v>0</v>
          </cell>
          <cell r="N58">
            <v>0</v>
          </cell>
          <cell r="O58">
            <v>22000</v>
          </cell>
          <cell r="P58">
            <v>0</v>
          </cell>
          <cell r="Q58">
            <v>0</v>
          </cell>
          <cell r="R58">
            <v>0</v>
          </cell>
          <cell r="S58">
            <v>22000</v>
          </cell>
          <cell r="T58">
            <v>0</v>
          </cell>
          <cell r="U58">
            <v>0</v>
          </cell>
          <cell r="V58">
            <v>0</v>
          </cell>
          <cell r="W58">
            <v>0</v>
          </cell>
          <cell r="X58" t="str">
            <v/>
          </cell>
          <cell r="Y58" t="str">
            <v/>
          </cell>
          <cell r="Z58" t="str">
            <v/>
          </cell>
          <cell r="AA58" t="str">
            <v>⑦</v>
          </cell>
          <cell r="AB58" t="str">
            <v/>
          </cell>
          <cell r="AC58" t="str">
            <v/>
          </cell>
          <cell r="AD58" t="str">
            <v/>
          </cell>
          <cell r="AE58" t="str">
            <v>⑪</v>
          </cell>
          <cell r="AF58" t="str">
            <v/>
          </cell>
          <cell r="AG58" t="str">
            <v/>
          </cell>
          <cell r="AH58" t="str">
            <v/>
          </cell>
          <cell r="AI58" t="str">
            <v/>
          </cell>
        </row>
        <row r="59">
          <cell r="B59">
            <v>206</v>
          </cell>
          <cell r="C59">
            <v>2</v>
          </cell>
          <cell r="D59">
            <v>6</v>
          </cell>
          <cell r="F59" t="str">
            <v>滝川</v>
          </cell>
          <cell r="G59" t="str">
            <v>受水槽清掃(含む高架水槽)</v>
          </cell>
          <cell r="H59" t="str">
            <v>中央ビルメンテナンス</v>
          </cell>
          <cell r="I59">
            <v>50000</v>
          </cell>
          <cell r="J59">
            <v>56500</v>
          </cell>
          <cell r="K59">
            <v>1</v>
          </cell>
          <cell r="L59">
            <v>0</v>
          </cell>
          <cell r="M59">
            <v>0</v>
          </cell>
          <cell r="N59">
            <v>0</v>
          </cell>
          <cell r="O59">
            <v>56500</v>
          </cell>
          <cell r="P59">
            <v>0</v>
          </cell>
          <cell r="Q59">
            <v>0</v>
          </cell>
          <cell r="R59">
            <v>0</v>
          </cell>
          <cell r="S59">
            <v>0</v>
          </cell>
          <cell r="T59">
            <v>0</v>
          </cell>
          <cell r="U59">
            <v>0</v>
          </cell>
          <cell r="V59">
            <v>0</v>
          </cell>
          <cell r="W59">
            <v>0</v>
          </cell>
          <cell r="X59" t="str">
            <v/>
          </cell>
          <cell r="Y59" t="str">
            <v/>
          </cell>
          <cell r="Z59" t="str">
            <v/>
          </cell>
          <cell r="AA59" t="str">
            <v>⑦</v>
          </cell>
          <cell r="AB59" t="str">
            <v/>
          </cell>
          <cell r="AC59" t="str">
            <v/>
          </cell>
          <cell r="AD59" t="str">
            <v/>
          </cell>
          <cell r="AE59" t="str">
            <v/>
          </cell>
          <cell r="AF59" t="str">
            <v/>
          </cell>
          <cell r="AG59" t="str">
            <v/>
          </cell>
          <cell r="AH59" t="str">
            <v/>
          </cell>
          <cell r="AI59" t="str">
            <v/>
          </cell>
        </row>
        <row r="60">
          <cell r="B60">
            <v>207</v>
          </cell>
          <cell r="C60">
            <v>2</v>
          </cell>
          <cell r="D60">
            <v>7</v>
          </cell>
          <cell r="F60" t="str">
            <v>滝川</v>
          </cell>
          <cell r="G60" t="str">
            <v>自動ドアー保守</v>
          </cell>
          <cell r="H60" t="str">
            <v>東日本寺岡オートドア</v>
          </cell>
          <cell r="I60">
            <v>45000</v>
          </cell>
          <cell r="J60">
            <v>45900</v>
          </cell>
          <cell r="K60">
            <v>3</v>
          </cell>
          <cell r="L60">
            <v>0</v>
          </cell>
          <cell r="M60">
            <v>0</v>
          </cell>
          <cell r="N60">
            <v>45900</v>
          </cell>
          <cell r="O60">
            <v>0</v>
          </cell>
          <cell r="P60">
            <v>0</v>
          </cell>
          <cell r="Q60">
            <v>0</v>
          </cell>
          <cell r="R60">
            <v>45900</v>
          </cell>
          <cell r="S60">
            <v>0</v>
          </cell>
          <cell r="T60">
            <v>0</v>
          </cell>
          <cell r="U60">
            <v>0</v>
          </cell>
          <cell r="V60">
            <v>45900</v>
          </cell>
          <cell r="W60">
            <v>0</v>
          </cell>
          <cell r="X60" t="str">
            <v/>
          </cell>
          <cell r="Y60" t="str">
            <v/>
          </cell>
          <cell r="Z60" t="str">
            <v>⑥</v>
          </cell>
          <cell r="AA60" t="str">
            <v/>
          </cell>
          <cell r="AB60" t="str">
            <v/>
          </cell>
          <cell r="AC60" t="str">
            <v/>
          </cell>
          <cell r="AD60" t="str">
            <v>⑩</v>
          </cell>
          <cell r="AE60" t="str">
            <v/>
          </cell>
          <cell r="AF60" t="str">
            <v/>
          </cell>
          <cell r="AG60" t="str">
            <v/>
          </cell>
          <cell r="AH60" t="str">
            <v>②</v>
          </cell>
          <cell r="AI60" t="str">
            <v/>
          </cell>
        </row>
        <row r="61">
          <cell r="B61">
            <v>208</v>
          </cell>
          <cell r="C61">
            <v>2</v>
          </cell>
          <cell r="D61">
            <v>8</v>
          </cell>
          <cell r="F61" t="str">
            <v>滝川</v>
          </cell>
          <cell r="G61" t="str">
            <v>冷温水発生機設備保守</v>
          </cell>
          <cell r="H61" t="str">
            <v>三洋空調システム</v>
          </cell>
          <cell r="I61">
            <v>203333</v>
          </cell>
          <cell r="J61">
            <v>208920</v>
          </cell>
          <cell r="K61">
            <v>3</v>
          </cell>
          <cell r="L61">
            <v>0</v>
          </cell>
          <cell r="M61">
            <v>0</v>
          </cell>
          <cell r="N61">
            <v>0</v>
          </cell>
          <cell r="O61">
            <v>208920</v>
          </cell>
          <cell r="P61">
            <v>0</v>
          </cell>
          <cell r="Q61">
            <v>208920</v>
          </cell>
          <cell r="R61">
            <v>0</v>
          </cell>
          <cell r="S61">
            <v>0</v>
          </cell>
          <cell r="T61">
            <v>0</v>
          </cell>
          <cell r="U61">
            <v>208920</v>
          </cell>
          <cell r="V61">
            <v>0</v>
          </cell>
          <cell r="W61">
            <v>0</v>
          </cell>
          <cell r="X61" t="str">
            <v/>
          </cell>
          <cell r="Y61" t="str">
            <v/>
          </cell>
          <cell r="Z61" t="str">
            <v/>
          </cell>
          <cell r="AA61" t="str">
            <v>⑦</v>
          </cell>
          <cell r="AB61" t="str">
            <v/>
          </cell>
          <cell r="AC61" t="str">
            <v>⑨</v>
          </cell>
          <cell r="AD61" t="str">
            <v/>
          </cell>
          <cell r="AE61" t="str">
            <v/>
          </cell>
          <cell r="AF61" t="str">
            <v/>
          </cell>
          <cell r="AG61" t="str">
            <v>①</v>
          </cell>
          <cell r="AH61" t="str">
            <v/>
          </cell>
          <cell r="AI61" t="str">
            <v/>
          </cell>
        </row>
        <row r="62">
          <cell r="B62">
            <v>209</v>
          </cell>
          <cell r="C62">
            <v>2</v>
          </cell>
          <cell r="D62">
            <v>9</v>
          </cell>
          <cell r="F62" t="str">
            <v>滝川</v>
          </cell>
          <cell r="G62" t="str">
            <v>空調自動制御設備保守</v>
          </cell>
          <cell r="H62" t="str">
            <v>オーテック</v>
          </cell>
          <cell r="I62">
            <v>300000</v>
          </cell>
          <cell r="J62">
            <v>306000</v>
          </cell>
          <cell r="K62">
            <v>1</v>
          </cell>
          <cell r="L62">
            <v>0</v>
          </cell>
          <cell r="M62">
            <v>0</v>
          </cell>
          <cell r="N62">
            <v>0</v>
          </cell>
          <cell r="O62">
            <v>0</v>
          </cell>
          <cell r="P62">
            <v>0</v>
          </cell>
          <cell r="Q62">
            <v>306000</v>
          </cell>
          <cell r="R62">
            <v>0</v>
          </cell>
          <cell r="S62">
            <v>0</v>
          </cell>
          <cell r="T62">
            <v>0</v>
          </cell>
          <cell r="U62">
            <v>0</v>
          </cell>
          <cell r="V62">
            <v>0</v>
          </cell>
          <cell r="W62">
            <v>0</v>
          </cell>
          <cell r="X62" t="str">
            <v/>
          </cell>
          <cell r="Y62" t="str">
            <v/>
          </cell>
          <cell r="Z62" t="str">
            <v/>
          </cell>
          <cell r="AA62" t="str">
            <v/>
          </cell>
          <cell r="AB62" t="str">
            <v/>
          </cell>
          <cell r="AC62" t="str">
            <v>⑨</v>
          </cell>
          <cell r="AD62" t="str">
            <v/>
          </cell>
          <cell r="AE62" t="str">
            <v/>
          </cell>
          <cell r="AF62" t="str">
            <v/>
          </cell>
          <cell r="AG62" t="str">
            <v/>
          </cell>
          <cell r="AH62" t="str">
            <v/>
          </cell>
          <cell r="AI62" t="str">
            <v/>
          </cell>
        </row>
        <row r="63">
          <cell r="B63">
            <v>210</v>
          </cell>
          <cell r="C63">
            <v>2</v>
          </cell>
          <cell r="D63">
            <v>10</v>
          </cell>
          <cell r="F63" t="str">
            <v>滝川</v>
          </cell>
          <cell r="G63" t="str">
            <v>空調機設備点検整備</v>
          </cell>
          <cell r="H63" t="str">
            <v>東洋製作所</v>
          </cell>
          <cell r="I63">
            <v>100000</v>
          </cell>
          <cell r="J63">
            <v>115000</v>
          </cell>
          <cell r="K63">
            <v>2</v>
          </cell>
          <cell r="L63">
            <v>0</v>
          </cell>
          <cell r="M63">
            <v>0</v>
          </cell>
          <cell r="N63">
            <v>115000</v>
          </cell>
          <cell r="O63">
            <v>0</v>
          </cell>
          <cell r="P63">
            <v>0</v>
          </cell>
          <cell r="Q63">
            <v>0</v>
          </cell>
          <cell r="R63">
            <v>0</v>
          </cell>
          <cell r="S63">
            <v>115000</v>
          </cell>
          <cell r="T63">
            <v>0</v>
          </cell>
          <cell r="U63">
            <v>0</v>
          </cell>
          <cell r="V63">
            <v>0</v>
          </cell>
          <cell r="W63">
            <v>0</v>
          </cell>
          <cell r="X63" t="str">
            <v/>
          </cell>
          <cell r="Y63" t="str">
            <v/>
          </cell>
          <cell r="Z63" t="str">
            <v>⑥</v>
          </cell>
          <cell r="AA63" t="str">
            <v/>
          </cell>
          <cell r="AB63" t="str">
            <v/>
          </cell>
          <cell r="AC63" t="str">
            <v/>
          </cell>
          <cell r="AD63" t="str">
            <v/>
          </cell>
          <cell r="AE63" t="str">
            <v>⑪</v>
          </cell>
          <cell r="AF63" t="str">
            <v/>
          </cell>
          <cell r="AG63" t="str">
            <v/>
          </cell>
          <cell r="AH63" t="str">
            <v/>
          </cell>
          <cell r="AI63" t="str">
            <v/>
          </cell>
          <cell r="AJ63" t="str">
            <v>追</v>
          </cell>
        </row>
        <row r="64">
          <cell r="B64">
            <v>211</v>
          </cell>
          <cell r="C64">
            <v>2</v>
          </cell>
          <cell r="D64">
            <v>11</v>
          </cell>
          <cell r="F64" t="str">
            <v>滝川</v>
          </cell>
          <cell r="G64" t="str">
            <v>シャッター設備点検整備</v>
          </cell>
          <cell r="H64" t="str">
            <v>文化シャッターサービス</v>
          </cell>
          <cell r="I64">
            <v>40000</v>
          </cell>
          <cell r="J64">
            <v>46000</v>
          </cell>
          <cell r="K64">
            <v>1</v>
          </cell>
          <cell r="L64">
            <v>0</v>
          </cell>
          <cell r="M64">
            <v>0</v>
          </cell>
          <cell r="N64">
            <v>0</v>
          </cell>
          <cell r="O64">
            <v>0</v>
          </cell>
          <cell r="P64">
            <v>0</v>
          </cell>
          <cell r="Q64">
            <v>0</v>
          </cell>
          <cell r="R64">
            <v>0</v>
          </cell>
          <cell r="S64">
            <v>46000</v>
          </cell>
          <cell r="T64">
            <v>0</v>
          </cell>
          <cell r="U64">
            <v>0</v>
          </cell>
          <cell r="V64">
            <v>0</v>
          </cell>
          <cell r="W64">
            <v>0</v>
          </cell>
          <cell r="X64" t="str">
            <v/>
          </cell>
          <cell r="Z64" t="str">
            <v/>
          </cell>
          <cell r="AA64" t="str">
            <v/>
          </cell>
          <cell r="AB64" t="str">
            <v/>
          </cell>
          <cell r="AC64" t="str">
            <v/>
          </cell>
          <cell r="AD64" t="str">
            <v/>
          </cell>
          <cell r="AE64" t="str">
            <v>⑪</v>
          </cell>
          <cell r="AF64" t="str">
            <v/>
          </cell>
          <cell r="AG64" t="str">
            <v/>
          </cell>
          <cell r="AH64" t="str">
            <v/>
          </cell>
          <cell r="AI64" t="str">
            <v/>
          </cell>
          <cell r="AJ64" t="str">
            <v>追</v>
          </cell>
        </row>
        <row r="65">
          <cell r="B65">
            <v>301</v>
          </cell>
          <cell r="C65">
            <v>3</v>
          </cell>
          <cell r="D65">
            <v>1</v>
          </cell>
          <cell r="F65" t="str">
            <v>旭川</v>
          </cell>
          <cell r="G65" t="str">
            <v>機械式駐車場設備保守</v>
          </cell>
          <cell r="H65" t="str">
            <v>三菱重工ﾊﾟｰｷﾝｸﾞ建設</v>
          </cell>
          <cell r="I65">
            <v>214000</v>
          </cell>
          <cell r="J65">
            <v>218280</v>
          </cell>
          <cell r="K65">
            <v>12</v>
          </cell>
          <cell r="L65">
            <v>218280</v>
          </cell>
          <cell r="M65">
            <v>218280</v>
          </cell>
          <cell r="N65">
            <v>218280</v>
          </cell>
          <cell r="O65">
            <v>218280</v>
          </cell>
          <cell r="P65">
            <v>218280</v>
          </cell>
          <cell r="Q65">
            <v>218280</v>
          </cell>
          <cell r="R65">
            <v>218280</v>
          </cell>
          <cell r="S65">
            <v>218280</v>
          </cell>
          <cell r="T65">
            <v>218280</v>
          </cell>
          <cell r="U65">
            <v>218280</v>
          </cell>
          <cell r="V65">
            <v>218280</v>
          </cell>
          <cell r="W65">
            <v>218280</v>
          </cell>
          <cell r="X65" t="str">
            <v>④</v>
          </cell>
          <cell r="Y65" t="str">
            <v>⑤</v>
          </cell>
          <cell r="Z65" t="str">
            <v>⑥</v>
          </cell>
          <cell r="AA65" t="str">
            <v>⑦</v>
          </cell>
          <cell r="AB65" t="str">
            <v>⑧</v>
          </cell>
          <cell r="AC65" t="str">
            <v>⑨</v>
          </cell>
          <cell r="AD65" t="str">
            <v>⑩</v>
          </cell>
          <cell r="AE65" t="str">
            <v>⑪</v>
          </cell>
          <cell r="AF65" t="str">
            <v>⑫</v>
          </cell>
          <cell r="AG65" t="str">
            <v>①</v>
          </cell>
          <cell r="AH65" t="str">
            <v>②</v>
          </cell>
          <cell r="AI65" t="str">
            <v>③</v>
          </cell>
        </row>
        <row r="66">
          <cell r="B66">
            <v>302</v>
          </cell>
          <cell r="C66">
            <v>3</v>
          </cell>
          <cell r="D66">
            <v>2</v>
          </cell>
          <cell r="F66" t="str">
            <v>旭川</v>
          </cell>
          <cell r="G66" t="str">
            <v>エレベーター保守</v>
          </cell>
          <cell r="H66" t="str">
            <v>三菱電機ﾋﾞﾙﾃｸﾉｻｰﾋﾞｽ</v>
          </cell>
          <cell r="I66">
            <v>66600</v>
          </cell>
          <cell r="J66">
            <v>67932</v>
          </cell>
          <cell r="K66">
            <v>12</v>
          </cell>
          <cell r="L66">
            <v>67932</v>
          </cell>
          <cell r="M66">
            <v>67932</v>
          </cell>
          <cell r="N66">
            <v>67932</v>
          </cell>
          <cell r="O66">
            <v>67932</v>
          </cell>
          <cell r="P66">
            <v>67932</v>
          </cell>
          <cell r="Q66">
            <v>67932</v>
          </cell>
          <cell r="R66">
            <v>67932</v>
          </cell>
          <cell r="S66">
            <v>67932</v>
          </cell>
          <cell r="T66">
            <v>67932</v>
          </cell>
          <cell r="U66">
            <v>67932</v>
          </cell>
          <cell r="V66">
            <v>67932</v>
          </cell>
          <cell r="W66">
            <v>67932</v>
          </cell>
          <cell r="X66" t="str">
            <v>④</v>
          </cell>
          <cell r="Y66" t="str">
            <v>⑤</v>
          </cell>
          <cell r="Z66" t="str">
            <v>⑥</v>
          </cell>
          <cell r="AA66" t="str">
            <v>⑦</v>
          </cell>
          <cell r="AB66" t="str">
            <v>⑧</v>
          </cell>
          <cell r="AC66" t="str">
            <v>⑨</v>
          </cell>
          <cell r="AD66" t="str">
            <v>⑩</v>
          </cell>
          <cell r="AE66" t="str">
            <v>⑪</v>
          </cell>
          <cell r="AF66" t="str">
            <v>⑫</v>
          </cell>
          <cell r="AG66" t="str">
            <v>①</v>
          </cell>
          <cell r="AH66" t="str">
            <v>②</v>
          </cell>
          <cell r="AI66" t="str">
            <v>③</v>
          </cell>
        </row>
        <row r="67">
          <cell r="B67">
            <v>303</v>
          </cell>
          <cell r="C67">
            <v>3</v>
          </cell>
          <cell r="D67">
            <v>3</v>
          </cell>
          <cell r="F67" t="str">
            <v>旭川</v>
          </cell>
          <cell r="G67" t="str">
            <v>消火器(外観)</v>
          </cell>
          <cell r="H67" t="str">
            <v>ホーチキ</v>
          </cell>
          <cell r="I67">
            <v>21000</v>
          </cell>
          <cell r="J67">
            <v>21420</v>
          </cell>
          <cell r="K67">
            <v>2</v>
          </cell>
          <cell r="L67">
            <v>0</v>
          </cell>
          <cell r="M67">
            <v>0</v>
          </cell>
          <cell r="N67">
            <v>21420</v>
          </cell>
          <cell r="O67">
            <v>0</v>
          </cell>
          <cell r="P67">
            <v>0</v>
          </cell>
          <cell r="Q67">
            <v>0</v>
          </cell>
          <cell r="R67">
            <v>0</v>
          </cell>
          <cell r="S67">
            <v>0</v>
          </cell>
          <cell r="T67">
            <v>21420</v>
          </cell>
          <cell r="U67">
            <v>0</v>
          </cell>
          <cell r="V67">
            <v>0</v>
          </cell>
          <cell r="W67">
            <v>0</v>
          </cell>
          <cell r="X67" t="str">
            <v/>
          </cell>
          <cell r="Y67" t="str">
            <v/>
          </cell>
          <cell r="Z67" t="str">
            <v>⑥</v>
          </cell>
          <cell r="AA67" t="str">
            <v/>
          </cell>
          <cell r="AB67" t="str">
            <v/>
          </cell>
          <cell r="AC67" t="str">
            <v/>
          </cell>
          <cell r="AD67" t="str">
            <v/>
          </cell>
          <cell r="AE67" t="str">
            <v/>
          </cell>
          <cell r="AF67" t="str">
            <v>⑫</v>
          </cell>
          <cell r="AG67" t="str">
            <v/>
          </cell>
          <cell r="AH67" t="str">
            <v/>
          </cell>
          <cell r="AI67" t="str">
            <v/>
          </cell>
        </row>
        <row r="68">
          <cell r="B68">
            <v>304</v>
          </cell>
          <cell r="C68">
            <v>3</v>
          </cell>
          <cell r="D68">
            <v>4</v>
          </cell>
          <cell r="F68" t="str">
            <v>旭川</v>
          </cell>
          <cell r="G68" t="str">
            <v>屋内消火栓(外観)</v>
          </cell>
          <cell r="H68" t="str">
            <v>ホーチキ</v>
          </cell>
          <cell r="I68">
            <v>40000</v>
          </cell>
          <cell r="J68">
            <v>40800</v>
          </cell>
          <cell r="K68">
            <v>1</v>
          </cell>
          <cell r="L68">
            <v>0</v>
          </cell>
          <cell r="M68">
            <v>0</v>
          </cell>
          <cell r="N68">
            <v>40800</v>
          </cell>
          <cell r="O68">
            <v>0</v>
          </cell>
          <cell r="P68">
            <v>0</v>
          </cell>
          <cell r="Q68">
            <v>0</v>
          </cell>
          <cell r="R68">
            <v>0</v>
          </cell>
          <cell r="S68">
            <v>0</v>
          </cell>
          <cell r="T68">
            <v>0</v>
          </cell>
          <cell r="U68">
            <v>0</v>
          </cell>
          <cell r="V68">
            <v>0</v>
          </cell>
          <cell r="W68">
            <v>0</v>
          </cell>
          <cell r="X68" t="str">
            <v/>
          </cell>
          <cell r="Y68" t="str">
            <v/>
          </cell>
          <cell r="Z68" t="str">
            <v>⑥</v>
          </cell>
          <cell r="AA68" t="str">
            <v/>
          </cell>
          <cell r="AB68" t="str">
            <v/>
          </cell>
          <cell r="AC68" t="str">
            <v/>
          </cell>
          <cell r="AD68" t="str">
            <v/>
          </cell>
          <cell r="AE68" t="str">
            <v/>
          </cell>
          <cell r="AF68" t="str">
            <v/>
          </cell>
          <cell r="AG68" t="str">
            <v/>
          </cell>
          <cell r="AH68" t="str">
            <v/>
          </cell>
          <cell r="AI68" t="str">
            <v/>
          </cell>
        </row>
        <row r="69">
          <cell r="B69">
            <v>305</v>
          </cell>
          <cell r="C69">
            <v>3</v>
          </cell>
          <cell r="D69">
            <v>5</v>
          </cell>
          <cell r="F69" t="str">
            <v>旭川</v>
          </cell>
          <cell r="G69" t="str">
            <v>屋内消火栓(総合)</v>
          </cell>
          <cell r="H69" t="str">
            <v>ホーチキ</v>
          </cell>
          <cell r="I69">
            <v>68000</v>
          </cell>
          <cell r="J69">
            <v>69360</v>
          </cell>
          <cell r="K69">
            <v>1</v>
          </cell>
          <cell r="L69">
            <v>0</v>
          </cell>
          <cell r="M69">
            <v>0</v>
          </cell>
          <cell r="N69">
            <v>0</v>
          </cell>
          <cell r="O69">
            <v>0</v>
          </cell>
          <cell r="P69">
            <v>0</v>
          </cell>
          <cell r="Q69">
            <v>0</v>
          </cell>
          <cell r="R69">
            <v>0</v>
          </cell>
          <cell r="S69">
            <v>0</v>
          </cell>
          <cell r="T69">
            <v>69360</v>
          </cell>
          <cell r="U69">
            <v>0</v>
          </cell>
          <cell r="V69">
            <v>0</v>
          </cell>
          <cell r="W69">
            <v>0</v>
          </cell>
          <cell r="X69" t="str">
            <v/>
          </cell>
          <cell r="Y69" t="str">
            <v/>
          </cell>
          <cell r="Z69" t="str">
            <v/>
          </cell>
          <cell r="AA69" t="str">
            <v/>
          </cell>
          <cell r="AB69" t="str">
            <v/>
          </cell>
          <cell r="AC69" t="str">
            <v/>
          </cell>
          <cell r="AD69" t="str">
            <v/>
          </cell>
          <cell r="AE69" t="str">
            <v/>
          </cell>
          <cell r="AF69" t="str">
            <v>⑫</v>
          </cell>
          <cell r="AG69" t="str">
            <v/>
          </cell>
          <cell r="AH69" t="str">
            <v/>
          </cell>
          <cell r="AI69" t="str">
            <v/>
          </cell>
        </row>
        <row r="70">
          <cell r="B70">
            <v>306</v>
          </cell>
          <cell r="C70">
            <v>3</v>
          </cell>
          <cell r="D70">
            <v>6</v>
          </cell>
          <cell r="F70" t="str">
            <v>旭川</v>
          </cell>
          <cell r="G70" t="str">
            <v>ハロゲン消火(外観)</v>
          </cell>
          <cell r="H70" t="str">
            <v>ホーチキ</v>
          </cell>
          <cell r="I70">
            <v>66000</v>
          </cell>
          <cell r="J70">
            <v>67320</v>
          </cell>
          <cell r="K70">
            <v>1</v>
          </cell>
          <cell r="L70">
            <v>0</v>
          </cell>
          <cell r="M70">
            <v>0</v>
          </cell>
          <cell r="N70">
            <v>67320</v>
          </cell>
          <cell r="O70">
            <v>0</v>
          </cell>
          <cell r="P70">
            <v>0</v>
          </cell>
          <cell r="Q70">
            <v>0</v>
          </cell>
          <cell r="R70">
            <v>0</v>
          </cell>
          <cell r="S70">
            <v>0</v>
          </cell>
          <cell r="T70">
            <v>0</v>
          </cell>
          <cell r="U70">
            <v>0</v>
          </cell>
          <cell r="V70">
            <v>0</v>
          </cell>
          <cell r="W70">
            <v>0</v>
          </cell>
          <cell r="X70" t="str">
            <v/>
          </cell>
          <cell r="Y70" t="str">
            <v/>
          </cell>
          <cell r="Z70" t="str">
            <v>⑥</v>
          </cell>
          <cell r="AA70" t="str">
            <v/>
          </cell>
          <cell r="AB70" t="str">
            <v/>
          </cell>
          <cell r="AC70" t="str">
            <v/>
          </cell>
          <cell r="AD70" t="str">
            <v/>
          </cell>
          <cell r="AE70" t="str">
            <v/>
          </cell>
          <cell r="AF70" t="str">
            <v/>
          </cell>
          <cell r="AG70" t="str">
            <v/>
          </cell>
          <cell r="AH70" t="str">
            <v/>
          </cell>
          <cell r="AI70" t="str">
            <v/>
          </cell>
        </row>
        <row r="71">
          <cell r="B71">
            <v>307</v>
          </cell>
          <cell r="C71">
            <v>3</v>
          </cell>
          <cell r="D71">
            <v>7</v>
          </cell>
          <cell r="F71" t="str">
            <v>旭川</v>
          </cell>
          <cell r="G71" t="str">
            <v>ハロゲン消火(総合)</v>
          </cell>
          <cell r="H71" t="str">
            <v>ホーチキ</v>
          </cell>
          <cell r="I71">
            <v>124000</v>
          </cell>
          <cell r="J71">
            <v>126480</v>
          </cell>
          <cell r="K71">
            <v>1</v>
          </cell>
          <cell r="L71">
            <v>0</v>
          </cell>
          <cell r="M71">
            <v>0</v>
          </cell>
          <cell r="N71">
            <v>0</v>
          </cell>
          <cell r="O71">
            <v>0</v>
          </cell>
          <cell r="P71">
            <v>0</v>
          </cell>
          <cell r="Q71">
            <v>0</v>
          </cell>
          <cell r="R71">
            <v>0</v>
          </cell>
          <cell r="S71">
            <v>0</v>
          </cell>
          <cell r="T71">
            <v>126480</v>
          </cell>
          <cell r="U71">
            <v>0</v>
          </cell>
          <cell r="V71">
            <v>0</v>
          </cell>
          <cell r="W71">
            <v>0</v>
          </cell>
          <cell r="X71" t="str">
            <v/>
          </cell>
          <cell r="Y71" t="str">
            <v/>
          </cell>
          <cell r="Z71" t="str">
            <v/>
          </cell>
          <cell r="AA71" t="str">
            <v/>
          </cell>
          <cell r="AB71" t="str">
            <v/>
          </cell>
          <cell r="AC71" t="str">
            <v/>
          </cell>
          <cell r="AD71" t="str">
            <v/>
          </cell>
          <cell r="AE71" t="str">
            <v/>
          </cell>
          <cell r="AF71" t="str">
            <v>⑫</v>
          </cell>
          <cell r="AG71" t="str">
            <v/>
          </cell>
          <cell r="AH71" t="str">
            <v/>
          </cell>
          <cell r="AI71" t="str">
            <v/>
          </cell>
        </row>
        <row r="72">
          <cell r="B72">
            <v>308</v>
          </cell>
          <cell r="C72">
            <v>3</v>
          </cell>
          <cell r="D72">
            <v>8</v>
          </cell>
          <cell r="F72" t="str">
            <v>旭川</v>
          </cell>
          <cell r="G72" t="str">
            <v>非常放送(外観)</v>
          </cell>
          <cell r="H72" t="str">
            <v>ホーチキ</v>
          </cell>
          <cell r="I72">
            <v>27000</v>
          </cell>
          <cell r="J72">
            <v>27540</v>
          </cell>
          <cell r="K72">
            <v>1</v>
          </cell>
          <cell r="L72">
            <v>0</v>
          </cell>
          <cell r="M72">
            <v>0</v>
          </cell>
          <cell r="N72">
            <v>27540</v>
          </cell>
          <cell r="O72">
            <v>0</v>
          </cell>
          <cell r="P72">
            <v>0</v>
          </cell>
          <cell r="Q72">
            <v>0</v>
          </cell>
          <cell r="R72">
            <v>0</v>
          </cell>
          <cell r="S72">
            <v>0</v>
          </cell>
          <cell r="T72">
            <v>0</v>
          </cell>
          <cell r="U72">
            <v>0</v>
          </cell>
          <cell r="V72">
            <v>0</v>
          </cell>
          <cell r="W72">
            <v>0</v>
          </cell>
          <cell r="X72" t="str">
            <v/>
          </cell>
          <cell r="Y72" t="str">
            <v/>
          </cell>
          <cell r="Z72" t="str">
            <v>⑥</v>
          </cell>
          <cell r="AA72" t="str">
            <v/>
          </cell>
          <cell r="AB72" t="str">
            <v/>
          </cell>
          <cell r="AC72" t="str">
            <v/>
          </cell>
          <cell r="AD72" t="str">
            <v/>
          </cell>
          <cell r="AE72" t="str">
            <v/>
          </cell>
          <cell r="AF72" t="str">
            <v/>
          </cell>
          <cell r="AG72" t="str">
            <v/>
          </cell>
          <cell r="AH72" t="str">
            <v/>
          </cell>
          <cell r="AI72" t="str">
            <v/>
          </cell>
        </row>
        <row r="73">
          <cell r="B73">
            <v>309</v>
          </cell>
          <cell r="C73">
            <v>3</v>
          </cell>
          <cell r="D73">
            <v>9</v>
          </cell>
          <cell r="F73" t="str">
            <v>旭川</v>
          </cell>
          <cell r="G73" t="str">
            <v>非常放送(総合)</v>
          </cell>
          <cell r="H73" t="str">
            <v>ホーチキ</v>
          </cell>
          <cell r="I73">
            <v>50000</v>
          </cell>
          <cell r="J73">
            <v>51000</v>
          </cell>
          <cell r="K73">
            <v>1</v>
          </cell>
          <cell r="L73">
            <v>0</v>
          </cell>
          <cell r="M73">
            <v>0</v>
          </cell>
          <cell r="N73">
            <v>0</v>
          </cell>
          <cell r="O73">
            <v>0</v>
          </cell>
          <cell r="P73">
            <v>0</v>
          </cell>
          <cell r="Q73">
            <v>0</v>
          </cell>
          <cell r="R73">
            <v>0</v>
          </cell>
          <cell r="S73">
            <v>0</v>
          </cell>
          <cell r="T73">
            <v>51000</v>
          </cell>
          <cell r="U73">
            <v>0</v>
          </cell>
          <cell r="V73">
            <v>0</v>
          </cell>
          <cell r="W73">
            <v>0</v>
          </cell>
          <cell r="X73" t="str">
            <v/>
          </cell>
          <cell r="Y73" t="str">
            <v/>
          </cell>
          <cell r="Z73" t="str">
            <v/>
          </cell>
          <cell r="AA73" t="str">
            <v/>
          </cell>
          <cell r="AB73" t="str">
            <v/>
          </cell>
          <cell r="AC73" t="str">
            <v/>
          </cell>
          <cell r="AD73" t="str">
            <v/>
          </cell>
          <cell r="AE73" t="str">
            <v/>
          </cell>
          <cell r="AF73" t="str">
            <v>⑫</v>
          </cell>
          <cell r="AG73" t="str">
            <v/>
          </cell>
          <cell r="AH73" t="str">
            <v/>
          </cell>
          <cell r="AI73" t="str">
            <v/>
          </cell>
        </row>
        <row r="74">
          <cell r="B74">
            <v>310</v>
          </cell>
          <cell r="C74">
            <v>3</v>
          </cell>
          <cell r="D74">
            <v>10</v>
          </cell>
          <cell r="F74" t="str">
            <v>旭川</v>
          </cell>
          <cell r="G74" t="str">
            <v>誘導灯(外観)</v>
          </cell>
          <cell r="H74" t="str">
            <v>ホーチキ</v>
          </cell>
          <cell r="I74">
            <v>26000</v>
          </cell>
          <cell r="J74">
            <v>26520</v>
          </cell>
          <cell r="K74">
            <v>2</v>
          </cell>
          <cell r="L74">
            <v>0</v>
          </cell>
          <cell r="M74">
            <v>0</v>
          </cell>
          <cell r="N74">
            <v>26520</v>
          </cell>
          <cell r="O74">
            <v>0</v>
          </cell>
          <cell r="P74">
            <v>0</v>
          </cell>
          <cell r="Q74">
            <v>0</v>
          </cell>
          <cell r="R74">
            <v>0</v>
          </cell>
          <cell r="S74">
            <v>0</v>
          </cell>
          <cell r="T74">
            <v>26520</v>
          </cell>
          <cell r="U74">
            <v>0</v>
          </cell>
          <cell r="V74">
            <v>0</v>
          </cell>
          <cell r="W74">
            <v>0</v>
          </cell>
          <cell r="X74" t="str">
            <v/>
          </cell>
          <cell r="Y74" t="str">
            <v/>
          </cell>
          <cell r="Z74" t="str">
            <v>⑥</v>
          </cell>
          <cell r="AA74" t="str">
            <v/>
          </cell>
          <cell r="AB74" t="str">
            <v/>
          </cell>
          <cell r="AC74" t="str">
            <v/>
          </cell>
          <cell r="AD74" t="str">
            <v/>
          </cell>
          <cell r="AE74" t="str">
            <v/>
          </cell>
          <cell r="AF74" t="str">
            <v>⑫</v>
          </cell>
          <cell r="AG74" t="str">
            <v/>
          </cell>
          <cell r="AH74" t="str">
            <v/>
          </cell>
          <cell r="AI74" t="str">
            <v/>
          </cell>
        </row>
        <row r="75">
          <cell r="B75">
            <v>311</v>
          </cell>
          <cell r="C75">
            <v>3</v>
          </cell>
          <cell r="D75">
            <v>11</v>
          </cell>
          <cell r="F75" t="str">
            <v>旭川</v>
          </cell>
          <cell r="G75" t="str">
            <v>Ｐ型防排煙制御(外観)</v>
          </cell>
          <cell r="H75" t="str">
            <v>ホーチキ</v>
          </cell>
          <cell r="I75">
            <v>53000</v>
          </cell>
          <cell r="J75">
            <v>54060</v>
          </cell>
          <cell r="K75">
            <v>1</v>
          </cell>
          <cell r="L75">
            <v>0</v>
          </cell>
          <cell r="M75">
            <v>0</v>
          </cell>
          <cell r="N75">
            <v>54060</v>
          </cell>
          <cell r="O75">
            <v>0</v>
          </cell>
          <cell r="P75">
            <v>0</v>
          </cell>
          <cell r="Q75">
            <v>0</v>
          </cell>
          <cell r="R75">
            <v>0</v>
          </cell>
          <cell r="S75">
            <v>0</v>
          </cell>
          <cell r="T75">
            <v>0</v>
          </cell>
          <cell r="U75">
            <v>0</v>
          </cell>
          <cell r="V75">
            <v>0</v>
          </cell>
          <cell r="W75">
            <v>0</v>
          </cell>
          <cell r="X75" t="str">
            <v/>
          </cell>
          <cell r="Y75" t="str">
            <v/>
          </cell>
          <cell r="Z75" t="str">
            <v>⑥</v>
          </cell>
          <cell r="AA75" t="str">
            <v/>
          </cell>
          <cell r="AB75" t="str">
            <v/>
          </cell>
          <cell r="AC75" t="str">
            <v/>
          </cell>
          <cell r="AD75" t="str">
            <v/>
          </cell>
          <cell r="AE75" t="str">
            <v/>
          </cell>
          <cell r="AF75" t="str">
            <v/>
          </cell>
          <cell r="AG75" t="str">
            <v/>
          </cell>
          <cell r="AH75" t="str">
            <v/>
          </cell>
          <cell r="AI75" t="str">
            <v/>
          </cell>
        </row>
        <row r="76">
          <cell r="B76">
            <v>312</v>
          </cell>
          <cell r="C76">
            <v>3</v>
          </cell>
          <cell r="D76">
            <v>12</v>
          </cell>
          <cell r="F76" t="str">
            <v>旭川</v>
          </cell>
          <cell r="G76" t="str">
            <v>Ｐ型防排煙制御(総合)</v>
          </cell>
          <cell r="H76" t="str">
            <v>ホーチキ</v>
          </cell>
          <cell r="I76">
            <v>90000</v>
          </cell>
          <cell r="J76">
            <v>91800</v>
          </cell>
          <cell r="K76">
            <v>1</v>
          </cell>
          <cell r="L76">
            <v>0</v>
          </cell>
          <cell r="M76">
            <v>0</v>
          </cell>
          <cell r="N76">
            <v>0</v>
          </cell>
          <cell r="O76">
            <v>0</v>
          </cell>
          <cell r="P76">
            <v>0</v>
          </cell>
          <cell r="Q76">
            <v>0</v>
          </cell>
          <cell r="R76">
            <v>0</v>
          </cell>
          <cell r="S76">
            <v>0</v>
          </cell>
          <cell r="T76">
            <v>91800</v>
          </cell>
          <cell r="U76">
            <v>0</v>
          </cell>
          <cell r="V76">
            <v>0</v>
          </cell>
          <cell r="W76">
            <v>0</v>
          </cell>
          <cell r="X76" t="str">
            <v/>
          </cell>
          <cell r="Y76" t="str">
            <v/>
          </cell>
          <cell r="Z76" t="str">
            <v/>
          </cell>
          <cell r="AA76" t="str">
            <v/>
          </cell>
          <cell r="AB76" t="str">
            <v/>
          </cell>
          <cell r="AC76" t="str">
            <v/>
          </cell>
          <cell r="AD76" t="str">
            <v/>
          </cell>
          <cell r="AE76" t="str">
            <v/>
          </cell>
          <cell r="AF76" t="str">
            <v>⑫</v>
          </cell>
          <cell r="AG76" t="str">
            <v/>
          </cell>
          <cell r="AH76" t="str">
            <v/>
          </cell>
          <cell r="AI76" t="str">
            <v/>
          </cell>
        </row>
        <row r="77">
          <cell r="B77">
            <v>313</v>
          </cell>
          <cell r="C77">
            <v>3</v>
          </cell>
          <cell r="D77">
            <v>13</v>
          </cell>
          <cell r="F77" t="str">
            <v>旭川</v>
          </cell>
          <cell r="G77" t="str">
            <v>連結送水管(外観)</v>
          </cell>
          <cell r="H77" t="str">
            <v>ホーチキ</v>
          </cell>
          <cell r="I77">
            <v>8000</v>
          </cell>
          <cell r="J77">
            <v>8160</v>
          </cell>
          <cell r="K77">
            <v>1</v>
          </cell>
          <cell r="L77">
            <v>0</v>
          </cell>
          <cell r="M77">
            <v>0</v>
          </cell>
          <cell r="N77">
            <v>8160</v>
          </cell>
          <cell r="O77">
            <v>0</v>
          </cell>
          <cell r="P77">
            <v>0</v>
          </cell>
          <cell r="Q77">
            <v>0</v>
          </cell>
          <cell r="R77">
            <v>0</v>
          </cell>
          <cell r="S77">
            <v>0</v>
          </cell>
          <cell r="T77">
            <v>0</v>
          </cell>
          <cell r="U77">
            <v>0</v>
          </cell>
          <cell r="V77">
            <v>0</v>
          </cell>
          <cell r="W77">
            <v>0</v>
          </cell>
          <cell r="X77" t="str">
            <v/>
          </cell>
          <cell r="Y77" t="str">
            <v/>
          </cell>
          <cell r="Z77" t="str">
            <v>⑥</v>
          </cell>
          <cell r="AA77" t="str">
            <v/>
          </cell>
          <cell r="AB77" t="str">
            <v/>
          </cell>
          <cell r="AC77" t="str">
            <v/>
          </cell>
          <cell r="AD77" t="str">
            <v/>
          </cell>
          <cell r="AE77" t="str">
            <v/>
          </cell>
          <cell r="AF77" t="str">
            <v/>
          </cell>
          <cell r="AG77" t="str">
            <v/>
          </cell>
          <cell r="AH77" t="str">
            <v/>
          </cell>
          <cell r="AI77" t="str">
            <v/>
          </cell>
        </row>
        <row r="78">
          <cell r="B78">
            <v>314</v>
          </cell>
          <cell r="C78">
            <v>3</v>
          </cell>
          <cell r="D78">
            <v>14</v>
          </cell>
          <cell r="F78" t="str">
            <v>旭川</v>
          </cell>
          <cell r="G78" t="str">
            <v>連結送水管(総合)</v>
          </cell>
          <cell r="H78" t="str">
            <v>ホーチキ</v>
          </cell>
          <cell r="I78">
            <v>8000</v>
          </cell>
          <cell r="J78">
            <v>8160</v>
          </cell>
          <cell r="K78">
            <v>1</v>
          </cell>
          <cell r="L78">
            <v>0</v>
          </cell>
          <cell r="M78">
            <v>0</v>
          </cell>
          <cell r="N78">
            <v>0</v>
          </cell>
          <cell r="O78">
            <v>0</v>
          </cell>
          <cell r="P78">
            <v>0</v>
          </cell>
          <cell r="Q78">
            <v>0</v>
          </cell>
          <cell r="R78">
            <v>0</v>
          </cell>
          <cell r="S78">
            <v>0</v>
          </cell>
          <cell r="T78">
            <v>8160</v>
          </cell>
          <cell r="U78">
            <v>0</v>
          </cell>
          <cell r="V78">
            <v>0</v>
          </cell>
          <cell r="W78">
            <v>0</v>
          </cell>
          <cell r="X78" t="str">
            <v/>
          </cell>
          <cell r="Y78" t="str">
            <v/>
          </cell>
          <cell r="Z78" t="str">
            <v/>
          </cell>
          <cell r="AA78" t="str">
            <v/>
          </cell>
          <cell r="AB78" t="str">
            <v/>
          </cell>
          <cell r="AC78" t="str">
            <v/>
          </cell>
          <cell r="AD78" t="str">
            <v/>
          </cell>
          <cell r="AE78" t="str">
            <v/>
          </cell>
          <cell r="AF78" t="str">
            <v>⑫</v>
          </cell>
          <cell r="AG78" t="str">
            <v/>
          </cell>
          <cell r="AH78" t="str">
            <v/>
          </cell>
          <cell r="AI78" t="str">
            <v/>
          </cell>
        </row>
        <row r="79">
          <cell r="B79">
            <v>315</v>
          </cell>
          <cell r="C79">
            <v>3</v>
          </cell>
          <cell r="D79">
            <v>15</v>
          </cell>
          <cell r="F79" t="str">
            <v>旭川</v>
          </cell>
          <cell r="G79" t="str">
            <v>蓄電池(外観)</v>
          </cell>
          <cell r="H79" t="str">
            <v>ホーチキ</v>
          </cell>
          <cell r="I79">
            <v>30000</v>
          </cell>
          <cell r="J79">
            <v>30600</v>
          </cell>
          <cell r="K79">
            <v>1</v>
          </cell>
          <cell r="L79">
            <v>0</v>
          </cell>
          <cell r="M79">
            <v>0</v>
          </cell>
          <cell r="N79">
            <v>30600</v>
          </cell>
          <cell r="O79">
            <v>0</v>
          </cell>
          <cell r="P79">
            <v>0</v>
          </cell>
          <cell r="Q79">
            <v>0</v>
          </cell>
          <cell r="R79">
            <v>0</v>
          </cell>
          <cell r="S79">
            <v>0</v>
          </cell>
          <cell r="T79">
            <v>0</v>
          </cell>
          <cell r="U79">
            <v>0</v>
          </cell>
          <cell r="V79">
            <v>0</v>
          </cell>
          <cell r="W79">
            <v>0</v>
          </cell>
          <cell r="X79" t="str">
            <v/>
          </cell>
          <cell r="Y79" t="str">
            <v/>
          </cell>
          <cell r="Z79" t="str">
            <v>⑥</v>
          </cell>
          <cell r="AA79" t="str">
            <v/>
          </cell>
          <cell r="AB79" t="str">
            <v/>
          </cell>
          <cell r="AC79" t="str">
            <v/>
          </cell>
          <cell r="AD79" t="str">
            <v/>
          </cell>
          <cell r="AE79" t="str">
            <v/>
          </cell>
          <cell r="AF79" t="str">
            <v/>
          </cell>
          <cell r="AG79" t="str">
            <v/>
          </cell>
          <cell r="AH79" t="str">
            <v/>
          </cell>
          <cell r="AI79" t="str">
            <v/>
          </cell>
        </row>
        <row r="80">
          <cell r="B80">
            <v>316</v>
          </cell>
          <cell r="C80">
            <v>3</v>
          </cell>
          <cell r="D80">
            <v>16</v>
          </cell>
          <cell r="F80" t="str">
            <v>旭川</v>
          </cell>
          <cell r="G80" t="str">
            <v>蓄電池(総合)</v>
          </cell>
          <cell r="H80" t="str">
            <v>ホーチキ</v>
          </cell>
          <cell r="I80">
            <v>35000</v>
          </cell>
          <cell r="J80">
            <v>35700</v>
          </cell>
          <cell r="K80">
            <v>1</v>
          </cell>
          <cell r="L80">
            <v>0</v>
          </cell>
          <cell r="M80">
            <v>0</v>
          </cell>
          <cell r="N80">
            <v>0</v>
          </cell>
          <cell r="O80">
            <v>0</v>
          </cell>
          <cell r="P80">
            <v>0</v>
          </cell>
          <cell r="Q80">
            <v>0</v>
          </cell>
          <cell r="R80">
            <v>0</v>
          </cell>
          <cell r="S80">
            <v>0</v>
          </cell>
          <cell r="T80">
            <v>35700</v>
          </cell>
          <cell r="U80">
            <v>0</v>
          </cell>
          <cell r="V80">
            <v>0</v>
          </cell>
          <cell r="W80">
            <v>0</v>
          </cell>
          <cell r="X80" t="str">
            <v/>
          </cell>
          <cell r="Y80" t="str">
            <v/>
          </cell>
          <cell r="Z80" t="str">
            <v/>
          </cell>
          <cell r="AA80" t="str">
            <v/>
          </cell>
          <cell r="AB80" t="str">
            <v/>
          </cell>
          <cell r="AC80" t="str">
            <v/>
          </cell>
          <cell r="AD80" t="str">
            <v/>
          </cell>
          <cell r="AE80" t="str">
            <v/>
          </cell>
          <cell r="AF80" t="str">
            <v>⑫</v>
          </cell>
          <cell r="AG80" t="str">
            <v/>
          </cell>
          <cell r="AH80" t="str">
            <v/>
          </cell>
          <cell r="AI80" t="str">
            <v/>
          </cell>
        </row>
        <row r="81">
          <cell r="B81">
            <v>317</v>
          </cell>
          <cell r="C81">
            <v>3</v>
          </cell>
          <cell r="D81">
            <v>17</v>
          </cell>
          <cell r="F81" t="str">
            <v>旭川</v>
          </cell>
          <cell r="G81" t="str">
            <v>Ｐ型ｶﾞｽ漏火災警報(外観)</v>
          </cell>
          <cell r="H81" t="str">
            <v>ホーチキ</v>
          </cell>
          <cell r="I81">
            <v>8000</v>
          </cell>
          <cell r="J81">
            <v>8160</v>
          </cell>
          <cell r="K81">
            <v>1</v>
          </cell>
          <cell r="L81">
            <v>0</v>
          </cell>
          <cell r="M81">
            <v>0</v>
          </cell>
          <cell r="N81">
            <v>8160</v>
          </cell>
          <cell r="O81">
            <v>0</v>
          </cell>
          <cell r="P81">
            <v>0</v>
          </cell>
          <cell r="Q81">
            <v>0</v>
          </cell>
          <cell r="R81">
            <v>0</v>
          </cell>
          <cell r="S81">
            <v>0</v>
          </cell>
          <cell r="T81">
            <v>0</v>
          </cell>
          <cell r="U81">
            <v>0</v>
          </cell>
          <cell r="V81">
            <v>0</v>
          </cell>
          <cell r="W81">
            <v>0</v>
          </cell>
          <cell r="X81" t="str">
            <v/>
          </cell>
          <cell r="Y81" t="str">
            <v/>
          </cell>
          <cell r="Z81" t="str">
            <v>⑥</v>
          </cell>
          <cell r="AA81" t="str">
            <v/>
          </cell>
          <cell r="AB81" t="str">
            <v/>
          </cell>
          <cell r="AC81" t="str">
            <v/>
          </cell>
          <cell r="AD81" t="str">
            <v/>
          </cell>
          <cell r="AE81" t="str">
            <v/>
          </cell>
          <cell r="AF81" t="str">
            <v/>
          </cell>
          <cell r="AG81" t="str">
            <v/>
          </cell>
          <cell r="AH81" t="str">
            <v/>
          </cell>
          <cell r="AI81" t="str">
            <v/>
          </cell>
        </row>
        <row r="82">
          <cell r="B82">
            <v>318</v>
          </cell>
          <cell r="C82">
            <v>3</v>
          </cell>
          <cell r="D82">
            <v>18</v>
          </cell>
          <cell r="F82" t="str">
            <v>旭川</v>
          </cell>
          <cell r="G82" t="str">
            <v>Ｐ型ｶﾞｽ漏火災警報(総合)</v>
          </cell>
          <cell r="H82" t="str">
            <v>ホーチキ</v>
          </cell>
          <cell r="I82">
            <v>13000</v>
          </cell>
          <cell r="J82">
            <v>13260</v>
          </cell>
          <cell r="K82">
            <v>1</v>
          </cell>
          <cell r="L82">
            <v>0</v>
          </cell>
          <cell r="M82">
            <v>0</v>
          </cell>
          <cell r="N82">
            <v>0</v>
          </cell>
          <cell r="O82">
            <v>0</v>
          </cell>
          <cell r="P82">
            <v>0</v>
          </cell>
          <cell r="Q82">
            <v>0</v>
          </cell>
          <cell r="R82">
            <v>0</v>
          </cell>
          <cell r="S82">
            <v>0</v>
          </cell>
          <cell r="T82">
            <v>13260</v>
          </cell>
          <cell r="U82">
            <v>0</v>
          </cell>
          <cell r="V82">
            <v>0</v>
          </cell>
          <cell r="W82">
            <v>0</v>
          </cell>
          <cell r="X82" t="str">
            <v/>
          </cell>
          <cell r="Y82" t="str">
            <v/>
          </cell>
          <cell r="Z82" t="str">
            <v/>
          </cell>
          <cell r="AA82" t="str">
            <v/>
          </cell>
          <cell r="AB82" t="str">
            <v/>
          </cell>
          <cell r="AC82" t="str">
            <v/>
          </cell>
          <cell r="AD82" t="str">
            <v/>
          </cell>
          <cell r="AE82" t="str">
            <v/>
          </cell>
          <cell r="AF82" t="str">
            <v>⑫</v>
          </cell>
          <cell r="AG82" t="str">
            <v/>
          </cell>
          <cell r="AH82" t="str">
            <v/>
          </cell>
          <cell r="AI82" t="str">
            <v/>
          </cell>
        </row>
        <row r="83">
          <cell r="B83">
            <v>319</v>
          </cell>
          <cell r="C83">
            <v>3</v>
          </cell>
          <cell r="D83">
            <v>19</v>
          </cell>
          <cell r="F83" t="str">
            <v>旭川</v>
          </cell>
          <cell r="G83" t="str">
            <v>Ｐ型自火報(外観)</v>
          </cell>
          <cell r="H83" t="str">
            <v>ホーチキ</v>
          </cell>
          <cell r="I83">
            <v>42000</v>
          </cell>
          <cell r="J83">
            <v>42840</v>
          </cell>
          <cell r="K83">
            <v>1</v>
          </cell>
          <cell r="L83">
            <v>0</v>
          </cell>
          <cell r="M83">
            <v>0</v>
          </cell>
          <cell r="N83">
            <v>42840</v>
          </cell>
          <cell r="O83">
            <v>0</v>
          </cell>
          <cell r="P83">
            <v>0</v>
          </cell>
          <cell r="Q83">
            <v>0</v>
          </cell>
          <cell r="R83">
            <v>0</v>
          </cell>
          <cell r="S83">
            <v>0</v>
          </cell>
          <cell r="T83">
            <v>0</v>
          </cell>
          <cell r="U83">
            <v>0</v>
          </cell>
          <cell r="V83">
            <v>0</v>
          </cell>
          <cell r="W83">
            <v>0</v>
          </cell>
          <cell r="X83" t="str">
            <v/>
          </cell>
          <cell r="Y83" t="str">
            <v/>
          </cell>
          <cell r="Z83" t="str">
            <v>⑥</v>
          </cell>
          <cell r="AA83" t="str">
            <v/>
          </cell>
          <cell r="AB83" t="str">
            <v/>
          </cell>
          <cell r="AC83" t="str">
            <v/>
          </cell>
          <cell r="AD83" t="str">
            <v/>
          </cell>
          <cell r="AE83" t="str">
            <v/>
          </cell>
          <cell r="AF83" t="str">
            <v/>
          </cell>
          <cell r="AG83" t="str">
            <v/>
          </cell>
          <cell r="AH83" t="str">
            <v/>
          </cell>
          <cell r="AI83" t="str">
            <v/>
          </cell>
        </row>
        <row r="84">
          <cell r="B84">
            <v>320</v>
          </cell>
          <cell r="C84">
            <v>3</v>
          </cell>
          <cell r="D84">
            <v>20</v>
          </cell>
          <cell r="F84" t="str">
            <v>旭川</v>
          </cell>
          <cell r="G84" t="str">
            <v>Ｐ型自火報(総合)</v>
          </cell>
          <cell r="H84" t="str">
            <v>ホーチキ</v>
          </cell>
          <cell r="I84">
            <v>69000</v>
          </cell>
          <cell r="J84">
            <v>70380</v>
          </cell>
          <cell r="K84">
            <v>1</v>
          </cell>
          <cell r="L84">
            <v>0</v>
          </cell>
          <cell r="M84">
            <v>0</v>
          </cell>
          <cell r="N84">
            <v>0</v>
          </cell>
          <cell r="O84">
            <v>0</v>
          </cell>
          <cell r="P84">
            <v>0</v>
          </cell>
          <cell r="Q84">
            <v>0</v>
          </cell>
          <cell r="R84">
            <v>0</v>
          </cell>
          <cell r="S84">
            <v>0</v>
          </cell>
          <cell r="T84">
            <v>70380</v>
          </cell>
          <cell r="U84">
            <v>0</v>
          </cell>
          <cell r="V84">
            <v>0</v>
          </cell>
          <cell r="W84">
            <v>0</v>
          </cell>
          <cell r="X84" t="str">
            <v/>
          </cell>
          <cell r="Y84" t="str">
            <v/>
          </cell>
          <cell r="Z84" t="str">
            <v/>
          </cell>
          <cell r="AA84" t="str">
            <v/>
          </cell>
          <cell r="AB84" t="str">
            <v/>
          </cell>
          <cell r="AC84" t="str">
            <v/>
          </cell>
          <cell r="AD84" t="str">
            <v/>
          </cell>
          <cell r="AE84" t="str">
            <v/>
          </cell>
          <cell r="AF84" t="str">
            <v>⑫</v>
          </cell>
          <cell r="AG84" t="str">
            <v/>
          </cell>
          <cell r="AH84" t="str">
            <v/>
          </cell>
          <cell r="AI84" t="str">
            <v/>
          </cell>
        </row>
        <row r="85">
          <cell r="B85">
            <v>321</v>
          </cell>
          <cell r="C85">
            <v>3</v>
          </cell>
          <cell r="D85">
            <v>21</v>
          </cell>
          <cell r="F85" t="str">
            <v>旭川</v>
          </cell>
          <cell r="G85" t="str">
            <v>害虫駆除</v>
          </cell>
          <cell r="H85" t="str">
            <v>ホクカン</v>
          </cell>
          <cell r="I85">
            <v>55000</v>
          </cell>
          <cell r="J85">
            <v>60500</v>
          </cell>
          <cell r="K85">
            <v>2</v>
          </cell>
          <cell r="L85">
            <v>0</v>
          </cell>
          <cell r="M85">
            <v>0</v>
          </cell>
          <cell r="N85">
            <v>60500</v>
          </cell>
          <cell r="O85">
            <v>0</v>
          </cell>
          <cell r="P85">
            <v>0</v>
          </cell>
          <cell r="Q85">
            <v>0</v>
          </cell>
          <cell r="R85">
            <v>0</v>
          </cell>
          <cell r="S85">
            <v>60500</v>
          </cell>
          <cell r="T85">
            <v>0</v>
          </cell>
          <cell r="U85">
            <v>0</v>
          </cell>
          <cell r="V85">
            <v>0</v>
          </cell>
          <cell r="W85">
            <v>0</v>
          </cell>
          <cell r="X85" t="str">
            <v/>
          </cell>
          <cell r="Y85" t="str">
            <v/>
          </cell>
          <cell r="Z85" t="str">
            <v>⑥</v>
          </cell>
          <cell r="AA85" t="str">
            <v/>
          </cell>
          <cell r="AB85" t="str">
            <v/>
          </cell>
          <cell r="AC85" t="str">
            <v/>
          </cell>
          <cell r="AD85" t="str">
            <v/>
          </cell>
          <cell r="AE85" t="str">
            <v>⑪</v>
          </cell>
          <cell r="AF85" t="str">
            <v/>
          </cell>
          <cell r="AG85" t="str">
            <v/>
          </cell>
          <cell r="AH85" t="str">
            <v/>
          </cell>
          <cell r="AI85" t="str">
            <v/>
          </cell>
        </row>
        <row r="86">
          <cell r="B86">
            <v>322</v>
          </cell>
          <cell r="C86">
            <v>3</v>
          </cell>
          <cell r="D86">
            <v>22</v>
          </cell>
          <cell r="F86" t="str">
            <v>旭川</v>
          </cell>
          <cell r="G86" t="str">
            <v>雑排水槽清掃</v>
          </cell>
          <cell r="H86" t="str">
            <v>中央ビルメンテナンス</v>
          </cell>
          <cell r="I86">
            <v>28000</v>
          </cell>
          <cell r="J86">
            <v>31360</v>
          </cell>
          <cell r="K86">
            <v>1</v>
          </cell>
          <cell r="L86">
            <v>0</v>
          </cell>
          <cell r="M86">
            <v>0</v>
          </cell>
          <cell r="N86">
            <v>0</v>
          </cell>
          <cell r="O86">
            <v>31360</v>
          </cell>
          <cell r="P86">
            <v>0</v>
          </cell>
          <cell r="Q86">
            <v>0</v>
          </cell>
          <cell r="R86">
            <v>0</v>
          </cell>
          <cell r="S86">
            <v>0</v>
          </cell>
          <cell r="T86">
            <v>0</v>
          </cell>
          <cell r="U86">
            <v>0</v>
          </cell>
          <cell r="V86">
            <v>0</v>
          </cell>
          <cell r="W86">
            <v>0</v>
          </cell>
          <cell r="X86" t="str">
            <v/>
          </cell>
          <cell r="Y86" t="str">
            <v/>
          </cell>
          <cell r="Z86" t="str">
            <v/>
          </cell>
          <cell r="AA86" t="str">
            <v>⑦</v>
          </cell>
          <cell r="AB86" t="str">
            <v/>
          </cell>
          <cell r="AC86" t="str">
            <v/>
          </cell>
          <cell r="AD86" t="str">
            <v/>
          </cell>
          <cell r="AE86" t="str">
            <v/>
          </cell>
          <cell r="AF86" t="str">
            <v/>
          </cell>
          <cell r="AG86" t="str">
            <v/>
          </cell>
          <cell r="AH86" t="str">
            <v/>
          </cell>
          <cell r="AI86" t="str">
            <v/>
          </cell>
        </row>
        <row r="87">
          <cell r="B87">
            <v>323</v>
          </cell>
          <cell r="C87">
            <v>3</v>
          </cell>
          <cell r="D87">
            <v>23</v>
          </cell>
          <cell r="F87" t="str">
            <v>旭川</v>
          </cell>
          <cell r="G87" t="str">
            <v>受水槽清掃(含む高架水槽)</v>
          </cell>
          <cell r="H87" t="str">
            <v>ホクカン</v>
          </cell>
          <cell r="I87">
            <v>75000</v>
          </cell>
          <cell r="J87">
            <v>84750</v>
          </cell>
          <cell r="K87">
            <v>1</v>
          </cell>
          <cell r="L87">
            <v>0</v>
          </cell>
          <cell r="M87">
            <v>0</v>
          </cell>
          <cell r="N87">
            <v>0</v>
          </cell>
          <cell r="O87">
            <v>0</v>
          </cell>
          <cell r="P87">
            <v>84750</v>
          </cell>
          <cell r="Q87">
            <v>0</v>
          </cell>
          <cell r="R87">
            <v>0</v>
          </cell>
          <cell r="S87">
            <v>0</v>
          </cell>
          <cell r="T87">
            <v>0</v>
          </cell>
          <cell r="U87">
            <v>0</v>
          </cell>
          <cell r="V87">
            <v>0</v>
          </cell>
          <cell r="W87">
            <v>0</v>
          </cell>
          <cell r="X87" t="str">
            <v/>
          </cell>
          <cell r="Y87" t="str">
            <v/>
          </cell>
          <cell r="Z87" t="str">
            <v/>
          </cell>
          <cell r="AA87" t="str">
            <v/>
          </cell>
          <cell r="AB87" t="str">
            <v>⑧</v>
          </cell>
          <cell r="AC87" t="str">
            <v/>
          </cell>
          <cell r="AD87" t="str">
            <v/>
          </cell>
          <cell r="AE87" t="str">
            <v/>
          </cell>
          <cell r="AF87" t="str">
            <v/>
          </cell>
          <cell r="AG87" t="str">
            <v/>
          </cell>
          <cell r="AH87" t="str">
            <v/>
          </cell>
          <cell r="AI87" t="str">
            <v/>
          </cell>
        </row>
        <row r="88">
          <cell r="B88">
            <v>324</v>
          </cell>
          <cell r="C88">
            <v>3</v>
          </cell>
          <cell r="D88">
            <v>24</v>
          </cell>
          <cell r="F88" t="str">
            <v>旭川</v>
          </cell>
          <cell r="G88" t="str">
            <v>自動ドアー保守</v>
          </cell>
          <cell r="H88" t="str">
            <v>東日本寺岡オートドア</v>
          </cell>
          <cell r="I88">
            <v>15000</v>
          </cell>
          <cell r="J88">
            <v>15300</v>
          </cell>
          <cell r="K88">
            <v>3</v>
          </cell>
          <cell r="L88">
            <v>0</v>
          </cell>
          <cell r="M88">
            <v>0</v>
          </cell>
          <cell r="N88">
            <v>15300</v>
          </cell>
          <cell r="O88">
            <v>0</v>
          </cell>
          <cell r="P88">
            <v>0</v>
          </cell>
          <cell r="Q88">
            <v>0</v>
          </cell>
          <cell r="R88">
            <v>15300</v>
          </cell>
          <cell r="S88">
            <v>0</v>
          </cell>
          <cell r="T88">
            <v>0</v>
          </cell>
          <cell r="U88">
            <v>0</v>
          </cell>
          <cell r="V88">
            <v>15300</v>
          </cell>
          <cell r="W88">
            <v>0</v>
          </cell>
          <cell r="X88" t="str">
            <v/>
          </cell>
          <cell r="Y88" t="str">
            <v/>
          </cell>
          <cell r="Z88" t="str">
            <v>⑥</v>
          </cell>
          <cell r="AA88" t="str">
            <v/>
          </cell>
          <cell r="AB88" t="str">
            <v/>
          </cell>
          <cell r="AC88" t="str">
            <v/>
          </cell>
          <cell r="AD88" t="str">
            <v>⑩</v>
          </cell>
          <cell r="AE88" t="str">
            <v/>
          </cell>
          <cell r="AF88" t="str">
            <v/>
          </cell>
          <cell r="AG88" t="str">
            <v/>
          </cell>
          <cell r="AH88" t="str">
            <v>②</v>
          </cell>
          <cell r="AI88" t="str">
            <v/>
          </cell>
        </row>
        <row r="89">
          <cell r="B89">
            <v>325</v>
          </cell>
          <cell r="C89">
            <v>3</v>
          </cell>
          <cell r="D89">
            <v>25</v>
          </cell>
          <cell r="F89" t="str">
            <v>旭川</v>
          </cell>
          <cell r="G89" t="str">
            <v>冷温水発生機設備保守</v>
          </cell>
          <cell r="H89" t="str">
            <v>三洋空調システム</v>
          </cell>
          <cell r="I89">
            <v>263100</v>
          </cell>
          <cell r="J89">
            <v>269862</v>
          </cell>
          <cell r="K89">
            <v>1</v>
          </cell>
          <cell r="L89">
            <v>0</v>
          </cell>
          <cell r="M89">
            <v>0</v>
          </cell>
          <cell r="N89">
            <v>0</v>
          </cell>
          <cell r="O89">
            <v>269862</v>
          </cell>
          <cell r="P89">
            <v>0</v>
          </cell>
          <cell r="Q89">
            <v>0</v>
          </cell>
          <cell r="R89">
            <v>0</v>
          </cell>
          <cell r="S89">
            <v>0</v>
          </cell>
          <cell r="T89">
            <v>0</v>
          </cell>
          <cell r="U89">
            <v>0</v>
          </cell>
          <cell r="V89">
            <v>0</v>
          </cell>
          <cell r="W89">
            <v>0</v>
          </cell>
          <cell r="X89" t="str">
            <v/>
          </cell>
          <cell r="Y89" t="str">
            <v/>
          </cell>
          <cell r="Z89" t="str">
            <v/>
          </cell>
          <cell r="AA89" t="str">
            <v>⑦</v>
          </cell>
          <cell r="AB89" t="str">
            <v/>
          </cell>
          <cell r="AC89" t="str">
            <v/>
          </cell>
          <cell r="AD89" t="str">
            <v/>
          </cell>
          <cell r="AE89" t="str">
            <v/>
          </cell>
          <cell r="AF89" t="str">
            <v/>
          </cell>
          <cell r="AG89" t="str">
            <v/>
          </cell>
          <cell r="AH89" t="str">
            <v/>
          </cell>
          <cell r="AI89" t="str">
            <v/>
          </cell>
        </row>
        <row r="90">
          <cell r="B90">
            <v>326</v>
          </cell>
          <cell r="C90">
            <v>3</v>
          </cell>
          <cell r="D90">
            <v>26</v>
          </cell>
          <cell r="F90" t="str">
            <v>旭川</v>
          </cell>
          <cell r="G90" t="str">
            <v>冷温水発生機設備保守</v>
          </cell>
          <cell r="H90" t="str">
            <v>三洋空調システム</v>
          </cell>
          <cell r="I90">
            <v>180100</v>
          </cell>
          <cell r="J90">
            <v>185202</v>
          </cell>
          <cell r="K90">
            <v>1</v>
          </cell>
          <cell r="L90">
            <v>0</v>
          </cell>
          <cell r="M90">
            <v>0</v>
          </cell>
          <cell r="N90">
            <v>0</v>
          </cell>
          <cell r="O90">
            <v>0</v>
          </cell>
          <cell r="P90">
            <v>0</v>
          </cell>
          <cell r="Q90">
            <v>185202</v>
          </cell>
          <cell r="R90">
            <v>0</v>
          </cell>
          <cell r="S90">
            <v>0</v>
          </cell>
          <cell r="T90">
            <v>0</v>
          </cell>
          <cell r="U90">
            <v>0</v>
          </cell>
          <cell r="V90">
            <v>0</v>
          </cell>
          <cell r="W90">
            <v>0</v>
          </cell>
          <cell r="X90" t="str">
            <v/>
          </cell>
          <cell r="Y90" t="str">
            <v/>
          </cell>
          <cell r="Z90" t="str">
            <v/>
          </cell>
          <cell r="AA90" t="str">
            <v/>
          </cell>
          <cell r="AB90" t="str">
            <v/>
          </cell>
          <cell r="AC90" t="str">
            <v>⑨</v>
          </cell>
          <cell r="AD90" t="str">
            <v/>
          </cell>
          <cell r="AE90" t="str">
            <v/>
          </cell>
          <cell r="AF90" t="str">
            <v/>
          </cell>
          <cell r="AG90" t="str">
            <v/>
          </cell>
          <cell r="AH90" t="str">
            <v/>
          </cell>
          <cell r="AI90" t="str">
            <v/>
          </cell>
        </row>
        <row r="91">
          <cell r="B91">
            <v>327</v>
          </cell>
          <cell r="C91">
            <v>3</v>
          </cell>
          <cell r="D91">
            <v>27</v>
          </cell>
          <cell r="F91" t="str">
            <v>旭川</v>
          </cell>
          <cell r="G91" t="str">
            <v>冷温水発生機設備保守</v>
          </cell>
          <cell r="H91" t="str">
            <v>三洋空調システム</v>
          </cell>
          <cell r="I91">
            <v>251300</v>
          </cell>
          <cell r="J91">
            <v>257826</v>
          </cell>
          <cell r="K91">
            <v>1</v>
          </cell>
          <cell r="L91">
            <v>0</v>
          </cell>
          <cell r="M91">
            <v>0</v>
          </cell>
          <cell r="N91">
            <v>0</v>
          </cell>
          <cell r="O91">
            <v>0</v>
          </cell>
          <cell r="P91">
            <v>0</v>
          </cell>
          <cell r="Q91">
            <v>0</v>
          </cell>
          <cell r="R91">
            <v>0</v>
          </cell>
          <cell r="S91">
            <v>0</v>
          </cell>
          <cell r="T91">
            <v>0</v>
          </cell>
          <cell r="U91">
            <v>257826</v>
          </cell>
          <cell r="V91">
            <v>0</v>
          </cell>
          <cell r="W91">
            <v>0</v>
          </cell>
          <cell r="X91" t="str">
            <v/>
          </cell>
          <cell r="Y91" t="str">
            <v/>
          </cell>
          <cell r="Z91" t="str">
            <v/>
          </cell>
          <cell r="AA91" t="str">
            <v/>
          </cell>
          <cell r="AB91" t="str">
            <v/>
          </cell>
          <cell r="AC91" t="str">
            <v/>
          </cell>
          <cell r="AD91" t="str">
            <v/>
          </cell>
          <cell r="AE91" t="str">
            <v/>
          </cell>
          <cell r="AF91" t="str">
            <v/>
          </cell>
          <cell r="AG91" t="str">
            <v>①</v>
          </cell>
          <cell r="AH91" t="str">
            <v/>
          </cell>
          <cell r="AI91" t="str">
            <v/>
          </cell>
        </row>
        <row r="92">
          <cell r="B92">
            <v>328</v>
          </cell>
          <cell r="C92">
            <v>3</v>
          </cell>
          <cell r="D92">
            <v>28</v>
          </cell>
          <cell r="F92" t="str">
            <v>旭川</v>
          </cell>
          <cell r="G92" t="str">
            <v>冷温水発生機設備保守</v>
          </cell>
          <cell r="H92" t="str">
            <v>三洋空調システム</v>
          </cell>
          <cell r="I92">
            <v>105500</v>
          </cell>
          <cell r="J92">
            <v>109110</v>
          </cell>
          <cell r="K92">
            <v>1</v>
          </cell>
          <cell r="L92">
            <v>0</v>
          </cell>
          <cell r="M92">
            <v>0</v>
          </cell>
          <cell r="N92">
            <v>0</v>
          </cell>
          <cell r="O92">
            <v>0</v>
          </cell>
          <cell r="P92">
            <v>0</v>
          </cell>
          <cell r="Q92">
            <v>0</v>
          </cell>
          <cell r="R92">
            <v>0</v>
          </cell>
          <cell r="S92">
            <v>0</v>
          </cell>
          <cell r="T92">
            <v>0</v>
          </cell>
          <cell r="U92">
            <v>0</v>
          </cell>
          <cell r="V92">
            <v>0</v>
          </cell>
          <cell r="W92">
            <v>109110</v>
          </cell>
          <cell r="X92" t="str">
            <v/>
          </cell>
          <cell r="Y92" t="str">
            <v/>
          </cell>
          <cell r="Z92" t="str">
            <v/>
          </cell>
          <cell r="AA92" t="str">
            <v/>
          </cell>
          <cell r="AB92" t="str">
            <v/>
          </cell>
          <cell r="AC92" t="str">
            <v/>
          </cell>
          <cell r="AD92" t="str">
            <v/>
          </cell>
          <cell r="AE92" t="str">
            <v/>
          </cell>
          <cell r="AF92" t="str">
            <v/>
          </cell>
          <cell r="AG92" t="str">
            <v/>
          </cell>
          <cell r="AH92" t="str">
            <v/>
          </cell>
          <cell r="AI92" t="str">
            <v>③</v>
          </cell>
        </row>
        <row r="93">
          <cell r="B93">
            <v>329</v>
          </cell>
          <cell r="C93">
            <v>3</v>
          </cell>
          <cell r="D93">
            <v>29</v>
          </cell>
          <cell r="F93" t="str">
            <v>旭川</v>
          </cell>
          <cell r="G93" t="str">
            <v>空調自動制御装置保守</v>
          </cell>
          <cell r="H93" t="str">
            <v>オーテック</v>
          </cell>
          <cell r="I93">
            <v>350000</v>
          </cell>
          <cell r="J93">
            <v>357000</v>
          </cell>
          <cell r="K93">
            <v>1</v>
          </cell>
          <cell r="L93">
            <v>0</v>
          </cell>
          <cell r="M93">
            <v>0</v>
          </cell>
          <cell r="N93">
            <v>0</v>
          </cell>
          <cell r="O93">
            <v>0</v>
          </cell>
          <cell r="P93">
            <v>0</v>
          </cell>
          <cell r="Q93">
            <v>0</v>
          </cell>
          <cell r="R93">
            <v>0</v>
          </cell>
          <cell r="S93">
            <v>0</v>
          </cell>
          <cell r="T93">
            <v>0</v>
          </cell>
          <cell r="U93">
            <v>357000</v>
          </cell>
          <cell r="V93">
            <v>0</v>
          </cell>
          <cell r="W93">
            <v>0</v>
          </cell>
          <cell r="X93" t="str">
            <v/>
          </cell>
          <cell r="Y93" t="str">
            <v/>
          </cell>
          <cell r="Z93" t="str">
            <v/>
          </cell>
          <cell r="AA93" t="str">
            <v/>
          </cell>
          <cell r="AB93" t="str">
            <v/>
          </cell>
          <cell r="AC93" t="str">
            <v/>
          </cell>
          <cell r="AD93" t="str">
            <v/>
          </cell>
          <cell r="AE93" t="str">
            <v/>
          </cell>
          <cell r="AF93" t="str">
            <v/>
          </cell>
          <cell r="AG93" t="str">
            <v>①</v>
          </cell>
          <cell r="AH93" t="str">
            <v/>
          </cell>
          <cell r="AI93" t="str">
            <v/>
          </cell>
        </row>
        <row r="94">
          <cell r="B94">
            <v>330</v>
          </cell>
          <cell r="C94">
            <v>3</v>
          </cell>
          <cell r="D94">
            <v>30</v>
          </cell>
          <cell r="F94" t="str">
            <v>旭川</v>
          </cell>
          <cell r="G94" t="str">
            <v>空調機設備点検整備</v>
          </cell>
          <cell r="H94" t="str">
            <v>東洋製作所</v>
          </cell>
          <cell r="I94">
            <v>150000</v>
          </cell>
          <cell r="J94">
            <v>172500</v>
          </cell>
          <cell r="K94">
            <v>3</v>
          </cell>
          <cell r="L94">
            <v>0</v>
          </cell>
          <cell r="M94">
            <v>0</v>
          </cell>
          <cell r="N94">
            <v>172500</v>
          </cell>
          <cell r="O94">
            <v>0</v>
          </cell>
          <cell r="P94">
            <v>0</v>
          </cell>
          <cell r="Q94">
            <v>0</v>
          </cell>
          <cell r="R94">
            <v>172500</v>
          </cell>
          <cell r="S94">
            <v>0</v>
          </cell>
          <cell r="T94">
            <v>0</v>
          </cell>
          <cell r="U94">
            <v>0</v>
          </cell>
          <cell r="V94">
            <v>172500</v>
          </cell>
          <cell r="W94">
            <v>0</v>
          </cell>
          <cell r="X94" t="str">
            <v/>
          </cell>
          <cell r="Y94" t="str">
            <v/>
          </cell>
          <cell r="Z94" t="str">
            <v>⑥</v>
          </cell>
          <cell r="AA94" t="str">
            <v/>
          </cell>
          <cell r="AB94" t="str">
            <v/>
          </cell>
          <cell r="AC94" t="str">
            <v/>
          </cell>
          <cell r="AD94" t="str">
            <v>⑩</v>
          </cell>
          <cell r="AE94" t="str">
            <v/>
          </cell>
          <cell r="AF94" t="str">
            <v/>
          </cell>
          <cell r="AG94" t="str">
            <v/>
          </cell>
          <cell r="AH94" t="str">
            <v>②</v>
          </cell>
          <cell r="AI94" t="str">
            <v/>
          </cell>
          <cell r="AJ94" t="str">
            <v>追</v>
          </cell>
        </row>
        <row r="95">
          <cell r="B95">
            <v>331</v>
          </cell>
          <cell r="C95">
            <v>3</v>
          </cell>
          <cell r="D95">
            <v>31</v>
          </cell>
          <cell r="F95" t="str">
            <v>旭川</v>
          </cell>
          <cell r="G95" t="str">
            <v>給湯ボイラー設備点検整備</v>
          </cell>
          <cell r="H95" t="str">
            <v>オーク</v>
          </cell>
          <cell r="I95">
            <v>45000</v>
          </cell>
          <cell r="J95">
            <v>51750</v>
          </cell>
          <cell r="K95">
            <v>1</v>
          </cell>
          <cell r="L95">
            <v>0</v>
          </cell>
          <cell r="M95">
            <v>51750</v>
          </cell>
          <cell r="N95">
            <v>0</v>
          </cell>
          <cell r="O95">
            <v>0</v>
          </cell>
          <cell r="P95">
            <v>0</v>
          </cell>
          <cell r="Q95">
            <v>0</v>
          </cell>
          <cell r="R95">
            <v>0</v>
          </cell>
          <cell r="S95">
            <v>0</v>
          </cell>
          <cell r="T95">
            <v>0</v>
          </cell>
          <cell r="U95">
            <v>0</v>
          </cell>
          <cell r="V95">
            <v>0</v>
          </cell>
          <cell r="W95">
            <v>0</v>
          </cell>
          <cell r="X95" t="str">
            <v/>
          </cell>
          <cell r="Y95" t="str">
            <v>⑤</v>
          </cell>
          <cell r="Z95" t="str">
            <v/>
          </cell>
          <cell r="AA95" t="str">
            <v/>
          </cell>
          <cell r="AB95" t="str">
            <v/>
          </cell>
          <cell r="AC95" t="str">
            <v/>
          </cell>
          <cell r="AD95" t="str">
            <v/>
          </cell>
          <cell r="AE95" t="str">
            <v/>
          </cell>
          <cell r="AF95" t="str">
            <v/>
          </cell>
          <cell r="AG95" t="str">
            <v/>
          </cell>
          <cell r="AH95" t="str">
            <v/>
          </cell>
          <cell r="AI95" t="str">
            <v/>
          </cell>
          <cell r="AJ95" t="str">
            <v>追</v>
          </cell>
        </row>
        <row r="96">
          <cell r="B96">
            <v>332</v>
          </cell>
          <cell r="C96">
            <v>3</v>
          </cell>
          <cell r="D96">
            <v>32</v>
          </cell>
          <cell r="F96" t="str">
            <v>旭川</v>
          </cell>
          <cell r="G96" t="str">
            <v>給湯ボイラー設備点検整備</v>
          </cell>
          <cell r="H96" t="str">
            <v>オーク</v>
          </cell>
          <cell r="I96">
            <v>20000</v>
          </cell>
          <cell r="J96">
            <v>23000</v>
          </cell>
          <cell r="K96">
            <v>2</v>
          </cell>
          <cell r="L96">
            <v>0</v>
          </cell>
          <cell r="M96">
            <v>0</v>
          </cell>
          <cell r="N96">
            <v>0</v>
          </cell>
          <cell r="O96">
            <v>0</v>
          </cell>
          <cell r="P96">
            <v>0</v>
          </cell>
          <cell r="Q96">
            <v>0</v>
          </cell>
          <cell r="R96">
            <v>23000</v>
          </cell>
          <cell r="S96">
            <v>0</v>
          </cell>
          <cell r="T96">
            <v>0</v>
          </cell>
          <cell r="U96">
            <v>0</v>
          </cell>
          <cell r="V96">
            <v>23000</v>
          </cell>
          <cell r="W96">
            <v>0</v>
          </cell>
          <cell r="X96" t="str">
            <v/>
          </cell>
          <cell r="Y96" t="str">
            <v/>
          </cell>
          <cell r="Z96" t="str">
            <v/>
          </cell>
          <cell r="AA96" t="str">
            <v/>
          </cell>
          <cell r="AB96" t="str">
            <v/>
          </cell>
          <cell r="AC96" t="str">
            <v/>
          </cell>
          <cell r="AD96" t="str">
            <v>⑩</v>
          </cell>
          <cell r="AE96" t="str">
            <v/>
          </cell>
          <cell r="AF96" t="str">
            <v/>
          </cell>
          <cell r="AG96" t="str">
            <v/>
          </cell>
          <cell r="AH96" t="str">
            <v>②</v>
          </cell>
          <cell r="AI96" t="str">
            <v/>
          </cell>
          <cell r="AJ96" t="str">
            <v>追</v>
          </cell>
        </row>
        <row r="97">
          <cell r="B97">
            <v>333</v>
          </cell>
          <cell r="C97">
            <v>3</v>
          </cell>
          <cell r="D97">
            <v>33</v>
          </cell>
          <cell r="F97" t="str">
            <v>旭川</v>
          </cell>
          <cell r="G97" t="str">
            <v>電気湯沸器点検整備</v>
          </cell>
          <cell r="H97" t="str">
            <v>中央ビルメンテナンス</v>
          </cell>
          <cell r="I97">
            <v>20000</v>
          </cell>
          <cell r="J97">
            <v>23000</v>
          </cell>
          <cell r="K97">
            <v>2</v>
          </cell>
          <cell r="L97">
            <v>0</v>
          </cell>
          <cell r="M97">
            <v>23000</v>
          </cell>
          <cell r="N97">
            <v>0</v>
          </cell>
          <cell r="O97">
            <v>0</v>
          </cell>
          <cell r="P97">
            <v>0</v>
          </cell>
          <cell r="Q97">
            <v>0</v>
          </cell>
          <cell r="R97">
            <v>0</v>
          </cell>
          <cell r="S97">
            <v>23000</v>
          </cell>
          <cell r="T97">
            <v>0</v>
          </cell>
          <cell r="U97">
            <v>0</v>
          </cell>
          <cell r="V97">
            <v>0</v>
          </cell>
          <cell r="W97">
            <v>0</v>
          </cell>
          <cell r="X97" t="str">
            <v/>
          </cell>
          <cell r="Y97" t="str">
            <v>⑤</v>
          </cell>
          <cell r="Z97" t="str">
            <v/>
          </cell>
          <cell r="AA97" t="str">
            <v/>
          </cell>
          <cell r="AB97" t="str">
            <v/>
          </cell>
          <cell r="AC97" t="str">
            <v/>
          </cell>
          <cell r="AD97" t="str">
            <v/>
          </cell>
          <cell r="AE97" t="str">
            <v>⑪</v>
          </cell>
          <cell r="AF97" t="str">
            <v/>
          </cell>
          <cell r="AG97" t="str">
            <v/>
          </cell>
          <cell r="AH97" t="str">
            <v/>
          </cell>
          <cell r="AI97" t="str">
            <v/>
          </cell>
          <cell r="AJ97" t="str">
            <v>追</v>
          </cell>
        </row>
        <row r="98">
          <cell r="B98">
            <v>334</v>
          </cell>
          <cell r="C98">
            <v>3</v>
          </cell>
          <cell r="D98">
            <v>34</v>
          </cell>
          <cell r="F98" t="str">
            <v>旭川</v>
          </cell>
          <cell r="G98" t="str">
            <v>シャッター設備点検整備</v>
          </cell>
          <cell r="H98" t="str">
            <v>文化シャッターサービス</v>
          </cell>
          <cell r="I98">
            <v>80000</v>
          </cell>
          <cell r="J98">
            <v>92000</v>
          </cell>
          <cell r="K98">
            <v>1</v>
          </cell>
          <cell r="L98">
            <v>0</v>
          </cell>
          <cell r="M98">
            <v>0</v>
          </cell>
          <cell r="N98">
            <v>0</v>
          </cell>
          <cell r="O98">
            <v>0</v>
          </cell>
          <cell r="P98">
            <v>0</v>
          </cell>
          <cell r="Q98">
            <v>0</v>
          </cell>
          <cell r="R98">
            <v>0</v>
          </cell>
          <cell r="S98">
            <v>92000</v>
          </cell>
          <cell r="T98">
            <v>0</v>
          </cell>
          <cell r="U98">
            <v>0</v>
          </cell>
          <cell r="V98">
            <v>0</v>
          </cell>
          <cell r="W98">
            <v>0</v>
          </cell>
          <cell r="X98" t="str">
            <v/>
          </cell>
          <cell r="Z98" t="str">
            <v/>
          </cell>
          <cell r="AA98" t="str">
            <v/>
          </cell>
          <cell r="AB98" t="str">
            <v/>
          </cell>
          <cell r="AC98" t="str">
            <v/>
          </cell>
          <cell r="AD98" t="str">
            <v/>
          </cell>
          <cell r="AE98" t="str">
            <v>⑪</v>
          </cell>
          <cell r="AF98" t="str">
            <v/>
          </cell>
          <cell r="AG98" t="str">
            <v/>
          </cell>
          <cell r="AH98" t="str">
            <v/>
          </cell>
          <cell r="AI98" t="str">
            <v/>
          </cell>
          <cell r="AJ98" t="str">
            <v>追</v>
          </cell>
        </row>
        <row r="99">
          <cell r="B99">
            <v>401</v>
          </cell>
          <cell r="C99">
            <v>4</v>
          </cell>
          <cell r="D99">
            <v>1</v>
          </cell>
          <cell r="F99" t="str">
            <v>帯広</v>
          </cell>
          <cell r="G99" t="str">
            <v>立体駐車場設備保守</v>
          </cell>
          <cell r="H99" t="str">
            <v>三菱重工ﾊﾟｰｷﾝｸﾞ建設</v>
          </cell>
          <cell r="I99">
            <v>113000</v>
          </cell>
          <cell r="J99">
            <v>115260</v>
          </cell>
          <cell r="K99">
            <v>12</v>
          </cell>
          <cell r="L99">
            <v>115260</v>
          </cell>
          <cell r="M99">
            <v>115260</v>
          </cell>
          <cell r="N99">
            <v>115260</v>
          </cell>
          <cell r="O99">
            <v>115260</v>
          </cell>
          <cell r="P99">
            <v>115260</v>
          </cell>
          <cell r="Q99">
            <v>115260</v>
          </cell>
          <cell r="R99">
            <v>115260</v>
          </cell>
          <cell r="S99">
            <v>115260</v>
          </cell>
          <cell r="T99">
            <v>115260</v>
          </cell>
          <cell r="U99">
            <v>115260</v>
          </cell>
          <cell r="V99">
            <v>115260</v>
          </cell>
          <cell r="W99">
            <v>115260</v>
          </cell>
          <cell r="X99" t="str">
            <v>④</v>
          </cell>
          <cell r="Y99" t="str">
            <v>⑤</v>
          </cell>
          <cell r="Z99" t="str">
            <v>⑥</v>
          </cell>
          <cell r="AA99" t="str">
            <v>⑦</v>
          </cell>
          <cell r="AB99" t="str">
            <v>⑧</v>
          </cell>
          <cell r="AC99" t="str">
            <v>⑨</v>
          </cell>
          <cell r="AD99" t="str">
            <v>⑩</v>
          </cell>
          <cell r="AE99" t="str">
            <v>⑪</v>
          </cell>
          <cell r="AF99" t="str">
            <v>⑫</v>
          </cell>
          <cell r="AG99" t="str">
            <v>①</v>
          </cell>
          <cell r="AH99" t="str">
            <v>②</v>
          </cell>
          <cell r="AI99" t="str">
            <v>③</v>
          </cell>
        </row>
        <row r="100">
          <cell r="B100">
            <v>402</v>
          </cell>
          <cell r="C100">
            <v>4</v>
          </cell>
          <cell r="D100">
            <v>2</v>
          </cell>
          <cell r="F100" t="str">
            <v>帯広</v>
          </cell>
          <cell r="G100" t="str">
            <v>エレベーター保守</v>
          </cell>
          <cell r="H100" t="str">
            <v>三菱電機ﾋﾞﾙﾃｸﾉｻｰﾋﾞｽ</v>
          </cell>
          <cell r="I100">
            <v>75400</v>
          </cell>
          <cell r="J100">
            <v>76908</v>
          </cell>
          <cell r="K100">
            <v>12</v>
          </cell>
          <cell r="L100">
            <v>76908</v>
          </cell>
          <cell r="M100">
            <v>76908</v>
          </cell>
          <cell r="N100">
            <v>76908</v>
          </cell>
          <cell r="O100">
            <v>76908</v>
          </cell>
          <cell r="P100">
            <v>76908</v>
          </cell>
          <cell r="Q100">
            <v>76908</v>
          </cell>
          <cell r="R100">
            <v>76908</v>
          </cell>
          <cell r="S100">
            <v>76908</v>
          </cell>
          <cell r="T100">
            <v>76908</v>
          </cell>
          <cell r="U100">
            <v>76908</v>
          </cell>
          <cell r="V100">
            <v>76908</v>
          </cell>
          <cell r="W100">
            <v>76908</v>
          </cell>
          <cell r="X100" t="str">
            <v>④</v>
          </cell>
          <cell r="Y100" t="str">
            <v>⑤</v>
          </cell>
          <cell r="Z100" t="str">
            <v>⑥</v>
          </cell>
          <cell r="AA100" t="str">
            <v>⑦</v>
          </cell>
          <cell r="AB100" t="str">
            <v>⑧</v>
          </cell>
          <cell r="AC100" t="str">
            <v>⑨</v>
          </cell>
          <cell r="AD100" t="str">
            <v>⑩</v>
          </cell>
          <cell r="AE100" t="str">
            <v>⑪</v>
          </cell>
          <cell r="AF100" t="str">
            <v>⑫</v>
          </cell>
          <cell r="AG100" t="str">
            <v>①</v>
          </cell>
          <cell r="AH100" t="str">
            <v>②</v>
          </cell>
          <cell r="AI100" t="str">
            <v>③</v>
          </cell>
        </row>
        <row r="101">
          <cell r="B101">
            <v>403</v>
          </cell>
          <cell r="C101">
            <v>4</v>
          </cell>
          <cell r="D101">
            <v>3</v>
          </cell>
          <cell r="F101" t="str">
            <v>帯広</v>
          </cell>
          <cell r="G101" t="str">
            <v>消防設備点検保守(外観)</v>
          </cell>
          <cell r="H101" t="str">
            <v>斗南商事</v>
          </cell>
          <cell r="I101">
            <v>320000</v>
          </cell>
          <cell r="J101">
            <v>326400</v>
          </cell>
          <cell r="K101">
            <v>1</v>
          </cell>
          <cell r="L101">
            <v>0</v>
          </cell>
          <cell r="M101">
            <v>0</v>
          </cell>
          <cell r="N101">
            <v>326400</v>
          </cell>
          <cell r="O101">
            <v>0</v>
          </cell>
          <cell r="P101">
            <v>0</v>
          </cell>
          <cell r="Q101">
            <v>0</v>
          </cell>
          <cell r="R101">
            <v>0</v>
          </cell>
          <cell r="S101">
            <v>0</v>
          </cell>
          <cell r="T101">
            <v>0</v>
          </cell>
          <cell r="U101">
            <v>0</v>
          </cell>
          <cell r="V101">
            <v>0</v>
          </cell>
          <cell r="W101">
            <v>0</v>
          </cell>
          <cell r="X101" t="str">
            <v/>
          </cell>
          <cell r="Y101" t="str">
            <v/>
          </cell>
          <cell r="Z101" t="str">
            <v>⑥</v>
          </cell>
          <cell r="AA101" t="str">
            <v/>
          </cell>
          <cell r="AB101" t="str">
            <v/>
          </cell>
          <cell r="AC101" t="str">
            <v/>
          </cell>
          <cell r="AD101" t="str">
            <v/>
          </cell>
          <cell r="AE101" t="str">
            <v/>
          </cell>
          <cell r="AF101" t="str">
            <v/>
          </cell>
          <cell r="AG101" t="str">
            <v/>
          </cell>
          <cell r="AH101" t="str">
            <v/>
          </cell>
          <cell r="AI101" t="str">
            <v/>
          </cell>
        </row>
        <row r="102">
          <cell r="B102">
            <v>404</v>
          </cell>
          <cell r="C102">
            <v>4</v>
          </cell>
          <cell r="D102">
            <v>4</v>
          </cell>
          <cell r="F102" t="str">
            <v>帯広</v>
          </cell>
          <cell r="G102" t="str">
            <v>消防設備点検保守(総合)</v>
          </cell>
          <cell r="H102" t="str">
            <v>斗南商事</v>
          </cell>
          <cell r="I102">
            <v>390000</v>
          </cell>
          <cell r="J102">
            <v>397800</v>
          </cell>
          <cell r="K102">
            <v>1</v>
          </cell>
          <cell r="L102">
            <v>0</v>
          </cell>
          <cell r="M102">
            <v>0</v>
          </cell>
          <cell r="N102">
            <v>0</v>
          </cell>
          <cell r="O102">
            <v>0</v>
          </cell>
          <cell r="P102">
            <v>0</v>
          </cell>
          <cell r="Q102">
            <v>0</v>
          </cell>
          <cell r="R102">
            <v>0</v>
          </cell>
          <cell r="S102">
            <v>397800</v>
          </cell>
          <cell r="T102">
            <v>0</v>
          </cell>
          <cell r="U102">
            <v>0</v>
          </cell>
          <cell r="V102">
            <v>0</v>
          </cell>
          <cell r="W102">
            <v>0</v>
          </cell>
          <cell r="X102" t="str">
            <v/>
          </cell>
          <cell r="Y102" t="str">
            <v/>
          </cell>
          <cell r="Z102" t="str">
            <v/>
          </cell>
          <cell r="AA102" t="str">
            <v/>
          </cell>
          <cell r="AB102" t="str">
            <v/>
          </cell>
          <cell r="AC102" t="str">
            <v/>
          </cell>
          <cell r="AD102" t="str">
            <v/>
          </cell>
          <cell r="AE102" t="str">
            <v>⑪</v>
          </cell>
          <cell r="AF102" t="str">
            <v/>
          </cell>
          <cell r="AG102" t="str">
            <v/>
          </cell>
          <cell r="AH102" t="str">
            <v/>
          </cell>
          <cell r="AI102" t="str">
            <v/>
          </cell>
        </row>
        <row r="103">
          <cell r="B103">
            <v>405</v>
          </cell>
          <cell r="C103">
            <v>4</v>
          </cell>
          <cell r="D103">
            <v>5</v>
          </cell>
          <cell r="F103" t="str">
            <v>帯広</v>
          </cell>
          <cell r="G103" t="str">
            <v>害虫駆除</v>
          </cell>
          <cell r="H103" t="str">
            <v>シーアイシー</v>
          </cell>
          <cell r="I103">
            <v>60000</v>
          </cell>
          <cell r="J103">
            <v>66000</v>
          </cell>
          <cell r="K103">
            <v>2</v>
          </cell>
          <cell r="L103">
            <v>0</v>
          </cell>
          <cell r="M103">
            <v>0</v>
          </cell>
          <cell r="N103">
            <v>0</v>
          </cell>
          <cell r="O103">
            <v>0</v>
          </cell>
          <cell r="P103">
            <v>0</v>
          </cell>
          <cell r="Q103">
            <v>66000</v>
          </cell>
          <cell r="R103">
            <v>0</v>
          </cell>
          <cell r="S103">
            <v>0</v>
          </cell>
          <cell r="T103">
            <v>0</v>
          </cell>
          <cell r="U103">
            <v>0</v>
          </cell>
          <cell r="V103">
            <v>0</v>
          </cell>
          <cell r="W103">
            <v>66000</v>
          </cell>
          <cell r="X103" t="str">
            <v/>
          </cell>
          <cell r="Y103" t="str">
            <v/>
          </cell>
          <cell r="Z103" t="str">
            <v/>
          </cell>
          <cell r="AA103" t="str">
            <v/>
          </cell>
          <cell r="AB103" t="str">
            <v/>
          </cell>
          <cell r="AC103" t="str">
            <v>⑨</v>
          </cell>
          <cell r="AD103" t="str">
            <v/>
          </cell>
          <cell r="AE103" t="str">
            <v/>
          </cell>
          <cell r="AF103" t="str">
            <v/>
          </cell>
          <cell r="AG103" t="str">
            <v/>
          </cell>
          <cell r="AH103" t="str">
            <v/>
          </cell>
          <cell r="AI103" t="str">
            <v>③</v>
          </cell>
        </row>
        <row r="104">
          <cell r="B104">
            <v>406</v>
          </cell>
          <cell r="C104">
            <v>4</v>
          </cell>
          <cell r="D104">
            <v>6</v>
          </cell>
          <cell r="F104" t="str">
            <v>帯広</v>
          </cell>
          <cell r="G104" t="str">
            <v>雑排水槽清掃</v>
          </cell>
          <cell r="H104" t="str">
            <v>北海道エコシス</v>
          </cell>
          <cell r="I104">
            <v>29000</v>
          </cell>
          <cell r="J104">
            <v>32480</v>
          </cell>
          <cell r="K104">
            <v>1</v>
          </cell>
          <cell r="L104">
            <v>0</v>
          </cell>
          <cell r="M104">
            <v>0</v>
          </cell>
          <cell r="N104">
            <v>0</v>
          </cell>
          <cell r="O104">
            <v>0</v>
          </cell>
          <cell r="P104">
            <v>0</v>
          </cell>
          <cell r="Q104">
            <v>0</v>
          </cell>
          <cell r="R104">
            <v>0</v>
          </cell>
          <cell r="S104">
            <v>0</v>
          </cell>
          <cell r="T104">
            <v>32480</v>
          </cell>
          <cell r="U104">
            <v>0</v>
          </cell>
          <cell r="V104">
            <v>0</v>
          </cell>
          <cell r="W104">
            <v>0</v>
          </cell>
          <cell r="X104" t="str">
            <v/>
          </cell>
          <cell r="Y104" t="str">
            <v/>
          </cell>
          <cell r="Z104" t="str">
            <v/>
          </cell>
          <cell r="AA104" t="str">
            <v/>
          </cell>
          <cell r="AB104" t="str">
            <v/>
          </cell>
          <cell r="AC104" t="str">
            <v/>
          </cell>
          <cell r="AD104" t="str">
            <v/>
          </cell>
          <cell r="AE104" t="str">
            <v/>
          </cell>
          <cell r="AF104" t="str">
            <v>⑫</v>
          </cell>
          <cell r="AG104" t="str">
            <v/>
          </cell>
          <cell r="AH104" t="str">
            <v/>
          </cell>
          <cell r="AI104" t="str">
            <v/>
          </cell>
        </row>
        <row r="105">
          <cell r="B105">
            <v>407</v>
          </cell>
          <cell r="C105">
            <v>4</v>
          </cell>
          <cell r="D105">
            <v>7</v>
          </cell>
          <cell r="F105" t="str">
            <v>帯広</v>
          </cell>
          <cell r="G105" t="str">
            <v>受水槽清掃</v>
          </cell>
          <cell r="H105" t="str">
            <v>環境衛生工業</v>
          </cell>
          <cell r="I105">
            <v>62400</v>
          </cell>
          <cell r="J105">
            <v>70512</v>
          </cell>
          <cell r="K105">
            <v>1</v>
          </cell>
          <cell r="L105">
            <v>0</v>
          </cell>
          <cell r="M105">
            <v>0</v>
          </cell>
          <cell r="N105">
            <v>70512</v>
          </cell>
          <cell r="O105">
            <v>0</v>
          </cell>
          <cell r="P105">
            <v>0</v>
          </cell>
          <cell r="Q105">
            <v>0</v>
          </cell>
          <cell r="R105">
            <v>0</v>
          </cell>
          <cell r="S105">
            <v>0</v>
          </cell>
          <cell r="T105">
            <v>0</v>
          </cell>
          <cell r="U105">
            <v>0</v>
          </cell>
          <cell r="V105">
            <v>0</v>
          </cell>
          <cell r="W105">
            <v>0</v>
          </cell>
          <cell r="X105" t="str">
            <v/>
          </cell>
          <cell r="Y105" t="str">
            <v/>
          </cell>
          <cell r="Z105" t="str">
            <v>⑥</v>
          </cell>
          <cell r="AA105" t="str">
            <v/>
          </cell>
          <cell r="AB105" t="str">
            <v/>
          </cell>
          <cell r="AC105" t="str">
            <v/>
          </cell>
          <cell r="AD105" t="str">
            <v/>
          </cell>
          <cell r="AE105" t="str">
            <v/>
          </cell>
          <cell r="AF105" t="str">
            <v/>
          </cell>
          <cell r="AG105" t="str">
            <v/>
          </cell>
          <cell r="AH105" t="str">
            <v/>
          </cell>
          <cell r="AI105" t="str">
            <v/>
          </cell>
        </row>
        <row r="106">
          <cell r="B106">
            <v>408</v>
          </cell>
          <cell r="C106">
            <v>4</v>
          </cell>
          <cell r="D106">
            <v>8</v>
          </cell>
          <cell r="F106" t="str">
            <v>帯広</v>
          </cell>
          <cell r="G106" t="str">
            <v>自動ドアー保守</v>
          </cell>
          <cell r="H106" t="str">
            <v>東日本寺岡オートドア</v>
          </cell>
          <cell r="I106">
            <v>15000</v>
          </cell>
          <cell r="J106">
            <v>15300</v>
          </cell>
          <cell r="K106">
            <v>12</v>
          </cell>
          <cell r="L106">
            <v>15300</v>
          </cell>
          <cell r="M106">
            <v>15300</v>
          </cell>
          <cell r="N106">
            <v>15300</v>
          </cell>
          <cell r="O106">
            <v>15300</v>
          </cell>
          <cell r="P106">
            <v>15300</v>
          </cell>
          <cell r="Q106">
            <v>15300</v>
          </cell>
          <cell r="R106">
            <v>15300</v>
          </cell>
          <cell r="S106">
            <v>15300</v>
          </cell>
          <cell r="T106">
            <v>15300</v>
          </cell>
          <cell r="U106">
            <v>15300</v>
          </cell>
          <cell r="V106">
            <v>15300</v>
          </cell>
          <cell r="W106">
            <v>15300</v>
          </cell>
          <cell r="X106" t="str">
            <v>④</v>
          </cell>
          <cell r="Y106" t="str">
            <v>⑤</v>
          </cell>
          <cell r="Z106" t="str">
            <v>⑥</v>
          </cell>
          <cell r="AA106" t="str">
            <v>⑦</v>
          </cell>
          <cell r="AB106" t="str">
            <v>⑧</v>
          </cell>
          <cell r="AC106" t="str">
            <v>⑨</v>
          </cell>
          <cell r="AD106" t="str">
            <v>⑩</v>
          </cell>
          <cell r="AE106" t="str">
            <v>⑪</v>
          </cell>
          <cell r="AF106" t="str">
            <v>⑫</v>
          </cell>
          <cell r="AG106" t="str">
            <v>①</v>
          </cell>
          <cell r="AH106" t="str">
            <v>②</v>
          </cell>
          <cell r="AI106" t="str">
            <v>③</v>
          </cell>
        </row>
        <row r="107">
          <cell r="B107">
            <v>409</v>
          </cell>
          <cell r="C107">
            <v>4</v>
          </cell>
          <cell r="D107">
            <v>9</v>
          </cell>
          <cell r="F107" t="str">
            <v>帯広</v>
          </cell>
          <cell r="G107" t="str">
            <v>冷温水発生機設備保守</v>
          </cell>
          <cell r="H107" t="str">
            <v>三洋空調システム</v>
          </cell>
          <cell r="I107">
            <v>42500</v>
          </cell>
          <cell r="J107">
            <v>43710</v>
          </cell>
          <cell r="K107">
            <v>12</v>
          </cell>
          <cell r="L107">
            <v>43710</v>
          </cell>
          <cell r="M107">
            <v>43710</v>
          </cell>
          <cell r="N107">
            <v>43710</v>
          </cell>
          <cell r="O107">
            <v>43710</v>
          </cell>
          <cell r="P107">
            <v>43710</v>
          </cell>
          <cell r="Q107">
            <v>43710</v>
          </cell>
          <cell r="R107">
            <v>43710</v>
          </cell>
          <cell r="S107">
            <v>43710</v>
          </cell>
          <cell r="T107">
            <v>43710</v>
          </cell>
          <cell r="U107">
            <v>43710</v>
          </cell>
          <cell r="V107">
            <v>43710</v>
          </cell>
          <cell r="W107">
            <v>43710</v>
          </cell>
          <cell r="X107" t="str">
            <v>④</v>
          </cell>
          <cell r="Y107" t="str">
            <v>⑤</v>
          </cell>
          <cell r="Z107" t="str">
            <v>⑥</v>
          </cell>
          <cell r="AA107" t="str">
            <v>⑦</v>
          </cell>
          <cell r="AB107" t="str">
            <v>⑧</v>
          </cell>
          <cell r="AC107" t="str">
            <v>⑨</v>
          </cell>
          <cell r="AD107" t="str">
            <v>⑩</v>
          </cell>
          <cell r="AE107" t="str">
            <v>⑪</v>
          </cell>
          <cell r="AF107" t="str">
            <v>⑫</v>
          </cell>
          <cell r="AG107" t="str">
            <v>①</v>
          </cell>
          <cell r="AH107" t="str">
            <v>②</v>
          </cell>
          <cell r="AI107" t="str">
            <v>③</v>
          </cell>
        </row>
        <row r="108">
          <cell r="B108">
            <v>410</v>
          </cell>
          <cell r="C108">
            <v>4</v>
          </cell>
          <cell r="D108">
            <v>10</v>
          </cell>
          <cell r="F108" t="str">
            <v>帯広</v>
          </cell>
          <cell r="G108" t="str">
            <v>自動制御機器設備保守</v>
          </cell>
          <cell r="H108" t="str">
            <v>オーテック</v>
          </cell>
          <cell r="I108">
            <v>30660</v>
          </cell>
          <cell r="J108">
            <v>31273</v>
          </cell>
          <cell r="K108">
            <v>12</v>
          </cell>
          <cell r="L108">
            <v>31273</v>
          </cell>
          <cell r="M108">
            <v>31273</v>
          </cell>
          <cell r="N108">
            <v>31273</v>
          </cell>
          <cell r="O108">
            <v>31273</v>
          </cell>
          <cell r="P108">
            <v>31273</v>
          </cell>
          <cell r="Q108">
            <v>31273</v>
          </cell>
          <cell r="R108">
            <v>31273</v>
          </cell>
          <cell r="S108">
            <v>31273</v>
          </cell>
          <cell r="T108">
            <v>31273</v>
          </cell>
          <cell r="U108">
            <v>31273</v>
          </cell>
          <cell r="V108">
            <v>31273</v>
          </cell>
          <cell r="W108">
            <v>31273</v>
          </cell>
          <cell r="X108" t="str">
            <v>④</v>
          </cell>
          <cell r="Y108" t="str">
            <v>⑤</v>
          </cell>
          <cell r="Z108" t="str">
            <v>⑥</v>
          </cell>
          <cell r="AA108" t="str">
            <v>⑦</v>
          </cell>
          <cell r="AB108" t="str">
            <v>⑧</v>
          </cell>
          <cell r="AC108" t="str">
            <v>⑨</v>
          </cell>
          <cell r="AD108" t="str">
            <v>⑩</v>
          </cell>
          <cell r="AE108" t="str">
            <v>⑪</v>
          </cell>
          <cell r="AF108" t="str">
            <v>⑫</v>
          </cell>
          <cell r="AG108" t="str">
            <v>①</v>
          </cell>
          <cell r="AH108" t="str">
            <v>②</v>
          </cell>
          <cell r="AI108" t="str">
            <v>③</v>
          </cell>
        </row>
        <row r="109">
          <cell r="B109">
            <v>411</v>
          </cell>
          <cell r="C109">
            <v>4</v>
          </cell>
          <cell r="D109">
            <v>11</v>
          </cell>
          <cell r="F109" t="str">
            <v>帯広</v>
          </cell>
          <cell r="G109" t="str">
            <v>空気調和機保守</v>
          </cell>
          <cell r="H109" t="str">
            <v>東洋製作所</v>
          </cell>
          <cell r="I109">
            <v>120000</v>
          </cell>
          <cell r="J109">
            <v>122400</v>
          </cell>
          <cell r="K109">
            <v>2</v>
          </cell>
          <cell r="L109">
            <v>0</v>
          </cell>
          <cell r="M109">
            <v>0</v>
          </cell>
          <cell r="N109">
            <v>122400</v>
          </cell>
          <cell r="O109">
            <v>0</v>
          </cell>
          <cell r="P109">
            <v>0</v>
          </cell>
          <cell r="Q109">
            <v>0</v>
          </cell>
          <cell r="R109">
            <v>0</v>
          </cell>
          <cell r="S109">
            <v>0</v>
          </cell>
          <cell r="T109">
            <v>0</v>
          </cell>
          <cell r="U109">
            <v>122400</v>
          </cell>
          <cell r="V109">
            <v>0</v>
          </cell>
          <cell r="W109">
            <v>0</v>
          </cell>
          <cell r="X109" t="str">
            <v/>
          </cell>
          <cell r="Y109" t="str">
            <v/>
          </cell>
          <cell r="Z109" t="str">
            <v>⑥</v>
          </cell>
          <cell r="AA109" t="str">
            <v/>
          </cell>
          <cell r="AB109" t="str">
            <v/>
          </cell>
          <cell r="AC109" t="str">
            <v/>
          </cell>
          <cell r="AD109" t="str">
            <v/>
          </cell>
          <cell r="AE109" t="str">
            <v/>
          </cell>
          <cell r="AF109" t="str">
            <v/>
          </cell>
          <cell r="AG109" t="str">
            <v>①</v>
          </cell>
          <cell r="AH109" t="str">
            <v/>
          </cell>
          <cell r="AI109" t="str">
            <v/>
          </cell>
        </row>
        <row r="110">
          <cell r="B110">
            <v>412</v>
          </cell>
          <cell r="C110">
            <v>4</v>
          </cell>
          <cell r="D110">
            <v>12</v>
          </cell>
          <cell r="F110" t="str">
            <v>帯広</v>
          </cell>
          <cell r="G110" t="str">
            <v>電気湯沸器点検整備</v>
          </cell>
          <cell r="H110" t="str">
            <v>北海道ちくねつサービス</v>
          </cell>
          <cell r="I110">
            <v>157000</v>
          </cell>
          <cell r="J110">
            <v>180550</v>
          </cell>
          <cell r="K110">
            <v>1</v>
          </cell>
          <cell r="L110">
            <v>0</v>
          </cell>
          <cell r="M110">
            <v>180550</v>
          </cell>
          <cell r="N110">
            <v>0</v>
          </cell>
          <cell r="O110">
            <v>0</v>
          </cell>
          <cell r="P110">
            <v>0</v>
          </cell>
          <cell r="Q110">
            <v>0</v>
          </cell>
          <cell r="R110">
            <v>0</v>
          </cell>
          <cell r="S110">
            <v>0</v>
          </cell>
          <cell r="T110">
            <v>0</v>
          </cell>
          <cell r="U110">
            <v>0</v>
          </cell>
          <cell r="V110">
            <v>0</v>
          </cell>
          <cell r="W110">
            <v>0</v>
          </cell>
          <cell r="X110" t="str">
            <v/>
          </cell>
          <cell r="Y110" t="str">
            <v>⑤</v>
          </cell>
          <cell r="Z110" t="str">
            <v/>
          </cell>
          <cell r="AA110" t="str">
            <v/>
          </cell>
          <cell r="AB110" t="str">
            <v/>
          </cell>
          <cell r="AC110" t="str">
            <v/>
          </cell>
          <cell r="AD110" t="str">
            <v/>
          </cell>
          <cell r="AE110" t="str">
            <v/>
          </cell>
          <cell r="AF110" t="str">
            <v/>
          </cell>
          <cell r="AG110" t="str">
            <v/>
          </cell>
          <cell r="AH110" t="str">
            <v/>
          </cell>
          <cell r="AI110" t="str">
            <v/>
          </cell>
          <cell r="AJ110" t="str">
            <v>追</v>
          </cell>
        </row>
        <row r="111">
          <cell r="B111">
            <v>413</v>
          </cell>
          <cell r="C111">
            <v>4</v>
          </cell>
          <cell r="D111">
            <v>13</v>
          </cell>
          <cell r="F111" t="str">
            <v>帯広</v>
          </cell>
          <cell r="G111" t="str">
            <v>加湿器点検整備</v>
          </cell>
          <cell r="H111" t="str">
            <v>ピーエス暖房機</v>
          </cell>
          <cell r="I111">
            <v>52600</v>
          </cell>
          <cell r="J111">
            <v>60490</v>
          </cell>
          <cell r="K111">
            <v>1</v>
          </cell>
          <cell r="L111">
            <v>0</v>
          </cell>
          <cell r="M111">
            <v>0</v>
          </cell>
          <cell r="N111">
            <v>0</v>
          </cell>
          <cell r="O111">
            <v>0</v>
          </cell>
          <cell r="P111">
            <v>0</v>
          </cell>
          <cell r="Q111">
            <v>0</v>
          </cell>
          <cell r="R111">
            <v>0</v>
          </cell>
          <cell r="S111">
            <v>60490</v>
          </cell>
          <cell r="T111">
            <v>0</v>
          </cell>
          <cell r="U111">
            <v>0</v>
          </cell>
          <cell r="V111">
            <v>0</v>
          </cell>
          <cell r="W111">
            <v>0</v>
          </cell>
          <cell r="X111" t="str">
            <v/>
          </cell>
          <cell r="Y111" t="str">
            <v/>
          </cell>
          <cell r="Z111" t="str">
            <v/>
          </cell>
          <cell r="AA111" t="str">
            <v/>
          </cell>
          <cell r="AB111" t="str">
            <v/>
          </cell>
          <cell r="AC111" t="str">
            <v/>
          </cell>
          <cell r="AD111" t="str">
            <v/>
          </cell>
          <cell r="AE111" t="str">
            <v>⑪</v>
          </cell>
          <cell r="AF111" t="str">
            <v/>
          </cell>
          <cell r="AG111" t="str">
            <v/>
          </cell>
          <cell r="AH111" t="str">
            <v/>
          </cell>
          <cell r="AI111" t="str">
            <v/>
          </cell>
          <cell r="AJ111" t="str">
            <v>追</v>
          </cell>
        </row>
        <row r="112">
          <cell r="B112">
            <v>414</v>
          </cell>
          <cell r="C112">
            <v>4</v>
          </cell>
          <cell r="D112">
            <v>14</v>
          </cell>
          <cell r="F112" t="str">
            <v>帯広</v>
          </cell>
          <cell r="G112" t="str">
            <v>ポンプ点検整備</v>
          </cell>
          <cell r="H112" t="str">
            <v>荏原サービス</v>
          </cell>
          <cell r="I112">
            <v>92000</v>
          </cell>
          <cell r="J112">
            <v>105800</v>
          </cell>
          <cell r="K112">
            <v>1</v>
          </cell>
          <cell r="L112">
            <v>0</v>
          </cell>
          <cell r="M112">
            <v>0</v>
          </cell>
          <cell r="N112">
            <v>105800</v>
          </cell>
          <cell r="O112">
            <v>0</v>
          </cell>
          <cell r="P112">
            <v>0</v>
          </cell>
          <cell r="Q112">
            <v>0</v>
          </cell>
          <cell r="R112">
            <v>0</v>
          </cell>
          <cell r="S112">
            <v>0</v>
          </cell>
          <cell r="T112">
            <v>0</v>
          </cell>
          <cell r="U112">
            <v>0</v>
          </cell>
          <cell r="V112">
            <v>0</v>
          </cell>
          <cell r="W112">
            <v>0</v>
          </cell>
          <cell r="X112" t="str">
            <v/>
          </cell>
          <cell r="Y112" t="str">
            <v/>
          </cell>
          <cell r="Z112" t="str">
            <v>⑥</v>
          </cell>
          <cell r="AA112" t="str">
            <v/>
          </cell>
          <cell r="AB112" t="str">
            <v/>
          </cell>
          <cell r="AC112" t="str">
            <v/>
          </cell>
          <cell r="AD112" t="str">
            <v/>
          </cell>
          <cell r="AE112" t="str">
            <v/>
          </cell>
          <cell r="AF112" t="str">
            <v/>
          </cell>
          <cell r="AG112" t="str">
            <v/>
          </cell>
          <cell r="AH112" t="str">
            <v/>
          </cell>
          <cell r="AI112" t="str">
            <v/>
          </cell>
          <cell r="AJ112" t="str">
            <v>追</v>
          </cell>
        </row>
        <row r="113">
          <cell r="B113">
            <v>415</v>
          </cell>
          <cell r="C113">
            <v>4</v>
          </cell>
          <cell r="D113">
            <v>15</v>
          </cell>
          <cell r="F113" t="str">
            <v>帯広</v>
          </cell>
          <cell r="G113" t="str">
            <v>ポンプ点検整備</v>
          </cell>
          <cell r="H113" t="str">
            <v>荏原サービス</v>
          </cell>
          <cell r="I113">
            <v>47000</v>
          </cell>
          <cell r="J113">
            <v>54050</v>
          </cell>
          <cell r="K113">
            <v>1</v>
          </cell>
          <cell r="L113">
            <v>0</v>
          </cell>
          <cell r="M113">
            <v>0</v>
          </cell>
          <cell r="N113">
            <v>0</v>
          </cell>
          <cell r="O113">
            <v>0</v>
          </cell>
          <cell r="P113">
            <v>0</v>
          </cell>
          <cell r="Q113">
            <v>0</v>
          </cell>
          <cell r="R113">
            <v>54050</v>
          </cell>
          <cell r="S113">
            <v>0</v>
          </cell>
          <cell r="T113">
            <v>0</v>
          </cell>
          <cell r="U113">
            <v>0</v>
          </cell>
          <cell r="V113">
            <v>0</v>
          </cell>
          <cell r="W113">
            <v>0</v>
          </cell>
          <cell r="X113" t="str">
            <v/>
          </cell>
          <cell r="Y113" t="str">
            <v/>
          </cell>
          <cell r="Z113" t="str">
            <v/>
          </cell>
          <cell r="AA113" t="str">
            <v/>
          </cell>
          <cell r="AB113" t="str">
            <v/>
          </cell>
          <cell r="AC113" t="str">
            <v/>
          </cell>
          <cell r="AD113" t="str">
            <v>⑩</v>
          </cell>
          <cell r="AE113" t="str">
            <v/>
          </cell>
          <cell r="AF113" t="str">
            <v/>
          </cell>
          <cell r="AG113" t="str">
            <v/>
          </cell>
          <cell r="AH113" t="str">
            <v/>
          </cell>
          <cell r="AI113" t="str">
            <v/>
          </cell>
          <cell r="AJ113" t="str">
            <v>追</v>
          </cell>
        </row>
        <row r="114">
          <cell r="B114">
            <v>416</v>
          </cell>
          <cell r="C114">
            <v>4</v>
          </cell>
          <cell r="D114">
            <v>16</v>
          </cell>
          <cell r="F114" t="str">
            <v>帯広</v>
          </cell>
          <cell r="G114" t="str">
            <v>ファン点検整備</v>
          </cell>
          <cell r="H114" t="str">
            <v>荏原サービス</v>
          </cell>
          <cell r="I114">
            <v>25000</v>
          </cell>
          <cell r="J114">
            <v>28750</v>
          </cell>
          <cell r="K114">
            <v>1</v>
          </cell>
          <cell r="L114">
            <v>0</v>
          </cell>
          <cell r="M114">
            <v>0</v>
          </cell>
          <cell r="N114">
            <v>28750</v>
          </cell>
          <cell r="O114">
            <v>0</v>
          </cell>
          <cell r="P114">
            <v>0</v>
          </cell>
          <cell r="Q114">
            <v>0</v>
          </cell>
          <cell r="R114">
            <v>0</v>
          </cell>
          <cell r="S114">
            <v>0</v>
          </cell>
          <cell r="T114">
            <v>0</v>
          </cell>
          <cell r="U114">
            <v>0</v>
          </cell>
          <cell r="V114">
            <v>0</v>
          </cell>
          <cell r="W114">
            <v>0</v>
          </cell>
          <cell r="X114" t="str">
            <v/>
          </cell>
          <cell r="Y114" t="str">
            <v/>
          </cell>
          <cell r="Z114" t="str">
            <v>⑥</v>
          </cell>
          <cell r="AA114" t="str">
            <v/>
          </cell>
          <cell r="AB114" t="str">
            <v/>
          </cell>
          <cell r="AC114" t="str">
            <v/>
          </cell>
          <cell r="AD114" t="str">
            <v/>
          </cell>
          <cell r="AE114" t="str">
            <v/>
          </cell>
          <cell r="AF114" t="str">
            <v/>
          </cell>
          <cell r="AG114" t="str">
            <v/>
          </cell>
          <cell r="AH114" t="str">
            <v/>
          </cell>
          <cell r="AI114" t="str">
            <v/>
          </cell>
          <cell r="AJ114" t="str">
            <v>追</v>
          </cell>
        </row>
        <row r="115">
          <cell r="B115">
            <v>417</v>
          </cell>
          <cell r="C115">
            <v>4</v>
          </cell>
          <cell r="D115">
            <v>17</v>
          </cell>
          <cell r="F115" t="str">
            <v>帯広</v>
          </cell>
          <cell r="G115" t="str">
            <v>シャッター設備点検整備</v>
          </cell>
          <cell r="H115" t="str">
            <v>文化シャッター</v>
          </cell>
          <cell r="I115">
            <v>38000</v>
          </cell>
          <cell r="J115">
            <v>43700</v>
          </cell>
          <cell r="K115">
            <v>2</v>
          </cell>
          <cell r="L115">
            <v>0</v>
          </cell>
          <cell r="M115">
            <v>43700</v>
          </cell>
          <cell r="N115">
            <v>0</v>
          </cell>
          <cell r="O115">
            <v>0</v>
          </cell>
          <cell r="P115">
            <v>0</v>
          </cell>
          <cell r="Q115">
            <v>0</v>
          </cell>
          <cell r="R115">
            <v>0</v>
          </cell>
          <cell r="S115">
            <v>43700</v>
          </cell>
          <cell r="T115">
            <v>0</v>
          </cell>
          <cell r="U115">
            <v>0</v>
          </cell>
          <cell r="V115">
            <v>0</v>
          </cell>
          <cell r="W115">
            <v>0</v>
          </cell>
          <cell r="X115" t="str">
            <v/>
          </cell>
          <cell r="Y115" t="str">
            <v>⑤</v>
          </cell>
          <cell r="Z115" t="str">
            <v/>
          </cell>
          <cell r="AA115" t="str">
            <v/>
          </cell>
          <cell r="AB115" t="str">
            <v/>
          </cell>
          <cell r="AC115" t="str">
            <v/>
          </cell>
          <cell r="AD115" t="str">
            <v/>
          </cell>
          <cell r="AE115" t="str">
            <v>⑪</v>
          </cell>
          <cell r="AF115" t="str">
            <v/>
          </cell>
          <cell r="AG115" t="str">
            <v/>
          </cell>
          <cell r="AH115" t="str">
            <v/>
          </cell>
          <cell r="AI115" t="str">
            <v/>
          </cell>
          <cell r="AJ115" t="str">
            <v>追</v>
          </cell>
        </row>
        <row r="116">
          <cell r="B116">
            <v>418</v>
          </cell>
          <cell r="C116">
            <v>4</v>
          </cell>
          <cell r="D116">
            <v>18</v>
          </cell>
          <cell r="F116" t="str">
            <v>帯広</v>
          </cell>
          <cell r="G116" t="str">
            <v>玄関マット清掃</v>
          </cell>
          <cell r="H116" t="str">
            <v>アスビック</v>
          </cell>
          <cell r="I116">
            <v>11500</v>
          </cell>
          <cell r="J116">
            <v>13500</v>
          </cell>
          <cell r="K116">
            <v>2</v>
          </cell>
          <cell r="L116">
            <v>0</v>
          </cell>
          <cell r="M116">
            <v>13500</v>
          </cell>
          <cell r="N116">
            <v>0</v>
          </cell>
          <cell r="O116">
            <v>0</v>
          </cell>
          <cell r="P116">
            <v>0</v>
          </cell>
          <cell r="Q116">
            <v>0</v>
          </cell>
          <cell r="R116">
            <v>0</v>
          </cell>
          <cell r="S116">
            <v>13500</v>
          </cell>
          <cell r="T116">
            <v>0</v>
          </cell>
          <cell r="U116">
            <v>0</v>
          </cell>
          <cell r="V116">
            <v>0</v>
          </cell>
          <cell r="W116">
            <v>0</v>
          </cell>
          <cell r="X116" t="str">
            <v/>
          </cell>
          <cell r="Y116" t="str">
            <v>⑤</v>
          </cell>
          <cell r="Z116" t="str">
            <v/>
          </cell>
          <cell r="AA116" t="str">
            <v/>
          </cell>
          <cell r="AB116" t="str">
            <v/>
          </cell>
          <cell r="AC116" t="str">
            <v/>
          </cell>
          <cell r="AD116" t="str">
            <v/>
          </cell>
          <cell r="AE116" t="str">
            <v>⑪</v>
          </cell>
          <cell r="AF116" t="str">
            <v/>
          </cell>
          <cell r="AG116" t="str">
            <v/>
          </cell>
          <cell r="AH116" t="str">
            <v/>
          </cell>
          <cell r="AI116" t="str">
            <v/>
          </cell>
          <cell r="AJ116" t="str">
            <v>追</v>
          </cell>
        </row>
        <row r="117">
          <cell r="B117">
            <v>419</v>
          </cell>
          <cell r="C117">
            <v>4</v>
          </cell>
          <cell r="D117">
            <v>19</v>
          </cell>
          <cell r="F117" t="str">
            <v>帯広</v>
          </cell>
          <cell r="G117" t="str">
            <v>ﾌｨﾙﾀｰ交換･洗浄</v>
          </cell>
          <cell r="H117" t="str">
            <v>帯広ビル管理</v>
          </cell>
          <cell r="I117">
            <v>53500</v>
          </cell>
          <cell r="J117">
            <v>61525</v>
          </cell>
          <cell r="K117">
            <v>4</v>
          </cell>
          <cell r="L117">
            <v>61525</v>
          </cell>
          <cell r="M117">
            <v>0</v>
          </cell>
          <cell r="N117">
            <v>0</v>
          </cell>
          <cell r="O117">
            <v>61525</v>
          </cell>
          <cell r="P117">
            <v>0</v>
          </cell>
          <cell r="Q117">
            <v>0</v>
          </cell>
          <cell r="R117">
            <v>61525</v>
          </cell>
          <cell r="S117">
            <v>0</v>
          </cell>
          <cell r="T117">
            <v>0</v>
          </cell>
          <cell r="U117">
            <v>61525</v>
          </cell>
          <cell r="V117">
            <v>0</v>
          </cell>
          <cell r="W117">
            <v>0</v>
          </cell>
          <cell r="X117" t="str">
            <v>④</v>
          </cell>
          <cell r="Y117" t="str">
            <v/>
          </cell>
          <cell r="Z117" t="str">
            <v/>
          </cell>
          <cell r="AA117" t="str">
            <v>⑦</v>
          </cell>
          <cell r="AB117" t="str">
            <v/>
          </cell>
          <cell r="AC117" t="str">
            <v/>
          </cell>
          <cell r="AD117" t="str">
            <v>⑩</v>
          </cell>
          <cell r="AE117" t="str">
            <v/>
          </cell>
          <cell r="AF117" t="str">
            <v/>
          </cell>
          <cell r="AG117" t="str">
            <v>①</v>
          </cell>
          <cell r="AH117" t="str">
            <v/>
          </cell>
          <cell r="AI117" t="str">
            <v/>
          </cell>
          <cell r="AJ117" t="str">
            <v>追</v>
          </cell>
        </row>
        <row r="118">
          <cell r="B118">
            <v>501</v>
          </cell>
          <cell r="C118">
            <v>5</v>
          </cell>
          <cell r="D118">
            <v>1</v>
          </cell>
          <cell r="F118" t="str">
            <v>室蘭</v>
          </cell>
          <cell r="G118" t="str">
            <v>エレベーター保守</v>
          </cell>
          <cell r="H118" t="str">
            <v>三菱電機ﾋﾞﾙﾃｸﾉｻｰﾋﾞｽ</v>
          </cell>
          <cell r="I118">
            <v>66300</v>
          </cell>
          <cell r="J118">
            <v>67626</v>
          </cell>
          <cell r="K118">
            <v>12</v>
          </cell>
          <cell r="L118">
            <v>67626</v>
          </cell>
          <cell r="M118">
            <v>67626</v>
          </cell>
          <cell r="N118">
            <v>67626</v>
          </cell>
          <cell r="O118">
            <v>67626</v>
          </cell>
          <cell r="P118">
            <v>67626</v>
          </cell>
          <cell r="Q118">
            <v>67626</v>
          </cell>
          <cell r="R118">
            <v>67626</v>
          </cell>
          <cell r="S118">
            <v>67626</v>
          </cell>
          <cell r="T118">
            <v>67626</v>
          </cell>
          <cell r="U118">
            <v>67626</v>
          </cell>
          <cell r="V118">
            <v>67626</v>
          </cell>
          <cell r="W118">
            <v>67626</v>
          </cell>
          <cell r="X118" t="str">
            <v>④</v>
          </cell>
          <cell r="Y118" t="str">
            <v>⑤</v>
          </cell>
          <cell r="Z118" t="str">
            <v>⑥</v>
          </cell>
          <cell r="AA118" t="str">
            <v>⑦</v>
          </cell>
          <cell r="AB118" t="str">
            <v>⑧</v>
          </cell>
          <cell r="AC118" t="str">
            <v>⑨</v>
          </cell>
          <cell r="AD118" t="str">
            <v>⑩</v>
          </cell>
          <cell r="AE118" t="str">
            <v>⑪</v>
          </cell>
          <cell r="AF118" t="str">
            <v>⑫</v>
          </cell>
          <cell r="AG118" t="str">
            <v>①</v>
          </cell>
          <cell r="AH118" t="str">
            <v>②</v>
          </cell>
          <cell r="AI118" t="str">
            <v>③</v>
          </cell>
        </row>
        <row r="119">
          <cell r="B119">
            <v>502</v>
          </cell>
          <cell r="C119">
            <v>5</v>
          </cell>
          <cell r="D119">
            <v>2</v>
          </cell>
          <cell r="F119" t="str">
            <v>室蘭</v>
          </cell>
          <cell r="G119" t="str">
            <v>消防設備点検保守(外観)</v>
          </cell>
          <cell r="H119" t="str">
            <v>斗南商事</v>
          </cell>
          <cell r="I119">
            <v>105000</v>
          </cell>
          <cell r="J119">
            <v>107100</v>
          </cell>
          <cell r="K119">
            <v>1</v>
          </cell>
          <cell r="L119">
            <v>0</v>
          </cell>
          <cell r="M119">
            <v>0</v>
          </cell>
          <cell r="N119">
            <v>0</v>
          </cell>
          <cell r="O119">
            <v>0</v>
          </cell>
          <cell r="P119">
            <v>0</v>
          </cell>
          <cell r="Q119">
            <v>0</v>
          </cell>
          <cell r="R119">
            <v>107100</v>
          </cell>
          <cell r="S119">
            <v>0</v>
          </cell>
          <cell r="T119">
            <v>0</v>
          </cell>
          <cell r="U119">
            <v>0</v>
          </cell>
          <cell r="V119">
            <v>0</v>
          </cell>
          <cell r="W119">
            <v>0</v>
          </cell>
          <cell r="X119" t="str">
            <v/>
          </cell>
          <cell r="Y119" t="str">
            <v/>
          </cell>
          <cell r="AA119" t="str">
            <v/>
          </cell>
          <cell r="AB119" t="str">
            <v/>
          </cell>
          <cell r="AC119" t="str">
            <v/>
          </cell>
          <cell r="AD119" t="str">
            <v>⑩</v>
          </cell>
          <cell r="AE119" t="str">
            <v/>
          </cell>
          <cell r="AF119" t="str">
            <v/>
          </cell>
          <cell r="AG119" t="str">
            <v/>
          </cell>
          <cell r="AH119" t="str">
            <v/>
          </cell>
          <cell r="AI119" t="str">
            <v/>
          </cell>
        </row>
        <row r="120">
          <cell r="B120">
            <v>503</v>
          </cell>
          <cell r="C120">
            <v>5</v>
          </cell>
          <cell r="D120">
            <v>3</v>
          </cell>
          <cell r="F120" t="str">
            <v>室蘭</v>
          </cell>
          <cell r="G120" t="str">
            <v>消防設備点検保守(総合)</v>
          </cell>
          <cell r="H120" t="str">
            <v>斗南商事</v>
          </cell>
          <cell r="I120">
            <v>145000</v>
          </cell>
          <cell r="J120">
            <v>147900</v>
          </cell>
          <cell r="K120">
            <v>1</v>
          </cell>
          <cell r="L120">
            <v>0</v>
          </cell>
          <cell r="M120">
            <v>147900</v>
          </cell>
          <cell r="N120">
            <v>0</v>
          </cell>
          <cell r="O120">
            <v>0</v>
          </cell>
          <cell r="P120">
            <v>0</v>
          </cell>
          <cell r="Q120">
            <v>0</v>
          </cell>
          <cell r="R120">
            <v>0</v>
          </cell>
          <cell r="S120">
            <v>0</v>
          </cell>
          <cell r="T120">
            <v>0</v>
          </cell>
          <cell r="U120">
            <v>0</v>
          </cell>
          <cell r="V120">
            <v>0</v>
          </cell>
          <cell r="W120">
            <v>0</v>
          </cell>
          <cell r="X120" t="str">
            <v/>
          </cell>
          <cell r="Y120" t="str">
            <v>⑤</v>
          </cell>
          <cell r="AA120" t="str">
            <v/>
          </cell>
          <cell r="AB120" t="str">
            <v/>
          </cell>
          <cell r="AC120" t="str">
            <v/>
          </cell>
          <cell r="AD120" t="str">
            <v/>
          </cell>
          <cell r="AE120" t="str">
            <v/>
          </cell>
          <cell r="AF120" t="str">
            <v/>
          </cell>
          <cell r="AG120" t="str">
            <v/>
          </cell>
          <cell r="AH120" t="str">
            <v/>
          </cell>
          <cell r="AI120" t="str">
            <v/>
          </cell>
        </row>
        <row r="121">
          <cell r="B121">
            <v>504</v>
          </cell>
          <cell r="C121">
            <v>5</v>
          </cell>
          <cell r="D121">
            <v>4</v>
          </cell>
          <cell r="F121" t="str">
            <v>室蘭</v>
          </cell>
          <cell r="G121" t="str">
            <v>シャッター設備保守</v>
          </cell>
          <cell r="H121" t="str">
            <v>文化シャッター</v>
          </cell>
          <cell r="I121">
            <v>35000</v>
          </cell>
          <cell r="J121">
            <v>35700</v>
          </cell>
          <cell r="K121">
            <v>2</v>
          </cell>
          <cell r="L121">
            <v>0</v>
          </cell>
          <cell r="M121">
            <v>0</v>
          </cell>
          <cell r="N121">
            <v>0</v>
          </cell>
          <cell r="O121">
            <v>35700</v>
          </cell>
          <cell r="P121">
            <v>0</v>
          </cell>
          <cell r="Q121">
            <v>0</v>
          </cell>
          <cell r="R121">
            <v>0</v>
          </cell>
          <cell r="S121">
            <v>0</v>
          </cell>
          <cell r="T121">
            <v>0</v>
          </cell>
          <cell r="U121">
            <v>35700</v>
          </cell>
          <cell r="V121">
            <v>0</v>
          </cell>
          <cell r="W121">
            <v>0</v>
          </cell>
          <cell r="X121" t="str">
            <v/>
          </cell>
          <cell r="Y121" t="str">
            <v/>
          </cell>
          <cell r="Z121" t="str">
            <v/>
          </cell>
          <cell r="AA121" t="str">
            <v>⑦</v>
          </cell>
          <cell r="AB121" t="str">
            <v/>
          </cell>
          <cell r="AC121" t="str">
            <v/>
          </cell>
          <cell r="AD121" t="str">
            <v/>
          </cell>
          <cell r="AE121" t="str">
            <v/>
          </cell>
          <cell r="AF121" t="str">
            <v/>
          </cell>
          <cell r="AG121" t="str">
            <v>①</v>
          </cell>
          <cell r="AH121" t="str">
            <v/>
          </cell>
          <cell r="AI121" t="str">
            <v/>
          </cell>
        </row>
        <row r="122">
          <cell r="B122">
            <v>505</v>
          </cell>
          <cell r="C122">
            <v>5</v>
          </cell>
          <cell r="D122">
            <v>5</v>
          </cell>
          <cell r="F122" t="str">
            <v>室蘭</v>
          </cell>
          <cell r="G122" t="str">
            <v>害虫駆除</v>
          </cell>
          <cell r="H122" t="str">
            <v>シーアイシー</v>
          </cell>
          <cell r="I122">
            <v>60000</v>
          </cell>
          <cell r="J122">
            <v>66000</v>
          </cell>
          <cell r="K122">
            <v>2</v>
          </cell>
          <cell r="L122">
            <v>0</v>
          </cell>
          <cell r="M122">
            <v>66000</v>
          </cell>
          <cell r="N122">
            <v>0</v>
          </cell>
          <cell r="O122">
            <v>0</v>
          </cell>
          <cell r="P122">
            <v>0</v>
          </cell>
          <cell r="Q122">
            <v>0</v>
          </cell>
          <cell r="R122">
            <v>0</v>
          </cell>
          <cell r="S122">
            <v>66000</v>
          </cell>
          <cell r="T122">
            <v>0</v>
          </cell>
          <cell r="U122">
            <v>0</v>
          </cell>
          <cell r="V122">
            <v>0</v>
          </cell>
          <cell r="W122">
            <v>0</v>
          </cell>
          <cell r="X122" t="str">
            <v/>
          </cell>
          <cell r="Y122" t="str">
            <v>⑤</v>
          </cell>
          <cell r="Z122" t="str">
            <v/>
          </cell>
          <cell r="AA122" t="str">
            <v/>
          </cell>
          <cell r="AB122" t="str">
            <v/>
          </cell>
          <cell r="AC122" t="str">
            <v/>
          </cell>
          <cell r="AD122" t="str">
            <v/>
          </cell>
          <cell r="AE122" t="str">
            <v>⑪</v>
          </cell>
          <cell r="AF122" t="str">
            <v/>
          </cell>
          <cell r="AG122" t="str">
            <v/>
          </cell>
          <cell r="AH122" t="str">
            <v/>
          </cell>
          <cell r="AI122" t="str">
            <v/>
          </cell>
        </row>
        <row r="123">
          <cell r="B123">
            <v>506</v>
          </cell>
          <cell r="C123">
            <v>5</v>
          </cell>
          <cell r="D123">
            <v>6</v>
          </cell>
          <cell r="F123" t="str">
            <v>室蘭</v>
          </cell>
          <cell r="G123" t="str">
            <v>自動ドアー保守</v>
          </cell>
          <cell r="H123" t="str">
            <v>東日本寺岡オートドア</v>
          </cell>
          <cell r="I123">
            <v>16248</v>
          </cell>
          <cell r="J123">
            <v>16572</v>
          </cell>
          <cell r="K123">
            <v>12</v>
          </cell>
          <cell r="L123">
            <v>16572</v>
          </cell>
          <cell r="M123">
            <v>16572</v>
          </cell>
          <cell r="N123">
            <v>16572</v>
          </cell>
          <cell r="O123">
            <v>16572</v>
          </cell>
          <cell r="P123">
            <v>16572</v>
          </cell>
          <cell r="Q123">
            <v>16572</v>
          </cell>
          <cell r="R123">
            <v>16572</v>
          </cell>
          <cell r="S123">
            <v>16572</v>
          </cell>
          <cell r="T123">
            <v>16572</v>
          </cell>
          <cell r="U123">
            <v>16572</v>
          </cell>
          <cell r="V123">
            <v>16572</v>
          </cell>
          <cell r="W123">
            <v>16572</v>
          </cell>
          <cell r="X123" t="str">
            <v>④</v>
          </cell>
          <cell r="Y123" t="str">
            <v>⑤</v>
          </cell>
          <cell r="Z123" t="str">
            <v>⑥</v>
          </cell>
          <cell r="AA123" t="str">
            <v>⑦</v>
          </cell>
          <cell r="AB123" t="str">
            <v>⑧</v>
          </cell>
          <cell r="AC123" t="str">
            <v>⑨</v>
          </cell>
          <cell r="AD123" t="str">
            <v>⑩</v>
          </cell>
          <cell r="AE123" t="str">
            <v>⑪</v>
          </cell>
          <cell r="AF123" t="str">
            <v>⑫</v>
          </cell>
          <cell r="AG123" t="str">
            <v>①</v>
          </cell>
          <cell r="AH123" t="str">
            <v>②</v>
          </cell>
          <cell r="AI123" t="str">
            <v>③</v>
          </cell>
        </row>
        <row r="124">
          <cell r="B124">
            <v>507</v>
          </cell>
          <cell r="C124">
            <v>5</v>
          </cell>
          <cell r="D124">
            <v>7</v>
          </cell>
          <cell r="F124" t="str">
            <v>室蘭</v>
          </cell>
          <cell r="G124" t="str">
            <v>自動制御機器設備保守</v>
          </cell>
          <cell r="H124" t="str">
            <v>テクノ菱和</v>
          </cell>
          <cell r="I124">
            <v>143000</v>
          </cell>
          <cell r="J124">
            <v>145860</v>
          </cell>
          <cell r="K124">
            <v>1</v>
          </cell>
          <cell r="L124">
            <v>0</v>
          </cell>
          <cell r="M124">
            <v>0</v>
          </cell>
          <cell r="N124">
            <v>145860</v>
          </cell>
          <cell r="O124">
            <v>0</v>
          </cell>
          <cell r="P124">
            <v>0</v>
          </cell>
          <cell r="Q124">
            <v>0</v>
          </cell>
          <cell r="R124">
            <v>0</v>
          </cell>
          <cell r="S124">
            <v>0</v>
          </cell>
          <cell r="T124">
            <v>0</v>
          </cell>
          <cell r="U124">
            <v>0</v>
          </cell>
          <cell r="V124">
            <v>0</v>
          </cell>
          <cell r="W124">
            <v>0</v>
          </cell>
          <cell r="X124" t="str">
            <v/>
          </cell>
          <cell r="Y124" t="str">
            <v/>
          </cell>
          <cell r="Z124" t="str">
            <v>⑥</v>
          </cell>
          <cell r="AA124" t="str">
            <v/>
          </cell>
          <cell r="AB124" t="str">
            <v/>
          </cell>
          <cell r="AC124" t="str">
            <v/>
          </cell>
          <cell r="AD124" t="str">
            <v/>
          </cell>
          <cell r="AE124" t="str">
            <v/>
          </cell>
          <cell r="AF124" t="str">
            <v/>
          </cell>
          <cell r="AG124" t="str">
            <v/>
          </cell>
          <cell r="AH124" t="str">
            <v/>
          </cell>
          <cell r="AI124" t="str">
            <v/>
          </cell>
        </row>
        <row r="125">
          <cell r="B125">
            <v>508</v>
          </cell>
          <cell r="C125">
            <v>5</v>
          </cell>
          <cell r="D125">
            <v>8</v>
          </cell>
          <cell r="F125" t="str">
            <v>室蘭</v>
          </cell>
          <cell r="G125" t="str">
            <v>空調機設備保守</v>
          </cell>
          <cell r="H125" t="str">
            <v>テクノ菱和</v>
          </cell>
          <cell r="I125">
            <v>797000</v>
          </cell>
          <cell r="J125">
            <v>812940</v>
          </cell>
          <cell r="K125">
            <v>1</v>
          </cell>
          <cell r="L125">
            <v>0</v>
          </cell>
          <cell r="M125">
            <v>0</v>
          </cell>
          <cell r="N125">
            <v>812940</v>
          </cell>
          <cell r="O125">
            <v>0</v>
          </cell>
          <cell r="P125">
            <v>0</v>
          </cell>
          <cell r="Q125">
            <v>0</v>
          </cell>
          <cell r="R125">
            <v>0</v>
          </cell>
          <cell r="S125">
            <v>0</v>
          </cell>
          <cell r="T125">
            <v>0</v>
          </cell>
          <cell r="U125">
            <v>0</v>
          </cell>
          <cell r="V125">
            <v>0</v>
          </cell>
          <cell r="W125">
            <v>0</v>
          </cell>
          <cell r="X125" t="str">
            <v/>
          </cell>
          <cell r="Y125" t="str">
            <v/>
          </cell>
          <cell r="Z125" t="str">
            <v>⑥</v>
          </cell>
          <cell r="AA125" t="str">
            <v/>
          </cell>
          <cell r="AB125" t="str">
            <v/>
          </cell>
          <cell r="AC125" t="str">
            <v/>
          </cell>
          <cell r="AD125" t="str">
            <v/>
          </cell>
          <cell r="AE125" t="str">
            <v/>
          </cell>
          <cell r="AF125" t="str">
            <v/>
          </cell>
          <cell r="AG125" t="str">
            <v/>
          </cell>
          <cell r="AH125" t="str">
            <v/>
          </cell>
          <cell r="AI125" t="str">
            <v/>
          </cell>
        </row>
        <row r="126">
          <cell r="B126">
            <v>509</v>
          </cell>
          <cell r="C126">
            <v>5</v>
          </cell>
          <cell r="D126">
            <v>9</v>
          </cell>
          <cell r="F126" t="str">
            <v>室蘭</v>
          </cell>
          <cell r="G126" t="str">
            <v>外調器点検整備</v>
          </cell>
          <cell r="H126" t="str">
            <v>テクノ菱和</v>
          </cell>
          <cell r="I126">
            <v>166000</v>
          </cell>
          <cell r="J126">
            <v>190900</v>
          </cell>
          <cell r="K126">
            <v>1</v>
          </cell>
          <cell r="L126">
            <v>0</v>
          </cell>
          <cell r="M126">
            <v>0</v>
          </cell>
          <cell r="N126">
            <v>0</v>
          </cell>
          <cell r="O126">
            <v>190900</v>
          </cell>
          <cell r="P126">
            <v>0</v>
          </cell>
          <cell r="Q126">
            <v>0</v>
          </cell>
          <cell r="R126">
            <v>0</v>
          </cell>
          <cell r="S126">
            <v>0</v>
          </cell>
          <cell r="T126">
            <v>0</v>
          </cell>
          <cell r="U126">
            <v>0</v>
          </cell>
          <cell r="V126">
            <v>0</v>
          </cell>
          <cell r="W126">
            <v>0</v>
          </cell>
          <cell r="X126" t="str">
            <v/>
          </cell>
          <cell r="Y126" t="str">
            <v/>
          </cell>
          <cell r="Z126" t="str">
            <v/>
          </cell>
          <cell r="AA126" t="str">
            <v>⑦</v>
          </cell>
          <cell r="AB126" t="str">
            <v/>
          </cell>
          <cell r="AC126" t="str">
            <v/>
          </cell>
          <cell r="AD126" t="str">
            <v/>
          </cell>
          <cell r="AE126" t="str">
            <v/>
          </cell>
          <cell r="AF126" t="str">
            <v/>
          </cell>
          <cell r="AG126" t="str">
            <v/>
          </cell>
          <cell r="AH126" t="str">
            <v/>
          </cell>
          <cell r="AI126" t="str">
            <v/>
          </cell>
          <cell r="AJ126" t="str">
            <v>追</v>
          </cell>
        </row>
        <row r="127">
          <cell r="B127">
            <v>510</v>
          </cell>
          <cell r="C127">
            <v>5</v>
          </cell>
          <cell r="D127">
            <v>10</v>
          </cell>
          <cell r="F127" t="str">
            <v>室蘭</v>
          </cell>
          <cell r="G127" t="str">
            <v>ﾌｨﾙﾀｰ交換･洗浄</v>
          </cell>
          <cell r="H127" t="str">
            <v>テクノ菱和</v>
          </cell>
          <cell r="I127">
            <v>124000</v>
          </cell>
          <cell r="J127">
            <v>142600</v>
          </cell>
          <cell r="K127">
            <v>1</v>
          </cell>
          <cell r="L127">
            <v>0</v>
          </cell>
          <cell r="M127">
            <v>0</v>
          </cell>
          <cell r="N127">
            <v>0</v>
          </cell>
          <cell r="O127">
            <v>0</v>
          </cell>
          <cell r="P127">
            <v>0</v>
          </cell>
          <cell r="Q127">
            <v>0</v>
          </cell>
          <cell r="R127">
            <v>0</v>
          </cell>
          <cell r="S127">
            <v>0</v>
          </cell>
          <cell r="T127">
            <v>0</v>
          </cell>
          <cell r="U127">
            <v>0</v>
          </cell>
          <cell r="V127">
            <v>142600</v>
          </cell>
          <cell r="W127">
            <v>0</v>
          </cell>
          <cell r="X127" t="str">
            <v/>
          </cell>
          <cell r="Y127" t="str">
            <v/>
          </cell>
          <cell r="Z127" t="str">
            <v/>
          </cell>
          <cell r="AA127" t="str">
            <v/>
          </cell>
          <cell r="AB127" t="str">
            <v/>
          </cell>
          <cell r="AC127" t="str">
            <v/>
          </cell>
          <cell r="AD127" t="str">
            <v/>
          </cell>
          <cell r="AE127" t="str">
            <v/>
          </cell>
          <cell r="AF127" t="str">
            <v/>
          </cell>
          <cell r="AG127" t="str">
            <v/>
          </cell>
          <cell r="AH127" t="str">
            <v>②</v>
          </cell>
          <cell r="AI127" t="str">
            <v/>
          </cell>
          <cell r="AJ127" t="str">
            <v>追</v>
          </cell>
        </row>
        <row r="128">
          <cell r="B128">
            <v>511</v>
          </cell>
          <cell r="C128">
            <v>5</v>
          </cell>
          <cell r="D128">
            <v>11</v>
          </cell>
          <cell r="F128" t="str">
            <v>室蘭</v>
          </cell>
          <cell r="G128" t="str">
            <v>加湿器点検整備</v>
          </cell>
          <cell r="H128" t="str">
            <v>テクノ菱和</v>
          </cell>
          <cell r="I128">
            <v>154000</v>
          </cell>
          <cell r="J128">
            <v>177100</v>
          </cell>
          <cell r="K128">
            <v>1</v>
          </cell>
          <cell r="L128">
            <v>0</v>
          </cell>
          <cell r="M128">
            <v>0</v>
          </cell>
          <cell r="N128">
            <v>0</v>
          </cell>
          <cell r="O128">
            <v>177100</v>
          </cell>
          <cell r="P128">
            <v>0</v>
          </cell>
          <cell r="Q128">
            <v>0</v>
          </cell>
          <cell r="R128">
            <v>0</v>
          </cell>
          <cell r="S128">
            <v>0</v>
          </cell>
          <cell r="T128">
            <v>0</v>
          </cell>
          <cell r="U128">
            <v>0</v>
          </cell>
          <cell r="V128">
            <v>0</v>
          </cell>
          <cell r="W128">
            <v>0</v>
          </cell>
          <cell r="X128" t="str">
            <v/>
          </cell>
          <cell r="Y128" t="str">
            <v/>
          </cell>
          <cell r="Z128" t="str">
            <v/>
          </cell>
          <cell r="AA128" t="str">
            <v>⑦</v>
          </cell>
          <cell r="AB128" t="str">
            <v/>
          </cell>
          <cell r="AC128" t="str">
            <v/>
          </cell>
          <cell r="AD128" t="str">
            <v/>
          </cell>
          <cell r="AE128" t="str">
            <v/>
          </cell>
          <cell r="AF128" t="str">
            <v/>
          </cell>
          <cell r="AG128" t="str">
            <v/>
          </cell>
          <cell r="AH128" t="str">
            <v/>
          </cell>
          <cell r="AI128" t="str">
            <v/>
          </cell>
          <cell r="AJ128" t="str">
            <v>追</v>
          </cell>
        </row>
        <row r="129">
          <cell r="B129">
            <v>512</v>
          </cell>
          <cell r="C129">
            <v>5</v>
          </cell>
          <cell r="D129">
            <v>12</v>
          </cell>
          <cell r="F129" t="str">
            <v>室蘭</v>
          </cell>
          <cell r="G129" t="str">
            <v>電気湯沸器点検整備</v>
          </cell>
          <cell r="H129" t="str">
            <v>東京電気工業</v>
          </cell>
          <cell r="I129">
            <v>185000</v>
          </cell>
          <cell r="J129">
            <v>212750</v>
          </cell>
          <cell r="K129">
            <v>1</v>
          </cell>
          <cell r="L129">
            <v>0</v>
          </cell>
          <cell r="M129">
            <v>0</v>
          </cell>
          <cell r="N129">
            <v>0</v>
          </cell>
          <cell r="O129">
            <v>0</v>
          </cell>
          <cell r="P129">
            <v>0</v>
          </cell>
          <cell r="Q129">
            <v>0</v>
          </cell>
          <cell r="R129">
            <v>0</v>
          </cell>
          <cell r="S129">
            <v>0</v>
          </cell>
          <cell r="T129">
            <v>212750</v>
          </cell>
          <cell r="U129">
            <v>0</v>
          </cell>
          <cell r="V129">
            <v>0</v>
          </cell>
          <cell r="W129">
            <v>0</v>
          </cell>
          <cell r="X129" t="str">
            <v/>
          </cell>
          <cell r="Y129" t="str">
            <v/>
          </cell>
          <cell r="Z129" t="str">
            <v/>
          </cell>
          <cell r="AA129" t="str">
            <v/>
          </cell>
          <cell r="AB129" t="str">
            <v/>
          </cell>
          <cell r="AC129" t="str">
            <v/>
          </cell>
          <cell r="AD129" t="str">
            <v/>
          </cell>
          <cell r="AE129" t="str">
            <v/>
          </cell>
          <cell r="AF129" t="str">
            <v>⑫</v>
          </cell>
          <cell r="AG129" t="str">
            <v/>
          </cell>
          <cell r="AH129" t="str">
            <v/>
          </cell>
          <cell r="AI129" t="str">
            <v/>
          </cell>
          <cell r="AJ129" t="str">
            <v>追</v>
          </cell>
        </row>
        <row r="130">
          <cell r="B130">
            <v>513</v>
          </cell>
          <cell r="C130">
            <v>5</v>
          </cell>
          <cell r="D130">
            <v>13</v>
          </cell>
          <cell r="F130" t="str">
            <v>室蘭</v>
          </cell>
          <cell r="G130" t="str">
            <v>植栽管理</v>
          </cell>
          <cell r="H130" t="str">
            <v>陣上工業</v>
          </cell>
          <cell r="I130">
            <v>22900</v>
          </cell>
          <cell r="J130">
            <v>26335</v>
          </cell>
          <cell r="K130">
            <v>1</v>
          </cell>
          <cell r="L130">
            <v>0</v>
          </cell>
          <cell r="M130">
            <v>0</v>
          </cell>
          <cell r="N130">
            <v>0</v>
          </cell>
          <cell r="O130">
            <v>26335</v>
          </cell>
          <cell r="P130">
            <v>0</v>
          </cell>
          <cell r="Q130">
            <v>0</v>
          </cell>
          <cell r="R130">
            <v>0</v>
          </cell>
          <cell r="S130">
            <v>0</v>
          </cell>
          <cell r="T130">
            <v>0</v>
          </cell>
          <cell r="U130">
            <v>0</v>
          </cell>
          <cell r="V130">
            <v>0</v>
          </cell>
          <cell r="W130">
            <v>0</v>
          </cell>
          <cell r="X130" t="str">
            <v/>
          </cell>
          <cell r="Y130" t="str">
            <v/>
          </cell>
          <cell r="Z130" t="str">
            <v/>
          </cell>
          <cell r="AA130" t="str">
            <v>⑦</v>
          </cell>
          <cell r="AB130" t="str">
            <v/>
          </cell>
          <cell r="AC130" t="str">
            <v/>
          </cell>
          <cell r="AD130" t="str">
            <v/>
          </cell>
          <cell r="AE130" t="str">
            <v/>
          </cell>
          <cell r="AF130" t="str">
            <v/>
          </cell>
          <cell r="AG130" t="str">
            <v/>
          </cell>
          <cell r="AH130" t="str">
            <v/>
          </cell>
          <cell r="AI130" t="str">
            <v/>
          </cell>
          <cell r="AJ130" t="str">
            <v>追</v>
          </cell>
        </row>
        <row r="131">
          <cell r="B131">
            <v>514</v>
          </cell>
          <cell r="C131">
            <v>5</v>
          </cell>
          <cell r="D131">
            <v>14</v>
          </cell>
          <cell r="F131" t="str">
            <v>室蘭</v>
          </cell>
          <cell r="G131" t="str">
            <v>植栽管理</v>
          </cell>
          <cell r="H131" t="str">
            <v>陣上工業</v>
          </cell>
          <cell r="I131">
            <v>31700</v>
          </cell>
          <cell r="J131">
            <v>36455</v>
          </cell>
          <cell r="K131">
            <v>1</v>
          </cell>
          <cell r="L131">
            <v>0</v>
          </cell>
          <cell r="M131">
            <v>0</v>
          </cell>
          <cell r="N131">
            <v>0</v>
          </cell>
          <cell r="O131">
            <v>36455</v>
          </cell>
          <cell r="P131">
            <v>0</v>
          </cell>
          <cell r="Q131">
            <v>0</v>
          </cell>
          <cell r="R131">
            <v>0</v>
          </cell>
          <cell r="S131">
            <v>0</v>
          </cell>
          <cell r="T131">
            <v>0</v>
          </cell>
          <cell r="U131">
            <v>0</v>
          </cell>
          <cell r="V131">
            <v>0</v>
          </cell>
          <cell r="W131">
            <v>0</v>
          </cell>
          <cell r="X131" t="str">
            <v/>
          </cell>
          <cell r="Y131" t="str">
            <v/>
          </cell>
          <cell r="Z131" t="str">
            <v/>
          </cell>
          <cell r="AA131" t="str">
            <v>⑦</v>
          </cell>
          <cell r="AB131" t="str">
            <v/>
          </cell>
          <cell r="AC131" t="str">
            <v/>
          </cell>
          <cell r="AD131" t="str">
            <v/>
          </cell>
          <cell r="AE131" t="str">
            <v/>
          </cell>
          <cell r="AF131" t="str">
            <v/>
          </cell>
          <cell r="AG131" t="str">
            <v/>
          </cell>
          <cell r="AH131" t="str">
            <v/>
          </cell>
          <cell r="AI131" t="str">
            <v/>
          </cell>
          <cell r="AJ131" t="str">
            <v>追</v>
          </cell>
        </row>
        <row r="132">
          <cell r="B132">
            <v>601</v>
          </cell>
          <cell r="C132">
            <v>6</v>
          </cell>
          <cell r="D132">
            <v>1</v>
          </cell>
          <cell r="F132" t="str">
            <v>函館</v>
          </cell>
          <cell r="G132" t="str">
            <v>二段式駐車装置設備保守</v>
          </cell>
          <cell r="H132" t="str">
            <v>日精</v>
          </cell>
          <cell r="I132">
            <v>90000</v>
          </cell>
          <cell r="J132">
            <v>91800</v>
          </cell>
          <cell r="K132">
            <v>12</v>
          </cell>
          <cell r="L132">
            <v>91800</v>
          </cell>
          <cell r="M132">
            <v>91800</v>
          </cell>
          <cell r="N132">
            <v>91800</v>
          </cell>
          <cell r="O132">
            <v>91800</v>
          </cell>
          <cell r="P132">
            <v>91800</v>
          </cell>
          <cell r="Q132">
            <v>91800</v>
          </cell>
          <cell r="R132">
            <v>91800</v>
          </cell>
          <cell r="S132">
            <v>91800</v>
          </cell>
          <cell r="T132">
            <v>91800</v>
          </cell>
          <cell r="U132">
            <v>91800</v>
          </cell>
          <cell r="V132">
            <v>91800</v>
          </cell>
          <cell r="W132">
            <v>91800</v>
          </cell>
          <cell r="X132" t="str">
            <v>④</v>
          </cell>
          <cell r="Y132" t="str">
            <v>⑤</v>
          </cell>
          <cell r="Z132" t="str">
            <v>⑥</v>
          </cell>
          <cell r="AA132" t="str">
            <v>⑦</v>
          </cell>
          <cell r="AB132" t="str">
            <v>⑧</v>
          </cell>
          <cell r="AC132" t="str">
            <v>⑨</v>
          </cell>
          <cell r="AD132" t="str">
            <v>⑩</v>
          </cell>
          <cell r="AE132" t="str">
            <v>⑪</v>
          </cell>
          <cell r="AF132" t="str">
            <v>⑫</v>
          </cell>
          <cell r="AG132" t="str">
            <v>①</v>
          </cell>
          <cell r="AH132" t="str">
            <v>②</v>
          </cell>
          <cell r="AI132" t="str">
            <v>③</v>
          </cell>
        </row>
        <row r="133">
          <cell r="B133">
            <v>602</v>
          </cell>
          <cell r="C133">
            <v>6</v>
          </cell>
          <cell r="D133">
            <v>2</v>
          </cell>
          <cell r="F133" t="str">
            <v>函館</v>
          </cell>
          <cell r="G133" t="str">
            <v>エレベーター保守</v>
          </cell>
          <cell r="H133" t="str">
            <v>三菱電機ﾋﾞﾙﾃｸﾉｻｰﾋﾞｽ</v>
          </cell>
          <cell r="I133">
            <v>69600</v>
          </cell>
          <cell r="J133">
            <v>70992</v>
          </cell>
          <cell r="K133">
            <v>12</v>
          </cell>
          <cell r="L133">
            <v>70992</v>
          </cell>
          <cell r="M133">
            <v>70992</v>
          </cell>
          <cell r="N133">
            <v>70992</v>
          </cell>
          <cell r="O133">
            <v>70992</v>
          </cell>
          <cell r="P133">
            <v>70992</v>
          </cell>
          <cell r="Q133">
            <v>70992</v>
          </cell>
          <cell r="R133">
            <v>70992</v>
          </cell>
          <cell r="S133">
            <v>70992</v>
          </cell>
          <cell r="T133">
            <v>70992</v>
          </cell>
          <cell r="U133">
            <v>70992</v>
          </cell>
          <cell r="V133">
            <v>70992</v>
          </cell>
          <cell r="W133">
            <v>70992</v>
          </cell>
          <cell r="X133" t="str">
            <v>④</v>
          </cell>
          <cell r="Y133" t="str">
            <v>⑤</v>
          </cell>
          <cell r="Z133" t="str">
            <v>⑥</v>
          </cell>
          <cell r="AA133" t="str">
            <v>⑦</v>
          </cell>
          <cell r="AB133" t="str">
            <v>⑧</v>
          </cell>
          <cell r="AC133" t="str">
            <v>⑨</v>
          </cell>
          <cell r="AD133" t="str">
            <v>⑩</v>
          </cell>
          <cell r="AE133" t="str">
            <v>⑪</v>
          </cell>
          <cell r="AF133" t="str">
            <v>⑫</v>
          </cell>
          <cell r="AG133" t="str">
            <v>①</v>
          </cell>
          <cell r="AH133" t="str">
            <v>②</v>
          </cell>
          <cell r="AI133" t="str">
            <v>③</v>
          </cell>
        </row>
        <row r="134">
          <cell r="B134">
            <v>603</v>
          </cell>
          <cell r="C134">
            <v>6</v>
          </cell>
          <cell r="D134">
            <v>3</v>
          </cell>
          <cell r="F134" t="str">
            <v>函館</v>
          </cell>
          <cell r="G134" t="str">
            <v>非常放送(外観)</v>
          </cell>
          <cell r="H134" t="str">
            <v>ホーチキ</v>
          </cell>
          <cell r="I134">
            <v>29000</v>
          </cell>
          <cell r="J134">
            <v>29580</v>
          </cell>
          <cell r="K134">
            <v>1</v>
          </cell>
          <cell r="L134">
            <v>0</v>
          </cell>
          <cell r="M134">
            <v>0</v>
          </cell>
          <cell r="N134">
            <v>0</v>
          </cell>
          <cell r="O134">
            <v>0</v>
          </cell>
          <cell r="P134">
            <v>0</v>
          </cell>
          <cell r="Q134">
            <v>0</v>
          </cell>
          <cell r="R134">
            <v>0</v>
          </cell>
          <cell r="S134">
            <v>0</v>
          </cell>
          <cell r="T134">
            <v>0</v>
          </cell>
          <cell r="U134">
            <v>29580</v>
          </cell>
          <cell r="V134">
            <v>0</v>
          </cell>
          <cell r="W134">
            <v>0</v>
          </cell>
          <cell r="X134" t="str">
            <v/>
          </cell>
          <cell r="Y134" t="str">
            <v/>
          </cell>
          <cell r="Z134" t="str">
            <v/>
          </cell>
          <cell r="AA134" t="str">
            <v/>
          </cell>
          <cell r="AB134" t="str">
            <v/>
          </cell>
          <cell r="AC134" t="str">
            <v/>
          </cell>
          <cell r="AD134" t="str">
            <v/>
          </cell>
          <cell r="AE134" t="str">
            <v/>
          </cell>
          <cell r="AF134" t="str">
            <v/>
          </cell>
          <cell r="AG134" t="str">
            <v>①</v>
          </cell>
          <cell r="AH134" t="str">
            <v/>
          </cell>
          <cell r="AI134" t="str">
            <v/>
          </cell>
        </row>
        <row r="135">
          <cell r="B135">
            <v>604</v>
          </cell>
          <cell r="C135">
            <v>6</v>
          </cell>
          <cell r="D135">
            <v>4</v>
          </cell>
          <cell r="F135" t="str">
            <v>函館</v>
          </cell>
          <cell r="G135" t="str">
            <v>非常放送(総合)</v>
          </cell>
          <cell r="H135" t="str">
            <v>ホーチキ</v>
          </cell>
          <cell r="I135">
            <v>39000</v>
          </cell>
          <cell r="J135">
            <v>39780</v>
          </cell>
          <cell r="K135">
            <v>1</v>
          </cell>
          <cell r="L135">
            <v>0</v>
          </cell>
          <cell r="M135">
            <v>0</v>
          </cell>
          <cell r="N135">
            <v>0</v>
          </cell>
          <cell r="O135">
            <v>39780</v>
          </cell>
          <cell r="P135">
            <v>0</v>
          </cell>
          <cell r="Q135">
            <v>0</v>
          </cell>
          <cell r="R135">
            <v>0</v>
          </cell>
          <cell r="S135">
            <v>0</v>
          </cell>
          <cell r="T135">
            <v>0</v>
          </cell>
          <cell r="U135">
            <v>0</v>
          </cell>
          <cell r="V135">
            <v>0</v>
          </cell>
          <cell r="W135">
            <v>0</v>
          </cell>
          <cell r="X135" t="str">
            <v/>
          </cell>
          <cell r="Y135" t="str">
            <v/>
          </cell>
          <cell r="Z135" t="str">
            <v/>
          </cell>
          <cell r="AA135" t="str">
            <v>⑦</v>
          </cell>
          <cell r="AB135" t="str">
            <v/>
          </cell>
          <cell r="AC135" t="str">
            <v/>
          </cell>
          <cell r="AD135" t="str">
            <v/>
          </cell>
          <cell r="AE135" t="str">
            <v/>
          </cell>
          <cell r="AF135" t="str">
            <v/>
          </cell>
          <cell r="AG135" t="str">
            <v/>
          </cell>
          <cell r="AH135" t="str">
            <v/>
          </cell>
          <cell r="AI135" t="str">
            <v/>
          </cell>
        </row>
        <row r="136">
          <cell r="B136">
            <v>605</v>
          </cell>
          <cell r="C136">
            <v>6</v>
          </cell>
          <cell r="D136">
            <v>5</v>
          </cell>
          <cell r="F136" t="str">
            <v>函館</v>
          </cell>
          <cell r="G136" t="str">
            <v>Ｐ型防排煙制御(外観)</v>
          </cell>
          <cell r="H136" t="str">
            <v>ホーチキ</v>
          </cell>
          <cell r="I136">
            <v>53000</v>
          </cell>
          <cell r="J136">
            <v>54060</v>
          </cell>
          <cell r="K136">
            <v>1</v>
          </cell>
          <cell r="L136">
            <v>0</v>
          </cell>
          <cell r="M136">
            <v>0</v>
          </cell>
          <cell r="N136">
            <v>0</v>
          </cell>
          <cell r="O136">
            <v>0</v>
          </cell>
          <cell r="P136">
            <v>0</v>
          </cell>
          <cell r="Q136">
            <v>0</v>
          </cell>
          <cell r="R136">
            <v>0</v>
          </cell>
          <cell r="S136">
            <v>0</v>
          </cell>
          <cell r="T136">
            <v>0</v>
          </cell>
          <cell r="U136">
            <v>54060</v>
          </cell>
          <cell r="V136">
            <v>0</v>
          </cell>
          <cell r="W136">
            <v>0</v>
          </cell>
          <cell r="X136" t="str">
            <v/>
          </cell>
          <cell r="Y136" t="str">
            <v/>
          </cell>
          <cell r="Z136" t="str">
            <v/>
          </cell>
          <cell r="AA136" t="str">
            <v/>
          </cell>
          <cell r="AB136" t="str">
            <v/>
          </cell>
          <cell r="AC136" t="str">
            <v/>
          </cell>
          <cell r="AD136" t="str">
            <v/>
          </cell>
          <cell r="AE136" t="str">
            <v/>
          </cell>
          <cell r="AF136" t="str">
            <v/>
          </cell>
          <cell r="AG136" t="str">
            <v>①</v>
          </cell>
          <cell r="AH136" t="str">
            <v/>
          </cell>
          <cell r="AI136" t="str">
            <v/>
          </cell>
        </row>
        <row r="137">
          <cell r="B137">
            <v>606</v>
          </cell>
          <cell r="C137">
            <v>6</v>
          </cell>
          <cell r="D137">
            <v>6</v>
          </cell>
          <cell r="F137" t="str">
            <v>函館</v>
          </cell>
          <cell r="G137" t="str">
            <v>Ｐ型防排煙制御(総合)</v>
          </cell>
          <cell r="H137" t="str">
            <v>ホーチキ</v>
          </cell>
          <cell r="I137">
            <v>84000</v>
          </cell>
          <cell r="J137">
            <v>85680</v>
          </cell>
          <cell r="K137">
            <v>1</v>
          </cell>
          <cell r="L137">
            <v>0</v>
          </cell>
          <cell r="M137">
            <v>0</v>
          </cell>
          <cell r="N137">
            <v>0</v>
          </cell>
          <cell r="O137">
            <v>85680</v>
          </cell>
          <cell r="P137">
            <v>0</v>
          </cell>
          <cell r="Q137">
            <v>0</v>
          </cell>
          <cell r="R137">
            <v>0</v>
          </cell>
          <cell r="S137">
            <v>0</v>
          </cell>
          <cell r="T137">
            <v>0</v>
          </cell>
          <cell r="U137">
            <v>0</v>
          </cell>
          <cell r="V137">
            <v>0</v>
          </cell>
          <cell r="W137">
            <v>0</v>
          </cell>
          <cell r="X137" t="str">
            <v/>
          </cell>
          <cell r="Y137" t="str">
            <v/>
          </cell>
          <cell r="Z137" t="str">
            <v/>
          </cell>
          <cell r="AA137" t="str">
            <v>⑦</v>
          </cell>
          <cell r="AB137" t="str">
            <v/>
          </cell>
          <cell r="AC137" t="str">
            <v/>
          </cell>
          <cell r="AD137" t="str">
            <v/>
          </cell>
          <cell r="AE137" t="str">
            <v/>
          </cell>
          <cell r="AF137" t="str">
            <v/>
          </cell>
          <cell r="AG137" t="str">
            <v/>
          </cell>
          <cell r="AH137" t="str">
            <v/>
          </cell>
          <cell r="AI137" t="str">
            <v/>
          </cell>
        </row>
        <row r="138">
          <cell r="B138">
            <v>607</v>
          </cell>
          <cell r="C138">
            <v>6</v>
          </cell>
          <cell r="D138">
            <v>7</v>
          </cell>
          <cell r="F138" t="str">
            <v>函館</v>
          </cell>
          <cell r="G138" t="str">
            <v>Ｐ型ｶﾞｽ漏火災警報(外観)</v>
          </cell>
          <cell r="H138" t="str">
            <v>ホーチキ</v>
          </cell>
          <cell r="I138">
            <v>17000</v>
          </cell>
          <cell r="J138">
            <v>17340</v>
          </cell>
          <cell r="K138">
            <v>1</v>
          </cell>
          <cell r="L138">
            <v>0</v>
          </cell>
          <cell r="M138">
            <v>0</v>
          </cell>
          <cell r="N138">
            <v>0</v>
          </cell>
          <cell r="O138">
            <v>0</v>
          </cell>
          <cell r="P138">
            <v>0</v>
          </cell>
          <cell r="Q138">
            <v>0</v>
          </cell>
          <cell r="R138">
            <v>0</v>
          </cell>
          <cell r="S138">
            <v>0</v>
          </cell>
          <cell r="T138">
            <v>0</v>
          </cell>
          <cell r="U138">
            <v>17340</v>
          </cell>
          <cell r="V138">
            <v>0</v>
          </cell>
          <cell r="W138">
            <v>0</v>
          </cell>
          <cell r="X138" t="str">
            <v/>
          </cell>
          <cell r="Y138" t="str">
            <v/>
          </cell>
          <cell r="Z138" t="str">
            <v/>
          </cell>
          <cell r="AA138" t="str">
            <v/>
          </cell>
          <cell r="AB138" t="str">
            <v/>
          </cell>
          <cell r="AC138" t="str">
            <v/>
          </cell>
          <cell r="AD138" t="str">
            <v/>
          </cell>
          <cell r="AE138" t="str">
            <v/>
          </cell>
          <cell r="AF138" t="str">
            <v/>
          </cell>
          <cell r="AG138" t="str">
            <v>①</v>
          </cell>
          <cell r="AH138" t="str">
            <v/>
          </cell>
          <cell r="AI138" t="str">
            <v/>
          </cell>
        </row>
        <row r="139">
          <cell r="B139">
            <v>608</v>
          </cell>
          <cell r="C139">
            <v>6</v>
          </cell>
          <cell r="D139">
            <v>8</v>
          </cell>
          <cell r="F139" t="str">
            <v>函館</v>
          </cell>
          <cell r="G139" t="str">
            <v>Ｐ型ｶﾞｽ漏火災警報(総合)</v>
          </cell>
          <cell r="H139" t="str">
            <v>ホーチキ</v>
          </cell>
          <cell r="I139">
            <v>32000</v>
          </cell>
          <cell r="J139">
            <v>32640</v>
          </cell>
          <cell r="K139">
            <v>1</v>
          </cell>
          <cell r="L139">
            <v>0</v>
          </cell>
          <cell r="M139">
            <v>0</v>
          </cell>
          <cell r="N139">
            <v>0</v>
          </cell>
          <cell r="O139">
            <v>32640</v>
          </cell>
          <cell r="P139">
            <v>0</v>
          </cell>
          <cell r="Q139">
            <v>0</v>
          </cell>
          <cell r="R139">
            <v>0</v>
          </cell>
          <cell r="S139">
            <v>0</v>
          </cell>
          <cell r="T139">
            <v>0</v>
          </cell>
          <cell r="U139">
            <v>0</v>
          </cell>
          <cell r="V139">
            <v>0</v>
          </cell>
          <cell r="W139">
            <v>0</v>
          </cell>
          <cell r="X139" t="str">
            <v/>
          </cell>
          <cell r="Y139" t="str">
            <v/>
          </cell>
          <cell r="Z139" t="str">
            <v/>
          </cell>
          <cell r="AA139" t="str">
            <v>⑦</v>
          </cell>
          <cell r="AB139" t="str">
            <v/>
          </cell>
          <cell r="AC139" t="str">
            <v/>
          </cell>
          <cell r="AD139" t="str">
            <v/>
          </cell>
          <cell r="AE139" t="str">
            <v/>
          </cell>
          <cell r="AF139" t="str">
            <v/>
          </cell>
          <cell r="AG139" t="str">
            <v/>
          </cell>
          <cell r="AH139" t="str">
            <v/>
          </cell>
          <cell r="AI139" t="str">
            <v/>
          </cell>
        </row>
        <row r="140">
          <cell r="B140">
            <v>609</v>
          </cell>
          <cell r="C140">
            <v>6</v>
          </cell>
          <cell r="D140">
            <v>9</v>
          </cell>
          <cell r="F140" t="str">
            <v>函館</v>
          </cell>
          <cell r="G140" t="str">
            <v>Ｐ型自火報(外観)</v>
          </cell>
          <cell r="H140" t="str">
            <v>ホーチキ</v>
          </cell>
          <cell r="I140">
            <v>36000</v>
          </cell>
          <cell r="J140">
            <v>36720</v>
          </cell>
          <cell r="K140">
            <v>1</v>
          </cell>
          <cell r="L140">
            <v>0</v>
          </cell>
          <cell r="M140">
            <v>0</v>
          </cell>
          <cell r="N140">
            <v>0</v>
          </cell>
          <cell r="O140">
            <v>0</v>
          </cell>
          <cell r="P140">
            <v>0</v>
          </cell>
          <cell r="Q140">
            <v>0</v>
          </cell>
          <cell r="R140">
            <v>0</v>
          </cell>
          <cell r="S140">
            <v>0</v>
          </cell>
          <cell r="T140">
            <v>0</v>
          </cell>
          <cell r="U140">
            <v>36720</v>
          </cell>
          <cell r="V140">
            <v>0</v>
          </cell>
          <cell r="W140">
            <v>0</v>
          </cell>
          <cell r="X140" t="str">
            <v/>
          </cell>
          <cell r="Y140" t="str">
            <v/>
          </cell>
          <cell r="Z140" t="str">
            <v/>
          </cell>
          <cell r="AA140" t="str">
            <v/>
          </cell>
          <cell r="AB140" t="str">
            <v/>
          </cell>
          <cell r="AC140" t="str">
            <v/>
          </cell>
          <cell r="AD140" t="str">
            <v/>
          </cell>
          <cell r="AE140" t="str">
            <v/>
          </cell>
          <cell r="AF140" t="str">
            <v/>
          </cell>
          <cell r="AG140" t="str">
            <v>①</v>
          </cell>
          <cell r="AH140" t="str">
            <v/>
          </cell>
          <cell r="AI140" t="str">
            <v/>
          </cell>
        </row>
        <row r="141">
          <cell r="B141">
            <v>610</v>
          </cell>
          <cell r="C141">
            <v>6</v>
          </cell>
          <cell r="D141">
            <v>10</v>
          </cell>
          <cell r="F141" t="str">
            <v>函館</v>
          </cell>
          <cell r="G141" t="str">
            <v>Ｐ型自火報(総合)</v>
          </cell>
          <cell r="H141" t="str">
            <v>ホーチキ</v>
          </cell>
          <cell r="I141">
            <v>63000</v>
          </cell>
          <cell r="J141">
            <v>64260</v>
          </cell>
          <cell r="K141">
            <v>1</v>
          </cell>
          <cell r="L141">
            <v>0</v>
          </cell>
          <cell r="M141">
            <v>0</v>
          </cell>
          <cell r="N141">
            <v>0</v>
          </cell>
          <cell r="O141">
            <v>64260</v>
          </cell>
          <cell r="P141">
            <v>0</v>
          </cell>
          <cell r="Q141">
            <v>0</v>
          </cell>
          <cell r="R141">
            <v>0</v>
          </cell>
          <cell r="S141">
            <v>0</v>
          </cell>
          <cell r="T141">
            <v>0</v>
          </cell>
          <cell r="U141">
            <v>0</v>
          </cell>
          <cell r="V141">
            <v>0</v>
          </cell>
          <cell r="W141">
            <v>0</v>
          </cell>
          <cell r="X141" t="str">
            <v/>
          </cell>
          <cell r="Y141" t="str">
            <v/>
          </cell>
          <cell r="Z141" t="str">
            <v/>
          </cell>
          <cell r="AA141" t="str">
            <v>⑦</v>
          </cell>
          <cell r="AB141" t="str">
            <v/>
          </cell>
          <cell r="AC141" t="str">
            <v/>
          </cell>
          <cell r="AD141" t="str">
            <v/>
          </cell>
          <cell r="AE141" t="str">
            <v/>
          </cell>
          <cell r="AF141" t="str">
            <v/>
          </cell>
          <cell r="AG141" t="str">
            <v/>
          </cell>
          <cell r="AH141" t="str">
            <v/>
          </cell>
          <cell r="AI141" t="str">
            <v/>
          </cell>
        </row>
        <row r="142">
          <cell r="B142">
            <v>611</v>
          </cell>
          <cell r="C142">
            <v>6</v>
          </cell>
          <cell r="D142">
            <v>11</v>
          </cell>
          <cell r="F142" t="str">
            <v>函館</v>
          </cell>
          <cell r="G142" t="str">
            <v>消防設備点検保守</v>
          </cell>
          <cell r="H142" t="str">
            <v>大協防災</v>
          </cell>
          <cell r="I142">
            <v>15000</v>
          </cell>
          <cell r="J142">
            <v>15300</v>
          </cell>
          <cell r="K142">
            <v>10</v>
          </cell>
          <cell r="L142">
            <v>15300</v>
          </cell>
          <cell r="M142">
            <v>15300</v>
          </cell>
          <cell r="N142">
            <v>15300</v>
          </cell>
          <cell r="O142">
            <v>0</v>
          </cell>
          <cell r="P142">
            <v>0</v>
          </cell>
          <cell r="Q142">
            <v>15300</v>
          </cell>
          <cell r="R142">
            <v>15300</v>
          </cell>
          <cell r="S142">
            <v>15300</v>
          </cell>
          <cell r="T142">
            <v>15300</v>
          </cell>
          <cell r="U142">
            <v>15300</v>
          </cell>
          <cell r="V142">
            <v>15300</v>
          </cell>
          <cell r="W142">
            <v>15300</v>
          </cell>
          <cell r="X142" t="str">
            <v>④</v>
          </cell>
          <cell r="Y142" t="str">
            <v>⑤</v>
          </cell>
          <cell r="Z142" t="str">
            <v>⑥</v>
          </cell>
          <cell r="AA142" t="str">
            <v/>
          </cell>
          <cell r="AB142" t="str">
            <v/>
          </cell>
          <cell r="AC142" t="str">
            <v>⑨</v>
          </cell>
          <cell r="AD142" t="str">
            <v>⑩</v>
          </cell>
          <cell r="AE142" t="str">
            <v>⑪</v>
          </cell>
          <cell r="AF142" t="str">
            <v>⑫</v>
          </cell>
          <cell r="AG142" t="str">
            <v>①</v>
          </cell>
          <cell r="AH142" t="str">
            <v>②</v>
          </cell>
          <cell r="AI142" t="str">
            <v>③</v>
          </cell>
        </row>
        <row r="143">
          <cell r="B143">
            <v>612</v>
          </cell>
          <cell r="C143">
            <v>6</v>
          </cell>
          <cell r="D143">
            <v>12</v>
          </cell>
          <cell r="F143" t="str">
            <v>函館</v>
          </cell>
          <cell r="G143" t="str">
            <v>消防設備点検保守</v>
          </cell>
          <cell r="H143" t="str">
            <v>大協防災</v>
          </cell>
          <cell r="I143">
            <v>17000</v>
          </cell>
          <cell r="J143">
            <v>17340</v>
          </cell>
          <cell r="K143">
            <v>2</v>
          </cell>
          <cell r="L143">
            <v>0</v>
          </cell>
          <cell r="M143">
            <v>0</v>
          </cell>
          <cell r="N143">
            <v>0</v>
          </cell>
          <cell r="O143">
            <v>17340</v>
          </cell>
          <cell r="P143">
            <v>17340</v>
          </cell>
          <cell r="Q143">
            <v>0</v>
          </cell>
          <cell r="R143">
            <v>0</v>
          </cell>
          <cell r="S143">
            <v>0</v>
          </cell>
          <cell r="T143">
            <v>0</v>
          </cell>
          <cell r="U143">
            <v>0</v>
          </cell>
          <cell r="V143">
            <v>0</v>
          </cell>
          <cell r="W143">
            <v>0</v>
          </cell>
          <cell r="X143" t="str">
            <v/>
          </cell>
          <cell r="Y143" t="str">
            <v/>
          </cell>
          <cell r="Z143" t="str">
            <v/>
          </cell>
          <cell r="AA143" t="str">
            <v>⑦</v>
          </cell>
          <cell r="AB143" t="str">
            <v>⑧</v>
          </cell>
          <cell r="AC143" t="str">
            <v/>
          </cell>
          <cell r="AD143" t="str">
            <v/>
          </cell>
          <cell r="AE143" t="str">
            <v/>
          </cell>
          <cell r="AF143" t="str">
            <v/>
          </cell>
          <cell r="AG143" t="str">
            <v/>
          </cell>
          <cell r="AH143" t="str">
            <v/>
          </cell>
          <cell r="AI143" t="str">
            <v/>
          </cell>
        </row>
        <row r="144">
          <cell r="B144">
            <v>613</v>
          </cell>
          <cell r="C144">
            <v>6</v>
          </cell>
          <cell r="D144">
            <v>13</v>
          </cell>
          <cell r="F144" t="str">
            <v>函館</v>
          </cell>
          <cell r="G144" t="str">
            <v>害虫駆除</v>
          </cell>
          <cell r="H144" t="str">
            <v>共立管財</v>
          </cell>
          <cell r="I144">
            <v>52500</v>
          </cell>
          <cell r="J144">
            <v>58300</v>
          </cell>
          <cell r="K144">
            <v>2</v>
          </cell>
          <cell r="L144">
            <v>0</v>
          </cell>
          <cell r="M144">
            <v>0</v>
          </cell>
          <cell r="N144">
            <v>0</v>
          </cell>
          <cell r="O144">
            <v>0</v>
          </cell>
          <cell r="P144">
            <v>0</v>
          </cell>
          <cell r="Q144">
            <v>58300</v>
          </cell>
          <cell r="R144">
            <v>0</v>
          </cell>
          <cell r="S144">
            <v>0</v>
          </cell>
          <cell r="T144">
            <v>0</v>
          </cell>
          <cell r="U144">
            <v>0</v>
          </cell>
          <cell r="V144">
            <v>0</v>
          </cell>
          <cell r="W144">
            <v>58300</v>
          </cell>
          <cell r="X144" t="str">
            <v/>
          </cell>
          <cell r="Y144" t="str">
            <v/>
          </cell>
          <cell r="Z144" t="str">
            <v/>
          </cell>
          <cell r="AA144" t="str">
            <v/>
          </cell>
          <cell r="AB144" t="str">
            <v/>
          </cell>
          <cell r="AC144" t="str">
            <v>⑨</v>
          </cell>
          <cell r="AD144" t="str">
            <v/>
          </cell>
          <cell r="AE144" t="str">
            <v/>
          </cell>
          <cell r="AF144" t="str">
            <v/>
          </cell>
          <cell r="AG144" t="str">
            <v/>
          </cell>
          <cell r="AH144" t="str">
            <v/>
          </cell>
          <cell r="AI144" t="str">
            <v>③</v>
          </cell>
          <cell r="AJ144" t="str">
            <v>変</v>
          </cell>
        </row>
        <row r="145">
          <cell r="B145">
            <v>614</v>
          </cell>
          <cell r="C145">
            <v>6</v>
          </cell>
          <cell r="D145">
            <v>14</v>
          </cell>
          <cell r="F145" t="str">
            <v>函館</v>
          </cell>
          <cell r="G145" t="str">
            <v>受水槽清掃(含む高架水槽)</v>
          </cell>
          <cell r="H145" t="str">
            <v>青函設備興業</v>
          </cell>
          <cell r="I145">
            <v>147000</v>
          </cell>
          <cell r="J145">
            <v>166110</v>
          </cell>
          <cell r="K145">
            <v>1</v>
          </cell>
          <cell r="L145">
            <v>0</v>
          </cell>
          <cell r="M145">
            <v>0</v>
          </cell>
          <cell r="N145">
            <v>0</v>
          </cell>
          <cell r="O145">
            <v>0</v>
          </cell>
          <cell r="P145">
            <v>166110</v>
          </cell>
          <cell r="Q145">
            <v>0</v>
          </cell>
          <cell r="R145">
            <v>0</v>
          </cell>
          <cell r="S145">
            <v>0</v>
          </cell>
          <cell r="T145">
            <v>0</v>
          </cell>
          <cell r="U145">
            <v>0</v>
          </cell>
          <cell r="V145">
            <v>0</v>
          </cell>
          <cell r="W145">
            <v>0</v>
          </cell>
          <cell r="X145" t="str">
            <v/>
          </cell>
          <cell r="Y145" t="str">
            <v/>
          </cell>
          <cell r="Z145" t="str">
            <v/>
          </cell>
          <cell r="AA145" t="str">
            <v/>
          </cell>
          <cell r="AB145" t="str">
            <v>⑧</v>
          </cell>
          <cell r="AC145" t="str">
            <v/>
          </cell>
          <cell r="AD145" t="str">
            <v/>
          </cell>
          <cell r="AE145" t="str">
            <v/>
          </cell>
          <cell r="AF145" t="str">
            <v/>
          </cell>
          <cell r="AG145" t="str">
            <v/>
          </cell>
          <cell r="AH145" t="str">
            <v/>
          </cell>
          <cell r="AI145" t="str">
            <v/>
          </cell>
        </row>
        <row r="146">
          <cell r="B146">
            <v>615</v>
          </cell>
          <cell r="C146">
            <v>6</v>
          </cell>
          <cell r="D146">
            <v>15</v>
          </cell>
          <cell r="F146" t="str">
            <v>函館</v>
          </cell>
          <cell r="G146" t="str">
            <v>自動ドアー保守</v>
          </cell>
          <cell r="H146" t="str">
            <v>東日本寺岡オートドア</v>
          </cell>
          <cell r="I146">
            <v>11667</v>
          </cell>
          <cell r="J146">
            <v>11900</v>
          </cell>
          <cell r="K146">
            <v>12</v>
          </cell>
          <cell r="L146">
            <v>11900</v>
          </cell>
          <cell r="M146">
            <v>11900</v>
          </cell>
          <cell r="N146">
            <v>11900</v>
          </cell>
          <cell r="O146">
            <v>11900</v>
          </cell>
          <cell r="P146">
            <v>11900</v>
          </cell>
          <cell r="Q146">
            <v>11900</v>
          </cell>
          <cell r="R146">
            <v>11900</v>
          </cell>
          <cell r="S146">
            <v>11900</v>
          </cell>
          <cell r="T146">
            <v>11900</v>
          </cell>
          <cell r="U146">
            <v>11900</v>
          </cell>
          <cell r="V146">
            <v>11900</v>
          </cell>
          <cell r="W146">
            <v>11900</v>
          </cell>
          <cell r="X146" t="str">
            <v>④</v>
          </cell>
          <cell r="Y146" t="str">
            <v>⑤</v>
          </cell>
          <cell r="Z146" t="str">
            <v>⑥</v>
          </cell>
          <cell r="AA146" t="str">
            <v>⑦</v>
          </cell>
          <cell r="AB146" t="str">
            <v>⑧</v>
          </cell>
          <cell r="AC146" t="str">
            <v>⑨</v>
          </cell>
          <cell r="AD146" t="str">
            <v>⑩</v>
          </cell>
          <cell r="AE146" t="str">
            <v>⑪</v>
          </cell>
          <cell r="AF146" t="str">
            <v>⑫</v>
          </cell>
          <cell r="AG146" t="str">
            <v>①</v>
          </cell>
          <cell r="AH146" t="str">
            <v>②</v>
          </cell>
          <cell r="AI146" t="str">
            <v>③</v>
          </cell>
        </row>
        <row r="147">
          <cell r="B147">
            <v>616</v>
          </cell>
          <cell r="C147">
            <v>6</v>
          </cell>
          <cell r="D147">
            <v>16</v>
          </cell>
          <cell r="F147" t="str">
            <v>函館</v>
          </cell>
          <cell r="G147" t="str">
            <v>冷温水発生機設備保守</v>
          </cell>
          <cell r="H147" t="str">
            <v>新菱冷熱工業</v>
          </cell>
          <cell r="I147">
            <v>34200</v>
          </cell>
          <cell r="J147">
            <v>34884</v>
          </cell>
          <cell r="K147">
            <v>12</v>
          </cell>
          <cell r="L147">
            <v>34884</v>
          </cell>
          <cell r="M147">
            <v>34884</v>
          </cell>
          <cell r="N147">
            <v>34884</v>
          </cell>
          <cell r="O147">
            <v>34884</v>
          </cell>
          <cell r="P147">
            <v>34884</v>
          </cell>
          <cell r="Q147">
            <v>34884</v>
          </cell>
          <cell r="R147">
            <v>34884</v>
          </cell>
          <cell r="S147">
            <v>34884</v>
          </cell>
          <cell r="T147">
            <v>34884</v>
          </cell>
          <cell r="U147">
            <v>34884</v>
          </cell>
          <cell r="V147">
            <v>34884</v>
          </cell>
          <cell r="W147">
            <v>34884</v>
          </cell>
          <cell r="X147" t="str">
            <v>④</v>
          </cell>
          <cell r="Y147" t="str">
            <v>⑤</v>
          </cell>
          <cell r="Z147" t="str">
            <v>⑥</v>
          </cell>
          <cell r="AA147" t="str">
            <v>⑦</v>
          </cell>
          <cell r="AB147" t="str">
            <v>⑧</v>
          </cell>
          <cell r="AC147" t="str">
            <v>⑨</v>
          </cell>
          <cell r="AD147" t="str">
            <v>⑩</v>
          </cell>
          <cell r="AE147" t="str">
            <v>⑪</v>
          </cell>
          <cell r="AF147" t="str">
            <v>⑫</v>
          </cell>
          <cell r="AG147" t="str">
            <v>①</v>
          </cell>
          <cell r="AH147" t="str">
            <v>②</v>
          </cell>
          <cell r="AI147" t="str">
            <v>③</v>
          </cell>
          <cell r="AJ147" t="str">
            <v>変</v>
          </cell>
        </row>
        <row r="148">
          <cell r="B148">
            <v>617</v>
          </cell>
          <cell r="C148">
            <v>6</v>
          </cell>
          <cell r="D148">
            <v>17</v>
          </cell>
          <cell r="F148" t="str">
            <v>函館</v>
          </cell>
          <cell r="G148" t="str">
            <v>空調機設備保守</v>
          </cell>
          <cell r="H148" t="str">
            <v>新菱冷熱工業</v>
          </cell>
          <cell r="I148">
            <v>34000</v>
          </cell>
          <cell r="J148">
            <v>34680</v>
          </cell>
          <cell r="K148">
            <v>3</v>
          </cell>
          <cell r="L148">
            <v>34680</v>
          </cell>
          <cell r="M148">
            <v>34680</v>
          </cell>
          <cell r="N148">
            <v>34680</v>
          </cell>
          <cell r="O148">
            <v>0</v>
          </cell>
          <cell r="P148">
            <v>0</v>
          </cell>
          <cell r="Q148">
            <v>0</v>
          </cell>
          <cell r="R148">
            <v>0</v>
          </cell>
          <cell r="S148">
            <v>0</v>
          </cell>
          <cell r="T148">
            <v>0</v>
          </cell>
          <cell r="U148">
            <v>0</v>
          </cell>
          <cell r="V148">
            <v>0</v>
          </cell>
          <cell r="W148">
            <v>0</v>
          </cell>
          <cell r="X148" t="str">
            <v>④</v>
          </cell>
          <cell r="Y148" t="str">
            <v>⑤</v>
          </cell>
          <cell r="Z148" t="str">
            <v>⑥</v>
          </cell>
          <cell r="AJ148" t="str">
            <v>変</v>
          </cell>
        </row>
        <row r="149">
          <cell r="B149">
            <v>618</v>
          </cell>
          <cell r="C149">
            <v>6</v>
          </cell>
          <cell r="D149">
            <v>18</v>
          </cell>
          <cell r="F149" t="str">
            <v>函館</v>
          </cell>
          <cell r="G149" t="str">
            <v>空調機設備保守</v>
          </cell>
          <cell r="H149" t="str">
            <v>新菱冷熱工業</v>
          </cell>
          <cell r="I149">
            <v>20000</v>
          </cell>
          <cell r="J149">
            <v>22080</v>
          </cell>
          <cell r="K149">
            <v>9</v>
          </cell>
          <cell r="L149">
            <v>0</v>
          </cell>
          <cell r="M149">
            <v>0</v>
          </cell>
          <cell r="N149">
            <v>0</v>
          </cell>
          <cell r="O149">
            <v>22080</v>
          </cell>
          <cell r="P149">
            <v>22080</v>
          </cell>
          <cell r="Q149">
            <v>22080</v>
          </cell>
          <cell r="R149">
            <v>22080</v>
          </cell>
          <cell r="S149">
            <v>22080</v>
          </cell>
          <cell r="T149">
            <v>22080</v>
          </cell>
          <cell r="U149">
            <v>22080</v>
          </cell>
          <cell r="V149">
            <v>22080</v>
          </cell>
          <cell r="W149">
            <v>22080</v>
          </cell>
          <cell r="AA149" t="str">
            <v>⑦</v>
          </cell>
          <cell r="AB149" t="str">
            <v>⑧</v>
          </cell>
          <cell r="AC149" t="str">
            <v>⑨</v>
          </cell>
          <cell r="AD149" t="str">
            <v>⑩</v>
          </cell>
          <cell r="AE149" t="str">
            <v>⑪</v>
          </cell>
          <cell r="AF149" t="str">
            <v>⑫</v>
          </cell>
          <cell r="AG149" t="str">
            <v>①</v>
          </cell>
          <cell r="AH149" t="str">
            <v>②</v>
          </cell>
          <cell r="AI149" t="str">
            <v>③</v>
          </cell>
          <cell r="AJ149" t="str">
            <v>変</v>
          </cell>
        </row>
        <row r="150">
          <cell r="B150">
            <v>619</v>
          </cell>
          <cell r="C150">
            <v>6</v>
          </cell>
          <cell r="D150">
            <v>19</v>
          </cell>
          <cell r="F150" t="str">
            <v>函館</v>
          </cell>
          <cell r="G150" t="str">
            <v>自動制御機器設備保守</v>
          </cell>
          <cell r="H150" t="str">
            <v>新菱冷熱工業</v>
          </cell>
          <cell r="I150">
            <v>65300</v>
          </cell>
          <cell r="J150">
            <v>66606</v>
          </cell>
          <cell r="K150">
            <v>3</v>
          </cell>
          <cell r="L150">
            <v>66606</v>
          </cell>
          <cell r="M150">
            <v>66606</v>
          </cell>
          <cell r="N150">
            <v>66606</v>
          </cell>
          <cell r="O150">
            <v>0</v>
          </cell>
          <cell r="P150">
            <v>0</v>
          </cell>
          <cell r="Q150">
            <v>0</v>
          </cell>
          <cell r="R150">
            <v>0</v>
          </cell>
          <cell r="S150">
            <v>0</v>
          </cell>
          <cell r="T150">
            <v>0</v>
          </cell>
          <cell r="U150">
            <v>0</v>
          </cell>
          <cell r="V150">
            <v>0</v>
          </cell>
          <cell r="W150">
            <v>0</v>
          </cell>
          <cell r="X150" t="str">
            <v>④</v>
          </cell>
          <cell r="Y150" t="str">
            <v>⑤</v>
          </cell>
          <cell r="Z150" t="str">
            <v>⑥</v>
          </cell>
          <cell r="AJ150" t="str">
            <v>変</v>
          </cell>
        </row>
        <row r="151">
          <cell r="B151">
            <v>620</v>
          </cell>
          <cell r="C151">
            <v>6</v>
          </cell>
          <cell r="D151">
            <v>20</v>
          </cell>
          <cell r="F151" t="str">
            <v>函館</v>
          </cell>
          <cell r="G151" t="str">
            <v>自動制御機器設備保守</v>
          </cell>
          <cell r="H151" t="str">
            <v>新菱冷熱工業</v>
          </cell>
          <cell r="I151">
            <v>43333</v>
          </cell>
          <cell r="J151">
            <v>46836</v>
          </cell>
          <cell r="K151">
            <v>9</v>
          </cell>
          <cell r="L151">
            <v>0</v>
          </cell>
          <cell r="M151">
            <v>0</v>
          </cell>
          <cell r="N151">
            <v>0</v>
          </cell>
          <cell r="O151">
            <v>46836</v>
          </cell>
          <cell r="P151">
            <v>46836</v>
          </cell>
          <cell r="Q151">
            <v>46836</v>
          </cell>
          <cell r="R151">
            <v>46836</v>
          </cell>
          <cell r="S151">
            <v>46836</v>
          </cell>
          <cell r="T151">
            <v>46836</v>
          </cell>
          <cell r="U151">
            <v>46836</v>
          </cell>
          <cell r="V151">
            <v>46836</v>
          </cell>
          <cell r="W151">
            <v>46836</v>
          </cell>
          <cell r="AA151" t="str">
            <v>⑦</v>
          </cell>
          <cell r="AB151" t="str">
            <v>⑧</v>
          </cell>
          <cell r="AC151" t="str">
            <v>⑨</v>
          </cell>
          <cell r="AD151" t="str">
            <v>⑩</v>
          </cell>
          <cell r="AE151" t="str">
            <v>⑪</v>
          </cell>
          <cell r="AF151" t="str">
            <v>⑫</v>
          </cell>
          <cell r="AG151" t="str">
            <v>①</v>
          </cell>
          <cell r="AH151" t="str">
            <v>②</v>
          </cell>
          <cell r="AI151" t="str">
            <v>③</v>
          </cell>
          <cell r="AJ151" t="str">
            <v>変</v>
          </cell>
        </row>
        <row r="152">
          <cell r="B152">
            <v>621</v>
          </cell>
          <cell r="C152">
            <v>6</v>
          </cell>
          <cell r="D152">
            <v>21</v>
          </cell>
          <cell r="F152" t="str">
            <v>函館</v>
          </cell>
          <cell r="G152" t="str">
            <v>ＡＰＮラストール保守</v>
          </cell>
          <cell r="H152" t="str">
            <v>木村防蝕</v>
          </cell>
          <cell r="I152">
            <v>12500</v>
          </cell>
          <cell r="J152">
            <v>12750</v>
          </cell>
          <cell r="K152">
            <v>12</v>
          </cell>
          <cell r="L152">
            <v>12750</v>
          </cell>
          <cell r="M152">
            <v>12750</v>
          </cell>
          <cell r="N152">
            <v>12750</v>
          </cell>
          <cell r="O152">
            <v>12750</v>
          </cell>
          <cell r="P152">
            <v>12750</v>
          </cell>
          <cell r="Q152">
            <v>12750</v>
          </cell>
          <cell r="R152">
            <v>12750</v>
          </cell>
          <cell r="S152">
            <v>12750</v>
          </cell>
          <cell r="T152">
            <v>12750</v>
          </cell>
          <cell r="U152">
            <v>12750</v>
          </cell>
          <cell r="V152">
            <v>12750</v>
          </cell>
          <cell r="W152">
            <v>12750</v>
          </cell>
          <cell r="X152" t="str">
            <v>④</v>
          </cell>
          <cell r="Y152" t="str">
            <v>⑤</v>
          </cell>
          <cell r="Z152" t="str">
            <v>⑥</v>
          </cell>
          <cell r="AA152" t="str">
            <v>⑦</v>
          </cell>
          <cell r="AB152" t="str">
            <v>⑧</v>
          </cell>
          <cell r="AC152" t="str">
            <v>⑨</v>
          </cell>
          <cell r="AD152" t="str">
            <v>⑩</v>
          </cell>
          <cell r="AE152" t="str">
            <v>⑪</v>
          </cell>
          <cell r="AF152" t="str">
            <v>⑫</v>
          </cell>
          <cell r="AG152" t="str">
            <v>①</v>
          </cell>
          <cell r="AH152" t="str">
            <v>②</v>
          </cell>
          <cell r="AI152" t="str">
            <v>③</v>
          </cell>
        </row>
        <row r="153">
          <cell r="B153">
            <v>622</v>
          </cell>
          <cell r="C153">
            <v>6</v>
          </cell>
          <cell r="D153">
            <v>22</v>
          </cell>
          <cell r="F153" t="str">
            <v>函館</v>
          </cell>
          <cell r="G153" t="str">
            <v>駐車場管制装置点検整備</v>
          </cell>
          <cell r="H153" t="str">
            <v>椿谷商会</v>
          </cell>
          <cell r="I153">
            <v>25000</v>
          </cell>
          <cell r="J153">
            <v>28750</v>
          </cell>
          <cell r="K153">
            <v>1</v>
          </cell>
          <cell r="L153">
            <v>0</v>
          </cell>
          <cell r="M153">
            <v>0</v>
          </cell>
          <cell r="N153">
            <v>0</v>
          </cell>
          <cell r="O153">
            <v>28750</v>
          </cell>
          <cell r="P153">
            <v>0</v>
          </cell>
          <cell r="Q153">
            <v>0</v>
          </cell>
          <cell r="R153">
            <v>0</v>
          </cell>
          <cell r="S153">
            <v>0</v>
          </cell>
          <cell r="T153">
            <v>0</v>
          </cell>
          <cell r="U153">
            <v>0</v>
          </cell>
          <cell r="V153">
            <v>0</v>
          </cell>
          <cell r="W153">
            <v>0</v>
          </cell>
          <cell r="X153" t="str">
            <v/>
          </cell>
          <cell r="Y153" t="str">
            <v/>
          </cell>
          <cell r="Z153" t="str">
            <v/>
          </cell>
          <cell r="AA153" t="str">
            <v>⑦</v>
          </cell>
          <cell r="AB153" t="str">
            <v/>
          </cell>
          <cell r="AC153" t="str">
            <v/>
          </cell>
          <cell r="AD153" t="str">
            <v/>
          </cell>
          <cell r="AE153" t="str">
            <v/>
          </cell>
          <cell r="AF153" t="str">
            <v/>
          </cell>
          <cell r="AG153" t="str">
            <v/>
          </cell>
          <cell r="AH153" t="str">
            <v/>
          </cell>
          <cell r="AI153" t="str">
            <v/>
          </cell>
        </row>
        <row r="154">
          <cell r="B154">
            <v>623</v>
          </cell>
          <cell r="C154">
            <v>6</v>
          </cell>
          <cell r="D154">
            <v>23</v>
          </cell>
          <cell r="F154" t="str">
            <v>函館</v>
          </cell>
          <cell r="G154" t="str">
            <v>シャッター設備点検整備</v>
          </cell>
          <cell r="H154" t="str">
            <v>文化シャッター</v>
          </cell>
          <cell r="I154">
            <v>135000</v>
          </cell>
          <cell r="J154">
            <v>155250</v>
          </cell>
          <cell r="K154">
            <v>1</v>
          </cell>
          <cell r="L154">
            <v>0</v>
          </cell>
          <cell r="M154">
            <v>0</v>
          </cell>
          <cell r="N154">
            <v>0</v>
          </cell>
          <cell r="O154">
            <v>0</v>
          </cell>
          <cell r="P154">
            <v>0</v>
          </cell>
          <cell r="Q154">
            <v>0</v>
          </cell>
          <cell r="R154">
            <v>155250</v>
          </cell>
          <cell r="S154">
            <v>0</v>
          </cell>
          <cell r="T154">
            <v>0</v>
          </cell>
          <cell r="U154">
            <v>0</v>
          </cell>
          <cell r="V154">
            <v>0</v>
          </cell>
          <cell r="W154">
            <v>0</v>
          </cell>
          <cell r="X154" t="str">
            <v/>
          </cell>
          <cell r="Y154" t="str">
            <v/>
          </cell>
          <cell r="Z154" t="str">
            <v/>
          </cell>
          <cell r="AA154" t="str">
            <v/>
          </cell>
          <cell r="AB154" t="str">
            <v/>
          </cell>
          <cell r="AD154" t="str">
            <v>⑩</v>
          </cell>
          <cell r="AE154" t="str">
            <v/>
          </cell>
          <cell r="AF154" t="str">
            <v/>
          </cell>
          <cell r="AG154" t="str">
            <v/>
          </cell>
          <cell r="AH154" t="str">
            <v/>
          </cell>
          <cell r="AI154" t="str">
            <v/>
          </cell>
          <cell r="AJ154" t="str">
            <v>追</v>
          </cell>
        </row>
        <row r="155">
          <cell r="B155">
            <v>624</v>
          </cell>
          <cell r="C155">
            <v>6</v>
          </cell>
          <cell r="D155">
            <v>24</v>
          </cell>
          <cell r="F155" t="str">
            <v>函館</v>
          </cell>
          <cell r="G155" t="str">
            <v>ﾊﾟｯｹｰｼﾞエアコン点検整備</v>
          </cell>
          <cell r="H155" t="str">
            <v>新菱冷熱工業</v>
          </cell>
          <cell r="I155">
            <v>36000</v>
          </cell>
          <cell r="J155">
            <v>41400</v>
          </cell>
          <cell r="K155">
            <v>1</v>
          </cell>
          <cell r="L155">
            <v>0</v>
          </cell>
          <cell r="M155">
            <v>0</v>
          </cell>
          <cell r="N155">
            <v>0</v>
          </cell>
          <cell r="O155">
            <v>0</v>
          </cell>
          <cell r="P155">
            <v>41400</v>
          </cell>
          <cell r="Q155">
            <v>0</v>
          </cell>
          <cell r="R155">
            <v>0</v>
          </cell>
          <cell r="S155">
            <v>0</v>
          </cell>
          <cell r="T155">
            <v>0</v>
          </cell>
          <cell r="U155">
            <v>0</v>
          </cell>
          <cell r="V155">
            <v>0</v>
          </cell>
          <cell r="W155">
            <v>0</v>
          </cell>
          <cell r="X155" t="str">
            <v/>
          </cell>
          <cell r="Y155" t="str">
            <v/>
          </cell>
          <cell r="Z155" t="str">
            <v/>
          </cell>
          <cell r="AB155" t="str">
            <v>⑧</v>
          </cell>
          <cell r="AC155" t="str">
            <v/>
          </cell>
          <cell r="AD155" t="str">
            <v/>
          </cell>
          <cell r="AE155" t="str">
            <v/>
          </cell>
          <cell r="AF155" t="str">
            <v/>
          </cell>
          <cell r="AG155" t="str">
            <v/>
          </cell>
          <cell r="AH155" t="str">
            <v/>
          </cell>
          <cell r="AI155" t="str">
            <v/>
          </cell>
          <cell r="AJ155" t="str">
            <v>追</v>
          </cell>
        </row>
        <row r="156">
          <cell r="B156">
            <v>625</v>
          </cell>
          <cell r="C156">
            <v>6</v>
          </cell>
          <cell r="D156">
            <v>25</v>
          </cell>
          <cell r="F156" t="str">
            <v>函館</v>
          </cell>
          <cell r="G156" t="str">
            <v>給湯ボイラー分解点検整備　　</v>
          </cell>
          <cell r="H156" t="str">
            <v>興菱ダイヤ冷暖</v>
          </cell>
          <cell r="I156">
            <v>60000</v>
          </cell>
          <cell r="J156">
            <v>69000</v>
          </cell>
          <cell r="K156">
            <v>1</v>
          </cell>
          <cell r="L156">
            <v>0</v>
          </cell>
          <cell r="M156">
            <v>0</v>
          </cell>
          <cell r="N156">
            <v>0</v>
          </cell>
          <cell r="O156">
            <v>0</v>
          </cell>
          <cell r="P156">
            <v>0</v>
          </cell>
          <cell r="Q156">
            <v>0</v>
          </cell>
          <cell r="R156">
            <v>0</v>
          </cell>
          <cell r="S156">
            <v>69000</v>
          </cell>
          <cell r="T156">
            <v>0</v>
          </cell>
          <cell r="U156">
            <v>0</v>
          </cell>
          <cell r="V156">
            <v>0</v>
          </cell>
          <cell r="W156">
            <v>0</v>
          </cell>
          <cell r="X156" t="str">
            <v/>
          </cell>
          <cell r="Y156" t="str">
            <v/>
          </cell>
          <cell r="Z156" t="str">
            <v/>
          </cell>
          <cell r="AA156" t="str">
            <v/>
          </cell>
          <cell r="AB156" t="str">
            <v/>
          </cell>
          <cell r="AC156" t="str">
            <v/>
          </cell>
          <cell r="AE156" t="str">
            <v>⑪</v>
          </cell>
          <cell r="AF156" t="str">
            <v/>
          </cell>
          <cell r="AG156" t="str">
            <v/>
          </cell>
          <cell r="AH156" t="str">
            <v/>
          </cell>
          <cell r="AI156" t="str">
            <v/>
          </cell>
          <cell r="AJ156" t="str">
            <v>追</v>
          </cell>
        </row>
        <row r="157">
          <cell r="B157">
            <v>626</v>
          </cell>
          <cell r="C157">
            <v>6</v>
          </cell>
          <cell r="D157">
            <v>26</v>
          </cell>
          <cell r="F157" t="str">
            <v>函館</v>
          </cell>
          <cell r="G157" t="str">
            <v>植栽管理</v>
          </cell>
          <cell r="H157" t="str">
            <v>共立管財</v>
          </cell>
          <cell r="I157">
            <v>14000</v>
          </cell>
          <cell r="J157">
            <v>16000</v>
          </cell>
          <cell r="K157">
            <v>1</v>
          </cell>
          <cell r="L157">
            <v>0</v>
          </cell>
          <cell r="M157">
            <v>0</v>
          </cell>
          <cell r="N157">
            <v>0</v>
          </cell>
          <cell r="O157">
            <v>0</v>
          </cell>
          <cell r="P157">
            <v>0</v>
          </cell>
          <cell r="Q157">
            <v>0</v>
          </cell>
          <cell r="R157">
            <v>16000</v>
          </cell>
          <cell r="S157">
            <v>0</v>
          </cell>
          <cell r="T157">
            <v>0</v>
          </cell>
          <cell r="U157">
            <v>0</v>
          </cell>
          <cell r="V157">
            <v>0</v>
          </cell>
          <cell r="W157">
            <v>0</v>
          </cell>
          <cell r="X157" t="str">
            <v/>
          </cell>
          <cell r="Y157" t="str">
            <v/>
          </cell>
          <cell r="Z157" t="str">
            <v/>
          </cell>
          <cell r="AA157" t="str">
            <v/>
          </cell>
          <cell r="AB157" t="str">
            <v/>
          </cell>
          <cell r="AD157" t="str">
            <v>⑩</v>
          </cell>
          <cell r="AE157" t="str">
            <v/>
          </cell>
          <cell r="AF157" t="str">
            <v/>
          </cell>
          <cell r="AG157" t="str">
            <v/>
          </cell>
          <cell r="AH157" t="str">
            <v/>
          </cell>
          <cell r="AI157" t="str">
            <v/>
          </cell>
          <cell r="AJ157" t="str">
            <v>追</v>
          </cell>
        </row>
        <row r="158">
          <cell r="B158">
            <v>627</v>
          </cell>
          <cell r="C158">
            <v>6</v>
          </cell>
          <cell r="D158">
            <v>27</v>
          </cell>
          <cell r="F158" t="str">
            <v>函館</v>
          </cell>
          <cell r="G158" t="str">
            <v>電気湯沸器点検整備</v>
          </cell>
          <cell r="H158" t="str">
            <v>共立管財</v>
          </cell>
          <cell r="I158">
            <v>32000</v>
          </cell>
          <cell r="J158">
            <v>36800</v>
          </cell>
          <cell r="K158">
            <v>2</v>
          </cell>
          <cell r="L158">
            <v>0</v>
          </cell>
          <cell r="M158">
            <v>0</v>
          </cell>
          <cell r="N158">
            <v>0</v>
          </cell>
          <cell r="O158">
            <v>36800</v>
          </cell>
          <cell r="P158">
            <v>0</v>
          </cell>
          <cell r="Q158">
            <v>0</v>
          </cell>
          <cell r="R158">
            <v>0</v>
          </cell>
          <cell r="S158">
            <v>0</v>
          </cell>
          <cell r="T158">
            <v>0</v>
          </cell>
          <cell r="U158">
            <v>36800</v>
          </cell>
          <cell r="V158">
            <v>0</v>
          </cell>
          <cell r="W158">
            <v>0</v>
          </cell>
          <cell r="X158" t="str">
            <v/>
          </cell>
          <cell r="Y158" t="str">
            <v/>
          </cell>
          <cell r="AA158" t="str">
            <v>⑦</v>
          </cell>
          <cell r="AB158" t="str">
            <v/>
          </cell>
          <cell r="AC158" t="str">
            <v/>
          </cell>
          <cell r="AD158" t="str">
            <v/>
          </cell>
          <cell r="AE158" t="str">
            <v/>
          </cell>
          <cell r="AG158" t="str">
            <v>①</v>
          </cell>
          <cell r="AH158" t="str">
            <v/>
          </cell>
          <cell r="AI158" t="str">
            <v/>
          </cell>
          <cell r="AJ158" t="str">
            <v>追</v>
          </cell>
        </row>
        <row r="159">
          <cell r="B159">
            <v>628</v>
          </cell>
          <cell r="C159">
            <v>6</v>
          </cell>
          <cell r="D159">
            <v>28</v>
          </cell>
          <cell r="F159" t="str">
            <v>函館</v>
          </cell>
          <cell r="G159" t="str">
            <v>ﾌｧﾝｺｲﾙ点検整備･ﾌｨﾙﾀｰ洗浄</v>
          </cell>
          <cell r="H159" t="str">
            <v>共立管財</v>
          </cell>
          <cell r="I159">
            <v>47000</v>
          </cell>
          <cell r="J159">
            <v>54050</v>
          </cell>
          <cell r="K159">
            <v>3</v>
          </cell>
          <cell r="L159">
            <v>0</v>
          </cell>
          <cell r="M159">
            <v>0</v>
          </cell>
          <cell r="N159">
            <v>54050</v>
          </cell>
          <cell r="O159">
            <v>0</v>
          </cell>
          <cell r="P159">
            <v>0</v>
          </cell>
          <cell r="Q159">
            <v>0</v>
          </cell>
          <cell r="R159">
            <v>54050</v>
          </cell>
          <cell r="S159">
            <v>0</v>
          </cell>
          <cell r="T159">
            <v>0</v>
          </cell>
          <cell r="U159">
            <v>0</v>
          </cell>
          <cell r="V159">
            <v>54050</v>
          </cell>
          <cell r="W159">
            <v>0</v>
          </cell>
          <cell r="X159" t="str">
            <v/>
          </cell>
          <cell r="Z159" t="str">
            <v>⑥</v>
          </cell>
          <cell r="AD159" t="str">
            <v>⑩</v>
          </cell>
          <cell r="AH159" t="str">
            <v>②</v>
          </cell>
          <cell r="AI159" t="str">
            <v/>
          </cell>
          <cell r="AJ159" t="str">
            <v>追</v>
          </cell>
        </row>
        <row r="160">
          <cell r="B160">
            <v>701</v>
          </cell>
          <cell r="C160">
            <v>7</v>
          </cell>
          <cell r="D160">
            <v>1</v>
          </cell>
          <cell r="F160" t="str">
            <v>釧路</v>
          </cell>
          <cell r="G160" t="str">
            <v>消防設備点検保守(外観)</v>
          </cell>
          <cell r="H160" t="str">
            <v>ホーチキ</v>
          </cell>
          <cell r="I160">
            <v>98000</v>
          </cell>
          <cell r="J160">
            <v>99960</v>
          </cell>
          <cell r="K160">
            <v>1</v>
          </cell>
          <cell r="L160">
            <v>99960</v>
          </cell>
          <cell r="M160">
            <v>0</v>
          </cell>
          <cell r="N160">
            <v>0</v>
          </cell>
          <cell r="O160">
            <v>0</v>
          </cell>
          <cell r="P160">
            <v>0</v>
          </cell>
          <cell r="Q160">
            <v>0</v>
          </cell>
          <cell r="R160">
            <v>0</v>
          </cell>
          <cell r="S160">
            <v>0</v>
          </cell>
          <cell r="T160">
            <v>0</v>
          </cell>
          <cell r="U160">
            <v>0</v>
          </cell>
          <cell r="V160">
            <v>0</v>
          </cell>
          <cell r="W160">
            <v>0</v>
          </cell>
          <cell r="X160" t="str">
            <v>④</v>
          </cell>
          <cell r="Y160" t="str">
            <v/>
          </cell>
          <cell r="Z160" t="str">
            <v/>
          </cell>
          <cell r="AA160" t="str">
            <v/>
          </cell>
          <cell r="AB160" t="str">
            <v/>
          </cell>
          <cell r="AC160" t="str">
            <v/>
          </cell>
          <cell r="AD160" t="str">
            <v/>
          </cell>
          <cell r="AG160" t="str">
            <v/>
          </cell>
          <cell r="AH160" t="str">
            <v/>
          </cell>
          <cell r="AI160" t="str">
            <v/>
          </cell>
        </row>
        <row r="161">
          <cell r="B161">
            <v>702</v>
          </cell>
          <cell r="C161">
            <v>7</v>
          </cell>
          <cell r="D161">
            <v>2</v>
          </cell>
          <cell r="F161" t="str">
            <v>釧路</v>
          </cell>
          <cell r="G161" t="str">
            <v>消防設備点検保守(総合)</v>
          </cell>
          <cell r="H161" t="str">
            <v>ホーチキ</v>
          </cell>
          <cell r="I161">
            <v>127000</v>
          </cell>
          <cell r="J161">
            <v>129540</v>
          </cell>
          <cell r="K161">
            <v>1</v>
          </cell>
          <cell r="L161">
            <v>0</v>
          </cell>
          <cell r="M161">
            <v>0</v>
          </cell>
          <cell r="N161">
            <v>0</v>
          </cell>
          <cell r="O161">
            <v>0</v>
          </cell>
          <cell r="P161">
            <v>0</v>
          </cell>
          <cell r="Q161">
            <v>0</v>
          </cell>
          <cell r="R161">
            <v>129540</v>
          </cell>
          <cell r="S161">
            <v>0</v>
          </cell>
          <cell r="T161">
            <v>0</v>
          </cell>
          <cell r="U161">
            <v>0</v>
          </cell>
          <cell r="V161">
            <v>0</v>
          </cell>
          <cell r="W161">
            <v>0</v>
          </cell>
          <cell r="X161" t="str">
            <v/>
          </cell>
          <cell r="Y161" t="str">
            <v/>
          </cell>
          <cell r="Z161" t="str">
            <v/>
          </cell>
          <cell r="AA161" t="str">
            <v/>
          </cell>
          <cell r="AB161" t="str">
            <v/>
          </cell>
          <cell r="AC161" t="str">
            <v/>
          </cell>
          <cell r="AD161" t="str">
            <v>⑩</v>
          </cell>
          <cell r="AG161" t="str">
            <v/>
          </cell>
          <cell r="AH161" t="str">
            <v/>
          </cell>
          <cell r="AI161" t="str">
            <v/>
          </cell>
        </row>
        <row r="162">
          <cell r="B162">
            <v>801</v>
          </cell>
          <cell r="C162">
            <v>8</v>
          </cell>
          <cell r="D162">
            <v>1</v>
          </cell>
          <cell r="F162" t="str">
            <v>豊平</v>
          </cell>
          <cell r="G162" t="str">
            <v>機械式駐車設備保守</v>
          </cell>
          <cell r="H162" t="str">
            <v>三菱重工ﾊﾟｰｷﾝｸﾞ建設</v>
          </cell>
          <cell r="I162">
            <v>90000</v>
          </cell>
          <cell r="J162">
            <v>91800</v>
          </cell>
          <cell r="K162">
            <v>12</v>
          </cell>
          <cell r="L162">
            <v>91800</v>
          </cell>
          <cell r="M162">
            <v>91800</v>
          </cell>
          <cell r="N162">
            <v>91800</v>
          </cell>
          <cell r="O162">
            <v>91800</v>
          </cell>
          <cell r="P162">
            <v>91800</v>
          </cell>
          <cell r="Q162">
            <v>91800</v>
          </cell>
          <cell r="R162">
            <v>91800</v>
          </cell>
          <cell r="S162">
            <v>91800</v>
          </cell>
          <cell r="T162">
            <v>91800</v>
          </cell>
          <cell r="U162">
            <v>91800</v>
          </cell>
          <cell r="V162">
            <v>91800</v>
          </cell>
          <cell r="W162">
            <v>91800</v>
          </cell>
          <cell r="X162" t="str">
            <v>④</v>
          </cell>
          <cell r="Y162" t="str">
            <v>⑤</v>
          </cell>
          <cell r="Z162" t="str">
            <v>⑥</v>
          </cell>
          <cell r="AA162" t="str">
            <v>⑦</v>
          </cell>
          <cell r="AB162" t="str">
            <v>⑧</v>
          </cell>
          <cell r="AC162" t="str">
            <v>⑨</v>
          </cell>
          <cell r="AD162" t="str">
            <v>⑩</v>
          </cell>
          <cell r="AE162" t="str">
            <v>⑪</v>
          </cell>
          <cell r="AF162" t="str">
            <v>⑫</v>
          </cell>
          <cell r="AG162" t="str">
            <v>①</v>
          </cell>
          <cell r="AH162" t="str">
            <v>②</v>
          </cell>
          <cell r="AI162" t="str">
            <v>③</v>
          </cell>
        </row>
        <row r="163">
          <cell r="B163">
            <v>802</v>
          </cell>
          <cell r="C163">
            <v>8</v>
          </cell>
          <cell r="D163">
            <v>2</v>
          </cell>
          <cell r="F163" t="str">
            <v>豊平</v>
          </cell>
          <cell r="G163" t="str">
            <v>消防設備(外観)支社</v>
          </cell>
          <cell r="H163" t="str">
            <v>斗南商事</v>
          </cell>
          <cell r="I163">
            <v>49000</v>
          </cell>
          <cell r="J163">
            <v>49980</v>
          </cell>
          <cell r="K163">
            <v>1</v>
          </cell>
          <cell r="L163">
            <v>0</v>
          </cell>
          <cell r="M163">
            <v>0</v>
          </cell>
          <cell r="N163">
            <v>0</v>
          </cell>
          <cell r="O163">
            <v>0</v>
          </cell>
          <cell r="P163">
            <v>0</v>
          </cell>
          <cell r="Q163">
            <v>0</v>
          </cell>
          <cell r="R163">
            <v>49980</v>
          </cell>
          <cell r="S163">
            <v>0</v>
          </cell>
          <cell r="T163">
            <v>0</v>
          </cell>
          <cell r="U163">
            <v>0</v>
          </cell>
          <cell r="V163">
            <v>0</v>
          </cell>
          <cell r="W163">
            <v>0</v>
          </cell>
          <cell r="X163" t="str">
            <v/>
          </cell>
          <cell r="Y163" t="str">
            <v/>
          </cell>
          <cell r="Z163" t="str">
            <v/>
          </cell>
          <cell r="AD163" t="str">
            <v>⑩</v>
          </cell>
          <cell r="AI163" t="str">
            <v/>
          </cell>
        </row>
        <row r="164">
          <cell r="B164">
            <v>803</v>
          </cell>
          <cell r="C164">
            <v>8</v>
          </cell>
          <cell r="D164">
            <v>3</v>
          </cell>
          <cell r="F164" t="str">
            <v>豊平</v>
          </cell>
          <cell r="G164" t="str">
            <v>消防設備(総合)支社</v>
          </cell>
          <cell r="H164" t="str">
            <v>斗南商事</v>
          </cell>
          <cell r="I164">
            <v>69000</v>
          </cell>
          <cell r="J164">
            <v>70380</v>
          </cell>
          <cell r="K164">
            <v>1</v>
          </cell>
          <cell r="L164">
            <v>70380</v>
          </cell>
          <cell r="M164">
            <v>0</v>
          </cell>
          <cell r="N164">
            <v>0</v>
          </cell>
          <cell r="O164">
            <v>0</v>
          </cell>
          <cell r="P164">
            <v>0</v>
          </cell>
          <cell r="Q164">
            <v>0</v>
          </cell>
          <cell r="R164">
            <v>0</v>
          </cell>
          <cell r="S164">
            <v>0</v>
          </cell>
          <cell r="T164">
            <v>0</v>
          </cell>
          <cell r="U164">
            <v>0</v>
          </cell>
          <cell r="V164">
            <v>0</v>
          </cell>
          <cell r="W164">
            <v>0</v>
          </cell>
          <cell r="X164" t="str">
            <v>④</v>
          </cell>
          <cell r="Y164" t="str">
            <v/>
          </cell>
          <cell r="Z164" t="str">
            <v/>
          </cell>
          <cell r="AI164" t="str">
            <v/>
          </cell>
        </row>
        <row r="165">
          <cell r="B165">
            <v>804</v>
          </cell>
          <cell r="C165">
            <v>8</v>
          </cell>
          <cell r="D165">
            <v>4</v>
          </cell>
          <cell r="F165" t="str">
            <v>豊平</v>
          </cell>
          <cell r="G165" t="str">
            <v>消防設備(外観)駐車場</v>
          </cell>
          <cell r="H165" t="str">
            <v>斗南商事</v>
          </cell>
          <cell r="I165">
            <v>61000</v>
          </cell>
          <cell r="J165">
            <v>62220</v>
          </cell>
          <cell r="K165">
            <v>1</v>
          </cell>
          <cell r="L165">
            <v>0</v>
          </cell>
          <cell r="M165">
            <v>0</v>
          </cell>
          <cell r="N165">
            <v>0</v>
          </cell>
          <cell r="O165">
            <v>0</v>
          </cell>
          <cell r="P165">
            <v>0</v>
          </cell>
          <cell r="Q165">
            <v>0</v>
          </cell>
          <cell r="R165">
            <v>62220</v>
          </cell>
          <cell r="S165">
            <v>0</v>
          </cell>
          <cell r="T165">
            <v>0</v>
          </cell>
          <cell r="U165">
            <v>0</v>
          </cell>
          <cell r="V165">
            <v>0</v>
          </cell>
          <cell r="W165">
            <v>0</v>
          </cell>
          <cell r="X165" t="str">
            <v/>
          </cell>
          <cell r="Y165" t="str">
            <v/>
          </cell>
          <cell r="Z165" t="str">
            <v/>
          </cell>
          <cell r="AD165" t="str">
            <v>⑩</v>
          </cell>
          <cell r="AI165" t="str">
            <v/>
          </cell>
        </row>
        <row r="166">
          <cell r="B166">
            <v>805</v>
          </cell>
          <cell r="C166">
            <v>8</v>
          </cell>
          <cell r="D166">
            <v>5</v>
          </cell>
          <cell r="F166" t="str">
            <v>豊平</v>
          </cell>
          <cell r="G166" t="str">
            <v>消防設備(総合)駐車場</v>
          </cell>
          <cell r="H166" t="str">
            <v>斗南商事</v>
          </cell>
          <cell r="I166">
            <v>61000</v>
          </cell>
          <cell r="J166">
            <v>62220</v>
          </cell>
          <cell r="K166">
            <v>1</v>
          </cell>
          <cell r="L166">
            <v>62220</v>
          </cell>
          <cell r="M166">
            <v>0</v>
          </cell>
          <cell r="N166">
            <v>0</v>
          </cell>
          <cell r="O166">
            <v>0</v>
          </cell>
          <cell r="P166">
            <v>0</v>
          </cell>
          <cell r="Q166">
            <v>0</v>
          </cell>
          <cell r="R166">
            <v>0</v>
          </cell>
          <cell r="S166">
            <v>0</v>
          </cell>
          <cell r="T166">
            <v>0</v>
          </cell>
          <cell r="U166">
            <v>0</v>
          </cell>
          <cell r="V166">
            <v>0</v>
          </cell>
          <cell r="W166">
            <v>0</v>
          </cell>
          <cell r="X166" t="str">
            <v>④</v>
          </cell>
          <cell r="Y166" t="str">
            <v/>
          </cell>
          <cell r="Z166" t="str">
            <v/>
          </cell>
          <cell r="AI166" t="str">
            <v/>
          </cell>
        </row>
        <row r="167">
          <cell r="B167">
            <v>901</v>
          </cell>
          <cell r="C167">
            <v>9</v>
          </cell>
          <cell r="D167">
            <v>1</v>
          </cell>
          <cell r="F167" t="str">
            <v>琴似</v>
          </cell>
          <cell r="G167" t="str">
            <v>消防設備点検保守(外観)</v>
          </cell>
          <cell r="H167" t="str">
            <v>斗南商事</v>
          </cell>
          <cell r="I167">
            <v>45000</v>
          </cell>
          <cell r="J167">
            <v>45900</v>
          </cell>
          <cell r="K167">
            <v>1</v>
          </cell>
          <cell r="L167">
            <v>0</v>
          </cell>
          <cell r="M167">
            <v>0</v>
          </cell>
          <cell r="N167">
            <v>0</v>
          </cell>
          <cell r="O167">
            <v>0</v>
          </cell>
          <cell r="P167">
            <v>0</v>
          </cell>
          <cell r="Q167">
            <v>0</v>
          </cell>
          <cell r="R167">
            <v>45900</v>
          </cell>
          <cell r="S167">
            <v>0</v>
          </cell>
          <cell r="T167">
            <v>0</v>
          </cell>
          <cell r="U167">
            <v>0</v>
          </cell>
          <cell r="V167">
            <v>0</v>
          </cell>
          <cell r="W167">
            <v>0</v>
          </cell>
          <cell r="X167" t="str">
            <v/>
          </cell>
          <cell r="Y167" t="str">
            <v/>
          </cell>
          <cell r="Z167" t="str">
            <v/>
          </cell>
          <cell r="AA167" t="str">
            <v/>
          </cell>
          <cell r="AB167" t="str">
            <v/>
          </cell>
          <cell r="AC167" t="str">
            <v/>
          </cell>
          <cell r="AD167" t="str">
            <v>⑩</v>
          </cell>
          <cell r="AF167" t="str">
            <v/>
          </cell>
          <cell r="AG167" t="str">
            <v/>
          </cell>
          <cell r="AH167" t="str">
            <v/>
          </cell>
          <cell r="AI167" t="str">
            <v/>
          </cell>
        </row>
        <row r="168">
          <cell r="B168">
            <v>902</v>
          </cell>
          <cell r="C168">
            <v>9</v>
          </cell>
          <cell r="D168">
            <v>2</v>
          </cell>
          <cell r="F168" t="str">
            <v>琴似</v>
          </cell>
          <cell r="G168" t="str">
            <v>消防設備点検保守(総合)</v>
          </cell>
          <cell r="H168" t="str">
            <v>斗南商事</v>
          </cell>
          <cell r="I168">
            <v>75000</v>
          </cell>
          <cell r="J168">
            <v>76500</v>
          </cell>
          <cell r="K168">
            <v>1</v>
          </cell>
          <cell r="L168">
            <v>76500</v>
          </cell>
          <cell r="M168">
            <v>0</v>
          </cell>
          <cell r="N168">
            <v>0</v>
          </cell>
          <cell r="O168">
            <v>0</v>
          </cell>
          <cell r="P168">
            <v>0</v>
          </cell>
          <cell r="Q168">
            <v>0</v>
          </cell>
          <cell r="R168">
            <v>0</v>
          </cell>
          <cell r="S168">
            <v>0</v>
          </cell>
          <cell r="T168">
            <v>0</v>
          </cell>
          <cell r="U168">
            <v>0</v>
          </cell>
          <cell r="V168">
            <v>0</v>
          </cell>
          <cell r="W168">
            <v>0</v>
          </cell>
          <cell r="X168" t="str">
            <v>④</v>
          </cell>
          <cell r="Y168" t="str">
            <v/>
          </cell>
          <cell r="Z168" t="str">
            <v/>
          </cell>
          <cell r="AA168" t="str">
            <v/>
          </cell>
          <cell r="AB168" t="str">
            <v/>
          </cell>
          <cell r="AC168" t="str">
            <v/>
          </cell>
          <cell r="AD168" t="str">
            <v/>
          </cell>
          <cell r="AF168" t="str">
            <v/>
          </cell>
          <cell r="AG168" t="str">
            <v/>
          </cell>
          <cell r="AH168" t="str">
            <v/>
          </cell>
          <cell r="AI168" t="str">
            <v/>
          </cell>
        </row>
        <row r="169">
          <cell r="B169">
            <v>1001</v>
          </cell>
          <cell r="C169">
            <v>10</v>
          </cell>
          <cell r="D169">
            <v>1</v>
          </cell>
          <cell r="F169" t="str">
            <v>北見</v>
          </cell>
          <cell r="G169" t="str">
            <v>機械式駐車場設備保守</v>
          </cell>
          <cell r="H169" t="str">
            <v>石川島運搬機械</v>
          </cell>
          <cell r="I169">
            <v>72353</v>
          </cell>
          <cell r="J169">
            <v>73800</v>
          </cell>
          <cell r="K169">
            <v>12</v>
          </cell>
          <cell r="L169">
            <v>73800</v>
          </cell>
          <cell r="M169">
            <v>73800</v>
          </cell>
          <cell r="N169">
            <v>73800</v>
          </cell>
          <cell r="O169">
            <v>73800</v>
          </cell>
          <cell r="P169">
            <v>73800</v>
          </cell>
          <cell r="Q169">
            <v>73800</v>
          </cell>
          <cell r="R169">
            <v>73800</v>
          </cell>
          <cell r="S169">
            <v>73800</v>
          </cell>
          <cell r="T169">
            <v>73800</v>
          </cell>
          <cell r="U169">
            <v>73800</v>
          </cell>
          <cell r="V169">
            <v>73800</v>
          </cell>
          <cell r="W169">
            <v>73800</v>
          </cell>
          <cell r="X169" t="str">
            <v>④</v>
          </cell>
          <cell r="Y169" t="str">
            <v>⑤</v>
          </cell>
          <cell r="Z169" t="str">
            <v>⑥</v>
          </cell>
          <cell r="AA169" t="str">
            <v>⑦</v>
          </cell>
          <cell r="AB169" t="str">
            <v>⑧</v>
          </cell>
          <cell r="AC169" t="str">
            <v>⑨</v>
          </cell>
          <cell r="AD169" t="str">
            <v>⑩</v>
          </cell>
          <cell r="AE169" t="str">
            <v>⑪</v>
          </cell>
          <cell r="AF169" t="str">
            <v>⑫</v>
          </cell>
          <cell r="AG169" t="str">
            <v>①</v>
          </cell>
          <cell r="AH169" t="str">
            <v>②</v>
          </cell>
          <cell r="AI169" t="str">
            <v>③</v>
          </cell>
        </row>
        <row r="170">
          <cell r="B170">
            <v>1002</v>
          </cell>
          <cell r="C170">
            <v>10</v>
          </cell>
          <cell r="D170">
            <v>2</v>
          </cell>
          <cell r="F170" t="str">
            <v>北見</v>
          </cell>
          <cell r="G170" t="str">
            <v>エレベーター保守</v>
          </cell>
          <cell r="H170" t="str">
            <v>三菱電機ﾋﾞﾙﾃｸﾉｻｰﾋﾞｽ</v>
          </cell>
          <cell r="I170">
            <v>67300</v>
          </cell>
          <cell r="J170">
            <v>68646</v>
          </cell>
          <cell r="K170">
            <v>12</v>
          </cell>
          <cell r="L170">
            <v>68646</v>
          </cell>
          <cell r="M170">
            <v>68646</v>
          </cell>
          <cell r="N170">
            <v>68646</v>
          </cell>
          <cell r="O170">
            <v>68646</v>
          </cell>
          <cell r="P170">
            <v>68646</v>
          </cell>
          <cell r="Q170">
            <v>68646</v>
          </cell>
          <cell r="R170">
            <v>68646</v>
          </cell>
          <cell r="S170">
            <v>68646</v>
          </cell>
          <cell r="T170">
            <v>68646</v>
          </cell>
          <cell r="U170">
            <v>68646</v>
          </cell>
          <cell r="V170">
            <v>68646</v>
          </cell>
          <cell r="W170">
            <v>68646</v>
          </cell>
          <cell r="X170" t="str">
            <v>④</v>
          </cell>
          <cell r="Y170" t="str">
            <v>⑤</v>
          </cell>
          <cell r="Z170" t="str">
            <v>⑥</v>
          </cell>
          <cell r="AA170" t="str">
            <v>⑦</v>
          </cell>
          <cell r="AB170" t="str">
            <v>⑧</v>
          </cell>
          <cell r="AC170" t="str">
            <v>⑨</v>
          </cell>
          <cell r="AD170" t="str">
            <v>⑩</v>
          </cell>
          <cell r="AE170" t="str">
            <v>⑪</v>
          </cell>
          <cell r="AF170" t="str">
            <v>⑫</v>
          </cell>
          <cell r="AG170" t="str">
            <v>①</v>
          </cell>
          <cell r="AH170" t="str">
            <v>②</v>
          </cell>
          <cell r="AI170" t="str">
            <v>③</v>
          </cell>
        </row>
        <row r="171">
          <cell r="B171">
            <v>1003</v>
          </cell>
          <cell r="C171">
            <v>10</v>
          </cell>
          <cell r="D171">
            <v>3</v>
          </cell>
          <cell r="F171" t="str">
            <v>北見</v>
          </cell>
          <cell r="G171" t="str">
            <v>消防設備点検保守料</v>
          </cell>
          <cell r="H171" t="str">
            <v>ホーチキ</v>
          </cell>
          <cell r="I171">
            <v>60000</v>
          </cell>
          <cell r="J171">
            <v>61200</v>
          </cell>
          <cell r="K171">
            <v>1</v>
          </cell>
          <cell r="L171">
            <v>61200</v>
          </cell>
          <cell r="M171">
            <v>0</v>
          </cell>
          <cell r="N171">
            <v>0</v>
          </cell>
          <cell r="O171">
            <v>0</v>
          </cell>
          <cell r="P171">
            <v>0</v>
          </cell>
          <cell r="Q171">
            <v>0</v>
          </cell>
          <cell r="R171">
            <v>0</v>
          </cell>
          <cell r="S171">
            <v>0</v>
          </cell>
          <cell r="T171">
            <v>0</v>
          </cell>
          <cell r="U171">
            <v>0</v>
          </cell>
          <cell r="V171">
            <v>0</v>
          </cell>
          <cell r="W171">
            <v>0</v>
          </cell>
          <cell r="X171" t="str">
            <v>④</v>
          </cell>
          <cell r="Y171" t="str">
            <v/>
          </cell>
          <cell r="Z171" t="str">
            <v/>
          </cell>
          <cell r="AA171" t="str">
            <v/>
          </cell>
          <cell r="AB171" t="str">
            <v/>
          </cell>
          <cell r="AC171" t="str">
            <v/>
          </cell>
          <cell r="AD171" t="str">
            <v/>
          </cell>
          <cell r="AF171" t="str">
            <v/>
          </cell>
          <cell r="AG171" t="str">
            <v/>
          </cell>
          <cell r="AH171" t="str">
            <v/>
          </cell>
          <cell r="AI171" t="str">
            <v/>
          </cell>
        </row>
        <row r="172">
          <cell r="B172">
            <v>1004</v>
          </cell>
          <cell r="C172">
            <v>10</v>
          </cell>
          <cell r="D172">
            <v>4</v>
          </cell>
          <cell r="F172" t="str">
            <v>北見</v>
          </cell>
          <cell r="G172" t="str">
            <v>消防設備点検保守料</v>
          </cell>
          <cell r="H172" t="str">
            <v>ホーチキ</v>
          </cell>
          <cell r="I172">
            <v>153000</v>
          </cell>
          <cell r="J172">
            <v>156060</v>
          </cell>
          <cell r="K172">
            <v>1</v>
          </cell>
          <cell r="L172">
            <v>0</v>
          </cell>
          <cell r="M172">
            <v>0</v>
          </cell>
          <cell r="N172">
            <v>0</v>
          </cell>
          <cell r="O172">
            <v>0</v>
          </cell>
          <cell r="P172">
            <v>0</v>
          </cell>
          <cell r="Q172">
            <v>0</v>
          </cell>
          <cell r="R172">
            <v>156060</v>
          </cell>
          <cell r="S172">
            <v>0</v>
          </cell>
          <cell r="T172">
            <v>0</v>
          </cell>
          <cell r="U172">
            <v>0</v>
          </cell>
          <cell r="V172">
            <v>0</v>
          </cell>
          <cell r="W172">
            <v>0</v>
          </cell>
          <cell r="X172" t="str">
            <v/>
          </cell>
          <cell r="Y172" t="str">
            <v/>
          </cell>
          <cell r="Z172" t="str">
            <v/>
          </cell>
          <cell r="AA172" t="str">
            <v/>
          </cell>
          <cell r="AB172" t="str">
            <v/>
          </cell>
          <cell r="AC172" t="str">
            <v/>
          </cell>
          <cell r="AD172" t="str">
            <v>⑩</v>
          </cell>
          <cell r="AF172" t="str">
            <v/>
          </cell>
          <cell r="AG172" t="str">
            <v/>
          </cell>
          <cell r="AH172" t="str">
            <v/>
          </cell>
          <cell r="AI172" t="str">
            <v/>
          </cell>
        </row>
        <row r="173">
          <cell r="B173">
            <v>1101</v>
          </cell>
          <cell r="C173">
            <v>11</v>
          </cell>
          <cell r="D173">
            <v>1</v>
          </cell>
          <cell r="F173" t="str">
            <v>青森</v>
          </cell>
          <cell r="G173" t="str">
            <v>立体駐車場設備保守</v>
          </cell>
          <cell r="H173" t="str">
            <v>三菱重工ﾊﾟｰｷﾝｸﾞ建設</v>
          </cell>
          <cell r="I173">
            <v>204000</v>
          </cell>
          <cell r="J173">
            <v>208080</v>
          </cell>
          <cell r="K173">
            <v>12</v>
          </cell>
          <cell r="L173">
            <v>208080</v>
          </cell>
          <cell r="M173">
            <v>208080</v>
          </cell>
          <cell r="N173">
            <v>208080</v>
          </cell>
          <cell r="O173">
            <v>208080</v>
          </cell>
          <cell r="P173">
            <v>208080</v>
          </cell>
          <cell r="Q173">
            <v>208080</v>
          </cell>
          <cell r="R173">
            <v>208080</v>
          </cell>
          <cell r="S173">
            <v>208080</v>
          </cell>
          <cell r="T173">
            <v>208080</v>
          </cell>
          <cell r="U173">
            <v>208080</v>
          </cell>
          <cell r="V173">
            <v>208080</v>
          </cell>
          <cell r="W173">
            <v>208080</v>
          </cell>
          <cell r="X173" t="str">
            <v>④</v>
          </cell>
          <cell r="Y173" t="str">
            <v>⑤</v>
          </cell>
          <cell r="Z173" t="str">
            <v>⑥</v>
          </cell>
          <cell r="AA173" t="str">
            <v>⑦</v>
          </cell>
          <cell r="AB173" t="str">
            <v>⑧</v>
          </cell>
          <cell r="AC173" t="str">
            <v>⑨</v>
          </cell>
          <cell r="AD173" t="str">
            <v>⑩</v>
          </cell>
          <cell r="AE173" t="str">
            <v>⑪</v>
          </cell>
          <cell r="AF173" t="str">
            <v>⑫</v>
          </cell>
          <cell r="AG173" t="str">
            <v>①</v>
          </cell>
          <cell r="AH173" t="str">
            <v>②</v>
          </cell>
          <cell r="AI173" t="str">
            <v>③</v>
          </cell>
        </row>
        <row r="174">
          <cell r="B174">
            <v>1102</v>
          </cell>
          <cell r="C174">
            <v>11</v>
          </cell>
          <cell r="D174">
            <v>2</v>
          </cell>
          <cell r="F174" t="str">
            <v>青森</v>
          </cell>
          <cell r="G174" t="str">
            <v>エレベーター保守</v>
          </cell>
          <cell r="H174" t="str">
            <v>三菱電機ﾋﾞﾙﾃｸﾉｻｰﾋﾞｽ</v>
          </cell>
          <cell r="I174">
            <v>141900</v>
          </cell>
          <cell r="J174">
            <v>144738</v>
          </cell>
          <cell r="K174">
            <v>12</v>
          </cell>
          <cell r="L174">
            <v>144738</v>
          </cell>
          <cell r="M174">
            <v>144738</v>
          </cell>
          <cell r="N174">
            <v>144738</v>
          </cell>
          <cell r="O174">
            <v>144738</v>
          </cell>
          <cell r="P174">
            <v>144738</v>
          </cell>
          <cell r="Q174">
            <v>144738</v>
          </cell>
          <cell r="R174">
            <v>144738</v>
          </cell>
          <cell r="S174">
            <v>144738</v>
          </cell>
          <cell r="T174">
            <v>144738</v>
          </cell>
          <cell r="U174">
            <v>144738</v>
          </cell>
          <cell r="V174">
            <v>144738</v>
          </cell>
          <cell r="W174">
            <v>144738</v>
          </cell>
          <cell r="X174" t="str">
            <v>④</v>
          </cell>
          <cell r="Y174" t="str">
            <v>⑤</v>
          </cell>
          <cell r="Z174" t="str">
            <v>⑥</v>
          </cell>
          <cell r="AA174" t="str">
            <v>⑦</v>
          </cell>
          <cell r="AB174" t="str">
            <v>⑧</v>
          </cell>
          <cell r="AC174" t="str">
            <v>⑨</v>
          </cell>
          <cell r="AD174" t="str">
            <v>⑩</v>
          </cell>
          <cell r="AE174" t="str">
            <v>⑪</v>
          </cell>
          <cell r="AF174" t="str">
            <v>⑫</v>
          </cell>
          <cell r="AG174" t="str">
            <v>①</v>
          </cell>
          <cell r="AH174" t="str">
            <v>②</v>
          </cell>
          <cell r="AI174" t="str">
            <v>③</v>
          </cell>
        </row>
        <row r="175">
          <cell r="B175">
            <v>1103</v>
          </cell>
          <cell r="C175">
            <v>11</v>
          </cell>
          <cell r="D175">
            <v>3</v>
          </cell>
          <cell r="F175" t="str">
            <v>青森</v>
          </cell>
          <cell r="G175" t="str">
            <v>ゴンドラ設備保守</v>
          </cell>
          <cell r="H175" t="str">
            <v>三精輸送機</v>
          </cell>
          <cell r="I175">
            <v>51000</v>
          </cell>
          <cell r="J175">
            <v>52020</v>
          </cell>
          <cell r="K175">
            <v>4</v>
          </cell>
          <cell r="L175">
            <v>0</v>
          </cell>
          <cell r="M175">
            <v>52020</v>
          </cell>
          <cell r="N175">
            <v>0</v>
          </cell>
          <cell r="O175">
            <v>0</v>
          </cell>
          <cell r="P175">
            <v>52020</v>
          </cell>
          <cell r="Q175">
            <v>0</v>
          </cell>
          <cell r="R175">
            <v>0</v>
          </cell>
          <cell r="S175">
            <v>52020</v>
          </cell>
          <cell r="T175">
            <v>0</v>
          </cell>
          <cell r="U175">
            <v>0</v>
          </cell>
          <cell r="V175">
            <v>52020</v>
          </cell>
          <cell r="W175">
            <v>0</v>
          </cell>
          <cell r="X175" t="str">
            <v/>
          </cell>
          <cell r="Y175" t="str">
            <v>⑤</v>
          </cell>
          <cell r="Z175" t="str">
            <v/>
          </cell>
          <cell r="AA175" t="str">
            <v/>
          </cell>
          <cell r="AB175" t="str">
            <v>⑧</v>
          </cell>
          <cell r="AC175" t="str">
            <v/>
          </cell>
          <cell r="AD175" t="str">
            <v/>
          </cell>
          <cell r="AE175" t="str">
            <v>⑪</v>
          </cell>
          <cell r="AF175" t="str">
            <v/>
          </cell>
          <cell r="AG175" t="str">
            <v/>
          </cell>
          <cell r="AH175" t="str">
            <v>②</v>
          </cell>
          <cell r="AI175" t="str">
            <v/>
          </cell>
        </row>
        <row r="176">
          <cell r="B176">
            <v>1104</v>
          </cell>
          <cell r="C176">
            <v>11</v>
          </cell>
          <cell r="D176">
            <v>4</v>
          </cell>
          <cell r="F176" t="str">
            <v>青森</v>
          </cell>
          <cell r="G176" t="str">
            <v>消防設備点検保守料(外観)</v>
          </cell>
          <cell r="H176" t="str">
            <v>青森ホーチキ</v>
          </cell>
          <cell r="I176">
            <v>45000</v>
          </cell>
          <cell r="J176">
            <v>45900</v>
          </cell>
          <cell r="K176">
            <v>1</v>
          </cell>
          <cell r="L176">
            <v>0</v>
          </cell>
          <cell r="M176">
            <v>0</v>
          </cell>
          <cell r="N176">
            <v>0</v>
          </cell>
          <cell r="O176">
            <v>0</v>
          </cell>
          <cell r="P176">
            <v>0</v>
          </cell>
          <cell r="Q176">
            <v>0</v>
          </cell>
          <cell r="R176">
            <v>0</v>
          </cell>
          <cell r="S176">
            <v>45900</v>
          </cell>
          <cell r="T176">
            <v>0</v>
          </cell>
          <cell r="U176">
            <v>0</v>
          </cell>
          <cell r="V176">
            <v>0</v>
          </cell>
          <cell r="W176">
            <v>0</v>
          </cell>
          <cell r="X176" t="str">
            <v/>
          </cell>
          <cell r="Y176" t="str">
            <v/>
          </cell>
          <cell r="Z176" t="str">
            <v/>
          </cell>
          <cell r="AA176" t="str">
            <v/>
          </cell>
          <cell r="AB176" t="str">
            <v/>
          </cell>
          <cell r="AC176" t="str">
            <v/>
          </cell>
          <cell r="AD176" t="str">
            <v/>
          </cell>
          <cell r="AE176" t="str">
            <v>⑪</v>
          </cell>
          <cell r="AF176" t="str">
            <v/>
          </cell>
          <cell r="AG176" t="str">
            <v/>
          </cell>
          <cell r="AH176" t="str">
            <v/>
          </cell>
          <cell r="AI176" t="str">
            <v/>
          </cell>
        </row>
        <row r="177">
          <cell r="B177">
            <v>1105</v>
          </cell>
          <cell r="C177">
            <v>11</v>
          </cell>
          <cell r="D177">
            <v>5</v>
          </cell>
          <cell r="F177" t="str">
            <v>青森</v>
          </cell>
          <cell r="G177" t="str">
            <v>消防設備点検保守料(総合)</v>
          </cell>
          <cell r="H177" t="str">
            <v>青森ホーチキ</v>
          </cell>
          <cell r="I177">
            <v>225000</v>
          </cell>
          <cell r="J177">
            <v>229500</v>
          </cell>
          <cell r="K177">
            <v>1</v>
          </cell>
          <cell r="L177">
            <v>0</v>
          </cell>
          <cell r="M177">
            <v>229500</v>
          </cell>
          <cell r="N177">
            <v>0</v>
          </cell>
          <cell r="O177">
            <v>0</v>
          </cell>
          <cell r="P177">
            <v>0</v>
          </cell>
          <cell r="Q177">
            <v>0</v>
          </cell>
          <cell r="R177">
            <v>0</v>
          </cell>
          <cell r="S177">
            <v>0</v>
          </cell>
          <cell r="T177">
            <v>0</v>
          </cell>
          <cell r="U177">
            <v>0</v>
          </cell>
          <cell r="V177">
            <v>0</v>
          </cell>
          <cell r="W177">
            <v>0</v>
          </cell>
          <cell r="X177" t="str">
            <v/>
          </cell>
          <cell r="Y177" t="str">
            <v>⑤</v>
          </cell>
          <cell r="Z177" t="str">
            <v/>
          </cell>
          <cell r="AA177" t="str">
            <v/>
          </cell>
          <cell r="AB177" t="str">
            <v/>
          </cell>
          <cell r="AC177" t="str">
            <v/>
          </cell>
          <cell r="AD177" t="str">
            <v/>
          </cell>
          <cell r="AE177" t="str">
            <v/>
          </cell>
          <cell r="AF177" t="str">
            <v/>
          </cell>
          <cell r="AG177" t="str">
            <v/>
          </cell>
          <cell r="AH177" t="str">
            <v/>
          </cell>
          <cell r="AI177" t="str">
            <v/>
          </cell>
        </row>
        <row r="178">
          <cell r="B178">
            <v>1106</v>
          </cell>
          <cell r="C178">
            <v>11</v>
          </cell>
          <cell r="D178">
            <v>6</v>
          </cell>
          <cell r="F178" t="str">
            <v>青森</v>
          </cell>
          <cell r="G178" t="str">
            <v>ﾊﾛｹﾞﾝ化物設備保守(総合)</v>
          </cell>
          <cell r="H178" t="str">
            <v>能美防災</v>
          </cell>
          <cell r="I178">
            <v>137500</v>
          </cell>
          <cell r="J178">
            <v>140250</v>
          </cell>
          <cell r="K178">
            <v>1</v>
          </cell>
          <cell r="L178">
            <v>0</v>
          </cell>
          <cell r="M178">
            <v>0</v>
          </cell>
          <cell r="N178">
            <v>0</v>
          </cell>
          <cell r="O178">
            <v>0</v>
          </cell>
          <cell r="P178">
            <v>140250</v>
          </cell>
          <cell r="Q178">
            <v>0</v>
          </cell>
          <cell r="R178">
            <v>0</v>
          </cell>
          <cell r="S178">
            <v>0</v>
          </cell>
          <cell r="T178">
            <v>0</v>
          </cell>
          <cell r="U178">
            <v>0</v>
          </cell>
          <cell r="V178">
            <v>0</v>
          </cell>
          <cell r="W178">
            <v>0</v>
          </cell>
          <cell r="X178" t="str">
            <v/>
          </cell>
          <cell r="Y178" t="str">
            <v/>
          </cell>
          <cell r="Z178" t="str">
            <v/>
          </cell>
          <cell r="AA178" t="str">
            <v/>
          </cell>
          <cell r="AB178" t="str">
            <v>⑧</v>
          </cell>
          <cell r="AC178" t="str">
            <v/>
          </cell>
          <cell r="AD178" t="str">
            <v/>
          </cell>
          <cell r="AE178" t="str">
            <v/>
          </cell>
          <cell r="AF178" t="str">
            <v/>
          </cell>
          <cell r="AG178" t="str">
            <v/>
          </cell>
          <cell r="AH178" t="str">
            <v/>
          </cell>
          <cell r="AI178" t="str">
            <v/>
          </cell>
        </row>
        <row r="179">
          <cell r="B179">
            <v>1107</v>
          </cell>
          <cell r="C179">
            <v>11</v>
          </cell>
          <cell r="D179">
            <v>7</v>
          </cell>
          <cell r="F179" t="str">
            <v>青森</v>
          </cell>
          <cell r="G179" t="str">
            <v>ﾊﾛｹﾞﾝ化物設備保守(外観)</v>
          </cell>
          <cell r="H179" t="str">
            <v>能美防災</v>
          </cell>
          <cell r="I179">
            <v>62500</v>
          </cell>
          <cell r="J179">
            <v>63750</v>
          </cell>
          <cell r="K179">
            <v>1</v>
          </cell>
          <cell r="L179">
            <v>0</v>
          </cell>
          <cell r="M179">
            <v>0</v>
          </cell>
          <cell r="N179">
            <v>0</v>
          </cell>
          <cell r="O179">
            <v>0</v>
          </cell>
          <cell r="P179">
            <v>0</v>
          </cell>
          <cell r="Q179">
            <v>0</v>
          </cell>
          <cell r="R179">
            <v>0</v>
          </cell>
          <cell r="S179">
            <v>0</v>
          </cell>
          <cell r="T179">
            <v>0</v>
          </cell>
          <cell r="U179">
            <v>0</v>
          </cell>
          <cell r="V179">
            <v>63750</v>
          </cell>
          <cell r="W179">
            <v>0</v>
          </cell>
          <cell r="X179" t="str">
            <v/>
          </cell>
          <cell r="Y179" t="str">
            <v/>
          </cell>
          <cell r="Z179" t="str">
            <v/>
          </cell>
          <cell r="AA179" t="str">
            <v/>
          </cell>
          <cell r="AB179" t="str">
            <v/>
          </cell>
          <cell r="AC179" t="str">
            <v/>
          </cell>
          <cell r="AD179" t="str">
            <v/>
          </cell>
          <cell r="AE179" t="str">
            <v/>
          </cell>
          <cell r="AF179" t="str">
            <v/>
          </cell>
          <cell r="AG179" t="str">
            <v/>
          </cell>
          <cell r="AH179" t="str">
            <v>②</v>
          </cell>
          <cell r="AI179" t="str">
            <v/>
          </cell>
        </row>
        <row r="180">
          <cell r="B180">
            <v>1108</v>
          </cell>
          <cell r="C180">
            <v>11</v>
          </cell>
          <cell r="D180">
            <v>8</v>
          </cell>
          <cell r="F180" t="str">
            <v>青森</v>
          </cell>
          <cell r="G180" t="str">
            <v>消防設備点検保守</v>
          </cell>
          <cell r="H180" t="str">
            <v>東洋建物管理</v>
          </cell>
          <cell r="I180">
            <v>75000</v>
          </cell>
          <cell r="J180">
            <v>76500</v>
          </cell>
          <cell r="K180">
            <v>1</v>
          </cell>
          <cell r="L180">
            <v>0</v>
          </cell>
          <cell r="M180">
            <v>0</v>
          </cell>
          <cell r="N180">
            <v>76500</v>
          </cell>
          <cell r="O180">
            <v>0</v>
          </cell>
          <cell r="P180">
            <v>0</v>
          </cell>
          <cell r="Q180">
            <v>0</v>
          </cell>
          <cell r="R180">
            <v>0</v>
          </cell>
          <cell r="S180">
            <v>0</v>
          </cell>
          <cell r="T180">
            <v>0</v>
          </cell>
          <cell r="U180">
            <v>0</v>
          </cell>
          <cell r="V180">
            <v>0</v>
          </cell>
          <cell r="W180">
            <v>0</v>
          </cell>
          <cell r="X180" t="str">
            <v/>
          </cell>
          <cell r="Y180" t="str">
            <v/>
          </cell>
          <cell r="Z180" t="str">
            <v>⑥</v>
          </cell>
          <cell r="AA180" t="str">
            <v/>
          </cell>
          <cell r="AB180" t="str">
            <v/>
          </cell>
          <cell r="AC180" t="str">
            <v/>
          </cell>
          <cell r="AD180" t="str">
            <v/>
          </cell>
          <cell r="AE180" t="str">
            <v/>
          </cell>
          <cell r="AF180" t="str">
            <v/>
          </cell>
          <cell r="AG180" t="str">
            <v/>
          </cell>
          <cell r="AH180" t="str">
            <v/>
          </cell>
          <cell r="AI180" t="str">
            <v/>
          </cell>
        </row>
        <row r="181">
          <cell r="B181">
            <v>1109</v>
          </cell>
          <cell r="C181">
            <v>11</v>
          </cell>
          <cell r="D181">
            <v>9</v>
          </cell>
          <cell r="F181" t="str">
            <v>青森</v>
          </cell>
          <cell r="G181" t="str">
            <v>消防設備保守(消火器など)</v>
          </cell>
          <cell r="H181" t="str">
            <v>東洋建物管理</v>
          </cell>
          <cell r="I181">
            <v>63000</v>
          </cell>
          <cell r="J181">
            <v>64260</v>
          </cell>
          <cell r="K181">
            <v>1</v>
          </cell>
          <cell r="L181">
            <v>0</v>
          </cell>
          <cell r="M181">
            <v>0</v>
          </cell>
          <cell r="N181">
            <v>0</v>
          </cell>
          <cell r="O181">
            <v>0</v>
          </cell>
          <cell r="P181">
            <v>0</v>
          </cell>
          <cell r="Q181">
            <v>0</v>
          </cell>
          <cell r="R181">
            <v>0</v>
          </cell>
          <cell r="S181">
            <v>0</v>
          </cell>
          <cell r="T181">
            <v>0</v>
          </cell>
          <cell r="U181">
            <v>64260</v>
          </cell>
          <cell r="V181">
            <v>0</v>
          </cell>
          <cell r="W181">
            <v>0</v>
          </cell>
          <cell r="X181" t="str">
            <v/>
          </cell>
          <cell r="Y181" t="str">
            <v/>
          </cell>
          <cell r="Z181" t="str">
            <v/>
          </cell>
          <cell r="AA181" t="str">
            <v/>
          </cell>
          <cell r="AB181" t="str">
            <v/>
          </cell>
          <cell r="AC181" t="str">
            <v/>
          </cell>
          <cell r="AD181" t="str">
            <v/>
          </cell>
          <cell r="AE181" t="str">
            <v/>
          </cell>
          <cell r="AF181" t="str">
            <v/>
          </cell>
          <cell r="AG181" t="str">
            <v>①</v>
          </cell>
          <cell r="AH181" t="str">
            <v/>
          </cell>
          <cell r="AI181" t="str">
            <v/>
          </cell>
        </row>
        <row r="182">
          <cell r="B182">
            <v>1110</v>
          </cell>
          <cell r="C182">
            <v>11</v>
          </cell>
          <cell r="D182">
            <v>10</v>
          </cell>
          <cell r="F182" t="str">
            <v>青森</v>
          </cell>
          <cell r="G182" t="str">
            <v>非常放送設備保守</v>
          </cell>
          <cell r="H182" t="str">
            <v>北東北松下システム</v>
          </cell>
          <cell r="I182">
            <v>30000</v>
          </cell>
          <cell r="J182">
            <v>30600</v>
          </cell>
          <cell r="K182">
            <v>2</v>
          </cell>
          <cell r="L182">
            <v>0</v>
          </cell>
          <cell r="M182">
            <v>0</v>
          </cell>
          <cell r="N182">
            <v>0</v>
          </cell>
          <cell r="O182">
            <v>30600</v>
          </cell>
          <cell r="P182">
            <v>0</v>
          </cell>
          <cell r="Q182">
            <v>0</v>
          </cell>
          <cell r="R182">
            <v>0</v>
          </cell>
          <cell r="S182">
            <v>0</v>
          </cell>
          <cell r="T182">
            <v>0</v>
          </cell>
          <cell r="U182">
            <v>30600</v>
          </cell>
          <cell r="V182">
            <v>0</v>
          </cell>
          <cell r="W182">
            <v>0</v>
          </cell>
          <cell r="X182" t="str">
            <v/>
          </cell>
          <cell r="Y182" t="str">
            <v/>
          </cell>
          <cell r="Z182" t="str">
            <v/>
          </cell>
          <cell r="AA182" t="str">
            <v>⑦</v>
          </cell>
          <cell r="AB182" t="str">
            <v/>
          </cell>
          <cell r="AC182" t="str">
            <v/>
          </cell>
          <cell r="AD182" t="str">
            <v/>
          </cell>
          <cell r="AE182" t="str">
            <v/>
          </cell>
          <cell r="AF182" t="str">
            <v/>
          </cell>
          <cell r="AG182" t="str">
            <v>①</v>
          </cell>
          <cell r="AH182" t="str">
            <v/>
          </cell>
          <cell r="AI182" t="str">
            <v/>
          </cell>
        </row>
        <row r="183">
          <cell r="B183">
            <v>1111</v>
          </cell>
          <cell r="C183">
            <v>11</v>
          </cell>
          <cell r="D183">
            <v>11</v>
          </cell>
          <cell r="F183" t="str">
            <v>青森</v>
          </cell>
          <cell r="G183" t="str">
            <v>非常発電機設備保守</v>
          </cell>
          <cell r="H183" t="str">
            <v>三菱電機機器販売</v>
          </cell>
          <cell r="I183">
            <v>75000</v>
          </cell>
          <cell r="J183">
            <v>76500</v>
          </cell>
          <cell r="K183">
            <v>2</v>
          </cell>
          <cell r="L183">
            <v>0</v>
          </cell>
          <cell r="M183">
            <v>0</v>
          </cell>
          <cell r="N183">
            <v>0</v>
          </cell>
          <cell r="O183">
            <v>0</v>
          </cell>
          <cell r="P183">
            <v>0</v>
          </cell>
          <cell r="Q183">
            <v>76500</v>
          </cell>
          <cell r="R183">
            <v>0</v>
          </cell>
          <cell r="S183">
            <v>0</v>
          </cell>
          <cell r="T183">
            <v>0</v>
          </cell>
          <cell r="U183">
            <v>0</v>
          </cell>
          <cell r="V183">
            <v>0</v>
          </cell>
          <cell r="W183">
            <v>76500</v>
          </cell>
          <cell r="X183" t="str">
            <v/>
          </cell>
          <cell r="Y183" t="str">
            <v/>
          </cell>
          <cell r="Z183" t="str">
            <v/>
          </cell>
          <cell r="AA183" t="str">
            <v/>
          </cell>
          <cell r="AB183" t="str">
            <v/>
          </cell>
          <cell r="AC183" t="str">
            <v>⑨</v>
          </cell>
          <cell r="AD183" t="str">
            <v/>
          </cell>
          <cell r="AE183" t="str">
            <v/>
          </cell>
          <cell r="AF183" t="str">
            <v/>
          </cell>
          <cell r="AG183" t="str">
            <v/>
          </cell>
          <cell r="AH183" t="str">
            <v/>
          </cell>
          <cell r="AI183" t="str">
            <v>③</v>
          </cell>
        </row>
        <row r="184">
          <cell r="B184">
            <v>1112</v>
          </cell>
          <cell r="C184">
            <v>11</v>
          </cell>
          <cell r="D184">
            <v>12</v>
          </cell>
          <cell r="F184" t="str">
            <v>青森</v>
          </cell>
          <cell r="G184" t="str">
            <v>害虫駆除</v>
          </cell>
          <cell r="H184" t="str">
            <v>エヌエス環境</v>
          </cell>
          <cell r="I184">
            <v>127500</v>
          </cell>
          <cell r="J184">
            <v>140250</v>
          </cell>
          <cell r="K184">
            <v>2</v>
          </cell>
          <cell r="L184">
            <v>0</v>
          </cell>
          <cell r="M184">
            <v>0</v>
          </cell>
          <cell r="N184">
            <v>0</v>
          </cell>
          <cell r="O184">
            <v>140250</v>
          </cell>
          <cell r="P184">
            <v>0</v>
          </cell>
          <cell r="Q184">
            <v>0</v>
          </cell>
          <cell r="R184">
            <v>0</v>
          </cell>
          <cell r="S184">
            <v>0</v>
          </cell>
          <cell r="T184">
            <v>0</v>
          </cell>
          <cell r="U184">
            <v>140250</v>
          </cell>
          <cell r="V184">
            <v>0</v>
          </cell>
          <cell r="W184">
            <v>0</v>
          </cell>
          <cell r="X184" t="str">
            <v/>
          </cell>
          <cell r="Y184" t="str">
            <v/>
          </cell>
          <cell r="Z184" t="str">
            <v/>
          </cell>
          <cell r="AA184" t="str">
            <v>⑦</v>
          </cell>
          <cell r="AB184" t="str">
            <v/>
          </cell>
          <cell r="AC184" t="str">
            <v/>
          </cell>
          <cell r="AD184" t="str">
            <v/>
          </cell>
          <cell r="AE184" t="str">
            <v/>
          </cell>
          <cell r="AF184" t="str">
            <v/>
          </cell>
          <cell r="AG184" t="str">
            <v>①</v>
          </cell>
          <cell r="AH184" t="str">
            <v/>
          </cell>
          <cell r="AI184" t="str">
            <v/>
          </cell>
        </row>
        <row r="185">
          <cell r="B185">
            <v>1113</v>
          </cell>
          <cell r="C185">
            <v>11</v>
          </cell>
          <cell r="D185">
            <v>13</v>
          </cell>
          <cell r="F185" t="str">
            <v>青森</v>
          </cell>
          <cell r="G185" t="str">
            <v>汚水･湧水･雑排水槽清掃</v>
          </cell>
          <cell r="H185" t="str">
            <v>東洋建物管理</v>
          </cell>
          <cell r="I185">
            <v>105500</v>
          </cell>
          <cell r="J185">
            <v>118160</v>
          </cell>
          <cell r="K185">
            <v>2</v>
          </cell>
          <cell r="L185">
            <v>0</v>
          </cell>
          <cell r="M185">
            <v>0</v>
          </cell>
          <cell r="N185">
            <v>118160</v>
          </cell>
          <cell r="O185">
            <v>0</v>
          </cell>
          <cell r="P185">
            <v>0</v>
          </cell>
          <cell r="Q185">
            <v>0</v>
          </cell>
          <cell r="R185">
            <v>0</v>
          </cell>
          <cell r="S185">
            <v>0</v>
          </cell>
          <cell r="T185">
            <v>118160</v>
          </cell>
          <cell r="U185">
            <v>0</v>
          </cell>
          <cell r="V185">
            <v>0</v>
          </cell>
          <cell r="W185">
            <v>0</v>
          </cell>
          <cell r="X185" t="str">
            <v/>
          </cell>
          <cell r="Y185" t="str">
            <v/>
          </cell>
          <cell r="Z185" t="str">
            <v>⑥</v>
          </cell>
          <cell r="AA185" t="str">
            <v/>
          </cell>
          <cell r="AB185" t="str">
            <v/>
          </cell>
          <cell r="AC185" t="str">
            <v/>
          </cell>
          <cell r="AD185" t="str">
            <v/>
          </cell>
          <cell r="AE185" t="str">
            <v/>
          </cell>
          <cell r="AF185" t="str">
            <v>⑫</v>
          </cell>
          <cell r="AG185" t="str">
            <v/>
          </cell>
          <cell r="AH185" t="str">
            <v/>
          </cell>
          <cell r="AI185" t="str">
            <v/>
          </cell>
        </row>
        <row r="186">
          <cell r="B186">
            <v>1114</v>
          </cell>
          <cell r="C186">
            <v>11</v>
          </cell>
          <cell r="D186">
            <v>14</v>
          </cell>
          <cell r="F186" t="str">
            <v>青森</v>
          </cell>
          <cell r="G186" t="str">
            <v>受水槽清掃(含む高架水槽)</v>
          </cell>
          <cell r="H186" t="str">
            <v>東洋建物管理</v>
          </cell>
          <cell r="I186">
            <v>134000</v>
          </cell>
          <cell r="J186">
            <v>151420</v>
          </cell>
          <cell r="K186">
            <v>1</v>
          </cell>
          <cell r="L186">
            <v>0</v>
          </cell>
          <cell r="M186">
            <v>151420</v>
          </cell>
          <cell r="N186">
            <v>0</v>
          </cell>
          <cell r="O186">
            <v>0</v>
          </cell>
          <cell r="P186">
            <v>0</v>
          </cell>
          <cell r="Q186">
            <v>0</v>
          </cell>
          <cell r="R186">
            <v>0</v>
          </cell>
          <cell r="S186">
            <v>0</v>
          </cell>
          <cell r="T186">
            <v>0</v>
          </cell>
          <cell r="U186">
            <v>0</v>
          </cell>
          <cell r="V186">
            <v>0</v>
          </cell>
          <cell r="W186">
            <v>0</v>
          </cell>
          <cell r="X186" t="str">
            <v/>
          </cell>
          <cell r="Y186" t="str">
            <v>⑤</v>
          </cell>
          <cell r="Z186" t="str">
            <v/>
          </cell>
          <cell r="AA186" t="str">
            <v/>
          </cell>
          <cell r="AB186" t="str">
            <v/>
          </cell>
          <cell r="AC186" t="str">
            <v/>
          </cell>
          <cell r="AD186" t="str">
            <v/>
          </cell>
          <cell r="AE186" t="str">
            <v/>
          </cell>
          <cell r="AF186" t="str">
            <v/>
          </cell>
          <cell r="AG186" t="str">
            <v/>
          </cell>
          <cell r="AH186" t="str">
            <v/>
          </cell>
          <cell r="AI186" t="str">
            <v/>
          </cell>
        </row>
        <row r="187">
          <cell r="B187">
            <v>1115</v>
          </cell>
          <cell r="C187">
            <v>11</v>
          </cell>
          <cell r="D187">
            <v>15</v>
          </cell>
          <cell r="F187" t="str">
            <v>青森</v>
          </cell>
          <cell r="G187" t="str">
            <v>煤煙測定</v>
          </cell>
          <cell r="H187" t="str">
            <v>エヌエス環境</v>
          </cell>
          <cell r="I187">
            <v>92000</v>
          </cell>
          <cell r="J187">
            <v>105800</v>
          </cell>
          <cell r="K187">
            <v>1</v>
          </cell>
          <cell r="L187">
            <v>0</v>
          </cell>
          <cell r="M187">
            <v>0</v>
          </cell>
          <cell r="N187">
            <v>0</v>
          </cell>
          <cell r="O187">
            <v>0</v>
          </cell>
          <cell r="P187">
            <v>0</v>
          </cell>
          <cell r="Q187">
            <v>0</v>
          </cell>
          <cell r="R187">
            <v>0</v>
          </cell>
          <cell r="S187">
            <v>0</v>
          </cell>
          <cell r="T187">
            <v>0</v>
          </cell>
          <cell r="U187">
            <v>105800</v>
          </cell>
          <cell r="V187">
            <v>0</v>
          </cell>
          <cell r="W187">
            <v>0</v>
          </cell>
          <cell r="X187" t="str">
            <v/>
          </cell>
          <cell r="Y187" t="str">
            <v/>
          </cell>
          <cell r="Z187" t="str">
            <v/>
          </cell>
          <cell r="AA187" t="str">
            <v/>
          </cell>
          <cell r="AB187" t="str">
            <v/>
          </cell>
          <cell r="AC187" t="str">
            <v/>
          </cell>
          <cell r="AD187" t="str">
            <v/>
          </cell>
          <cell r="AE187" t="str">
            <v/>
          </cell>
          <cell r="AF187" t="str">
            <v/>
          </cell>
          <cell r="AG187" t="str">
            <v>①</v>
          </cell>
          <cell r="AH187" t="str">
            <v/>
          </cell>
          <cell r="AI187" t="str">
            <v/>
          </cell>
        </row>
        <row r="188">
          <cell r="B188">
            <v>1116</v>
          </cell>
          <cell r="C188">
            <v>11</v>
          </cell>
          <cell r="D188">
            <v>16</v>
          </cell>
          <cell r="F188" t="str">
            <v>青森</v>
          </cell>
          <cell r="G188" t="str">
            <v>オートドア設備保守</v>
          </cell>
          <cell r="H188" t="str">
            <v>東日本寺岡オートドア</v>
          </cell>
          <cell r="I188">
            <v>80000</v>
          </cell>
          <cell r="J188">
            <v>81600</v>
          </cell>
          <cell r="K188">
            <v>2</v>
          </cell>
          <cell r="L188">
            <v>0</v>
          </cell>
          <cell r="M188">
            <v>81600</v>
          </cell>
          <cell r="N188">
            <v>0</v>
          </cell>
          <cell r="O188">
            <v>0</v>
          </cell>
          <cell r="P188">
            <v>0</v>
          </cell>
          <cell r="Q188">
            <v>0</v>
          </cell>
          <cell r="R188">
            <v>0</v>
          </cell>
          <cell r="S188">
            <v>81600</v>
          </cell>
          <cell r="T188">
            <v>0</v>
          </cell>
          <cell r="U188">
            <v>0</v>
          </cell>
          <cell r="V188">
            <v>0</v>
          </cell>
          <cell r="W188">
            <v>0</v>
          </cell>
          <cell r="X188" t="str">
            <v/>
          </cell>
          <cell r="Y188" t="str">
            <v>⑤</v>
          </cell>
          <cell r="Z188" t="str">
            <v/>
          </cell>
          <cell r="AA188" t="str">
            <v/>
          </cell>
          <cell r="AB188" t="str">
            <v/>
          </cell>
          <cell r="AC188" t="str">
            <v/>
          </cell>
          <cell r="AD188" t="str">
            <v/>
          </cell>
          <cell r="AE188" t="str">
            <v>⑪</v>
          </cell>
          <cell r="AF188" t="str">
            <v/>
          </cell>
          <cell r="AG188" t="str">
            <v/>
          </cell>
          <cell r="AH188" t="str">
            <v/>
          </cell>
          <cell r="AI188" t="str">
            <v/>
          </cell>
        </row>
        <row r="189">
          <cell r="B189">
            <v>1117</v>
          </cell>
          <cell r="C189">
            <v>11</v>
          </cell>
          <cell r="D189">
            <v>17</v>
          </cell>
          <cell r="F189" t="str">
            <v>青森</v>
          </cell>
          <cell r="G189" t="str">
            <v>空調機設備保守</v>
          </cell>
          <cell r="H189" t="str">
            <v>三菱電機ﾋﾞﾙﾃｸﾉｻｰﾋﾞｽ</v>
          </cell>
          <cell r="I189">
            <v>162450</v>
          </cell>
          <cell r="J189">
            <v>165699</v>
          </cell>
          <cell r="K189">
            <v>2</v>
          </cell>
          <cell r="L189">
            <v>0</v>
          </cell>
          <cell r="M189">
            <v>0</v>
          </cell>
          <cell r="N189">
            <v>0</v>
          </cell>
          <cell r="O189">
            <v>165699</v>
          </cell>
          <cell r="P189">
            <v>0</v>
          </cell>
          <cell r="Q189">
            <v>0</v>
          </cell>
          <cell r="R189">
            <v>165699</v>
          </cell>
          <cell r="S189">
            <v>0</v>
          </cell>
          <cell r="T189">
            <v>0</v>
          </cell>
          <cell r="U189">
            <v>0</v>
          </cell>
          <cell r="V189">
            <v>0</v>
          </cell>
          <cell r="W189">
            <v>0</v>
          </cell>
          <cell r="X189" t="str">
            <v/>
          </cell>
          <cell r="Y189" t="str">
            <v/>
          </cell>
          <cell r="Z189" t="str">
            <v/>
          </cell>
          <cell r="AA189" t="str">
            <v>⑦</v>
          </cell>
          <cell r="AB189" t="str">
            <v/>
          </cell>
          <cell r="AC189" t="str">
            <v/>
          </cell>
          <cell r="AD189" t="str">
            <v>⑩</v>
          </cell>
          <cell r="AE189" t="str">
            <v/>
          </cell>
          <cell r="AF189" t="str">
            <v/>
          </cell>
          <cell r="AG189" t="str">
            <v/>
          </cell>
          <cell r="AH189" t="str">
            <v/>
          </cell>
          <cell r="AI189" t="str">
            <v/>
          </cell>
        </row>
        <row r="190">
          <cell r="B190">
            <v>1118</v>
          </cell>
          <cell r="C190">
            <v>11</v>
          </cell>
          <cell r="D190">
            <v>18</v>
          </cell>
          <cell r="F190" t="str">
            <v>青森</v>
          </cell>
          <cell r="G190" t="str">
            <v>全熱交換機点検整備</v>
          </cell>
          <cell r="H190" t="str">
            <v>高砂熱学工業</v>
          </cell>
          <cell r="I190">
            <v>200000</v>
          </cell>
          <cell r="J190">
            <v>230000</v>
          </cell>
          <cell r="K190">
            <v>1</v>
          </cell>
          <cell r="L190">
            <v>0</v>
          </cell>
          <cell r="M190">
            <v>0</v>
          </cell>
          <cell r="N190">
            <v>0</v>
          </cell>
          <cell r="O190">
            <v>0</v>
          </cell>
          <cell r="P190">
            <v>0</v>
          </cell>
          <cell r="Q190">
            <v>230000</v>
          </cell>
          <cell r="R190">
            <v>0</v>
          </cell>
          <cell r="S190">
            <v>0</v>
          </cell>
          <cell r="T190">
            <v>0</v>
          </cell>
          <cell r="U190">
            <v>0</v>
          </cell>
          <cell r="V190">
            <v>0</v>
          </cell>
          <cell r="W190">
            <v>0</v>
          </cell>
          <cell r="X190" t="str">
            <v/>
          </cell>
          <cell r="Y190" t="str">
            <v/>
          </cell>
          <cell r="Z190" t="str">
            <v/>
          </cell>
          <cell r="AA190" t="str">
            <v/>
          </cell>
          <cell r="AB190" t="str">
            <v/>
          </cell>
          <cell r="AC190" t="str">
            <v>⑨</v>
          </cell>
          <cell r="AD190" t="str">
            <v/>
          </cell>
          <cell r="AE190" t="str">
            <v/>
          </cell>
          <cell r="AF190" t="str">
            <v/>
          </cell>
          <cell r="AG190" t="str">
            <v/>
          </cell>
          <cell r="AH190" t="str">
            <v/>
          </cell>
          <cell r="AI190" t="str">
            <v/>
          </cell>
          <cell r="AJ190" t="str">
            <v>追</v>
          </cell>
        </row>
        <row r="191">
          <cell r="B191">
            <v>1119</v>
          </cell>
          <cell r="C191">
            <v>11</v>
          </cell>
          <cell r="D191">
            <v>19</v>
          </cell>
          <cell r="F191" t="str">
            <v>青森</v>
          </cell>
          <cell r="G191" t="str">
            <v>ボイラー点検整備</v>
          </cell>
          <cell r="H191" t="str">
            <v>高砂熱学工業</v>
          </cell>
          <cell r="I191">
            <v>270000</v>
          </cell>
          <cell r="J191">
            <v>310500</v>
          </cell>
          <cell r="K191">
            <v>1</v>
          </cell>
          <cell r="L191">
            <v>0</v>
          </cell>
          <cell r="M191">
            <v>0</v>
          </cell>
          <cell r="N191">
            <v>0</v>
          </cell>
          <cell r="O191">
            <v>310500</v>
          </cell>
          <cell r="P191">
            <v>0</v>
          </cell>
          <cell r="Q191">
            <v>0</v>
          </cell>
          <cell r="R191">
            <v>0</v>
          </cell>
          <cell r="S191">
            <v>0</v>
          </cell>
          <cell r="T191">
            <v>0</v>
          </cell>
          <cell r="U191">
            <v>0</v>
          </cell>
          <cell r="V191">
            <v>0</v>
          </cell>
          <cell r="W191">
            <v>0</v>
          </cell>
          <cell r="X191" t="str">
            <v/>
          </cell>
          <cell r="Y191" t="str">
            <v/>
          </cell>
          <cell r="Z191" t="str">
            <v/>
          </cell>
          <cell r="AA191" t="str">
            <v>⑦</v>
          </cell>
          <cell r="AB191" t="str">
            <v/>
          </cell>
          <cell r="AC191" t="str">
            <v/>
          </cell>
          <cell r="AD191" t="str">
            <v/>
          </cell>
          <cell r="AE191" t="str">
            <v/>
          </cell>
          <cell r="AF191" t="str">
            <v/>
          </cell>
          <cell r="AG191" t="str">
            <v/>
          </cell>
          <cell r="AH191" t="str">
            <v/>
          </cell>
          <cell r="AI191" t="str">
            <v/>
          </cell>
          <cell r="AJ191" t="str">
            <v>追</v>
          </cell>
        </row>
        <row r="192">
          <cell r="B192">
            <v>1120</v>
          </cell>
          <cell r="C192">
            <v>11</v>
          </cell>
          <cell r="D192">
            <v>20</v>
          </cell>
          <cell r="F192" t="str">
            <v>青森</v>
          </cell>
          <cell r="G192" t="str">
            <v>外調機ﾌｨﾙﾀｰ清掃</v>
          </cell>
          <cell r="H192" t="str">
            <v>東洋建物管理㈱</v>
          </cell>
          <cell r="I192">
            <v>13000</v>
          </cell>
          <cell r="J192">
            <v>15000</v>
          </cell>
          <cell r="K192">
            <v>1</v>
          </cell>
          <cell r="L192">
            <v>0</v>
          </cell>
          <cell r="M192">
            <v>0</v>
          </cell>
          <cell r="N192">
            <v>0</v>
          </cell>
          <cell r="O192">
            <v>0</v>
          </cell>
          <cell r="P192">
            <v>0</v>
          </cell>
          <cell r="Q192">
            <v>15000</v>
          </cell>
          <cell r="R192">
            <v>0</v>
          </cell>
          <cell r="S192">
            <v>0</v>
          </cell>
          <cell r="T192">
            <v>0</v>
          </cell>
          <cell r="U192">
            <v>0</v>
          </cell>
          <cell r="V192">
            <v>0</v>
          </cell>
          <cell r="W192">
            <v>0</v>
          </cell>
          <cell r="X192" t="str">
            <v/>
          </cell>
          <cell r="Y192" t="str">
            <v/>
          </cell>
          <cell r="Z192" t="str">
            <v/>
          </cell>
          <cell r="AA192" t="str">
            <v/>
          </cell>
          <cell r="AB192" t="str">
            <v/>
          </cell>
          <cell r="AC192" t="str">
            <v>⑨</v>
          </cell>
          <cell r="AD192" t="str">
            <v/>
          </cell>
          <cell r="AE192" t="str">
            <v/>
          </cell>
          <cell r="AF192" t="str">
            <v/>
          </cell>
          <cell r="AG192" t="str">
            <v/>
          </cell>
          <cell r="AH192" t="str">
            <v/>
          </cell>
          <cell r="AI192" t="str">
            <v/>
          </cell>
          <cell r="AJ192" t="str">
            <v>追</v>
          </cell>
        </row>
        <row r="193">
          <cell r="B193">
            <v>1121</v>
          </cell>
          <cell r="C193">
            <v>11</v>
          </cell>
          <cell r="D193">
            <v>21</v>
          </cell>
          <cell r="F193" t="str">
            <v>青森</v>
          </cell>
          <cell r="G193" t="str">
            <v>ﾛｰﾙﾌｨﾙﾀｰ清掃</v>
          </cell>
          <cell r="H193" t="str">
            <v>東洋建物管理㈱</v>
          </cell>
          <cell r="I193">
            <v>26000</v>
          </cell>
          <cell r="J193">
            <v>29900</v>
          </cell>
          <cell r="K193">
            <v>1</v>
          </cell>
          <cell r="L193">
            <v>0</v>
          </cell>
          <cell r="M193">
            <v>0</v>
          </cell>
          <cell r="N193">
            <v>0</v>
          </cell>
          <cell r="O193">
            <v>0</v>
          </cell>
          <cell r="P193">
            <v>0</v>
          </cell>
          <cell r="Q193">
            <v>29900</v>
          </cell>
          <cell r="R193">
            <v>0</v>
          </cell>
          <cell r="S193">
            <v>0</v>
          </cell>
          <cell r="T193">
            <v>0</v>
          </cell>
          <cell r="U193">
            <v>0</v>
          </cell>
          <cell r="V193">
            <v>0</v>
          </cell>
          <cell r="W193">
            <v>0</v>
          </cell>
          <cell r="X193" t="str">
            <v/>
          </cell>
          <cell r="Y193" t="str">
            <v/>
          </cell>
          <cell r="Z193" t="str">
            <v/>
          </cell>
          <cell r="AA193" t="str">
            <v/>
          </cell>
          <cell r="AB193" t="str">
            <v/>
          </cell>
          <cell r="AC193" t="str">
            <v>⑨</v>
          </cell>
          <cell r="AD193" t="str">
            <v/>
          </cell>
          <cell r="AE193" t="str">
            <v/>
          </cell>
          <cell r="AF193" t="str">
            <v/>
          </cell>
          <cell r="AG193" t="str">
            <v/>
          </cell>
          <cell r="AH193" t="str">
            <v/>
          </cell>
          <cell r="AI193" t="str">
            <v/>
          </cell>
          <cell r="AJ193" t="str">
            <v>追</v>
          </cell>
        </row>
        <row r="194">
          <cell r="B194">
            <v>1122</v>
          </cell>
          <cell r="C194">
            <v>11</v>
          </cell>
          <cell r="D194">
            <v>22</v>
          </cell>
          <cell r="F194" t="str">
            <v>青森</v>
          </cell>
          <cell r="G194" t="str">
            <v>ﾌｨﾙﾀｰ洗浄</v>
          </cell>
          <cell r="H194" t="str">
            <v>東洋建物管理㈱</v>
          </cell>
          <cell r="I194">
            <v>9400</v>
          </cell>
          <cell r="J194">
            <v>11400</v>
          </cell>
          <cell r="K194">
            <v>6</v>
          </cell>
          <cell r="L194">
            <v>0</v>
          </cell>
          <cell r="M194">
            <v>11400</v>
          </cell>
          <cell r="N194">
            <v>0</v>
          </cell>
          <cell r="O194">
            <v>11400</v>
          </cell>
          <cell r="P194">
            <v>0</v>
          </cell>
          <cell r="Q194">
            <v>11400</v>
          </cell>
          <cell r="R194">
            <v>0</v>
          </cell>
          <cell r="S194">
            <v>11400</v>
          </cell>
          <cell r="T194">
            <v>0</v>
          </cell>
          <cell r="U194">
            <v>11400</v>
          </cell>
          <cell r="V194">
            <v>0</v>
          </cell>
          <cell r="W194">
            <v>11400</v>
          </cell>
          <cell r="X194" t="str">
            <v/>
          </cell>
          <cell r="Y194" t="str">
            <v>⑤</v>
          </cell>
          <cell r="Z194" t="str">
            <v/>
          </cell>
          <cell r="AA194" t="str">
            <v>⑦</v>
          </cell>
          <cell r="AB194" t="str">
            <v/>
          </cell>
          <cell r="AC194" t="str">
            <v>⑨</v>
          </cell>
          <cell r="AD194" t="str">
            <v/>
          </cell>
          <cell r="AE194" t="str">
            <v>⑪</v>
          </cell>
          <cell r="AF194" t="str">
            <v/>
          </cell>
          <cell r="AG194" t="str">
            <v>①</v>
          </cell>
          <cell r="AH194" t="str">
            <v/>
          </cell>
          <cell r="AI194" t="str">
            <v>③</v>
          </cell>
          <cell r="AJ194" t="str">
            <v>追</v>
          </cell>
        </row>
        <row r="195">
          <cell r="B195">
            <v>1123</v>
          </cell>
          <cell r="C195">
            <v>11</v>
          </cell>
          <cell r="D195">
            <v>23</v>
          </cell>
          <cell r="F195" t="str">
            <v>青森</v>
          </cell>
          <cell r="G195" t="str">
            <v>冷却塔清掃</v>
          </cell>
          <cell r="H195" t="str">
            <v>東洋建物管理㈱</v>
          </cell>
          <cell r="I195">
            <v>10500</v>
          </cell>
          <cell r="J195">
            <v>12500</v>
          </cell>
          <cell r="K195">
            <v>1</v>
          </cell>
          <cell r="L195">
            <v>0</v>
          </cell>
          <cell r="M195">
            <v>0</v>
          </cell>
          <cell r="N195">
            <v>0</v>
          </cell>
          <cell r="O195">
            <v>0</v>
          </cell>
          <cell r="P195">
            <v>0</v>
          </cell>
          <cell r="Q195">
            <v>0</v>
          </cell>
          <cell r="R195">
            <v>0</v>
          </cell>
          <cell r="S195">
            <v>12500</v>
          </cell>
          <cell r="T195">
            <v>0</v>
          </cell>
          <cell r="U195">
            <v>0</v>
          </cell>
          <cell r="V195">
            <v>0</v>
          </cell>
          <cell r="W195">
            <v>0</v>
          </cell>
          <cell r="X195" t="str">
            <v/>
          </cell>
          <cell r="Y195" t="str">
            <v/>
          </cell>
          <cell r="Z195" t="str">
            <v/>
          </cell>
          <cell r="AA195" t="str">
            <v/>
          </cell>
          <cell r="AB195" t="str">
            <v/>
          </cell>
          <cell r="AC195" t="str">
            <v/>
          </cell>
          <cell r="AD195" t="str">
            <v/>
          </cell>
          <cell r="AE195" t="str">
            <v>⑪</v>
          </cell>
          <cell r="AF195" t="str">
            <v/>
          </cell>
          <cell r="AG195" t="str">
            <v/>
          </cell>
          <cell r="AH195" t="str">
            <v/>
          </cell>
          <cell r="AI195" t="str">
            <v/>
          </cell>
          <cell r="AJ195" t="str">
            <v>追</v>
          </cell>
        </row>
        <row r="196">
          <cell r="B196">
            <v>1124</v>
          </cell>
          <cell r="C196">
            <v>11</v>
          </cell>
          <cell r="D196">
            <v>24</v>
          </cell>
          <cell r="F196" t="str">
            <v>青森</v>
          </cell>
          <cell r="G196" t="str">
            <v>電気湯沸器点検整備</v>
          </cell>
          <cell r="H196" t="str">
            <v>東洋建物管理㈱</v>
          </cell>
          <cell r="I196">
            <v>27000</v>
          </cell>
          <cell r="J196">
            <v>31050</v>
          </cell>
          <cell r="K196">
            <v>1</v>
          </cell>
          <cell r="L196">
            <v>0</v>
          </cell>
          <cell r="M196">
            <v>0</v>
          </cell>
          <cell r="N196">
            <v>0</v>
          </cell>
          <cell r="O196">
            <v>0</v>
          </cell>
          <cell r="P196">
            <v>0</v>
          </cell>
          <cell r="Q196">
            <v>31050</v>
          </cell>
          <cell r="R196">
            <v>0</v>
          </cell>
          <cell r="S196">
            <v>0</v>
          </cell>
          <cell r="T196">
            <v>0</v>
          </cell>
          <cell r="U196">
            <v>0</v>
          </cell>
          <cell r="V196">
            <v>0</v>
          </cell>
          <cell r="W196">
            <v>0</v>
          </cell>
          <cell r="X196" t="str">
            <v/>
          </cell>
          <cell r="Y196" t="str">
            <v/>
          </cell>
          <cell r="Z196" t="str">
            <v/>
          </cell>
          <cell r="AA196" t="str">
            <v/>
          </cell>
          <cell r="AB196" t="str">
            <v/>
          </cell>
          <cell r="AC196" t="str">
            <v>⑨</v>
          </cell>
          <cell r="AD196" t="str">
            <v/>
          </cell>
          <cell r="AE196" t="str">
            <v/>
          </cell>
          <cell r="AF196" t="str">
            <v/>
          </cell>
          <cell r="AG196" t="str">
            <v/>
          </cell>
          <cell r="AH196" t="str">
            <v/>
          </cell>
          <cell r="AI196" t="str">
            <v/>
          </cell>
          <cell r="AJ196" t="str">
            <v>追</v>
          </cell>
        </row>
        <row r="197">
          <cell r="B197">
            <v>1125</v>
          </cell>
          <cell r="C197">
            <v>11</v>
          </cell>
          <cell r="D197">
            <v>25</v>
          </cell>
          <cell r="F197" t="str">
            <v>青森</v>
          </cell>
          <cell r="G197" t="str">
            <v>シャッター設備点検整備</v>
          </cell>
          <cell r="H197" t="str">
            <v>文化シャッターサービス</v>
          </cell>
          <cell r="I197">
            <v>110000</v>
          </cell>
          <cell r="J197">
            <v>126500</v>
          </cell>
          <cell r="K197">
            <v>1</v>
          </cell>
          <cell r="L197">
            <v>0</v>
          </cell>
          <cell r="M197">
            <v>0</v>
          </cell>
          <cell r="N197">
            <v>0</v>
          </cell>
          <cell r="O197">
            <v>126500</v>
          </cell>
          <cell r="P197">
            <v>0</v>
          </cell>
          <cell r="Q197">
            <v>0</v>
          </cell>
          <cell r="R197">
            <v>0</v>
          </cell>
          <cell r="S197">
            <v>0</v>
          </cell>
          <cell r="T197">
            <v>0</v>
          </cell>
          <cell r="U197">
            <v>0</v>
          </cell>
          <cell r="V197">
            <v>0</v>
          </cell>
          <cell r="W197">
            <v>0</v>
          </cell>
          <cell r="X197" t="str">
            <v/>
          </cell>
          <cell r="Y197" t="str">
            <v/>
          </cell>
          <cell r="Z197" t="str">
            <v/>
          </cell>
          <cell r="AA197" t="str">
            <v>⑦</v>
          </cell>
          <cell r="AB197" t="str">
            <v/>
          </cell>
          <cell r="AC197" t="str">
            <v/>
          </cell>
          <cell r="AD197" t="str">
            <v/>
          </cell>
          <cell r="AE197" t="str">
            <v/>
          </cell>
          <cell r="AF197" t="str">
            <v/>
          </cell>
          <cell r="AG197" t="str">
            <v/>
          </cell>
          <cell r="AH197" t="str">
            <v/>
          </cell>
          <cell r="AI197" t="str">
            <v/>
          </cell>
          <cell r="AJ197" t="str">
            <v>追</v>
          </cell>
        </row>
        <row r="198">
          <cell r="B198">
            <v>1126</v>
          </cell>
          <cell r="C198">
            <v>11</v>
          </cell>
          <cell r="D198">
            <v>26</v>
          </cell>
          <cell r="F198" t="str">
            <v>青森</v>
          </cell>
          <cell r="G198" t="str">
            <v>植栽管理</v>
          </cell>
          <cell r="H198" t="str">
            <v>㈲三内造園</v>
          </cell>
          <cell r="I198">
            <v>70000</v>
          </cell>
          <cell r="J198">
            <v>80500</v>
          </cell>
          <cell r="K198">
            <v>1</v>
          </cell>
          <cell r="L198">
            <v>0</v>
          </cell>
          <cell r="M198">
            <v>0</v>
          </cell>
          <cell r="N198">
            <v>0</v>
          </cell>
          <cell r="O198">
            <v>0</v>
          </cell>
          <cell r="P198">
            <v>80500</v>
          </cell>
          <cell r="Q198">
            <v>0</v>
          </cell>
          <cell r="R198">
            <v>0</v>
          </cell>
          <cell r="S198">
            <v>0</v>
          </cell>
          <cell r="T198">
            <v>0</v>
          </cell>
          <cell r="U198">
            <v>0</v>
          </cell>
          <cell r="V198">
            <v>0</v>
          </cell>
          <cell r="W198">
            <v>0</v>
          </cell>
          <cell r="X198" t="str">
            <v/>
          </cell>
          <cell r="Y198" t="str">
            <v/>
          </cell>
          <cell r="Z198" t="str">
            <v/>
          </cell>
          <cell r="AA198" t="str">
            <v/>
          </cell>
          <cell r="AB198" t="str">
            <v>⑧</v>
          </cell>
          <cell r="AC198" t="str">
            <v/>
          </cell>
          <cell r="AD198" t="str">
            <v/>
          </cell>
          <cell r="AE198" t="str">
            <v/>
          </cell>
          <cell r="AF198" t="str">
            <v/>
          </cell>
          <cell r="AG198" t="str">
            <v/>
          </cell>
          <cell r="AH198" t="str">
            <v/>
          </cell>
          <cell r="AI198" t="str">
            <v/>
          </cell>
          <cell r="AJ198" t="str">
            <v>追</v>
          </cell>
        </row>
        <row r="199">
          <cell r="B199">
            <v>1127</v>
          </cell>
          <cell r="C199">
            <v>11</v>
          </cell>
          <cell r="D199">
            <v>27</v>
          </cell>
          <cell r="F199" t="str">
            <v>青森</v>
          </cell>
          <cell r="G199" t="str">
            <v>エアコンﾌｨﾙﾀｰ清掃</v>
          </cell>
          <cell r="H199" t="str">
            <v>㈲山長</v>
          </cell>
          <cell r="I199">
            <v>13000</v>
          </cell>
          <cell r="J199">
            <v>15000</v>
          </cell>
          <cell r="K199">
            <v>1</v>
          </cell>
          <cell r="L199">
            <v>0</v>
          </cell>
          <cell r="M199">
            <v>0</v>
          </cell>
          <cell r="N199">
            <v>0</v>
          </cell>
          <cell r="O199">
            <v>0</v>
          </cell>
          <cell r="P199">
            <v>0</v>
          </cell>
          <cell r="Q199">
            <v>0</v>
          </cell>
          <cell r="R199">
            <v>0</v>
          </cell>
          <cell r="S199">
            <v>15000</v>
          </cell>
          <cell r="T199">
            <v>0</v>
          </cell>
          <cell r="U199">
            <v>0</v>
          </cell>
          <cell r="V199">
            <v>0</v>
          </cell>
          <cell r="W199">
            <v>0</v>
          </cell>
          <cell r="X199" t="str">
            <v/>
          </cell>
          <cell r="Y199" t="str">
            <v/>
          </cell>
          <cell r="Z199" t="str">
            <v/>
          </cell>
          <cell r="AA199" t="str">
            <v/>
          </cell>
          <cell r="AB199" t="str">
            <v/>
          </cell>
          <cell r="AC199" t="str">
            <v/>
          </cell>
          <cell r="AD199" t="str">
            <v/>
          </cell>
          <cell r="AE199" t="str">
            <v>⑪</v>
          </cell>
          <cell r="AF199" t="str">
            <v/>
          </cell>
          <cell r="AG199" t="str">
            <v/>
          </cell>
          <cell r="AH199" t="str">
            <v/>
          </cell>
          <cell r="AI199" t="str">
            <v/>
          </cell>
          <cell r="AJ199" t="str">
            <v>追</v>
          </cell>
        </row>
        <row r="200">
          <cell r="B200">
            <v>1128</v>
          </cell>
          <cell r="C200">
            <v>11</v>
          </cell>
          <cell r="D200">
            <v>28</v>
          </cell>
          <cell r="F200" t="str">
            <v>青森</v>
          </cell>
          <cell r="G200" t="str">
            <v>エアコン点検整備(2,3,7F)</v>
          </cell>
          <cell r="H200" t="str">
            <v>㈲山長</v>
          </cell>
          <cell r="I200">
            <v>30000</v>
          </cell>
          <cell r="J200">
            <v>34500</v>
          </cell>
          <cell r="K200">
            <v>1</v>
          </cell>
          <cell r="L200">
            <v>0</v>
          </cell>
          <cell r="M200">
            <v>0</v>
          </cell>
          <cell r="N200">
            <v>0</v>
          </cell>
          <cell r="O200">
            <v>0</v>
          </cell>
          <cell r="P200">
            <v>0</v>
          </cell>
          <cell r="Q200">
            <v>0</v>
          </cell>
          <cell r="R200">
            <v>0</v>
          </cell>
          <cell r="S200">
            <v>34500</v>
          </cell>
          <cell r="T200">
            <v>0</v>
          </cell>
          <cell r="U200">
            <v>0</v>
          </cell>
          <cell r="V200">
            <v>0</v>
          </cell>
          <cell r="W200">
            <v>0</v>
          </cell>
          <cell r="X200" t="str">
            <v/>
          </cell>
          <cell r="Y200" t="str">
            <v/>
          </cell>
          <cell r="Z200" t="str">
            <v/>
          </cell>
          <cell r="AA200" t="str">
            <v/>
          </cell>
          <cell r="AB200" t="str">
            <v/>
          </cell>
          <cell r="AC200" t="str">
            <v/>
          </cell>
          <cell r="AD200" t="str">
            <v/>
          </cell>
          <cell r="AE200" t="str">
            <v>⑪</v>
          </cell>
          <cell r="AF200" t="str">
            <v/>
          </cell>
          <cell r="AG200" t="str">
            <v/>
          </cell>
          <cell r="AH200" t="str">
            <v/>
          </cell>
          <cell r="AI200" t="str">
            <v/>
          </cell>
          <cell r="AJ200" t="str">
            <v>追</v>
          </cell>
        </row>
        <row r="201">
          <cell r="B201">
            <v>1201</v>
          </cell>
          <cell r="C201">
            <v>12</v>
          </cell>
          <cell r="D201">
            <v>1</v>
          </cell>
          <cell r="F201" t="str">
            <v>弘前</v>
          </cell>
          <cell r="G201" t="str">
            <v>タワーパーク保守</v>
          </cell>
          <cell r="H201" t="str">
            <v>新明和ｴﾝｼﾞﾆｱﾘﾝｸﾞ</v>
          </cell>
          <cell r="I201">
            <v>55000</v>
          </cell>
          <cell r="J201">
            <v>56100</v>
          </cell>
          <cell r="K201">
            <v>12</v>
          </cell>
          <cell r="L201">
            <v>56100</v>
          </cell>
          <cell r="M201">
            <v>56100</v>
          </cell>
          <cell r="N201">
            <v>56100</v>
          </cell>
          <cell r="O201">
            <v>56100</v>
          </cell>
          <cell r="P201">
            <v>56100</v>
          </cell>
          <cell r="Q201">
            <v>56100</v>
          </cell>
          <cell r="R201">
            <v>56100</v>
          </cell>
          <cell r="S201">
            <v>56100</v>
          </cell>
          <cell r="T201">
            <v>56100</v>
          </cell>
          <cell r="U201">
            <v>56100</v>
          </cell>
          <cell r="V201">
            <v>56100</v>
          </cell>
          <cell r="W201">
            <v>56100</v>
          </cell>
          <cell r="X201" t="str">
            <v>④</v>
          </cell>
          <cell r="Y201" t="str">
            <v>⑤</v>
          </cell>
          <cell r="Z201" t="str">
            <v>⑥</v>
          </cell>
          <cell r="AA201" t="str">
            <v>⑦</v>
          </cell>
          <cell r="AB201" t="str">
            <v>⑧</v>
          </cell>
          <cell r="AC201" t="str">
            <v>⑨</v>
          </cell>
          <cell r="AD201" t="str">
            <v>⑩</v>
          </cell>
          <cell r="AE201" t="str">
            <v>⑪</v>
          </cell>
          <cell r="AF201" t="str">
            <v>⑫</v>
          </cell>
          <cell r="AG201" t="str">
            <v>①</v>
          </cell>
          <cell r="AH201" t="str">
            <v>②</v>
          </cell>
          <cell r="AI201" t="str">
            <v>③</v>
          </cell>
        </row>
        <row r="202">
          <cell r="B202">
            <v>1301</v>
          </cell>
          <cell r="C202">
            <v>13</v>
          </cell>
          <cell r="D202">
            <v>1</v>
          </cell>
          <cell r="F202" t="str">
            <v>盛岡</v>
          </cell>
          <cell r="G202" t="str">
            <v>立体駐車場(二･三段式)保守</v>
          </cell>
          <cell r="H202" t="str">
            <v>石川島運搬機械</v>
          </cell>
          <cell r="I202">
            <v>40295</v>
          </cell>
          <cell r="J202">
            <v>41100</v>
          </cell>
          <cell r="K202">
            <v>12</v>
          </cell>
          <cell r="L202">
            <v>41100</v>
          </cell>
          <cell r="M202">
            <v>41100</v>
          </cell>
          <cell r="N202">
            <v>41100</v>
          </cell>
          <cell r="O202">
            <v>41100</v>
          </cell>
          <cell r="P202">
            <v>41100</v>
          </cell>
          <cell r="Q202">
            <v>41100</v>
          </cell>
          <cell r="R202">
            <v>41100</v>
          </cell>
          <cell r="S202">
            <v>41100</v>
          </cell>
          <cell r="T202">
            <v>41100</v>
          </cell>
          <cell r="U202">
            <v>41100</v>
          </cell>
          <cell r="V202">
            <v>41100</v>
          </cell>
          <cell r="W202">
            <v>41100</v>
          </cell>
          <cell r="X202" t="str">
            <v>④</v>
          </cell>
          <cell r="Y202" t="str">
            <v>⑤</v>
          </cell>
          <cell r="Z202" t="str">
            <v>⑥</v>
          </cell>
          <cell r="AA202" t="str">
            <v>⑦</v>
          </cell>
          <cell r="AB202" t="str">
            <v>⑧</v>
          </cell>
          <cell r="AC202" t="str">
            <v>⑨</v>
          </cell>
          <cell r="AD202" t="str">
            <v>⑩</v>
          </cell>
          <cell r="AE202" t="str">
            <v>⑪</v>
          </cell>
          <cell r="AF202" t="str">
            <v>⑫</v>
          </cell>
          <cell r="AG202" t="str">
            <v>①</v>
          </cell>
          <cell r="AH202" t="str">
            <v>②</v>
          </cell>
          <cell r="AI202" t="str">
            <v>③</v>
          </cell>
        </row>
        <row r="203">
          <cell r="B203">
            <v>1302</v>
          </cell>
          <cell r="C203">
            <v>13</v>
          </cell>
          <cell r="D203">
            <v>2</v>
          </cell>
          <cell r="F203" t="str">
            <v>盛岡</v>
          </cell>
          <cell r="G203" t="str">
            <v>立体駐車場設備保守</v>
          </cell>
          <cell r="H203" t="str">
            <v>三菱重工ﾊﾟｰｷﾝｸﾞ建設</v>
          </cell>
          <cell r="I203">
            <v>111000</v>
          </cell>
          <cell r="J203">
            <v>113220</v>
          </cell>
          <cell r="K203">
            <v>12</v>
          </cell>
          <cell r="L203">
            <v>113220</v>
          </cell>
          <cell r="M203">
            <v>113220</v>
          </cell>
          <cell r="N203">
            <v>113220</v>
          </cell>
          <cell r="O203">
            <v>113220</v>
          </cell>
          <cell r="P203">
            <v>113220</v>
          </cell>
          <cell r="Q203">
            <v>113220</v>
          </cell>
          <cell r="R203">
            <v>113220</v>
          </cell>
          <cell r="S203">
            <v>113220</v>
          </cell>
          <cell r="T203">
            <v>113220</v>
          </cell>
          <cell r="U203">
            <v>113220</v>
          </cell>
          <cell r="V203">
            <v>113220</v>
          </cell>
          <cell r="W203">
            <v>113220</v>
          </cell>
          <cell r="X203" t="str">
            <v>④</v>
          </cell>
          <cell r="Y203" t="str">
            <v>⑤</v>
          </cell>
          <cell r="Z203" t="str">
            <v>⑥</v>
          </cell>
          <cell r="AA203" t="str">
            <v>⑦</v>
          </cell>
          <cell r="AB203" t="str">
            <v>⑧</v>
          </cell>
          <cell r="AC203" t="str">
            <v>⑨</v>
          </cell>
          <cell r="AD203" t="str">
            <v>⑩</v>
          </cell>
          <cell r="AE203" t="str">
            <v>⑪</v>
          </cell>
          <cell r="AF203" t="str">
            <v>⑫</v>
          </cell>
          <cell r="AG203" t="str">
            <v>①</v>
          </cell>
          <cell r="AH203" t="str">
            <v>②</v>
          </cell>
          <cell r="AI203" t="str">
            <v>③</v>
          </cell>
        </row>
        <row r="204">
          <cell r="B204">
            <v>1303</v>
          </cell>
          <cell r="C204">
            <v>13</v>
          </cell>
          <cell r="D204">
            <v>3</v>
          </cell>
          <cell r="F204" t="str">
            <v>盛岡</v>
          </cell>
          <cell r="G204" t="str">
            <v>エレベーター保守</v>
          </cell>
          <cell r="H204" t="str">
            <v>三菱電機ﾋﾞﾙﾃｸﾉｻｰﾋﾞｽ</v>
          </cell>
          <cell r="I204">
            <v>144300</v>
          </cell>
          <cell r="J204">
            <v>147186</v>
          </cell>
          <cell r="K204">
            <v>12</v>
          </cell>
          <cell r="L204">
            <v>147186</v>
          </cell>
          <cell r="M204">
            <v>147186</v>
          </cell>
          <cell r="N204">
            <v>147186</v>
          </cell>
          <cell r="O204">
            <v>147186</v>
          </cell>
          <cell r="P204">
            <v>147186</v>
          </cell>
          <cell r="Q204">
            <v>147186</v>
          </cell>
          <cell r="R204">
            <v>147186</v>
          </cell>
          <cell r="S204">
            <v>147186</v>
          </cell>
          <cell r="T204">
            <v>147186</v>
          </cell>
          <cell r="U204">
            <v>147186</v>
          </cell>
          <cell r="V204">
            <v>147186</v>
          </cell>
          <cell r="W204">
            <v>147186</v>
          </cell>
          <cell r="X204" t="str">
            <v>④</v>
          </cell>
          <cell r="Y204" t="str">
            <v>⑤</v>
          </cell>
          <cell r="Z204" t="str">
            <v>⑥</v>
          </cell>
          <cell r="AA204" t="str">
            <v>⑦</v>
          </cell>
          <cell r="AB204" t="str">
            <v>⑧</v>
          </cell>
          <cell r="AC204" t="str">
            <v>⑨</v>
          </cell>
          <cell r="AD204" t="str">
            <v>⑩</v>
          </cell>
          <cell r="AE204" t="str">
            <v>⑪</v>
          </cell>
          <cell r="AF204" t="str">
            <v>⑫</v>
          </cell>
          <cell r="AG204" t="str">
            <v>①</v>
          </cell>
          <cell r="AH204" t="str">
            <v>②</v>
          </cell>
          <cell r="AI204" t="str">
            <v>③</v>
          </cell>
        </row>
        <row r="205">
          <cell r="B205">
            <v>1304</v>
          </cell>
          <cell r="C205">
            <v>13</v>
          </cell>
          <cell r="D205">
            <v>4</v>
          </cell>
          <cell r="F205" t="str">
            <v>盛岡</v>
          </cell>
          <cell r="G205" t="str">
            <v>消防設備点検保守(外観)</v>
          </cell>
          <cell r="H205" t="str">
            <v>能美防災</v>
          </cell>
          <cell r="I205">
            <v>272000</v>
          </cell>
          <cell r="J205">
            <v>277440</v>
          </cell>
          <cell r="K205">
            <v>1</v>
          </cell>
          <cell r="L205">
            <v>277440</v>
          </cell>
          <cell r="M205">
            <v>0</v>
          </cell>
          <cell r="N205">
            <v>0</v>
          </cell>
          <cell r="O205">
            <v>0</v>
          </cell>
          <cell r="P205">
            <v>0</v>
          </cell>
          <cell r="Q205">
            <v>0</v>
          </cell>
          <cell r="R205">
            <v>0</v>
          </cell>
          <cell r="S205">
            <v>0</v>
          </cell>
          <cell r="T205">
            <v>0</v>
          </cell>
          <cell r="U205">
            <v>0</v>
          </cell>
          <cell r="V205">
            <v>0</v>
          </cell>
          <cell r="W205">
            <v>0</v>
          </cell>
          <cell r="X205" t="str">
            <v>④</v>
          </cell>
          <cell r="Y205" t="str">
            <v/>
          </cell>
          <cell r="Z205" t="str">
            <v/>
          </cell>
          <cell r="AA205" t="str">
            <v/>
          </cell>
          <cell r="AB205" t="str">
            <v/>
          </cell>
          <cell r="AC205" t="str">
            <v/>
          </cell>
          <cell r="AD205" t="str">
            <v/>
          </cell>
          <cell r="AE205" t="str">
            <v/>
          </cell>
          <cell r="AF205" t="str">
            <v/>
          </cell>
          <cell r="AG205" t="str">
            <v/>
          </cell>
          <cell r="AH205" t="str">
            <v/>
          </cell>
          <cell r="AI205" t="str">
            <v/>
          </cell>
        </row>
        <row r="206">
          <cell r="B206">
            <v>1305</v>
          </cell>
          <cell r="C206">
            <v>13</v>
          </cell>
          <cell r="D206">
            <v>5</v>
          </cell>
          <cell r="F206" t="str">
            <v>盛岡</v>
          </cell>
          <cell r="G206" t="str">
            <v>消防設備点検保守(総合)</v>
          </cell>
          <cell r="H206" t="str">
            <v>能美防災</v>
          </cell>
          <cell r="I206">
            <v>428000</v>
          </cell>
          <cell r="J206">
            <v>436560</v>
          </cell>
          <cell r="K206">
            <v>1</v>
          </cell>
          <cell r="L206">
            <v>0</v>
          </cell>
          <cell r="M206">
            <v>0</v>
          </cell>
          <cell r="N206">
            <v>0</v>
          </cell>
          <cell r="O206">
            <v>0</v>
          </cell>
          <cell r="P206">
            <v>0</v>
          </cell>
          <cell r="Q206">
            <v>0</v>
          </cell>
          <cell r="R206">
            <v>436560</v>
          </cell>
          <cell r="S206">
            <v>0</v>
          </cell>
          <cell r="T206">
            <v>0</v>
          </cell>
          <cell r="U206">
            <v>0</v>
          </cell>
          <cell r="V206">
            <v>0</v>
          </cell>
          <cell r="W206">
            <v>0</v>
          </cell>
          <cell r="X206" t="str">
            <v/>
          </cell>
          <cell r="Y206" t="str">
            <v/>
          </cell>
          <cell r="Z206" t="str">
            <v/>
          </cell>
          <cell r="AA206" t="str">
            <v/>
          </cell>
          <cell r="AB206" t="str">
            <v/>
          </cell>
          <cell r="AC206" t="str">
            <v/>
          </cell>
          <cell r="AD206" t="str">
            <v>⑩</v>
          </cell>
          <cell r="AE206" t="str">
            <v/>
          </cell>
          <cell r="AF206" t="str">
            <v/>
          </cell>
          <cell r="AG206" t="str">
            <v/>
          </cell>
          <cell r="AH206" t="str">
            <v/>
          </cell>
          <cell r="AI206" t="str">
            <v/>
          </cell>
        </row>
        <row r="207">
          <cell r="B207">
            <v>1306</v>
          </cell>
          <cell r="C207">
            <v>13</v>
          </cell>
          <cell r="D207">
            <v>6</v>
          </cell>
          <cell r="F207" t="str">
            <v>盛岡</v>
          </cell>
          <cell r="G207" t="str">
            <v>非常放送設備保守</v>
          </cell>
          <cell r="H207" t="str">
            <v>キタボウ</v>
          </cell>
          <cell r="I207">
            <v>37500</v>
          </cell>
          <cell r="J207">
            <v>38250</v>
          </cell>
          <cell r="K207">
            <v>2</v>
          </cell>
          <cell r="L207">
            <v>0</v>
          </cell>
          <cell r="M207">
            <v>0</v>
          </cell>
          <cell r="N207">
            <v>0</v>
          </cell>
          <cell r="O207">
            <v>0</v>
          </cell>
          <cell r="P207">
            <v>38250</v>
          </cell>
          <cell r="Q207">
            <v>0</v>
          </cell>
          <cell r="R207">
            <v>0</v>
          </cell>
          <cell r="S207">
            <v>0</v>
          </cell>
          <cell r="T207">
            <v>0</v>
          </cell>
          <cell r="U207">
            <v>0</v>
          </cell>
          <cell r="V207">
            <v>38250</v>
          </cell>
          <cell r="W207">
            <v>0</v>
          </cell>
          <cell r="X207" t="str">
            <v/>
          </cell>
          <cell r="Y207" t="str">
            <v/>
          </cell>
          <cell r="Z207" t="str">
            <v/>
          </cell>
          <cell r="AA207" t="str">
            <v/>
          </cell>
          <cell r="AB207" t="str">
            <v>⑧</v>
          </cell>
          <cell r="AC207" t="str">
            <v/>
          </cell>
          <cell r="AD207" t="str">
            <v/>
          </cell>
          <cell r="AE207" t="str">
            <v/>
          </cell>
          <cell r="AF207" t="str">
            <v/>
          </cell>
          <cell r="AG207" t="str">
            <v/>
          </cell>
          <cell r="AH207" t="str">
            <v>②</v>
          </cell>
          <cell r="AI207" t="str">
            <v/>
          </cell>
        </row>
        <row r="208">
          <cell r="B208">
            <v>1307</v>
          </cell>
          <cell r="C208">
            <v>13</v>
          </cell>
          <cell r="D208">
            <v>7</v>
          </cell>
          <cell r="F208" t="str">
            <v>盛岡</v>
          </cell>
          <cell r="G208" t="str">
            <v>非常用電源装置保守</v>
          </cell>
          <cell r="H208" t="str">
            <v>佐藤電機工業</v>
          </cell>
          <cell r="I208">
            <v>50000</v>
          </cell>
          <cell r="J208">
            <v>51000</v>
          </cell>
          <cell r="K208">
            <v>1</v>
          </cell>
          <cell r="L208">
            <v>0</v>
          </cell>
          <cell r="M208">
            <v>0</v>
          </cell>
          <cell r="N208">
            <v>0</v>
          </cell>
          <cell r="O208">
            <v>0</v>
          </cell>
          <cell r="P208">
            <v>0</v>
          </cell>
          <cell r="Q208">
            <v>0</v>
          </cell>
          <cell r="R208">
            <v>0</v>
          </cell>
          <cell r="S208">
            <v>0</v>
          </cell>
          <cell r="T208">
            <v>0</v>
          </cell>
          <cell r="U208">
            <v>0</v>
          </cell>
          <cell r="V208">
            <v>0</v>
          </cell>
          <cell r="W208">
            <v>51000</v>
          </cell>
          <cell r="X208" t="str">
            <v/>
          </cell>
          <cell r="Y208" t="str">
            <v/>
          </cell>
          <cell r="Z208" t="str">
            <v/>
          </cell>
          <cell r="AA208" t="str">
            <v/>
          </cell>
          <cell r="AB208" t="str">
            <v/>
          </cell>
          <cell r="AC208" t="str">
            <v/>
          </cell>
          <cell r="AD208" t="str">
            <v/>
          </cell>
          <cell r="AE208" t="str">
            <v/>
          </cell>
          <cell r="AF208" t="str">
            <v/>
          </cell>
          <cell r="AG208" t="str">
            <v/>
          </cell>
          <cell r="AH208" t="str">
            <v/>
          </cell>
          <cell r="AI208" t="str">
            <v>③</v>
          </cell>
        </row>
        <row r="209">
          <cell r="B209">
            <v>1308</v>
          </cell>
          <cell r="C209">
            <v>13</v>
          </cell>
          <cell r="D209">
            <v>8</v>
          </cell>
          <cell r="F209" t="str">
            <v>盛岡</v>
          </cell>
          <cell r="G209" t="str">
            <v>害虫駆除</v>
          </cell>
          <cell r="H209" t="str">
            <v>シェル商事</v>
          </cell>
          <cell r="I209">
            <v>110000</v>
          </cell>
          <cell r="J209">
            <v>121000</v>
          </cell>
          <cell r="K209">
            <v>2</v>
          </cell>
          <cell r="L209">
            <v>0</v>
          </cell>
          <cell r="M209">
            <v>121000</v>
          </cell>
          <cell r="N209">
            <v>0</v>
          </cell>
          <cell r="O209">
            <v>0</v>
          </cell>
          <cell r="P209">
            <v>0</v>
          </cell>
          <cell r="Q209">
            <v>0</v>
          </cell>
          <cell r="R209">
            <v>0</v>
          </cell>
          <cell r="S209">
            <v>121000</v>
          </cell>
          <cell r="T209">
            <v>0</v>
          </cell>
          <cell r="U209">
            <v>0</v>
          </cell>
          <cell r="V209">
            <v>0</v>
          </cell>
          <cell r="W209">
            <v>0</v>
          </cell>
          <cell r="X209" t="str">
            <v/>
          </cell>
          <cell r="Y209" t="str">
            <v>⑤</v>
          </cell>
          <cell r="Z209" t="str">
            <v/>
          </cell>
          <cell r="AA209" t="str">
            <v/>
          </cell>
          <cell r="AB209" t="str">
            <v/>
          </cell>
          <cell r="AC209" t="str">
            <v/>
          </cell>
          <cell r="AD209" t="str">
            <v/>
          </cell>
          <cell r="AE209" t="str">
            <v>⑪</v>
          </cell>
          <cell r="AF209" t="str">
            <v/>
          </cell>
          <cell r="AG209" t="str">
            <v/>
          </cell>
          <cell r="AH209" t="str">
            <v/>
          </cell>
          <cell r="AI209" t="str">
            <v/>
          </cell>
        </row>
        <row r="210">
          <cell r="B210">
            <v>1309</v>
          </cell>
          <cell r="C210">
            <v>13</v>
          </cell>
          <cell r="D210">
            <v>9</v>
          </cell>
          <cell r="F210" t="str">
            <v>盛岡</v>
          </cell>
          <cell r="G210" t="str">
            <v>汚水･湧水･雑排水槽清掃</v>
          </cell>
          <cell r="H210" t="str">
            <v>岩手建物管理</v>
          </cell>
          <cell r="I210">
            <v>97000</v>
          </cell>
          <cell r="J210">
            <v>108640</v>
          </cell>
          <cell r="K210">
            <v>2</v>
          </cell>
          <cell r="L210">
            <v>0</v>
          </cell>
          <cell r="M210">
            <v>108640</v>
          </cell>
          <cell r="N210">
            <v>0</v>
          </cell>
          <cell r="O210">
            <v>0</v>
          </cell>
          <cell r="P210">
            <v>0</v>
          </cell>
          <cell r="Q210">
            <v>0</v>
          </cell>
          <cell r="R210">
            <v>0</v>
          </cell>
          <cell r="S210">
            <v>108640</v>
          </cell>
          <cell r="T210">
            <v>0</v>
          </cell>
          <cell r="U210">
            <v>0</v>
          </cell>
          <cell r="V210">
            <v>0</v>
          </cell>
          <cell r="W210">
            <v>0</v>
          </cell>
          <cell r="X210" t="str">
            <v/>
          </cell>
          <cell r="Y210" t="str">
            <v>⑤</v>
          </cell>
          <cell r="Z210" t="str">
            <v/>
          </cell>
          <cell r="AA210" t="str">
            <v/>
          </cell>
          <cell r="AB210" t="str">
            <v/>
          </cell>
          <cell r="AC210" t="str">
            <v/>
          </cell>
          <cell r="AD210" t="str">
            <v/>
          </cell>
          <cell r="AE210" t="str">
            <v>⑪</v>
          </cell>
          <cell r="AF210" t="str">
            <v/>
          </cell>
          <cell r="AG210" t="str">
            <v/>
          </cell>
          <cell r="AH210" t="str">
            <v/>
          </cell>
          <cell r="AI210" t="str">
            <v/>
          </cell>
        </row>
        <row r="211">
          <cell r="B211">
            <v>1310</v>
          </cell>
          <cell r="C211">
            <v>13</v>
          </cell>
          <cell r="D211">
            <v>10</v>
          </cell>
          <cell r="F211" t="str">
            <v>盛岡</v>
          </cell>
          <cell r="G211" t="str">
            <v>受水槽清掃(含む高架水槽)</v>
          </cell>
          <cell r="H211" t="str">
            <v>岩手建物管理</v>
          </cell>
          <cell r="I211">
            <v>113000</v>
          </cell>
          <cell r="J211">
            <v>127690</v>
          </cell>
          <cell r="K211">
            <v>1</v>
          </cell>
          <cell r="L211">
            <v>0</v>
          </cell>
          <cell r="M211">
            <v>0</v>
          </cell>
          <cell r="N211">
            <v>0</v>
          </cell>
          <cell r="O211">
            <v>0</v>
          </cell>
          <cell r="P211">
            <v>0</v>
          </cell>
          <cell r="Q211">
            <v>0</v>
          </cell>
          <cell r="R211">
            <v>0</v>
          </cell>
          <cell r="S211">
            <v>0</v>
          </cell>
          <cell r="T211">
            <v>0</v>
          </cell>
          <cell r="U211">
            <v>0</v>
          </cell>
          <cell r="V211">
            <v>127690</v>
          </cell>
          <cell r="W211">
            <v>0</v>
          </cell>
          <cell r="X211" t="str">
            <v/>
          </cell>
          <cell r="Y211" t="str">
            <v/>
          </cell>
          <cell r="Z211" t="str">
            <v/>
          </cell>
          <cell r="AA211" t="str">
            <v/>
          </cell>
          <cell r="AB211" t="str">
            <v/>
          </cell>
          <cell r="AC211" t="str">
            <v/>
          </cell>
          <cell r="AD211" t="str">
            <v/>
          </cell>
          <cell r="AE211" t="str">
            <v/>
          </cell>
          <cell r="AF211" t="str">
            <v/>
          </cell>
          <cell r="AG211" t="str">
            <v/>
          </cell>
          <cell r="AH211" t="str">
            <v>②</v>
          </cell>
          <cell r="AI211" t="str">
            <v/>
          </cell>
        </row>
        <row r="212">
          <cell r="B212">
            <v>1311</v>
          </cell>
          <cell r="C212">
            <v>13</v>
          </cell>
          <cell r="D212">
            <v>11</v>
          </cell>
          <cell r="F212" t="str">
            <v>盛岡</v>
          </cell>
          <cell r="G212" t="str">
            <v>空調機設備保守</v>
          </cell>
          <cell r="H212" t="str">
            <v>三菱電機ﾋﾞﾙﾃｸﾉｻｰﾋﾞｽ</v>
          </cell>
          <cell r="I212">
            <v>303750</v>
          </cell>
          <cell r="J212">
            <v>309825</v>
          </cell>
          <cell r="K212">
            <v>2</v>
          </cell>
          <cell r="L212">
            <v>0</v>
          </cell>
          <cell r="M212">
            <v>0</v>
          </cell>
          <cell r="N212">
            <v>0</v>
          </cell>
          <cell r="O212">
            <v>309825</v>
          </cell>
          <cell r="P212">
            <v>0</v>
          </cell>
          <cell r="Q212">
            <v>0</v>
          </cell>
          <cell r="R212">
            <v>0</v>
          </cell>
          <cell r="S212">
            <v>309825</v>
          </cell>
          <cell r="T212">
            <v>0</v>
          </cell>
          <cell r="U212">
            <v>0</v>
          </cell>
          <cell r="V212">
            <v>0</v>
          </cell>
          <cell r="W212">
            <v>0</v>
          </cell>
          <cell r="X212" t="str">
            <v/>
          </cell>
          <cell r="Y212" t="str">
            <v/>
          </cell>
          <cell r="Z212" t="str">
            <v/>
          </cell>
          <cell r="AA212" t="str">
            <v>⑦</v>
          </cell>
          <cell r="AB212" t="str">
            <v/>
          </cell>
          <cell r="AC212" t="str">
            <v/>
          </cell>
          <cell r="AD212" t="str">
            <v/>
          </cell>
          <cell r="AE212" t="str">
            <v>⑪</v>
          </cell>
          <cell r="AF212" t="str">
            <v/>
          </cell>
          <cell r="AG212" t="str">
            <v/>
          </cell>
          <cell r="AH212" t="str">
            <v/>
          </cell>
          <cell r="AI212" t="str">
            <v/>
          </cell>
        </row>
        <row r="213">
          <cell r="B213">
            <v>1312</v>
          </cell>
          <cell r="C213">
            <v>13</v>
          </cell>
          <cell r="D213">
            <v>12</v>
          </cell>
          <cell r="F213" t="str">
            <v>盛岡</v>
          </cell>
          <cell r="G213" t="str">
            <v>オートドア設備保守</v>
          </cell>
          <cell r="H213" t="str">
            <v>寺岡オートドア岩手</v>
          </cell>
          <cell r="I213">
            <v>47500</v>
          </cell>
          <cell r="J213">
            <v>48450</v>
          </cell>
          <cell r="K213">
            <v>2</v>
          </cell>
          <cell r="L213">
            <v>0</v>
          </cell>
          <cell r="M213">
            <v>48450</v>
          </cell>
          <cell r="N213">
            <v>0</v>
          </cell>
          <cell r="O213">
            <v>0</v>
          </cell>
          <cell r="P213">
            <v>0</v>
          </cell>
          <cell r="Q213">
            <v>0</v>
          </cell>
          <cell r="R213">
            <v>0</v>
          </cell>
          <cell r="S213">
            <v>0</v>
          </cell>
          <cell r="T213">
            <v>0</v>
          </cell>
          <cell r="U213">
            <v>0</v>
          </cell>
          <cell r="V213">
            <v>48450</v>
          </cell>
          <cell r="W213">
            <v>0</v>
          </cell>
          <cell r="X213" t="str">
            <v/>
          </cell>
          <cell r="Y213" t="str">
            <v>⑤</v>
          </cell>
          <cell r="Z213" t="str">
            <v/>
          </cell>
          <cell r="AA213" t="str">
            <v/>
          </cell>
          <cell r="AB213" t="str">
            <v/>
          </cell>
          <cell r="AC213" t="str">
            <v/>
          </cell>
          <cell r="AD213" t="str">
            <v/>
          </cell>
          <cell r="AE213" t="str">
            <v/>
          </cell>
          <cell r="AF213" t="str">
            <v/>
          </cell>
          <cell r="AG213" t="str">
            <v/>
          </cell>
          <cell r="AH213" t="str">
            <v>②</v>
          </cell>
          <cell r="AI213" t="str">
            <v/>
          </cell>
        </row>
        <row r="214">
          <cell r="B214">
            <v>1313</v>
          </cell>
          <cell r="C214">
            <v>13</v>
          </cell>
          <cell r="D214">
            <v>13</v>
          </cell>
          <cell r="F214" t="str">
            <v>盛岡</v>
          </cell>
          <cell r="G214" t="str">
            <v>ボイラー点検整備</v>
          </cell>
          <cell r="H214" t="str">
            <v>㈲三協ボイラー商会</v>
          </cell>
          <cell r="I214">
            <v>186000</v>
          </cell>
          <cell r="J214">
            <v>213900</v>
          </cell>
          <cell r="K214">
            <v>1</v>
          </cell>
          <cell r="L214">
            <v>0</v>
          </cell>
          <cell r="M214">
            <v>0</v>
          </cell>
          <cell r="N214">
            <v>0</v>
          </cell>
          <cell r="O214">
            <v>0</v>
          </cell>
          <cell r="P214">
            <v>0</v>
          </cell>
          <cell r="Q214">
            <v>0</v>
          </cell>
          <cell r="R214">
            <v>213900</v>
          </cell>
          <cell r="S214">
            <v>0</v>
          </cell>
          <cell r="T214">
            <v>0</v>
          </cell>
          <cell r="U214">
            <v>0</v>
          </cell>
          <cell r="V214">
            <v>0</v>
          </cell>
          <cell r="W214">
            <v>0</v>
          </cell>
          <cell r="X214" t="str">
            <v/>
          </cell>
          <cell r="Y214" t="str">
            <v/>
          </cell>
          <cell r="Z214" t="str">
            <v/>
          </cell>
          <cell r="AA214" t="str">
            <v/>
          </cell>
          <cell r="AB214" t="str">
            <v/>
          </cell>
          <cell r="AC214" t="str">
            <v/>
          </cell>
          <cell r="AD214" t="str">
            <v>⑩</v>
          </cell>
          <cell r="AE214" t="str">
            <v/>
          </cell>
          <cell r="AF214" t="str">
            <v/>
          </cell>
          <cell r="AG214" t="str">
            <v/>
          </cell>
          <cell r="AH214" t="str">
            <v/>
          </cell>
          <cell r="AI214" t="str">
            <v/>
          </cell>
          <cell r="AJ214" t="str">
            <v>追</v>
          </cell>
        </row>
        <row r="215">
          <cell r="B215">
            <v>1314</v>
          </cell>
          <cell r="C215">
            <v>13</v>
          </cell>
          <cell r="D215">
            <v>14</v>
          </cell>
          <cell r="F215" t="str">
            <v>盛岡</v>
          </cell>
          <cell r="G215" t="str">
            <v>植栽管理</v>
          </cell>
          <cell r="H215" t="str">
            <v>㈲岩手グリーン企画</v>
          </cell>
          <cell r="I215">
            <v>63500</v>
          </cell>
          <cell r="J215">
            <v>73375</v>
          </cell>
          <cell r="K215">
            <v>1</v>
          </cell>
          <cell r="L215">
            <v>0</v>
          </cell>
          <cell r="M215">
            <v>0</v>
          </cell>
          <cell r="N215">
            <v>0</v>
          </cell>
          <cell r="O215">
            <v>0</v>
          </cell>
          <cell r="P215">
            <v>0</v>
          </cell>
          <cell r="Q215">
            <v>0</v>
          </cell>
          <cell r="R215">
            <v>0</v>
          </cell>
          <cell r="S215">
            <v>0</v>
          </cell>
          <cell r="T215">
            <v>0</v>
          </cell>
          <cell r="U215">
            <v>73375</v>
          </cell>
          <cell r="V215">
            <v>0</v>
          </cell>
          <cell r="W215">
            <v>0</v>
          </cell>
          <cell r="X215" t="str">
            <v/>
          </cell>
          <cell r="Y215" t="str">
            <v/>
          </cell>
          <cell r="Z215" t="str">
            <v/>
          </cell>
          <cell r="AA215" t="str">
            <v/>
          </cell>
          <cell r="AC215" t="str">
            <v/>
          </cell>
          <cell r="AD215" t="str">
            <v/>
          </cell>
          <cell r="AE215" t="str">
            <v/>
          </cell>
          <cell r="AF215" t="str">
            <v/>
          </cell>
          <cell r="AG215" t="str">
            <v>①</v>
          </cell>
          <cell r="AH215" t="str">
            <v/>
          </cell>
          <cell r="AI215" t="str">
            <v/>
          </cell>
          <cell r="AJ215" t="str">
            <v>追</v>
          </cell>
        </row>
        <row r="216">
          <cell r="B216">
            <v>1315</v>
          </cell>
          <cell r="C216">
            <v>13</v>
          </cell>
          <cell r="D216">
            <v>15</v>
          </cell>
          <cell r="F216" t="str">
            <v>盛岡</v>
          </cell>
          <cell r="G216" t="str">
            <v>外調機ﾌｨﾙﾀｰ清掃</v>
          </cell>
          <cell r="H216" t="str">
            <v>岩手建物管理㈱</v>
          </cell>
          <cell r="I216">
            <v>13000</v>
          </cell>
          <cell r="J216">
            <v>15000</v>
          </cell>
          <cell r="K216">
            <v>1</v>
          </cell>
          <cell r="L216">
            <v>0</v>
          </cell>
          <cell r="M216">
            <v>15000</v>
          </cell>
          <cell r="N216">
            <v>0</v>
          </cell>
          <cell r="O216">
            <v>0</v>
          </cell>
          <cell r="P216">
            <v>0</v>
          </cell>
          <cell r="Q216">
            <v>0</v>
          </cell>
          <cell r="R216">
            <v>0</v>
          </cell>
          <cell r="S216">
            <v>0</v>
          </cell>
          <cell r="T216">
            <v>0</v>
          </cell>
          <cell r="U216">
            <v>0</v>
          </cell>
          <cell r="V216">
            <v>0</v>
          </cell>
          <cell r="W216">
            <v>0</v>
          </cell>
          <cell r="X216" t="str">
            <v/>
          </cell>
          <cell r="Y216" t="str">
            <v>⑤</v>
          </cell>
          <cell r="Z216" t="str">
            <v/>
          </cell>
          <cell r="AA216" t="str">
            <v/>
          </cell>
          <cell r="AB216" t="str">
            <v/>
          </cell>
          <cell r="AC216" t="str">
            <v/>
          </cell>
          <cell r="AD216" t="str">
            <v/>
          </cell>
          <cell r="AE216" t="str">
            <v/>
          </cell>
          <cell r="AF216" t="str">
            <v/>
          </cell>
          <cell r="AG216" t="str">
            <v/>
          </cell>
          <cell r="AH216" t="str">
            <v/>
          </cell>
          <cell r="AI216" t="str">
            <v/>
          </cell>
          <cell r="AJ216" t="str">
            <v>追</v>
          </cell>
        </row>
        <row r="217">
          <cell r="B217">
            <v>1316</v>
          </cell>
          <cell r="C217">
            <v>13</v>
          </cell>
          <cell r="D217">
            <v>16</v>
          </cell>
          <cell r="F217" t="str">
            <v>盛岡</v>
          </cell>
          <cell r="G217" t="str">
            <v>ﾛｰﾙﾌｨﾙﾀｰ清掃</v>
          </cell>
          <cell r="H217" t="str">
            <v>岩手建物管理㈱</v>
          </cell>
          <cell r="I217">
            <v>22300</v>
          </cell>
          <cell r="J217">
            <v>25645</v>
          </cell>
          <cell r="K217">
            <v>2</v>
          </cell>
          <cell r="L217">
            <v>0</v>
          </cell>
          <cell r="M217">
            <v>0</v>
          </cell>
          <cell r="N217">
            <v>0</v>
          </cell>
          <cell r="O217">
            <v>0</v>
          </cell>
          <cell r="P217">
            <v>25645</v>
          </cell>
          <cell r="Q217">
            <v>0</v>
          </cell>
          <cell r="R217">
            <v>0</v>
          </cell>
          <cell r="S217">
            <v>0</v>
          </cell>
          <cell r="T217">
            <v>0</v>
          </cell>
          <cell r="U217">
            <v>0</v>
          </cell>
          <cell r="V217">
            <v>0</v>
          </cell>
          <cell r="W217">
            <v>25645</v>
          </cell>
          <cell r="X217" t="str">
            <v/>
          </cell>
          <cell r="Y217" t="str">
            <v/>
          </cell>
          <cell r="Z217" t="str">
            <v/>
          </cell>
          <cell r="AA217" t="str">
            <v/>
          </cell>
          <cell r="AB217" t="str">
            <v>⑧</v>
          </cell>
          <cell r="AC217" t="str">
            <v/>
          </cell>
          <cell r="AD217" t="str">
            <v/>
          </cell>
          <cell r="AE217" t="str">
            <v/>
          </cell>
          <cell r="AF217" t="str">
            <v/>
          </cell>
          <cell r="AG217" t="str">
            <v/>
          </cell>
          <cell r="AH217" t="str">
            <v/>
          </cell>
          <cell r="AI217" t="str">
            <v>③</v>
          </cell>
          <cell r="AJ217" t="str">
            <v>追</v>
          </cell>
        </row>
        <row r="218">
          <cell r="B218">
            <v>1317</v>
          </cell>
          <cell r="C218">
            <v>13</v>
          </cell>
          <cell r="D218">
            <v>17</v>
          </cell>
          <cell r="F218" t="str">
            <v>盛岡</v>
          </cell>
          <cell r="G218" t="str">
            <v>ﾊﾟｯｹｰｼﾞﾌｨﾙﾀｰ清掃</v>
          </cell>
          <cell r="H218" t="str">
            <v>岩手建物管理㈱</v>
          </cell>
          <cell r="I218">
            <v>23800</v>
          </cell>
          <cell r="J218">
            <v>27370</v>
          </cell>
          <cell r="K218">
            <v>6</v>
          </cell>
          <cell r="L218">
            <v>27370</v>
          </cell>
          <cell r="M218">
            <v>0</v>
          </cell>
          <cell r="N218">
            <v>27370</v>
          </cell>
          <cell r="O218">
            <v>0</v>
          </cell>
          <cell r="P218">
            <v>27370</v>
          </cell>
          <cell r="Q218">
            <v>0</v>
          </cell>
          <cell r="R218">
            <v>27370</v>
          </cell>
          <cell r="S218">
            <v>0</v>
          </cell>
          <cell r="T218">
            <v>27370</v>
          </cell>
          <cell r="U218">
            <v>0</v>
          </cell>
          <cell r="V218">
            <v>27370</v>
          </cell>
          <cell r="W218">
            <v>0</v>
          </cell>
          <cell r="X218" t="str">
            <v>④</v>
          </cell>
          <cell r="Z218" t="str">
            <v>⑥</v>
          </cell>
          <cell r="AB218" t="str">
            <v>⑧</v>
          </cell>
          <cell r="AD218" t="str">
            <v>⑩</v>
          </cell>
          <cell r="AF218" t="str">
            <v>⑫</v>
          </cell>
          <cell r="AH218" t="str">
            <v>②</v>
          </cell>
          <cell r="AJ218" t="str">
            <v>追</v>
          </cell>
        </row>
        <row r="219">
          <cell r="B219">
            <v>1318</v>
          </cell>
          <cell r="C219">
            <v>13</v>
          </cell>
          <cell r="D219">
            <v>18</v>
          </cell>
          <cell r="F219" t="str">
            <v>盛岡</v>
          </cell>
          <cell r="G219" t="str">
            <v>冷却塔清掃</v>
          </cell>
          <cell r="H219" t="str">
            <v>岩手建物管理㈱</v>
          </cell>
          <cell r="I219">
            <v>12000</v>
          </cell>
          <cell r="J219">
            <v>13800</v>
          </cell>
          <cell r="K219">
            <v>1</v>
          </cell>
          <cell r="L219">
            <v>0</v>
          </cell>
          <cell r="M219">
            <v>0</v>
          </cell>
          <cell r="N219">
            <v>0</v>
          </cell>
          <cell r="O219">
            <v>0</v>
          </cell>
          <cell r="P219">
            <v>0</v>
          </cell>
          <cell r="Q219">
            <v>0</v>
          </cell>
          <cell r="R219">
            <v>13800</v>
          </cell>
          <cell r="S219">
            <v>0</v>
          </cell>
          <cell r="T219">
            <v>0</v>
          </cell>
          <cell r="U219">
            <v>0</v>
          </cell>
          <cell r="V219">
            <v>0</v>
          </cell>
          <cell r="W219">
            <v>0</v>
          </cell>
          <cell r="X219" t="str">
            <v/>
          </cell>
          <cell r="Y219" t="str">
            <v/>
          </cell>
          <cell r="Z219" t="str">
            <v/>
          </cell>
          <cell r="AA219" t="str">
            <v/>
          </cell>
          <cell r="AB219" t="str">
            <v/>
          </cell>
          <cell r="AC219" t="str">
            <v/>
          </cell>
          <cell r="AD219" t="str">
            <v>⑩</v>
          </cell>
          <cell r="AE219" t="str">
            <v/>
          </cell>
          <cell r="AF219" t="str">
            <v/>
          </cell>
          <cell r="AG219" t="str">
            <v/>
          </cell>
          <cell r="AH219" t="str">
            <v/>
          </cell>
          <cell r="AI219" t="str">
            <v/>
          </cell>
          <cell r="AJ219" t="str">
            <v>追</v>
          </cell>
        </row>
        <row r="220">
          <cell r="B220">
            <v>1319</v>
          </cell>
          <cell r="C220">
            <v>13</v>
          </cell>
          <cell r="D220">
            <v>19</v>
          </cell>
          <cell r="F220" t="str">
            <v>盛岡</v>
          </cell>
          <cell r="G220" t="str">
            <v>シャッター点検整備</v>
          </cell>
          <cell r="H220" t="str">
            <v>文化シヤッター㈱</v>
          </cell>
          <cell r="I220">
            <v>86000</v>
          </cell>
          <cell r="J220">
            <v>98900</v>
          </cell>
          <cell r="K220">
            <v>1</v>
          </cell>
          <cell r="L220">
            <v>0</v>
          </cell>
          <cell r="M220">
            <v>98900</v>
          </cell>
          <cell r="N220">
            <v>0</v>
          </cell>
          <cell r="O220">
            <v>0</v>
          </cell>
          <cell r="P220">
            <v>0</v>
          </cell>
          <cell r="Q220">
            <v>0</v>
          </cell>
          <cell r="R220">
            <v>0</v>
          </cell>
          <cell r="S220">
            <v>0</v>
          </cell>
          <cell r="T220">
            <v>0</v>
          </cell>
          <cell r="U220">
            <v>0</v>
          </cell>
          <cell r="V220">
            <v>0</v>
          </cell>
          <cell r="W220">
            <v>0</v>
          </cell>
          <cell r="X220" t="str">
            <v/>
          </cell>
          <cell r="Y220" t="str">
            <v>⑤</v>
          </cell>
          <cell r="Z220" t="str">
            <v/>
          </cell>
          <cell r="AA220" t="str">
            <v/>
          </cell>
          <cell r="AB220" t="str">
            <v/>
          </cell>
          <cell r="AC220" t="str">
            <v/>
          </cell>
          <cell r="AD220" t="str">
            <v/>
          </cell>
          <cell r="AE220" t="str">
            <v/>
          </cell>
          <cell r="AF220" t="str">
            <v/>
          </cell>
          <cell r="AG220" t="str">
            <v/>
          </cell>
          <cell r="AH220" t="str">
            <v/>
          </cell>
          <cell r="AI220" t="str">
            <v/>
          </cell>
          <cell r="AJ220" t="str">
            <v>追</v>
          </cell>
        </row>
        <row r="221">
          <cell r="B221">
            <v>1320</v>
          </cell>
          <cell r="C221">
            <v>13</v>
          </cell>
          <cell r="D221">
            <v>20</v>
          </cell>
          <cell r="F221" t="str">
            <v>盛岡</v>
          </cell>
          <cell r="G221" t="str">
            <v>電気湯沸器点検整備</v>
          </cell>
          <cell r="H221" t="str">
            <v>岩手建物管理㈱</v>
          </cell>
          <cell r="I221">
            <v>140000</v>
          </cell>
          <cell r="J221">
            <v>161000</v>
          </cell>
          <cell r="K221">
            <v>1</v>
          </cell>
          <cell r="L221">
            <v>0</v>
          </cell>
          <cell r="M221">
            <v>0</v>
          </cell>
          <cell r="N221">
            <v>0</v>
          </cell>
          <cell r="O221">
            <v>0</v>
          </cell>
          <cell r="P221">
            <v>0</v>
          </cell>
          <cell r="Q221">
            <v>0</v>
          </cell>
          <cell r="R221">
            <v>0</v>
          </cell>
          <cell r="S221">
            <v>0</v>
          </cell>
          <cell r="T221">
            <v>161000</v>
          </cell>
          <cell r="U221">
            <v>0</v>
          </cell>
          <cell r="V221">
            <v>0</v>
          </cell>
          <cell r="W221">
            <v>0</v>
          </cell>
          <cell r="X221" t="str">
            <v/>
          </cell>
          <cell r="Y221" t="str">
            <v/>
          </cell>
          <cell r="Z221" t="str">
            <v/>
          </cell>
          <cell r="AA221" t="str">
            <v/>
          </cell>
          <cell r="AB221" t="str">
            <v/>
          </cell>
          <cell r="AC221" t="str">
            <v/>
          </cell>
          <cell r="AD221" t="str">
            <v/>
          </cell>
          <cell r="AE221" t="str">
            <v/>
          </cell>
          <cell r="AF221" t="str">
            <v>⑫</v>
          </cell>
          <cell r="AG221" t="str">
            <v/>
          </cell>
          <cell r="AH221" t="str">
            <v/>
          </cell>
          <cell r="AI221" t="str">
            <v/>
          </cell>
          <cell r="AJ221" t="str">
            <v>追</v>
          </cell>
        </row>
        <row r="222">
          <cell r="B222">
            <v>1321</v>
          </cell>
          <cell r="C222">
            <v>13</v>
          </cell>
          <cell r="D222">
            <v>21</v>
          </cell>
          <cell r="F222" t="str">
            <v>盛岡</v>
          </cell>
          <cell r="G222" t="str">
            <v>全熱交換機点検整備</v>
          </cell>
          <cell r="H222" t="str">
            <v>高砂熱学工業</v>
          </cell>
          <cell r="I222">
            <v>124000</v>
          </cell>
          <cell r="J222">
            <v>142600</v>
          </cell>
          <cell r="K222">
            <v>1</v>
          </cell>
          <cell r="L222">
            <v>0</v>
          </cell>
          <cell r="M222">
            <v>0</v>
          </cell>
          <cell r="N222">
            <v>0</v>
          </cell>
          <cell r="O222">
            <v>0</v>
          </cell>
          <cell r="P222">
            <v>0</v>
          </cell>
          <cell r="Q222">
            <v>0</v>
          </cell>
          <cell r="R222">
            <v>0</v>
          </cell>
          <cell r="S222">
            <v>0</v>
          </cell>
          <cell r="T222">
            <v>142600</v>
          </cell>
          <cell r="U222">
            <v>0</v>
          </cell>
          <cell r="V222">
            <v>0</v>
          </cell>
          <cell r="W222">
            <v>0</v>
          </cell>
          <cell r="X222" t="str">
            <v/>
          </cell>
          <cell r="Y222" t="str">
            <v/>
          </cell>
          <cell r="Z222" t="str">
            <v/>
          </cell>
          <cell r="AA222" t="str">
            <v/>
          </cell>
          <cell r="AB222" t="str">
            <v/>
          </cell>
          <cell r="AC222" t="str">
            <v/>
          </cell>
          <cell r="AD222" t="str">
            <v/>
          </cell>
          <cell r="AE222" t="str">
            <v/>
          </cell>
          <cell r="AF222" t="str">
            <v>⑫</v>
          </cell>
          <cell r="AG222" t="str">
            <v/>
          </cell>
          <cell r="AH222" t="str">
            <v/>
          </cell>
          <cell r="AI222" t="str">
            <v/>
          </cell>
          <cell r="AJ222" t="str">
            <v>追</v>
          </cell>
        </row>
        <row r="223">
          <cell r="B223">
            <v>1322</v>
          </cell>
          <cell r="C223">
            <v>13</v>
          </cell>
          <cell r="D223">
            <v>22</v>
          </cell>
          <cell r="F223" t="str">
            <v>盛岡</v>
          </cell>
          <cell r="G223" t="str">
            <v>送排風機点検整備</v>
          </cell>
          <cell r="H223" t="str">
            <v>高砂熱学工業</v>
          </cell>
          <cell r="I223">
            <v>37000</v>
          </cell>
          <cell r="J223">
            <v>42550</v>
          </cell>
          <cell r="K223">
            <v>1</v>
          </cell>
          <cell r="L223">
            <v>0</v>
          </cell>
          <cell r="M223">
            <v>0</v>
          </cell>
          <cell r="N223">
            <v>0</v>
          </cell>
          <cell r="O223">
            <v>0</v>
          </cell>
          <cell r="P223">
            <v>0</v>
          </cell>
          <cell r="Q223">
            <v>0</v>
          </cell>
          <cell r="R223">
            <v>0</v>
          </cell>
          <cell r="S223">
            <v>0</v>
          </cell>
          <cell r="T223">
            <v>42550</v>
          </cell>
          <cell r="U223">
            <v>0</v>
          </cell>
          <cell r="V223">
            <v>0</v>
          </cell>
          <cell r="W223">
            <v>0</v>
          </cell>
          <cell r="X223" t="str">
            <v/>
          </cell>
          <cell r="Y223" t="str">
            <v/>
          </cell>
          <cell r="Z223" t="str">
            <v/>
          </cell>
          <cell r="AA223" t="str">
            <v/>
          </cell>
          <cell r="AB223" t="str">
            <v/>
          </cell>
          <cell r="AC223" t="str">
            <v/>
          </cell>
          <cell r="AD223" t="str">
            <v/>
          </cell>
          <cell r="AE223" t="str">
            <v/>
          </cell>
          <cell r="AF223" t="str">
            <v>⑫</v>
          </cell>
          <cell r="AG223" t="str">
            <v/>
          </cell>
          <cell r="AH223" t="str">
            <v/>
          </cell>
          <cell r="AI223" t="str">
            <v/>
          </cell>
          <cell r="AJ223" t="str">
            <v>追</v>
          </cell>
        </row>
        <row r="224">
          <cell r="B224">
            <v>1323</v>
          </cell>
          <cell r="C224">
            <v>13</v>
          </cell>
          <cell r="D224">
            <v>23</v>
          </cell>
          <cell r="F224" t="str">
            <v>盛岡</v>
          </cell>
          <cell r="G224" t="str">
            <v>ポンプ類点検</v>
          </cell>
          <cell r="H224" t="str">
            <v>西原衛生工業所</v>
          </cell>
          <cell r="I224">
            <v>38000</v>
          </cell>
          <cell r="J224">
            <v>43700</v>
          </cell>
          <cell r="K224">
            <v>1</v>
          </cell>
          <cell r="L224">
            <v>0</v>
          </cell>
          <cell r="M224">
            <v>0</v>
          </cell>
          <cell r="N224">
            <v>0</v>
          </cell>
          <cell r="O224">
            <v>0</v>
          </cell>
          <cell r="P224">
            <v>0</v>
          </cell>
          <cell r="Q224">
            <v>0</v>
          </cell>
          <cell r="R224">
            <v>0</v>
          </cell>
          <cell r="S224">
            <v>0</v>
          </cell>
          <cell r="T224">
            <v>0</v>
          </cell>
          <cell r="U224">
            <v>0</v>
          </cell>
          <cell r="V224">
            <v>43700</v>
          </cell>
          <cell r="W224">
            <v>0</v>
          </cell>
          <cell r="X224" t="str">
            <v/>
          </cell>
          <cell r="Y224" t="str">
            <v/>
          </cell>
          <cell r="Z224" t="str">
            <v/>
          </cell>
          <cell r="AA224" t="str">
            <v/>
          </cell>
          <cell r="AB224" t="str">
            <v/>
          </cell>
          <cell r="AC224" t="str">
            <v/>
          </cell>
          <cell r="AD224" t="str">
            <v/>
          </cell>
          <cell r="AE224" t="str">
            <v/>
          </cell>
          <cell r="AF224" t="str">
            <v/>
          </cell>
          <cell r="AG224" t="str">
            <v/>
          </cell>
          <cell r="AH224" t="str">
            <v>②</v>
          </cell>
          <cell r="AI224" t="str">
            <v/>
          </cell>
          <cell r="AJ224" t="str">
            <v>追</v>
          </cell>
        </row>
        <row r="225">
          <cell r="B225">
            <v>1401</v>
          </cell>
          <cell r="C225">
            <v>14</v>
          </cell>
          <cell r="D225">
            <v>1</v>
          </cell>
          <cell r="F225" t="str">
            <v>八戸</v>
          </cell>
          <cell r="G225" t="str">
            <v>立体駐車場(二･三段式)保守</v>
          </cell>
          <cell r="H225" t="str">
            <v>石川島運搬機械</v>
          </cell>
          <cell r="I225">
            <v>68000</v>
          </cell>
          <cell r="J225">
            <v>72300</v>
          </cell>
          <cell r="K225">
            <v>12</v>
          </cell>
          <cell r="L225">
            <v>72300</v>
          </cell>
          <cell r="M225">
            <v>72300</v>
          </cell>
          <cell r="N225">
            <v>72300</v>
          </cell>
          <cell r="O225">
            <v>72300</v>
          </cell>
          <cell r="P225">
            <v>72300</v>
          </cell>
          <cell r="Q225">
            <v>72300</v>
          </cell>
          <cell r="R225">
            <v>72300</v>
          </cell>
          <cell r="S225">
            <v>72300</v>
          </cell>
          <cell r="T225">
            <v>72300</v>
          </cell>
          <cell r="U225">
            <v>72300</v>
          </cell>
          <cell r="V225">
            <v>72300</v>
          </cell>
          <cell r="W225">
            <v>72300</v>
          </cell>
          <cell r="X225" t="str">
            <v>④</v>
          </cell>
          <cell r="Y225" t="str">
            <v>⑤</v>
          </cell>
          <cell r="Z225" t="str">
            <v>⑥</v>
          </cell>
          <cell r="AA225" t="str">
            <v>⑦</v>
          </cell>
          <cell r="AB225" t="str">
            <v>⑧</v>
          </cell>
          <cell r="AC225" t="str">
            <v>⑨</v>
          </cell>
          <cell r="AD225" t="str">
            <v>⑩</v>
          </cell>
          <cell r="AE225" t="str">
            <v>⑪</v>
          </cell>
          <cell r="AF225" t="str">
            <v>⑫</v>
          </cell>
          <cell r="AG225" t="str">
            <v>①</v>
          </cell>
          <cell r="AH225" t="str">
            <v>②</v>
          </cell>
          <cell r="AI225" t="str">
            <v>③</v>
          </cell>
        </row>
        <row r="226">
          <cell r="B226">
            <v>1402</v>
          </cell>
          <cell r="C226">
            <v>14</v>
          </cell>
          <cell r="D226">
            <v>2</v>
          </cell>
          <cell r="F226" t="str">
            <v>八戸</v>
          </cell>
          <cell r="G226" t="str">
            <v>エレベーター保守</v>
          </cell>
          <cell r="H226" t="str">
            <v>三菱電機ﾋﾞﾙﾃｸﾉｻｰﾋﾞｽ</v>
          </cell>
          <cell r="I226">
            <v>63700</v>
          </cell>
          <cell r="J226">
            <v>64974</v>
          </cell>
          <cell r="K226">
            <v>12</v>
          </cell>
          <cell r="L226">
            <v>64974</v>
          </cell>
          <cell r="M226">
            <v>64974</v>
          </cell>
          <cell r="N226">
            <v>64974</v>
          </cell>
          <cell r="O226">
            <v>64974</v>
          </cell>
          <cell r="P226">
            <v>64974</v>
          </cell>
          <cell r="Q226">
            <v>64974</v>
          </cell>
          <cell r="R226">
            <v>64974</v>
          </cell>
          <cell r="S226">
            <v>64974</v>
          </cell>
          <cell r="T226">
            <v>64974</v>
          </cell>
          <cell r="U226">
            <v>64974</v>
          </cell>
          <cell r="V226">
            <v>64974</v>
          </cell>
          <cell r="W226">
            <v>64974</v>
          </cell>
          <cell r="X226" t="str">
            <v>④</v>
          </cell>
          <cell r="Y226" t="str">
            <v>⑤</v>
          </cell>
          <cell r="Z226" t="str">
            <v>⑥</v>
          </cell>
          <cell r="AA226" t="str">
            <v>⑦</v>
          </cell>
          <cell r="AB226" t="str">
            <v>⑧</v>
          </cell>
          <cell r="AC226" t="str">
            <v>⑨</v>
          </cell>
          <cell r="AD226" t="str">
            <v>⑩</v>
          </cell>
          <cell r="AE226" t="str">
            <v>⑪</v>
          </cell>
          <cell r="AF226" t="str">
            <v>⑫</v>
          </cell>
          <cell r="AG226" t="str">
            <v>①</v>
          </cell>
          <cell r="AH226" t="str">
            <v>②</v>
          </cell>
          <cell r="AI226" t="str">
            <v>③</v>
          </cell>
        </row>
        <row r="227">
          <cell r="B227">
            <v>1403</v>
          </cell>
          <cell r="C227">
            <v>14</v>
          </cell>
          <cell r="D227">
            <v>3</v>
          </cell>
          <cell r="F227" t="str">
            <v>八戸</v>
          </cell>
          <cell r="G227" t="str">
            <v>消防設備点検保守</v>
          </cell>
          <cell r="H227" t="str">
            <v>三八五流通</v>
          </cell>
          <cell r="I227">
            <v>96800</v>
          </cell>
          <cell r="J227">
            <v>98736</v>
          </cell>
          <cell r="K227">
            <v>1</v>
          </cell>
          <cell r="L227">
            <v>0</v>
          </cell>
          <cell r="M227">
            <v>98736</v>
          </cell>
          <cell r="N227">
            <v>0</v>
          </cell>
          <cell r="O227">
            <v>0</v>
          </cell>
          <cell r="P227">
            <v>0</v>
          </cell>
          <cell r="Q227">
            <v>0</v>
          </cell>
          <cell r="R227">
            <v>0</v>
          </cell>
          <cell r="S227">
            <v>0</v>
          </cell>
          <cell r="T227">
            <v>0</v>
          </cell>
          <cell r="U227">
            <v>0</v>
          </cell>
          <cell r="V227">
            <v>0</v>
          </cell>
          <cell r="W227">
            <v>0</v>
          </cell>
          <cell r="X227" t="str">
            <v/>
          </cell>
          <cell r="Y227" t="str">
            <v>⑤</v>
          </cell>
          <cell r="Z227" t="str">
            <v/>
          </cell>
          <cell r="AA227" t="str">
            <v/>
          </cell>
          <cell r="AB227" t="str">
            <v/>
          </cell>
          <cell r="AC227" t="str">
            <v/>
          </cell>
          <cell r="AD227" t="str">
            <v/>
          </cell>
          <cell r="AE227" t="str">
            <v/>
          </cell>
          <cell r="AF227" t="str">
            <v/>
          </cell>
          <cell r="AG227" t="str">
            <v/>
          </cell>
          <cell r="AH227" t="str">
            <v/>
          </cell>
          <cell r="AI227" t="str">
            <v/>
          </cell>
        </row>
        <row r="228">
          <cell r="B228">
            <v>1404</v>
          </cell>
          <cell r="C228">
            <v>14</v>
          </cell>
          <cell r="D228">
            <v>4</v>
          </cell>
          <cell r="F228" t="str">
            <v>八戸</v>
          </cell>
          <cell r="G228" t="str">
            <v>消防設備点検保守</v>
          </cell>
          <cell r="H228" t="str">
            <v>三八五流通</v>
          </cell>
          <cell r="I228">
            <v>111920</v>
          </cell>
          <cell r="J228">
            <v>114158</v>
          </cell>
          <cell r="K228">
            <v>1</v>
          </cell>
          <cell r="L228">
            <v>0</v>
          </cell>
          <cell r="M228">
            <v>0</v>
          </cell>
          <cell r="N228">
            <v>0</v>
          </cell>
          <cell r="O228">
            <v>0</v>
          </cell>
          <cell r="P228">
            <v>0</v>
          </cell>
          <cell r="Q228">
            <v>0</v>
          </cell>
          <cell r="R228">
            <v>0</v>
          </cell>
          <cell r="S228">
            <v>114158</v>
          </cell>
          <cell r="T228">
            <v>0</v>
          </cell>
          <cell r="U228">
            <v>0</v>
          </cell>
          <cell r="V228">
            <v>0</v>
          </cell>
          <cell r="W228">
            <v>0</v>
          </cell>
          <cell r="X228" t="str">
            <v/>
          </cell>
          <cell r="Y228" t="str">
            <v/>
          </cell>
          <cell r="Z228" t="str">
            <v/>
          </cell>
          <cell r="AA228" t="str">
            <v/>
          </cell>
          <cell r="AB228" t="str">
            <v/>
          </cell>
          <cell r="AC228" t="str">
            <v/>
          </cell>
          <cell r="AD228" t="str">
            <v/>
          </cell>
          <cell r="AE228" t="str">
            <v>⑪</v>
          </cell>
          <cell r="AF228" t="str">
            <v/>
          </cell>
          <cell r="AG228" t="str">
            <v/>
          </cell>
          <cell r="AH228" t="str">
            <v/>
          </cell>
          <cell r="AI228" t="str">
            <v/>
          </cell>
        </row>
        <row r="229">
          <cell r="B229">
            <v>1405</v>
          </cell>
          <cell r="C229">
            <v>14</v>
          </cell>
          <cell r="D229">
            <v>5</v>
          </cell>
          <cell r="F229" t="str">
            <v>八戸</v>
          </cell>
          <cell r="G229" t="str">
            <v>害虫駆除</v>
          </cell>
          <cell r="H229" t="str">
            <v>シェル商事</v>
          </cell>
          <cell r="I229">
            <v>58000</v>
          </cell>
          <cell r="J229">
            <v>63800</v>
          </cell>
          <cell r="K229">
            <v>2</v>
          </cell>
          <cell r="L229">
            <v>0</v>
          </cell>
          <cell r="M229">
            <v>0</v>
          </cell>
          <cell r="N229">
            <v>63800</v>
          </cell>
          <cell r="O229">
            <v>0</v>
          </cell>
          <cell r="P229">
            <v>0</v>
          </cell>
          <cell r="Q229">
            <v>0</v>
          </cell>
          <cell r="R229">
            <v>0</v>
          </cell>
          <cell r="S229">
            <v>0</v>
          </cell>
          <cell r="T229">
            <v>63800</v>
          </cell>
          <cell r="U229">
            <v>0</v>
          </cell>
          <cell r="V229">
            <v>0</v>
          </cell>
          <cell r="W229">
            <v>0</v>
          </cell>
          <cell r="X229" t="str">
            <v/>
          </cell>
          <cell r="Y229" t="str">
            <v/>
          </cell>
          <cell r="Z229" t="str">
            <v>⑥</v>
          </cell>
          <cell r="AA229" t="str">
            <v/>
          </cell>
          <cell r="AB229" t="str">
            <v/>
          </cell>
          <cell r="AC229" t="str">
            <v/>
          </cell>
          <cell r="AD229" t="str">
            <v/>
          </cell>
          <cell r="AE229" t="str">
            <v/>
          </cell>
          <cell r="AF229" t="str">
            <v>⑫</v>
          </cell>
          <cell r="AG229" t="str">
            <v/>
          </cell>
          <cell r="AH229" t="str">
            <v/>
          </cell>
          <cell r="AI229" t="str">
            <v/>
          </cell>
        </row>
        <row r="230">
          <cell r="B230">
            <v>1406</v>
          </cell>
          <cell r="C230">
            <v>14</v>
          </cell>
          <cell r="D230">
            <v>6</v>
          </cell>
          <cell r="F230" t="str">
            <v>八戸</v>
          </cell>
          <cell r="G230" t="str">
            <v>受水槽清掃(含む高架水槽)</v>
          </cell>
          <cell r="H230" t="str">
            <v>三八五流通</v>
          </cell>
          <cell r="I230">
            <v>73000</v>
          </cell>
          <cell r="J230">
            <v>82490</v>
          </cell>
          <cell r="K230">
            <v>1</v>
          </cell>
          <cell r="L230">
            <v>0</v>
          </cell>
          <cell r="M230">
            <v>0</v>
          </cell>
          <cell r="N230">
            <v>82490</v>
          </cell>
          <cell r="O230">
            <v>0</v>
          </cell>
          <cell r="P230">
            <v>0</v>
          </cell>
          <cell r="Q230">
            <v>0</v>
          </cell>
          <cell r="R230">
            <v>0</v>
          </cell>
          <cell r="S230">
            <v>0</v>
          </cell>
          <cell r="T230">
            <v>0</v>
          </cell>
          <cell r="U230">
            <v>0</v>
          </cell>
          <cell r="V230">
            <v>0</v>
          </cell>
          <cell r="W230">
            <v>0</v>
          </cell>
          <cell r="X230" t="str">
            <v/>
          </cell>
          <cell r="Y230" t="str">
            <v/>
          </cell>
          <cell r="Z230" t="str">
            <v>⑥</v>
          </cell>
          <cell r="AA230" t="str">
            <v/>
          </cell>
          <cell r="AB230" t="str">
            <v/>
          </cell>
          <cell r="AC230" t="str">
            <v/>
          </cell>
          <cell r="AD230" t="str">
            <v/>
          </cell>
          <cell r="AE230" t="str">
            <v/>
          </cell>
          <cell r="AF230" t="str">
            <v/>
          </cell>
          <cell r="AG230" t="str">
            <v/>
          </cell>
          <cell r="AH230" t="str">
            <v/>
          </cell>
          <cell r="AI230" t="str">
            <v/>
          </cell>
        </row>
        <row r="231">
          <cell r="B231">
            <v>1407</v>
          </cell>
          <cell r="C231">
            <v>14</v>
          </cell>
          <cell r="D231">
            <v>7</v>
          </cell>
          <cell r="F231" t="str">
            <v>八戸</v>
          </cell>
          <cell r="G231" t="str">
            <v>オートドア設備保守</v>
          </cell>
          <cell r="H231" t="str">
            <v>東日本寺岡オートドア</v>
          </cell>
          <cell r="I231">
            <v>55175</v>
          </cell>
          <cell r="J231">
            <v>56278</v>
          </cell>
          <cell r="K231">
            <v>4</v>
          </cell>
          <cell r="L231">
            <v>0</v>
          </cell>
          <cell r="M231">
            <v>0</v>
          </cell>
          <cell r="N231">
            <v>56278</v>
          </cell>
          <cell r="O231">
            <v>0</v>
          </cell>
          <cell r="P231">
            <v>0</v>
          </cell>
          <cell r="Q231">
            <v>56278</v>
          </cell>
          <cell r="R231">
            <v>0</v>
          </cell>
          <cell r="S231">
            <v>0</v>
          </cell>
          <cell r="T231">
            <v>56278</v>
          </cell>
          <cell r="U231">
            <v>0</v>
          </cell>
          <cell r="V231">
            <v>0</v>
          </cell>
          <cell r="W231">
            <v>56278</v>
          </cell>
          <cell r="X231" t="str">
            <v/>
          </cell>
          <cell r="Y231" t="str">
            <v/>
          </cell>
          <cell r="Z231" t="str">
            <v>⑥</v>
          </cell>
          <cell r="AA231" t="str">
            <v/>
          </cell>
          <cell r="AB231" t="str">
            <v/>
          </cell>
          <cell r="AC231" t="str">
            <v>⑨</v>
          </cell>
          <cell r="AD231" t="str">
            <v/>
          </cell>
          <cell r="AE231" t="str">
            <v/>
          </cell>
          <cell r="AF231" t="str">
            <v>⑫</v>
          </cell>
          <cell r="AG231" t="str">
            <v/>
          </cell>
          <cell r="AH231" t="str">
            <v/>
          </cell>
          <cell r="AI231" t="str">
            <v>③</v>
          </cell>
        </row>
        <row r="232">
          <cell r="B232">
            <v>1408</v>
          </cell>
          <cell r="C232">
            <v>14</v>
          </cell>
          <cell r="D232">
            <v>8</v>
          </cell>
          <cell r="F232" t="str">
            <v>八戸</v>
          </cell>
          <cell r="G232" t="str">
            <v>空調機設備保守</v>
          </cell>
          <cell r="H232" t="str">
            <v>テクノ菱和</v>
          </cell>
          <cell r="I232">
            <v>645000</v>
          </cell>
          <cell r="J232">
            <v>657900</v>
          </cell>
          <cell r="K232">
            <v>2</v>
          </cell>
          <cell r="L232">
            <v>0</v>
          </cell>
          <cell r="M232">
            <v>0</v>
          </cell>
          <cell r="N232">
            <v>657900</v>
          </cell>
          <cell r="O232">
            <v>0</v>
          </cell>
          <cell r="P232">
            <v>0</v>
          </cell>
          <cell r="Q232">
            <v>0</v>
          </cell>
          <cell r="R232">
            <v>0</v>
          </cell>
          <cell r="S232">
            <v>657900</v>
          </cell>
          <cell r="T232">
            <v>0</v>
          </cell>
          <cell r="U232">
            <v>0</v>
          </cell>
          <cell r="V232">
            <v>0</v>
          </cell>
          <cell r="W232">
            <v>0</v>
          </cell>
          <cell r="X232" t="str">
            <v/>
          </cell>
          <cell r="Y232" t="str">
            <v/>
          </cell>
          <cell r="Z232" t="str">
            <v>⑥</v>
          </cell>
          <cell r="AA232" t="str">
            <v/>
          </cell>
          <cell r="AB232" t="str">
            <v/>
          </cell>
          <cell r="AC232" t="str">
            <v/>
          </cell>
          <cell r="AD232" t="str">
            <v/>
          </cell>
          <cell r="AE232" t="str">
            <v>⑪</v>
          </cell>
          <cell r="AF232" t="str">
            <v/>
          </cell>
          <cell r="AG232" t="str">
            <v/>
          </cell>
          <cell r="AH232" t="str">
            <v/>
          </cell>
          <cell r="AI232" t="str">
            <v/>
          </cell>
        </row>
        <row r="233">
          <cell r="B233">
            <v>1409</v>
          </cell>
          <cell r="C233">
            <v>14</v>
          </cell>
          <cell r="D233">
            <v>9</v>
          </cell>
          <cell r="F233" t="str">
            <v>八戸</v>
          </cell>
          <cell r="G233" t="str">
            <v>植栽管理</v>
          </cell>
          <cell r="H233" t="str">
            <v>三八五流通㈱</v>
          </cell>
          <cell r="I233">
            <v>46000</v>
          </cell>
          <cell r="J233">
            <v>52900</v>
          </cell>
          <cell r="K233">
            <v>1</v>
          </cell>
          <cell r="L233">
            <v>0</v>
          </cell>
          <cell r="M233">
            <v>0</v>
          </cell>
          <cell r="N233">
            <v>0</v>
          </cell>
          <cell r="O233">
            <v>0</v>
          </cell>
          <cell r="P233">
            <v>0</v>
          </cell>
          <cell r="Q233">
            <v>0</v>
          </cell>
          <cell r="R233">
            <v>52900</v>
          </cell>
          <cell r="S233">
            <v>0</v>
          </cell>
          <cell r="T233">
            <v>0</v>
          </cell>
          <cell r="U233">
            <v>0</v>
          </cell>
          <cell r="V233">
            <v>0</v>
          </cell>
          <cell r="W233">
            <v>0</v>
          </cell>
          <cell r="X233" t="str">
            <v/>
          </cell>
          <cell r="Y233" t="str">
            <v/>
          </cell>
          <cell r="Z233" t="str">
            <v/>
          </cell>
          <cell r="AA233" t="str">
            <v/>
          </cell>
          <cell r="AB233" t="str">
            <v/>
          </cell>
          <cell r="AC233" t="str">
            <v/>
          </cell>
          <cell r="AD233" t="str">
            <v>⑩</v>
          </cell>
          <cell r="AE233" t="str">
            <v/>
          </cell>
          <cell r="AF233" t="str">
            <v/>
          </cell>
          <cell r="AG233" t="str">
            <v/>
          </cell>
          <cell r="AH233" t="str">
            <v/>
          </cell>
          <cell r="AI233" t="str">
            <v/>
          </cell>
          <cell r="AJ233" t="str">
            <v>追</v>
          </cell>
        </row>
        <row r="234">
          <cell r="B234">
            <v>1410</v>
          </cell>
          <cell r="C234">
            <v>14</v>
          </cell>
          <cell r="D234">
            <v>10</v>
          </cell>
          <cell r="F234" t="str">
            <v>八戸</v>
          </cell>
          <cell r="G234" t="str">
            <v>電気湯沸器点検整備</v>
          </cell>
          <cell r="H234" t="str">
            <v>三八五流通㈱</v>
          </cell>
          <cell r="I234">
            <v>30000</v>
          </cell>
          <cell r="J234">
            <v>34500</v>
          </cell>
          <cell r="K234">
            <v>1</v>
          </cell>
          <cell r="L234">
            <v>0</v>
          </cell>
          <cell r="M234">
            <v>0</v>
          </cell>
          <cell r="N234">
            <v>0</v>
          </cell>
          <cell r="O234">
            <v>0</v>
          </cell>
          <cell r="P234">
            <v>0</v>
          </cell>
          <cell r="Q234">
            <v>0</v>
          </cell>
          <cell r="R234">
            <v>0</v>
          </cell>
          <cell r="S234">
            <v>34500</v>
          </cell>
          <cell r="T234">
            <v>0</v>
          </cell>
          <cell r="U234">
            <v>0</v>
          </cell>
          <cell r="V234">
            <v>0</v>
          </cell>
          <cell r="W234">
            <v>0</v>
          </cell>
          <cell r="X234" t="str">
            <v/>
          </cell>
          <cell r="Y234" t="str">
            <v/>
          </cell>
          <cell r="Z234" t="str">
            <v/>
          </cell>
          <cell r="AA234" t="str">
            <v/>
          </cell>
          <cell r="AB234" t="str">
            <v/>
          </cell>
          <cell r="AC234" t="str">
            <v/>
          </cell>
          <cell r="AD234" t="str">
            <v/>
          </cell>
          <cell r="AE234" t="str">
            <v>⑪</v>
          </cell>
          <cell r="AF234" t="str">
            <v/>
          </cell>
          <cell r="AG234" t="str">
            <v/>
          </cell>
          <cell r="AH234" t="str">
            <v/>
          </cell>
          <cell r="AI234" t="str">
            <v/>
          </cell>
          <cell r="AJ234" t="str">
            <v>追</v>
          </cell>
        </row>
        <row r="235">
          <cell r="B235">
            <v>1501</v>
          </cell>
          <cell r="C235">
            <v>15</v>
          </cell>
          <cell r="D235">
            <v>1</v>
          </cell>
          <cell r="F235" t="str">
            <v>五所川原</v>
          </cell>
          <cell r="G235" t="str">
            <v>立体駐車場設備保守</v>
          </cell>
          <cell r="H235" t="str">
            <v>石川島運搬機械</v>
          </cell>
          <cell r="I235">
            <v>79000</v>
          </cell>
          <cell r="J235">
            <v>83700</v>
          </cell>
          <cell r="K235">
            <v>12</v>
          </cell>
          <cell r="L235">
            <v>83700</v>
          </cell>
          <cell r="M235">
            <v>83700</v>
          </cell>
          <cell r="N235">
            <v>83700</v>
          </cell>
          <cell r="O235">
            <v>83700</v>
          </cell>
          <cell r="P235">
            <v>83700</v>
          </cell>
          <cell r="Q235">
            <v>83700</v>
          </cell>
          <cell r="R235">
            <v>83700</v>
          </cell>
          <cell r="S235">
            <v>83700</v>
          </cell>
          <cell r="T235">
            <v>83700</v>
          </cell>
          <cell r="U235">
            <v>83700</v>
          </cell>
          <cell r="V235">
            <v>83700</v>
          </cell>
          <cell r="W235">
            <v>83700</v>
          </cell>
          <cell r="X235" t="str">
            <v>④</v>
          </cell>
          <cell r="Y235" t="str">
            <v>⑤</v>
          </cell>
          <cell r="Z235" t="str">
            <v>⑥</v>
          </cell>
          <cell r="AA235" t="str">
            <v>⑦</v>
          </cell>
          <cell r="AB235" t="str">
            <v>⑧</v>
          </cell>
          <cell r="AC235" t="str">
            <v>⑨</v>
          </cell>
          <cell r="AD235" t="str">
            <v>⑩</v>
          </cell>
          <cell r="AE235" t="str">
            <v>⑪</v>
          </cell>
          <cell r="AF235" t="str">
            <v>⑫</v>
          </cell>
          <cell r="AG235" t="str">
            <v>①</v>
          </cell>
          <cell r="AH235" t="str">
            <v>②</v>
          </cell>
          <cell r="AI235" t="str">
            <v>③</v>
          </cell>
        </row>
        <row r="236">
          <cell r="B236">
            <v>1502</v>
          </cell>
          <cell r="C236">
            <v>15</v>
          </cell>
          <cell r="D236">
            <v>2</v>
          </cell>
          <cell r="F236" t="str">
            <v>五所川原</v>
          </cell>
          <cell r="G236" t="str">
            <v>エレベーター保守</v>
          </cell>
          <cell r="H236" t="str">
            <v>三菱電機ﾋﾞﾙﾃｸﾉｻｰﾋﾞｽ</v>
          </cell>
          <cell r="I236">
            <v>67900</v>
          </cell>
          <cell r="J236">
            <v>69258</v>
          </cell>
          <cell r="K236">
            <v>12</v>
          </cell>
          <cell r="L236">
            <v>69258</v>
          </cell>
          <cell r="M236">
            <v>69258</v>
          </cell>
          <cell r="N236">
            <v>69258</v>
          </cell>
          <cell r="O236">
            <v>69258</v>
          </cell>
          <cell r="P236">
            <v>69258</v>
          </cell>
          <cell r="Q236">
            <v>69258</v>
          </cell>
          <cell r="R236">
            <v>69258</v>
          </cell>
          <cell r="S236">
            <v>69258</v>
          </cell>
          <cell r="T236">
            <v>69258</v>
          </cell>
          <cell r="U236">
            <v>69258</v>
          </cell>
          <cell r="V236">
            <v>69258</v>
          </cell>
          <cell r="W236">
            <v>69258</v>
          </cell>
          <cell r="X236" t="str">
            <v>④</v>
          </cell>
          <cell r="Y236" t="str">
            <v>⑤</v>
          </cell>
          <cell r="Z236" t="str">
            <v>⑥</v>
          </cell>
          <cell r="AA236" t="str">
            <v>⑦</v>
          </cell>
          <cell r="AB236" t="str">
            <v>⑧</v>
          </cell>
          <cell r="AC236" t="str">
            <v>⑨</v>
          </cell>
          <cell r="AD236" t="str">
            <v>⑩</v>
          </cell>
          <cell r="AE236" t="str">
            <v>⑪</v>
          </cell>
          <cell r="AF236" t="str">
            <v>⑫</v>
          </cell>
          <cell r="AG236" t="str">
            <v>①</v>
          </cell>
          <cell r="AH236" t="str">
            <v>②</v>
          </cell>
          <cell r="AI236" t="str">
            <v>③</v>
          </cell>
        </row>
        <row r="237">
          <cell r="B237">
            <v>1503</v>
          </cell>
          <cell r="C237">
            <v>15</v>
          </cell>
          <cell r="D237">
            <v>3</v>
          </cell>
          <cell r="F237" t="str">
            <v>五所川原</v>
          </cell>
          <cell r="G237" t="str">
            <v>消防設備点検保守(外観)</v>
          </cell>
          <cell r="H237" t="str">
            <v>東洋建物管理</v>
          </cell>
          <cell r="I237">
            <v>183000</v>
          </cell>
          <cell r="J237">
            <v>186660</v>
          </cell>
          <cell r="K237">
            <v>1</v>
          </cell>
          <cell r="L237">
            <v>0</v>
          </cell>
          <cell r="M237">
            <v>0</v>
          </cell>
          <cell r="N237">
            <v>186660</v>
          </cell>
          <cell r="O237">
            <v>0</v>
          </cell>
          <cell r="P237">
            <v>0</v>
          </cell>
          <cell r="Q237">
            <v>0</v>
          </cell>
          <cell r="R237">
            <v>0</v>
          </cell>
          <cell r="S237">
            <v>0</v>
          </cell>
          <cell r="T237">
            <v>0</v>
          </cell>
          <cell r="U237">
            <v>0</v>
          </cell>
          <cell r="V237">
            <v>0</v>
          </cell>
          <cell r="W237">
            <v>0</v>
          </cell>
          <cell r="X237" t="str">
            <v/>
          </cell>
          <cell r="Y237" t="str">
            <v/>
          </cell>
          <cell r="Z237" t="str">
            <v>⑥</v>
          </cell>
          <cell r="AA237" t="str">
            <v/>
          </cell>
          <cell r="AB237" t="str">
            <v/>
          </cell>
          <cell r="AC237" t="str">
            <v/>
          </cell>
          <cell r="AD237" t="str">
            <v/>
          </cell>
          <cell r="AE237" t="str">
            <v/>
          </cell>
          <cell r="AF237" t="str">
            <v/>
          </cell>
          <cell r="AG237" t="str">
            <v/>
          </cell>
          <cell r="AH237" t="str">
            <v/>
          </cell>
          <cell r="AI237" t="str">
            <v/>
          </cell>
        </row>
        <row r="238">
          <cell r="B238">
            <v>1504</v>
          </cell>
          <cell r="C238">
            <v>15</v>
          </cell>
          <cell r="D238">
            <v>4</v>
          </cell>
          <cell r="F238" t="str">
            <v>五所川原</v>
          </cell>
          <cell r="G238" t="str">
            <v>消防設備点検保守(総合)</v>
          </cell>
          <cell r="H238" t="str">
            <v>東洋建物管理</v>
          </cell>
          <cell r="I238">
            <v>249000</v>
          </cell>
          <cell r="J238">
            <v>253980</v>
          </cell>
          <cell r="K238">
            <v>1</v>
          </cell>
          <cell r="L238">
            <v>0</v>
          </cell>
          <cell r="M238">
            <v>0</v>
          </cell>
          <cell r="N238">
            <v>0</v>
          </cell>
          <cell r="O238">
            <v>0</v>
          </cell>
          <cell r="P238">
            <v>0</v>
          </cell>
          <cell r="Q238">
            <v>0</v>
          </cell>
          <cell r="R238">
            <v>0</v>
          </cell>
          <cell r="S238">
            <v>0</v>
          </cell>
          <cell r="T238">
            <v>253980</v>
          </cell>
          <cell r="U238">
            <v>0</v>
          </cell>
          <cell r="V238">
            <v>0</v>
          </cell>
          <cell r="W238">
            <v>0</v>
          </cell>
          <cell r="X238" t="str">
            <v/>
          </cell>
          <cell r="Y238" t="str">
            <v/>
          </cell>
          <cell r="Z238" t="str">
            <v/>
          </cell>
          <cell r="AA238" t="str">
            <v/>
          </cell>
          <cell r="AB238" t="str">
            <v/>
          </cell>
          <cell r="AC238" t="str">
            <v/>
          </cell>
          <cell r="AD238" t="str">
            <v/>
          </cell>
          <cell r="AE238" t="str">
            <v/>
          </cell>
          <cell r="AF238" t="str">
            <v>⑫</v>
          </cell>
          <cell r="AG238" t="str">
            <v/>
          </cell>
          <cell r="AH238" t="str">
            <v/>
          </cell>
          <cell r="AI238" t="str">
            <v/>
          </cell>
        </row>
        <row r="239">
          <cell r="B239">
            <v>1505</v>
          </cell>
          <cell r="C239">
            <v>15</v>
          </cell>
          <cell r="D239">
            <v>5</v>
          </cell>
          <cell r="F239" t="str">
            <v>五所川原</v>
          </cell>
          <cell r="G239" t="str">
            <v>害虫駆除</v>
          </cell>
          <cell r="H239" t="str">
            <v>東洋建物管理</v>
          </cell>
          <cell r="I239">
            <v>53000</v>
          </cell>
          <cell r="J239">
            <v>58300</v>
          </cell>
          <cell r="K239">
            <v>2</v>
          </cell>
          <cell r="L239">
            <v>0</v>
          </cell>
          <cell r="M239">
            <v>58300</v>
          </cell>
          <cell r="N239">
            <v>0</v>
          </cell>
          <cell r="O239">
            <v>0</v>
          </cell>
          <cell r="P239">
            <v>0</v>
          </cell>
          <cell r="Q239">
            <v>0</v>
          </cell>
          <cell r="R239">
            <v>0</v>
          </cell>
          <cell r="S239">
            <v>0</v>
          </cell>
          <cell r="T239">
            <v>58300</v>
          </cell>
          <cell r="U239">
            <v>0</v>
          </cell>
          <cell r="V239">
            <v>0</v>
          </cell>
          <cell r="W239">
            <v>0</v>
          </cell>
          <cell r="X239" t="str">
            <v/>
          </cell>
          <cell r="Y239" t="str">
            <v>⑤</v>
          </cell>
          <cell r="Z239" t="str">
            <v/>
          </cell>
          <cell r="AA239" t="str">
            <v/>
          </cell>
          <cell r="AB239" t="str">
            <v/>
          </cell>
          <cell r="AC239" t="str">
            <v/>
          </cell>
          <cell r="AD239" t="str">
            <v/>
          </cell>
          <cell r="AE239" t="str">
            <v/>
          </cell>
          <cell r="AF239" t="str">
            <v>⑫</v>
          </cell>
          <cell r="AG239" t="str">
            <v/>
          </cell>
          <cell r="AH239" t="str">
            <v/>
          </cell>
          <cell r="AI239" t="str">
            <v/>
          </cell>
        </row>
        <row r="240">
          <cell r="B240">
            <v>1506</v>
          </cell>
          <cell r="C240">
            <v>15</v>
          </cell>
          <cell r="D240">
            <v>6</v>
          </cell>
          <cell r="F240" t="str">
            <v>五所川原</v>
          </cell>
          <cell r="G240" t="str">
            <v>受水槽清掃(含む高架水槽)</v>
          </cell>
          <cell r="H240" t="str">
            <v>東洋建物管理</v>
          </cell>
          <cell r="I240">
            <v>91000</v>
          </cell>
          <cell r="J240">
            <v>102830</v>
          </cell>
          <cell r="K240">
            <v>1</v>
          </cell>
          <cell r="L240">
            <v>0</v>
          </cell>
          <cell r="M240">
            <v>0</v>
          </cell>
          <cell r="N240">
            <v>102830</v>
          </cell>
          <cell r="O240">
            <v>0</v>
          </cell>
          <cell r="P240">
            <v>0</v>
          </cell>
          <cell r="Q240">
            <v>0</v>
          </cell>
          <cell r="R240">
            <v>0</v>
          </cell>
          <cell r="S240">
            <v>0</v>
          </cell>
          <cell r="T240">
            <v>0</v>
          </cell>
          <cell r="U240">
            <v>0</v>
          </cell>
          <cell r="V240">
            <v>0</v>
          </cell>
          <cell r="W240">
            <v>0</v>
          </cell>
          <cell r="X240" t="str">
            <v/>
          </cell>
          <cell r="Y240" t="str">
            <v/>
          </cell>
          <cell r="Z240" t="str">
            <v>⑥</v>
          </cell>
          <cell r="AA240" t="str">
            <v/>
          </cell>
          <cell r="AB240" t="str">
            <v/>
          </cell>
          <cell r="AC240" t="str">
            <v/>
          </cell>
          <cell r="AD240" t="str">
            <v/>
          </cell>
          <cell r="AE240" t="str">
            <v/>
          </cell>
          <cell r="AF240" t="str">
            <v/>
          </cell>
          <cell r="AG240" t="str">
            <v/>
          </cell>
          <cell r="AH240" t="str">
            <v/>
          </cell>
          <cell r="AI240" t="str">
            <v/>
          </cell>
        </row>
        <row r="241">
          <cell r="B241">
            <v>1507</v>
          </cell>
          <cell r="C241">
            <v>15</v>
          </cell>
          <cell r="D241">
            <v>7</v>
          </cell>
          <cell r="F241" t="str">
            <v>五所川原</v>
          </cell>
          <cell r="G241" t="str">
            <v>オートドア設備保守</v>
          </cell>
          <cell r="H241" t="str">
            <v>東日本寺岡オートドア</v>
          </cell>
          <cell r="I241">
            <v>50000</v>
          </cell>
          <cell r="J241">
            <v>51000</v>
          </cell>
          <cell r="K241">
            <v>1</v>
          </cell>
          <cell r="L241">
            <v>0</v>
          </cell>
          <cell r="M241">
            <v>51000</v>
          </cell>
          <cell r="N241">
            <v>0</v>
          </cell>
          <cell r="O241">
            <v>0</v>
          </cell>
          <cell r="P241">
            <v>0</v>
          </cell>
          <cell r="Q241">
            <v>0</v>
          </cell>
          <cell r="R241">
            <v>0</v>
          </cell>
          <cell r="S241">
            <v>0</v>
          </cell>
          <cell r="T241">
            <v>0</v>
          </cell>
          <cell r="U241">
            <v>0</v>
          </cell>
          <cell r="V241">
            <v>0</v>
          </cell>
          <cell r="W241">
            <v>0</v>
          </cell>
          <cell r="X241" t="str">
            <v/>
          </cell>
          <cell r="Y241" t="str">
            <v>⑤</v>
          </cell>
          <cell r="Z241" t="str">
            <v/>
          </cell>
          <cell r="AA241" t="str">
            <v/>
          </cell>
          <cell r="AB241" t="str">
            <v/>
          </cell>
          <cell r="AC241" t="str">
            <v/>
          </cell>
          <cell r="AD241" t="str">
            <v/>
          </cell>
          <cell r="AE241" t="str">
            <v/>
          </cell>
          <cell r="AF241" t="str">
            <v/>
          </cell>
          <cell r="AG241" t="str">
            <v/>
          </cell>
          <cell r="AH241" t="str">
            <v/>
          </cell>
          <cell r="AI241" t="str">
            <v/>
          </cell>
        </row>
        <row r="242">
          <cell r="B242">
            <v>1508</v>
          </cell>
          <cell r="C242">
            <v>15</v>
          </cell>
          <cell r="D242">
            <v>8</v>
          </cell>
          <cell r="F242" t="str">
            <v>五所川原</v>
          </cell>
          <cell r="G242" t="str">
            <v>冷温水発生機設備保守</v>
          </cell>
          <cell r="H242" t="str">
            <v>実商</v>
          </cell>
          <cell r="I242">
            <v>900000</v>
          </cell>
          <cell r="J242">
            <v>918000</v>
          </cell>
          <cell r="K242">
            <v>2</v>
          </cell>
          <cell r="L242">
            <v>0</v>
          </cell>
          <cell r="M242">
            <v>0</v>
          </cell>
          <cell r="N242">
            <v>0</v>
          </cell>
          <cell r="O242">
            <v>0</v>
          </cell>
          <cell r="P242">
            <v>918000</v>
          </cell>
          <cell r="Q242">
            <v>0</v>
          </cell>
          <cell r="R242">
            <v>0</v>
          </cell>
          <cell r="S242">
            <v>0</v>
          </cell>
          <cell r="T242">
            <v>918000</v>
          </cell>
          <cell r="U242">
            <v>0</v>
          </cell>
          <cell r="V242">
            <v>0</v>
          </cell>
          <cell r="W242">
            <v>0</v>
          </cell>
          <cell r="X242" t="str">
            <v/>
          </cell>
          <cell r="Y242" t="str">
            <v/>
          </cell>
          <cell r="Z242" t="str">
            <v/>
          </cell>
          <cell r="AA242" t="str">
            <v/>
          </cell>
          <cell r="AB242" t="str">
            <v>⑧</v>
          </cell>
          <cell r="AC242" t="str">
            <v/>
          </cell>
          <cell r="AD242" t="str">
            <v/>
          </cell>
          <cell r="AE242" t="str">
            <v/>
          </cell>
          <cell r="AF242" t="str">
            <v>⑫</v>
          </cell>
          <cell r="AG242" t="str">
            <v/>
          </cell>
          <cell r="AH242" t="str">
            <v/>
          </cell>
          <cell r="AI242" t="str">
            <v/>
          </cell>
        </row>
        <row r="243">
          <cell r="B243">
            <v>1509</v>
          </cell>
          <cell r="C243">
            <v>15</v>
          </cell>
          <cell r="D243">
            <v>9</v>
          </cell>
          <cell r="F243" t="str">
            <v>五所川原</v>
          </cell>
          <cell r="G243" t="str">
            <v>空調機設備保守</v>
          </cell>
          <cell r="H243" t="str">
            <v>三菱電機ﾋﾞﾙﾃｸﾉｻｰﾋﾞｽ</v>
          </cell>
          <cell r="I243">
            <v>139500</v>
          </cell>
          <cell r="J243">
            <v>142290</v>
          </cell>
          <cell r="K243">
            <v>2</v>
          </cell>
          <cell r="L243">
            <v>0</v>
          </cell>
          <cell r="M243">
            <v>0</v>
          </cell>
          <cell r="N243">
            <v>142290</v>
          </cell>
          <cell r="O243">
            <v>0</v>
          </cell>
          <cell r="P243">
            <v>0</v>
          </cell>
          <cell r="Q243">
            <v>0</v>
          </cell>
          <cell r="R243">
            <v>142290</v>
          </cell>
          <cell r="S243">
            <v>0</v>
          </cell>
          <cell r="T243">
            <v>0</v>
          </cell>
          <cell r="U243">
            <v>0</v>
          </cell>
          <cell r="V243">
            <v>0</v>
          </cell>
          <cell r="W243">
            <v>0</v>
          </cell>
          <cell r="X243" t="str">
            <v/>
          </cell>
          <cell r="Y243" t="str">
            <v/>
          </cell>
          <cell r="Z243" t="str">
            <v>⑥</v>
          </cell>
          <cell r="AA243" t="str">
            <v/>
          </cell>
          <cell r="AB243" t="str">
            <v/>
          </cell>
          <cell r="AC243" t="str">
            <v/>
          </cell>
          <cell r="AD243" t="str">
            <v>⑩</v>
          </cell>
          <cell r="AE243" t="str">
            <v/>
          </cell>
          <cell r="AF243" t="str">
            <v/>
          </cell>
          <cell r="AG243" t="str">
            <v/>
          </cell>
          <cell r="AH243" t="str">
            <v/>
          </cell>
          <cell r="AI243" t="str">
            <v/>
          </cell>
        </row>
        <row r="244">
          <cell r="B244">
            <v>1510</v>
          </cell>
          <cell r="C244">
            <v>15</v>
          </cell>
          <cell r="D244">
            <v>10</v>
          </cell>
          <cell r="F244" t="str">
            <v>五所川原</v>
          </cell>
          <cell r="G244" t="str">
            <v>シャッター設備点検整備</v>
          </cell>
          <cell r="H244" t="str">
            <v>フジシャッター防災㈱</v>
          </cell>
          <cell r="I244">
            <v>38000</v>
          </cell>
          <cell r="J244">
            <v>43700</v>
          </cell>
          <cell r="K244">
            <v>1</v>
          </cell>
          <cell r="L244">
            <v>0</v>
          </cell>
          <cell r="M244">
            <v>0</v>
          </cell>
          <cell r="N244">
            <v>0</v>
          </cell>
          <cell r="O244">
            <v>0</v>
          </cell>
          <cell r="P244">
            <v>0</v>
          </cell>
          <cell r="Q244">
            <v>0</v>
          </cell>
          <cell r="R244">
            <v>43700</v>
          </cell>
          <cell r="S244">
            <v>0</v>
          </cell>
          <cell r="T244">
            <v>0</v>
          </cell>
          <cell r="U244">
            <v>0</v>
          </cell>
          <cell r="V244">
            <v>0</v>
          </cell>
          <cell r="W244">
            <v>0</v>
          </cell>
          <cell r="X244" t="str">
            <v/>
          </cell>
          <cell r="Y244" t="str">
            <v/>
          </cell>
          <cell r="Z244" t="str">
            <v/>
          </cell>
          <cell r="AA244" t="str">
            <v/>
          </cell>
          <cell r="AB244" t="str">
            <v/>
          </cell>
          <cell r="AC244" t="str">
            <v/>
          </cell>
          <cell r="AD244" t="str">
            <v>⑩</v>
          </cell>
          <cell r="AE244" t="str">
            <v/>
          </cell>
          <cell r="AF244" t="str">
            <v/>
          </cell>
          <cell r="AG244" t="str">
            <v/>
          </cell>
          <cell r="AH244" t="str">
            <v/>
          </cell>
          <cell r="AI244" t="str">
            <v/>
          </cell>
          <cell r="AJ244" t="str">
            <v>追</v>
          </cell>
        </row>
        <row r="245">
          <cell r="B245">
            <v>1511</v>
          </cell>
          <cell r="C245">
            <v>15</v>
          </cell>
          <cell r="D245">
            <v>11</v>
          </cell>
          <cell r="F245" t="str">
            <v>五所川原</v>
          </cell>
          <cell r="G245" t="str">
            <v>電気湯沸器点検整備</v>
          </cell>
          <cell r="H245" t="str">
            <v>㈲山長</v>
          </cell>
          <cell r="I245">
            <v>15000</v>
          </cell>
          <cell r="J245">
            <v>17250</v>
          </cell>
          <cell r="K245">
            <v>1</v>
          </cell>
          <cell r="L245">
            <v>0</v>
          </cell>
          <cell r="M245">
            <v>0</v>
          </cell>
          <cell r="N245">
            <v>0</v>
          </cell>
          <cell r="O245">
            <v>0</v>
          </cell>
          <cell r="P245">
            <v>0</v>
          </cell>
          <cell r="Q245">
            <v>17250</v>
          </cell>
          <cell r="R245">
            <v>0</v>
          </cell>
          <cell r="S245">
            <v>0</v>
          </cell>
          <cell r="T245">
            <v>0</v>
          </cell>
          <cell r="U245">
            <v>0</v>
          </cell>
          <cell r="V245">
            <v>0</v>
          </cell>
          <cell r="W245">
            <v>0</v>
          </cell>
          <cell r="X245" t="str">
            <v/>
          </cell>
          <cell r="Y245" t="str">
            <v/>
          </cell>
          <cell r="Z245" t="str">
            <v/>
          </cell>
          <cell r="AA245" t="str">
            <v/>
          </cell>
          <cell r="AB245" t="str">
            <v/>
          </cell>
          <cell r="AC245" t="str">
            <v>⑨</v>
          </cell>
          <cell r="AD245" t="str">
            <v/>
          </cell>
          <cell r="AE245" t="str">
            <v/>
          </cell>
          <cell r="AF245" t="str">
            <v/>
          </cell>
          <cell r="AG245" t="str">
            <v/>
          </cell>
          <cell r="AH245" t="str">
            <v/>
          </cell>
          <cell r="AI245" t="str">
            <v/>
          </cell>
          <cell r="AJ245" t="str">
            <v>追</v>
          </cell>
        </row>
        <row r="246">
          <cell r="B246">
            <v>1512</v>
          </cell>
          <cell r="C246">
            <v>15</v>
          </cell>
          <cell r="D246">
            <v>12</v>
          </cell>
          <cell r="F246" t="str">
            <v>五所川原</v>
          </cell>
          <cell r="G246" t="str">
            <v>冷却塔清掃</v>
          </cell>
          <cell r="H246" t="str">
            <v>㈲山長</v>
          </cell>
          <cell r="I246">
            <v>10000</v>
          </cell>
          <cell r="J246">
            <v>11500</v>
          </cell>
          <cell r="K246">
            <v>1</v>
          </cell>
          <cell r="L246">
            <v>0</v>
          </cell>
          <cell r="M246">
            <v>0</v>
          </cell>
          <cell r="N246">
            <v>0</v>
          </cell>
          <cell r="O246">
            <v>0</v>
          </cell>
          <cell r="P246">
            <v>0</v>
          </cell>
          <cell r="Q246">
            <v>0</v>
          </cell>
          <cell r="R246">
            <v>0</v>
          </cell>
          <cell r="S246">
            <v>11500</v>
          </cell>
          <cell r="T246">
            <v>0</v>
          </cell>
          <cell r="U246">
            <v>0</v>
          </cell>
          <cell r="V246">
            <v>0</v>
          </cell>
          <cell r="W246">
            <v>0</v>
          </cell>
          <cell r="X246" t="str">
            <v/>
          </cell>
          <cell r="Y246" t="str">
            <v/>
          </cell>
          <cell r="Z246" t="str">
            <v/>
          </cell>
          <cell r="AA246" t="str">
            <v/>
          </cell>
          <cell r="AB246" t="str">
            <v/>
          </cell>
          <cell r="AC246" t="str">
            <v/>
          </cell>
          <cell r="AD246" t="str">
            <v/>
          </cell>
          <cell r="AE246" t="str">
            <v>⑪</v>
          </cell>
          <cell r="AF246" t="str">
            <v/>
          </cell>
          <cell r="AG246" t="str">
            <v/>
          </cell>
          <cell r="AH246" t="str">
            <v/>
          </cell>
          <cell r="AI246" t="str">
            <v/>
          </cell>
          <cell r="AJ246" t="str">
            <v>追</v>
          </cell>
        </row>
        <row r="247">
          <cell r="B247">
            <v>1601</v>
          </cell>
          <cell r="C247">
            <v>16</v>
          </cell>
          <cell r="D247">
            <v>1</v>
          </cell>
          <cell r="F247" t="str">
            <v>仙台</v>
          </cell>
          <cell r="G247" t="str">
            <v>立体駐車場設備保守</v>
          </cell>
          <cell r="H247" t="str">
            <v>ユニパーク工業</v>
          </cell>
          <cell r="I247">
            <v>250000</v>
          </cell>
          <cell r="J247">
            <v>264600</v>
          </cell>
          <cell r="K247">
            <v>12</v>
          </cell>
          <cell r="L247">
            <v>264600</v>
          </cell>
          <cell r="M247">
            <v>264600</v>
          </cell>
          <cell r="N247">
            <v>264600</v>
          </cell>
          <cell r="O247">
            <v>264600</v>
          </cell>
          <cell r="P247">
            <v>264600</v>
          </cell>
          <cell r="Q247">
            <v>264600</v>
          </cell>
          <cell r="R247">
            <v>264600</v>
          </cell>
          <cell r="S247">
            <v>264600</v>
          </cell>
          <cell r="T247">
            <v>264600</v>
          </cell>
          <cell r="U247">
            <v>264600</v>
          </cell>
          <cell r="V247">
            <v>264600</v>
          </cell>
          <cell r="W247">
            <v>264600</v>
          </cell>
          <cell r="X247" t="str">
            <v>④</v>
          </cell>
          <cell r="Y247" t="str">
            <v>⑤</v>
          </cell>
          <cell r="Z247" t="str">
            <v>⑥</v>
          </cell>
          <cell r="AA247" t="str">
            <v>⑦</v>
          </cell>
          <cell r="AB247" t="str">
            <v>⑧</v>
          </cell>
          <cell r="AC247" t="str">
            <v>⑨</v>
          </cell>
          <cell r="AD247" t="str">
            <v>⑩</v>
          </cell>
          <cell r="AE247" t="str">
            <v>⑪</v>
          </cell>
          <cell r="AF247" t="str">
            <v>⑫</v>
          </cell>
          <cell r="AG247" t="str">
            <v>①</v>
          </cell>
          <cell r="AH247" t="str">
            <v>②</v>
          </cell>
          <cell r="AI247" t="str">
            <v>③</v>
          </cell>
          <cell r="AJ247" t="str">
            <v>変</v>
          </cell>
        </row>
        <row r="248">
          <cell r="B248">
            <v>1602</v>
          </cell>
          <cell r="C248">
            <v>16</v>
          </cell>
          <cell r="D248">
            <v>2</v>
          </cell>
          <cell r="F248" t="str">
            <v>仙台</v>
          </cell>
          <cell r="G248" t="str">
            <v>エレベーター保守</v>
          </cell>
          <cell r="H248" t="str">
            <v>三菱電機ﾋﾞﾙﾃｸﾉｻｰﾋﾞｽ</v>
          </cell>
          <cell r="I248">
            <v>376500</v>
          </cell>
          <cell r="J248">
            <v>384030</v>
          </cell>
          <cell r="K248">
            <v>12</v>
          </cell>
          <cell r="L248">
            <v>384030</v>
          </cell>
          <cell r="M248">
            <v>384030</v>
          </cell>
          <cell r="N248">
            <v>384030</v>
          </cell>
          <cell r="O248">
            <v>384030</v>
          </cell>
          <cell r="P248">
            <v>384030</v>
          </cell>
          <cell r="Q248">
            <v>384030</v>
          </cell>
          <cell r="R248">
            <v>384030</v>
          </cell>
          <cell r="S248">
            <v>384030</v>
          </cell>
          <cell r="T248">
            <v>384030</v>
          </cell>
          <cell r="U248">
            <v>384030</v>
          </cell>
          <cell r="V248">
            <v>384030</v>
          </cell>
          <cell r="W248">
            <v>384030</v>
          </cell>
          <cell r="X248" t="str">
            <v>④</v>
          </cell>
          <cell r="Y248" t="str">
            <v>⑤</v>
          </cell>
          <cell r="Z248" t="str">
            <v>⑥</v>
          </cell>
          <cell r="AA248" t="str">
            <v>⑦</v>
          </cell>
          <cell r="AB248" t="str">
            <v>⑧</v>
          </cell>
          <cell r="AC248" t="str">
            <v>⑨</v>
          </cell>
          <cell r="AD248" t="str">
            <v>⑩</v>
          </cell>
          <cell r="AE248" t="str">
            <v>⑪</v>
          </cell>
          <cell r="AF248" t="str">
            <v>⑫</v>
          </cell>
          <cell r="AG248" t="str">
            <v>①</v>
          </cell>
          <cell r="AH248" t="str">
            <v>②</v>
          </cell>
          <cell r="AI248" t="str">
            <v>③</v>
          </cell>
        </row>
        <row r="249">
          <cell r="B249">
            <v>1603</v>
          </cell>
          <cell r="C249">
            <v>16</v>
          </cell>
          <cell r="D249">
            <v>3</v>
          </cell>
          <cell r="F249" t="str">
            <v>仙台</v>
          </cell>
          <cell r="G249" t="str">
            <v>ゴンドラ設備保守</v>
          </cell>
          <cell r="H249" t="str">
            <v>三精工事サービス</v>
          </cell>
          <cell r="I249">
            <v>50750</v>
          </cell>
          <cell r="J249">
            <v>51765</v>
          </cell>
          <cell r="K249">
            <v>4</v>
          </cell>
          <cell r="L249">
            <v>51765</v>
          </cell>
          <cell r="M249">
            <v>0</v>
          </cell>
          <cell r="N249">
            <v>0</v>
          </cell>
          <cell r="O249">
            <v>51765</v>
          </cell>
          <cell r="P249">
            <v>0</v>
          </cell>
          <cell r="Q249">
            <v>0</v>
          </cell>
          <cell r="R249">
            <v>51765</v>
          </cell>
          <cell r="S249">
            <v>0</v>
          </cell>
          <cell r="T249">
            <v>0</v>
          </cell>
          <cell r="U249">
            <v>51765</v>
          </cell>
          <cell r="V249">
            <v>0</v>
          </cell>
          <cell r="W249">
            <v>0</v>
          </cell>
          <cell r="X249" t="str">
            <v>④</v>
          </cell>
          <cell r="Y249" t="str">
            <v/>
          </cell>
          <cell r="Z249" t="str">
            <v/>
          </cell>
          <cell r="AA249" t="str">
            <v>⑦</v>
          </cell>
          <cell r="AB249" t="str">
            <v/>
          </cell>
          <cell r="AC249" t="str">
            <v/>
          </cell>
          <cell r="AD249" t="str">
            <v>⑩</v>
          </cell>
          <cell r="AE249" t="str">
            <v/>
          </cell>
          <cell r="AF249" t="str">
            <v/>
          </cell>
          <cell r="AG249" t="str">
            <v>①</v>
          </cell>
          <cell r="AH249" t="str">
            <v/>
          </cell>
          <cell r="AI249" t="str">
            <v/>
          </cell>
        </row>
        <row r="250">
          <cell r="B250">
            <v>1604</v>
          </cell>
          <cell r="C250">
            <v>16</v>
          </cell>
          <cell r="D250">
            <v>4</v>
          </cell>
          <cell r="F250" t="str">
            <v>仙台</v>
          </cell>
          <cell r="G250" t="str">
            <v>Ｒ型自火報(外観)</v>
          </cell>
          <cell r="H250" t="str">
            <v>ホーチキ</v>
          </cell>
          <cell r="I250">
            <v>183600</v>
          </cell>
          <cell r="J250">
            <v>187272</v>
          </cell>
          <cell r="K250">
            <v>1</v>
          </cell>
          <cell r="L250">
            <v>0</v>
          </cell>
          <cell r="M250">
            <v>0</v>
          </cell>
          <cell r="N250">
            <v>187272</v>
          </cell>
          <cell r="O250">
            <v>0</v>
          </cell>
          <cell r="P250">
            <v>0</v>
          </cell>
          <cell r="Q250">
            <v>0</v>
          </cell>
          <cell r="R250">
            <v>0</v>
          </cell>
          <cell r="S250">
            <v>0</v>
          </cell>
          <cell r="T250">
            <v>0</v>
          </cell>
          <cell r="U250">
            <v>0</v>
          </cell>
          <cell r="V250">
            <v>0</v>
          </cell>
          <cell r="W250">
            <v>0</v>
          </cell>
          <cell r="X250" t="str">
            <v/>
          </cell>
          <cell r="Y250" t="str">
            <v/>
          </cell>
          <cell r="Z250" t="str">
            <v>⑥</v>
          </cell>
          <cell r="AA250" t="str">
            <v/>
          </cell>
          <cell r="AB250" t="str">
            <v/>
          </cell>
          <cell r="AC250" t="str">
            <v/>
          </cell>
          <cell r="AD250" t="str">
            <v/>
          </cell>
          <cell r="AE250" t="str">
            <v/>
          </cell>
          <cell r="AF250" t="str">
            <v/>
          </cell>
          <cell r="AG250" t="str">
            <v/>
          </cell>
          <cell r="AH250" t="str">
            <v/>
          </cell>
          <cell r="AI250" t="str">
            <v/>
          </cell>
        </row>
        <row r="251">
          <cell r="B251">
            <v>1605</v>
          </cell>
          <cell r="C251">
            <v>16</v>
          </cell>
          <cell r="D251">
            <v>5</v>
          </cell>
          <cell r="F251" t="str">
            <v>仙台</v>
          </cell>
          <cell r="G251" t="str">
            <v>Ｒ型自火報(総合)</v>
          </cell>
          <cell r="H251" t="str">
            <v>ホーチキ</v>
          </cell>
          <cell r="I251">
            <v>248400</v>
          </cell>
          <cell r="J251">
            <v>253368</v>
          </cell>
          <cell r="K251">
            <v>1</v>
          </cell>
          <cell r="L251">
            <v>0</v>
          </cell>
          <cell r="M251">
            <v>0</v>
          </cell>
          <cell r="N251">
            <v>0</v>
          </cell>
          <cell r="O251">
            <v>0</v>
          </cell>
          <cell r="P251">
            <v>0</v>
          </cell>
          <cell r="Q251">
            <v>0</v>
          </cell>
          <cell r="R251">
            <v>0</v>
          </cell>
          <cell r="S251">
            <v>0</v>
          </cell>
          <cell r="T251">
            <v>253368</v>
          </cell>
          <cell r="U251">
            <v>0</v>
          </cell>
          <cell r="V251">
            <v>0</v>
          </cell>
          <cell r="W251">
            <v>0</v>
          </cell>
          <cell r="X251" t="str">
            <v/>
          </cell>
          <cell r="Y251" t="str">
            <v/>
          </cell>
          <cell r="Z251" t="str">
            <v/>
          </cell>
          <cell r="AA251" t="str">
            <v/>
          </cell>
          <cell r="AB251" t="str">
            <v/>
          </cell>
          <cell r="AC251" t="str">
            <v/>
          </cell>
          <cell r="AD251" t="str">
            <v/>
          </cell>
          <cell r="AE251" t="str">
            <v/>
          </cell>
          <cell r="AF251" t="str">
            <v>⑫</v>
          </cell>
          <cell r="AG251" t="str">
            <v/>
          </cell>
          <cell r="AH251" t="str">
            <v/>
          </cell>
          <cell r="AI251" t="str">
            <v/>
          </cell>
        </row>
        <row r="252">
          <cell r="B252">
            <v>1606</v>
          </cell>
          <cell r="C252">
            <v>16</v>
          </cell>
          <cell r="D252">
            <v>6</v>
          </cell>
          <cell r="F252" t="str">
            <v>仙台</v>
          </cell>
          <cell r="G252" t="str">
            <v>Ｒ型防排煙(外観)</v>
          </cell>
          <cell r="H252" t="str">
            <v>ホーチキ</v>
          </cell>
          <cell r="I252">
            <v>82800</v>
          </cell>
          <cell r="J252">
            <v>84456</v>
          </cell>
          <cell r="K252">
            <v>1</v>
          </cell>
          <cell r="L252">
            <v>0</v>
          </cell>
          <cell r="M252">
            <v>0</v>
          </cell>
          <cell r="N252">
            <v>84456</v>
          </cell>
          <cell r="O252">
            <v>0</v>
          </cell>
          <cell r="P252">
            <v>0</v>
          </cell>
          <cell r="Q252">
            <v>0</v>
          </cell>
          <cell r="R252">
            <v>0</v>
          </cell>
          <cell r="S252">
            <v>0</v>
          </cell>
          <cell r="T252">
            <v>0</v>
          </cell>
          <cell r="U252">
            <v>0</v>
          </cell>
          <cell r="V252">
            <v>0</v>
          </cell>
          <cell r="W252">
            <v>0</v>
          </cell>
          <cell r="X252" t="str">
            <v/>
          </cell>
          <cell r="Y252" t="str">
            <v/>
          </cell>
          <cell r="Z252" t="str">
            <v>⑥</v>
          </cell>
          <cell r="AA252" t="str">
            <v/>
          </cell>
          <cell r="AB252" t="str">
            <v/>
          </cell>
          <cell r="AC252" t="str">
            <v/>
          </cell>
          <cell r="AD252" t="str">
            <v/>
          </cell>
          <cell r="AE252" t="str">
            <v/>
          </cell>
          <cell r="AF252" t="str">
            <v/>
          </cell>
          <cell r="AG252" t="str">
            <v/>
          </cell>
          <cell r="AH252" t="str">
            <v/>
          </cell>
          <cell r="AI252" t="str">
            <v/>
          </cell>
        </row>
        <row r="253">
          <cell r="B253">
            <v>1607</v>
          </cell>
          <cell r="C253">
            <v>16</v>
          </cell>
          <cell r="D253">
            <v>7</v>
          </cell>
          <cell r="F253" t="str">
            <v>仙台</v>
          </cell>
          <cell r="G253" t="str">
            <v>Ｒ型防排煙(総合)</v>
          </cell>
          <cell r="H253" t="str">
            <v>ホーチキ</v>
          </cell>
          <cell r="I253">
            <v>332100</v>
          </cell>
          <cell r="J253">
            <v>338742</v>
          </cell>
          <cell r="K253">
            <v>1</v>
          </cell>
          <cell r="L253">
            <v>0</v>
          </cell>
          <cell r="M253">
            <v>0</v>
          </cell>
          <cell r="N253">
            <v>0</v>
          </cell>
          <cell r="O253">
            <v>0</v>
          </cell>
          <cell r="P253">
            <v>0</v>
          </cell>
          <cell r="Q253">
            <v>0</v>
          </cell>
          <cell r="R253">
            <v>0</v>
          </cell>
          <cell r="S253">
            <v>0</v>
          </cell>
          <cell r="T253">
            <v>338742</v>
          </cell>
          <cell r="U253">
            <v>0</v>
          </cell>
          <cell r="V253">
            <v>0</v>
          </cell>
          <cell r="W253">
            <v>0</v>
          </cell>
          <cell r="X253" t="str">
            <v/>
          </cell>
          <cell r="Y253" t="str">
            <v/>
          </cell>
          <cell r="Z253" t="str">
            <v/>
          </cell>
          <cell r="AA253" t="str">
            <v/>
          </cell>
          <cell r="AB253" t="str">
            <v/>
          </cell>
          <cell r="AC253" t="str">
            <v/>
          </cell>
          <cell r="AD253" t="str">
            <v/>
          </cell>
          <cell r="AE253" t="str">
            <v/>
          </cell>
          <cell r="AF253" t="str">
            <v>⑫</v>
          </cell>
          <cell r="AG253" t="str">
            <v/>
          </cell>
          <cell r="AH253" t="str">
            <v/>
          </cell>
          <cell r="AI253" t="str">
            <v/>
          </cell>
        </row>
        <row r="254">
          <cell r="B254">
            <v>1608</v>
          </cell>
          <cell r="C254">
            <v>16</v>
          </cell>
          <cell r="D254">
            <v>8</v>
          </cell>
          <cell r="F254" t="str">
            <v>仙台</v>
          </cell>
          <cell r="G254" t="str">
            <v>Ｒ型ｶﾞｽ漏火災警報(外観)</v>
          </cell>
          <cell r="H254" t="str">
            <v>ホーチキ</v>
          </cell>
          <cell r="I254">
            <v>21600</v>
          </cell>
          <cell r="J254">
            <v>22032</v>
          </cell>
          <cell r="K254">
            <v>1</v>
          </cell>
          <cell r="L254">
            <v>0</v>
          </cell>
          <cell r="M254">
            <v>0</v>
          </cell>
          <cell r="N254">
            <v>22032</v>
          </cell>
          <cell r="O254">
            <v>0</v>
          </cell>
          <cell r="P254">
            <v>0</v>
          </cell>
          <cell r="Q254">
            <v>0</v>
          </cell>
          <cell r="R254">
            <v>0</v>
          </cell>
          <cell r="S254">
            <v>0</v>
          </cell>
          <cell r="T254">
            <v>0</v>
          </cell>
          <cell r="U254">
            <v>0</v>
          </cell>
          <cell r="V254">
            <v>0</v>
          </cell>
          <cell r="W254">
            <v>0</v>
          </cell>
          <cell r="X254" t="str">
            <v/>
          </cell>
          <cell r="Y254" t="str">
            <v/>
          </cell>
          <cell r="Z254" t="str">
            <v>⑥</v>
          </cell>
          <cell r="AA254" t="str">
            <v/>
          </cell>
          <cell r="AB254" t="str">
            <v/>
          </cell>
          <cell r="AC254" t="str">
            <v/>
          </cell>
          <cell r="AD254" t="str">
            <v/>
          </cell>
          <cell r="AE254" t="str">
            <v/>
          </cell>
          <cell r="AF254" t="str">
            <v/>
          </cell>
          <cell r="AG254" t="str">
            <v/>
          </cell>
          <cell r="AH254" t="str">
            <v/>
          </cell>
          <cell r="AI254" t="str">
            <v/>
          </cell>
        </row>
        <row r="255">
          <cell r="B255">
            <v>1609</v>
          </cell>
          <cell r="C255">
            <v>16</v>
          </cell>
          <cell r="D255">
            <v>9</v>
          </cell>
          <cell r="F255" t="str">
            <v>仙台</v>
          </cell>
          <cell r="G255" t="str">
            <v>Ｒ型ｶﾞｽ漏火災警報(総合)</v>
          </cell>
          <cell r="H255" t="str">
            <v>ホーチキ</v>
          </cell>
          <cell r="I255">
            <v>34200</v>
          </cell>
          <cell r="J255">
            <v>34884</v>
          </cell>
          <cell r="K255">
            <v>1</v>
          </cell>
          <cell r="L255">
            <v>0</v>
          </cell>
          <cell r="M255">
            <v>0</v>
          </cell>
          <cell r="N255">
            <v>0</v>
          </cell>
          <cell r="O255">
            <v>0</v>
          </cell>
          <cell r="P255">
            <v>0</v>
          </cell>
          <cell r="Q255">
            <v>0</v>
          </cell>
          <cell r="R255">
            <v>0</v>
          </cell>
          <cell r="S255">
            <v>0</v>
          </cell>
          <cell r="T255">
            <v>34884</v>
          </cell>
          <cell r="U255">
            <v>0</v>
          </cell>
          <cell r="V255">
            <v>0</v>
          </cell>
          <cell r="W255">
            <v>0</v>
          </cell>
          <cell r="X255" t="str">
            <v/>
          </cell>
          <cell r="Y255" t="str">
            <v/>
          </cell>
          <cell r="Z255" t="str">
            <v/>
          </cell>
          <cell r="AA255" t="str">
            <v/>
          </cell>
          <cell r="AB255" t="str">
            <v/>
          </cell>
          <cell r="AC255" t="str">
            <v/>
          </cell>
          <cell r="AD255" t="str">
            <v/>
          </cell>
          <cell r="AE255" t="str">
            <v/>
          </cell>
          <cell r="AF255" t="str">
            <v>⑫</v>
          </cell>
          <cell r="AG255" t="str">
            <v/>
          </cell>
          <cell r="AH255" t="str">
            <v/>
          </cell>
          <cell r="AI255" t="str">
            <v/>
          </cell>
        </row>
        <row r="256">
          <cell r="B256">
            <v>1610</v>
          </cell>
          <cell r="C256">
            <v>16</v>
          </cell>
          <cell r="D256">
            <v>10</v>
          </cell>
          <cell r="F256" t="str">
            <v>仙台</v>
          </cell>
          <cell r="G256" t="str">
            <v>ﾊﾛｹﾞﾝ化物設備保守(外観)</v>
          </cell>
          <cell r="H256" t="str">
            <v>能美防災</v>
          </cell>
          <cell r="I256">
            <v>202400</v>
          </cell>
          <cell r="J256">
            <v>206448</v>
          </cell>
          <cell r="K256">
            <v>1</v>
          </cell>
          <cell r="L256">
            <v>0</v>
          </cell>
          <cell r="M256">
            <v>0</v>
          </cell>
          <cell r="N256">
            <v>0</v>
          </cell>
          <cell r="O256">
            <v>206448</v>
          </cell>
          <cell r="P256">
            <v>0</v>
          </cell>
          <cell r="Q256">
            <v>0</v>
          </cell>
          <cell r="R256">
            <v>0</v>
          </cell>
          <cell r="S256">
            <v>0</v>
          </cell>
          <cell r="T256">
            <v>0</v>
          </cell>
          <cell r="U256">
            <v>0</v>
          </cell>
          <cell r="V256">
            <v>0</v>
          </cell>
          <cell r="W256">
            <v>0</v>
          </cell>
          <cell r="X256" t="str">
            <v/>
          </cell>
          <cell r="Y256" t="str">
            <v/>
          </cell>
          <cell r="Z256" t="str">
            <v/>
          </cell>
          <cell r="AA256" t="str">
            <v>⑦</v>
          </cell>
          <cell r="AB256" t="str">
            <v/>
          </cell>
          <cell r="AC256" t="str">
            <v/>
          </cell>
          <cell r="AD256" t="str">
            <v/>
          </cell>
          <cell r="AE256" t="str">
            <v/>
          </cell>
          <cell r="AF256" t="str">
            <v/>
          </cell>
          <cell r="AG256" t="str">
            <v/>
          </cell>
          <cell r="AH256" t="str">
            <v/>
          </cell>
          <cell r="AI256" t="str">
            <v/>
          </cell>
        </row>
        <row r="257">
          <cell r="B257">
            <v>1611</v>
          </cell>
          <cell r="C257">
            <v>16</v>
          </cell>
          <cell r="D257">
            <v>11</v>
          </cell>
          <cell r="F257" t="str">
            <v>仙台</v>
          </cell>
          <cell r="G257" t="str">
            <v>ﾊﾛｹﾞﾝ化物設備保守(総合)</v>
          </cell>
          <cell r="H257" t="str">
            <v>能美防災</v>
          </cell>
          <cell r="I257">
            <v>372300</v>
          </cell>
          <cell r="J257">
            <v>379746</v>
          </cell>
          <cell r="K257">
            <v>1</v>
          </cell>
          <cell r="L257">
            <v>0</v>
          </cell>
          <cell r="M257">
            <v>0</v>
          </cell>
          <cell r="N257">
            <v>0</v>
          </cell>
          <cell r="O257">
            <v>0</v>
          </cell>
          <cell r="P257">
            <v>0</v>
          </cell>
          <cell r="Q257">
            <v>0</v>
          </cell>
          <cell r="R257">
            <v>0</v>
          </cell>
          <cell r="S257">
            <v>0</v>
          </cell>
          <cell r="T257">
            <v>0</v>
          </cell>
          <cell r="U257">
            <v>379746</v>
          </cell>
          <cell r="V257">
            <v>0</v>
          </cell>
          <cell r="W257">
            <v>0</v>
          </cell>
          <cell r="X257" t="str">
            <v/>
          </cell>
          <cell r="Y257" t="str">
            <v/>
          </cell>
          <cell r="Z257" t="str">
            <v/>
          </cell>
          <cell r="AA257" t="str">
            <v/>
          </cell>
          <cell r="AB257" t="str">
            <v/>
          </cell>
          <cell r="AC257" t="str">
            <v/>
          </cell>
          <cell r="AD257" t="str">
            <v/>
          </cell>
          <cell r="AE257" t="str">
            <v/>
          </cell>
          <cell r="AF257" t="str">
            <v/>
          </cell>
          <cell r="AG257" t="str">
            <v>①</v>
          </cell>
          <cell r="AH257" t="str">
            <v/>
          </cell>
          <cell r="AI257" t="str">
            <v/>
          </cell>
        </row>
        <row r="258">
          <cell r="B258">
            <v>1612</v>
          </cell>
          <cell r="C258">
            <v>16</v>
          </cell>
          <cell r="D258">
            <v>12</v>
          </cell>
          <cell r="F258" t="str">
            <v>仙台</v>
          </cell>
          <cell r="G258" t="str">
            <v>屋内消火栓(外観)</v>
          </cell>
          <cell r="H258" t="str">
            <v>能美防災</v>
          </cell>
          <cell r="I258">
            <v>95200</v>
          </cell>
          <cell r="J258">
            <v>97104</v>
          </cell>
          <cell r="K258">
            <v>1</v>
          </cell>
          <cell r="L258">
            <v>0</v>
          </cell>
          <cell r="M258">
            <v>0</v>
          </cell>
          <cell r="N258">
            <v>0</v>
          </cell>
          <cell r="O258">
            <v>97104</v>
          </cell>
          <cell r="P258">
            <v>0</v>
          </cell>
          <cell r="Q258">
            <v>0</v>
          </cell>
          <cell r="R258">
            <v>0</v>
          </cell>
          <cell r="S258">
            <v>0</v>
          </cell>
          <cell r="T258">
            <v>0</v>
          </cell>
          <cell r="U258">
            <v>0</v>
          </cell>
          <cell r="V258">
            <v>0</v>
          </cell>
          <cell r="W258">
            <v>0</v>
          </cell>
          <cell r="X258" t="str">
            <v/>
          </cell>
          <cell r="Y258" t="str">
            <v/>
          </cell>
          <cell r="Z258" t="str">
            <v/>
          </cell>
          <cell r="AA258" t="str">
            <v>⑦</v>
          </cell>
          <cell r="AB258" t="str">
            <v/>
          </cell>
          <cell r="AC258" t="str">
            <v/>
          </cell>
          <cell r="AD258" t="str">
            <v/>
          </cell>
          <cell r="AE258" t="str">
            <v/>
          </cell>
          <cell r="AF258" t="str">
            <v/>
          </cell>
          <cell r="AG258" t="str">
            <v/>
          </cell>
          <cell r="AH258" t="str">
            <v/>
          </cell>
          <cell r="AI258" t="str">
            <v/>
          </cell>
        </row>
        <row r="259">
          <cell r="B259">
            <v>1613</v>
          </cell>
          <cell r="C259">
            <v>16</v>
          </cell>
          <cell r="D259">
            <v>13</v>
          </cell>
          <cell r="F259" t="str">
            <v>仙台</v>
          </cell>
          <cell r="G259" t="str">
            <v>屋内消火栓(総合)</v>
          </cell>
          <cell r="H259" t="str">
            <v>能美防災</v>
          </cell>
          <cell r="I259">
            <v>120000</v>
          </cell>
          <cell r="J259">
            <v>122400</v>
          </cell>
          <cell r="K259">
            <v>1</v>
          </cell>
          <cell r="L259">
            <v>0</v>
          </cell>
          <cell r="M259">
            <v>0</v>
          </cell>
          <cell r="N259">
            <v>0</v>
          </cell>
          <cell r="O259">
            <v>0</v>
          </cell>
          <cell r="P259">
            <v>0</v>
          </cell>
          <cell r="Q259">
            <v>0</v>
          </cell>
          <cell r="R259">
            <v>0</v>
          </cell>
          <cell r="S259">
            <v>0</v>
          </cell>
          <cell r="T259">
            <v>0</v>
          </cell>
          <cell r="U259">
            <v>122400</v>
          </cell>
          <cell r="V259">
            <v>0</v>
          </cell>
          <cell r="W259">
            <v>0</v>
          </cell>
          <cell r="X259" t="str">
            <v/>
          </cell>
          <cell r="Y259" t="str">
            <v/>
          </cell>
          <cell r="Z259" t="str">
            <v/>
          </cell>
          <cell r="AA259" t="str">
            <v/>
          </cell>
          <cell r="AB259" t="str">
            <v/>
          </cell>
          <cell r="AC259" t="str">
            <v/>
          </cell>
          <cell r="AD259" t="str">
            <v/>
          </cell>
          <cell r="AE259" t="str">
            <v/>
          </cell>
          <cell r="AF259" t="str">
            <v/>
          </cell>
          <cell r="AG259" t="str">
            <v>①</v>
          </cell>
          <cell r="AH259" t="str">
            <v/>
          </cell>
          <cell r="AI259" t="str">
            <v/>
          </cell>
        </row>
        <row r="260">
          <cell r="B260">
            <v>1614</v>
          </cell>
          <cell r="C260">
            <v>16</v>
          </cell>
          <cell r="D260">
            <v>14</v>
          </cell>
          <cell r="F260" t="str">
            <v>仙台</v>
          </cell>
          <cell r="G260" t="str">
            <v>ｽﾌﾟﾘﾝｸﾗｰ設備(外観)</v>
          </cell>
          <cell r="H260" t="str">
            <v>能美防災</v>
          </cell>
          <cell r="I260">
            <v>50300</v>
          </cell>
          <cell r="J260">
            <v>51306</v>
          </cell>
          <cell r="K260">
            <v>1</v>
          </cell>
          <cell r="L260">
            <v>0</v>
          </cell>
          <cell r="M260">
            <v>0</v>
          </cell>
          <cell r="N260">
            <v>0</v>
          </cell>
          <cell r="O260">
            <v>51306</v>
          </cell>
          <cell r="P260">
            <v>0</v>
          </cell>
          <cell r="Q260">
            <v>0</v>
          </cell>
          <cell r="R260">
            <v>0</v>
          </cell>
          <cell r="S260">
            <v>0</v>
          </cell>
          <cell r="T260">
            <v>0</v>
          </cell>
          <cell r="U260">
            <v>0</v>
          </cell>
          <cell r="V260">
            <v>0</v>
          </cell>
          <cell r="W260">
            <v>0</v>
          </cell>
          <cell r="X260" t="str">
            <v/>
          </cell>
          <cell r="Y260" t="str">
            <v/>
          </cell>
          <cell r="Z260" t="str">
            <v/>
          </cell>
          <cell r="AA260" t="str">
            <v>⑦</v>
          </cell>
          <cell r="AB260" t="str">
            <v/>
          </cell>
          <cell r="AC260" t="str">
            <v/>
          </cell>
          <cell r="AD260" t="str">
            <v/>
          </cell>
          <cell r="AE260" t="str">
            <v/>
          </cell>
          <cell r="AF260" t="str">
            <v/>
          </cell>
          <cell r="AG260" t="str">
            <v/>
          </cell>
          <cell r="AH260" t="str">
            <v/>
          </cell>
          <cell r="AI260" t="str">
            <v/>
          </cell>
        </row>
        <row r="261">
          <cell r="B261">
            <v>1615</v>
          </cell>
          <cell r="C261">
            <v>16</v>
          </cell>
          <cell r="D261">
            <v>15</v>
          </cell>
          <cell r="F261" t="str">
            <v>仙台</v>
          </cell>
          <cell r="G261" t="str">
            <v>ｽﾌﾟﾘﾝｸﾗｰ設備(総合)</v>
          </cell>
          <cell r="H261" t="str">
            <v>能美防災</v>
          </cell>
          <cell r="I261">
            <v>77000</v>
          </cell>
          <cell r="J261">
            <v>78540</v>
          </cell>
          <cell r="K261">
            <v>1</v>
          </cell>
          <cell r="L261">
            <v>0</v>
          </cell>
          <cell r="M261">
            <v>0</v>
          </cell>
          <cell r="N261">
            <v>0</v>
          </cell>
          <cell r="O261">
            <v>0</v>
          </cell>
          <cell r="P261">
            <v>0</v>
          </cell>
          <cell r="Q261">
            <v>0</v>
          </cell>
          <cell r="R261">
            <v>0</v>
          </cell>
          <cell r="S261">
            <v>0</v>
          </cell>
          <cell r="T261">
            <v>0</v>
          </cell>
          <cell r="U261">
            <v>78540</v>
          </cell>
          <cell r="V261">
            <v>0</v>
          </cell>
          <cell r="W261">
            <v>0</v>
          </cell>
          <cell r="X261" t="str">
            <v/>
          </cell>
          <cell r="Y261" t="str">
            <v/>
          </cell>
          <cell r="Z261" t="str">
            <v/>
          </cell>
          <cell r="AA261" t="str">
            <v/>
          </cell>
          <cell r="AB261" t="str">
            <v/>
          </cell>
          <cell r="AC261" t="str">
            <v/>
          </cell>
          <cell r="AD261" t="str">
            <v/>
          </cell>
          <cell r="AE261" t="str">
            <v/>
          </cell>
          <cell r="AF261" t="str">
            <v/>
          </cell>
          <cell r="AG261" t="str">
            <v>①</v>
          </cell>
          <cell r="AH261" t="str">
            <v/>
          </cell>
          <cell r="AI261" t="str">
            <v/>
          </cell>
        </row>
        <row r="262">
          <cell r="B262">
            <v>1616</v>
          </cell>
          <cell r="C262">
            <v>16</v>
          </cell>
          <cell r="D262">
            <v>16</v>
          </cell>
          <cell r="F262" t="str">
            <v>仙台</v>
          </cell>
          <cell r="G262" t="str">
            <v>消火器･誘導灯設備(外観)</v>
          </cell>
          <cell r="H262" t="str">
            <v>石井ビル管理</v>
          </cell>
          <cell r="I262">
            <v>101100</v>
          </cell>
          <cell r="J262">
            <v>103122</v>
          </cell>
          <cell r="K262">
            <v>1</v>
          </cell>
          <cell r="L262">
            <v>0</v>
          </cell>
          <cell r="M262">
            <v>0</v>
          </cell>
          <cell r="N262">
            <v>0</v>
          </cell>
          <cell r="O262">
            <v>0</v>
          </cell>
          <cell r="P262">
            <v>0</v>
          </cell>
          <cell r="Q262">
            <v>0</v>
          </cell>
          <cell r="R262">
            <v>0</v>
          </cell>
          <cell r="S262">
            <v>0</v>
          </cell>
          <cell r="T262">
            <v>0</v>
          </cell>
          <cell r="U262">
            <v>0</v>
          </cell>
          <cell r="V262">
            <v>103122</v>
          </cell>
          <cell r="W262">
            <v>0</v>
          </cell>
          <cell r="X262" t="str">
            <v/>
          </cell>
          <cell r="Y262" t="str">
            <v/>
          </cell>
          <cell r="Z262" t="str">
            <v/>
          </cell>
          <cell r="AA262" t="str">
            <v/>
          </cell>
          <cell r="AB262" t="str">
            <v/>
          </cell>
          <cell r="AC262" t="str">
            <v/>
          </cell>
          <cell r="AD262" t="str">
            <v/>
          </cell>
          <cell r="AE262" t="str">
            <v/>
          </cell>
          <cell r="AF262" t="str">
            <v/>
          </cell>
          <cell r="AG262" t="str">
            <v/>
          </cell>
          <cell r="AH262" t="str">
            <v>②</v>
          </cell>
          <cell r="AI262" t="str">
            <v/>
          </cell>
        </row>
        <row r="263">
          <cell r="B263">
            <v>1617</v>
          </cell>
          <cell r="C263">
            <v>16</v>
          </cell>
          <cell r="D263">
            <v>17</v>
          </cell>
          <cell r="F263" t="str">
            <v>仙台</v>
          </cell>
          <cell r="G263" t="str">
            <v>消火器･誘導灯設備(総合)</v>
          </cell>
          <cell r="H263" t="str">
            <v>石井ビル管理</v>
          </cell>
          <cell r="I263">
            <v>104200</v>
          </cell>
          <cell r="J263">
            <v>106284</v>
          </cell>
          <cell r="K263">
            <v>1</v>
          </cell>
          <cell r="L263">
            <v>0</v>
          </cell>
          <cell r="M263">
            <v>0</v>
          </cell>
          <cell r="N263">
            <v>0</v>
          </cell>
          <cell r="O263">
            <v>0</v>
          </cell>
          <cell r="P263">
            <v>106284</v>
          </cell>
          <cell r="Q263">
            <v>0</v>
          </cell>
          <cell r="R263">
            <v>0</v>
          </cell>
          <cell r="S263">
            <v>0</v>
          </cell>
          <cell r="T263">
            <v>0</v>
          </cell>
          <cell r="U263">
            <v>0</v>
          </cell>
          <cell r="V263">
            <v>0</v>
          </cell>
          <cell r="W263">
            <v>0</v>
          </cell>
          <cell r="X263" t="str">
            <v/>
          </cell>
          <cell r="Y263" t="str">
            <v/>
          </cell>
          <cell r="Z263" t="str">
            <v/>
          </cell>
          <cell r="AA263" t="str">
            <v/>
          </cell>
          <cell r="AB263" t="str">
            <v>⑧</v>
          </cell>
          <cell r="AC263" t="str">
            <v/>
          </cell>
          <cell r="AD263" t="str">
            <v/>
          </cell>
          <cell r="AE263" t="str">
            <v/>
          </cell>
          <cell r="AF263" t="str">
            <v/>
          </cell>
          <cell r="AG263" t="str">
            <v/>
          </cell>
          <cell r="AH263" t="str">
            <v/>
          </cell>
          <cell r="AI263" t="str">
            <v/>
          </cell>
        </row>
        <row r="264">
          <cell r="B264">
            <v>1618</v>
          </cell>
          <cell r="C264">
            <v>16</v>
          </cell>
          <cell r="D264">
            <v>18</v>
          </cell>
          <cell r="F264" t="str">
            <v>仙台</v>
          </cell>
          <cell r="G264" t="str">
            <v>非常放送設備保守</v>
          </cell>
          <cell r="H264" t="str">
            <v>東京通信機</v>
          </cell>
          <cell r="I264">
            <v>41600</v>
          </cell>
          <cell r="J264">
            <v>42432</v>
          </cell>
          <cell r="K264">
            <v>1</v>
          </cell>
          <cell r="L264">
            <v>0</v>
          </cell>
          <cell r="M264">
            <v>0</v>
          </cell>
          <cell r="N264">
            <v>0</v>
          </cell>
          <cell r="O264">
            <v>0</v>
          </cell>
          <cell r="P264">
            <v>0</v>
          </cell>
          <cell r="Q264">
            <v>0</v>
          </cell>
          <cell r="R264">
            <v>0</v>
          </cell>
          <cell r="S264">
            <v>0</v>
          </cell>
          <cell r="T264">
            <v>0</v>
          </cell>
          <cell r="U264">
            <v>0</v>
          </cell>
          <cell r="V264">
            <v>42432</v>
          </cell>
          <cell r="W264">
            <v>0</v>
          </cell>
          <cell r="X264" t="str">
            <v/>
          </cell>
          <cell r="Y264" t="str">
            <v/>
          </cell>
          <cell r="Z264" t="str">
            <v/>
          </cell>
          <cell r="AA264" t="str">
            <v/>
          </cell>
          <cell r="AB264" t="str">
            <v/>
          </cell>
          <cell r="AC264" t="str">
            <v/>
          </cell>
          <cell r="AD264" t="str">
            <v/>
          </cell>
          <cell r="AE264" t="str">
            <v/>
          </cell>
          <cell r="AF264" t="str">
            <v/>
          </cell>
          <cell r="AG264" t="str">
            <v/>
          </cell>
          <cell r="AH264" t="str">
            <v>②</v>
          </cell>
          <cell r="AI264" t="str">
            <v/>
          </cell>
        </row>
        <row r="265">
          <cell r="B265">
            <v>1619</v>
          </cell>
          <cell r="C265">
            <v>16</v>
          </cell>
          <cell r="D265">
            <v>19</v>
          </cell>
          <cell r="F265" t="str">
            <v>仙台</v>
          </cell>
          <cell r="G265" t="str">
            <v>非常放送設備保守</v>
          </cell>
          <cell r="H265" t="str">
            <v>東京通信機</v>
          </cell>
          <cell r="I265">
            <v>56500</v>
          </cell>
          <cell r="J265">
            <v>57630</v>
          </cell>
          <cell r="K265">
            <v>1</v>
          </cell>
          <cell r="L265">
            <v>0</v>
          </cell>
          <cell r="M265">
            <v>0</v>
          </cell>
          <cell r="N265">
            <v>0</v>
          </cell>
          <cell r="O265">
            <v>0</v>
          </cell>
          <cell r="P265">
            <v>57630</v>
          </cell>
          <cell r="Q265">
            <v>0</v>
          </cell>
          <cell r="R265">
            <v>0</v>
          </cell>
          <cell r="S265">
            <v>0</v>
          </cell>
          <cell r="T265">
            <v>0</v>
          </cell>
          <cell r="U265">
            <v>0</v>
          </cell>
          <cell r="V265">
            <v>0</v>
          </cell>
          <cell r="W265">
            <v>0</v>
          </cell>
          <cell r="X265" t="str">
            <v/>
          </cell>
          <cell r="Y265" t="str">
            <v/>
          </cell>
          <cell r="Z265" t="str">
            <v/>
          </cell>
          <cell r="AA265" t="str">
            <v/>
          </cell>
          <cell r="AB265" t="str">
            <v>⑧</v>
          </cell>
          <cell r="AC265" t="str">
            <v/>
          </cell>
          <cell r="AD265" t="str">
            <v/>
          </cell>
          <cell r="AE265" t="str">
            <v/>
          </cell>
          <cell r="AF265" t="str">
            <v/>
          </cell>
          <cell r="AG265" t="str">
            <v/>
          </cell>
          <cell r="AH265" t="str">
            <v/>
          </cell>
          <cell r="AI265" t="str">
            <v/>
          </cell>
        </row>
        <row r="266">
          <cell r="B266">
            <v>1620</v>
          </cell>
          <cell r="C266">
            <v>16</v>
          </cell>
          <cell r="D266">
            <v>20</v>
          </cell>
          <cell r="F266" t="str">
            <v>仙台</v>
          </cell>
          <cell r="G266" t="str">
            <v>非常発電機設備保守</v>
          </cell>
          <cell r="H266" t="str">
            <v>三菱電機ﾌﾟﾗﾝﾄｴﾝｼﾞﾆｱﾘﾝｸﾞ</v>
          </cell>
          <cell r="I266">
            <v>171600</v>
          </cell>
          <cell r="J266">
            <v>175032</v>
          </cell>
          <cell r="K266">
            <v>1</v>
          </cell>
          <cell r="L266">
            <v>0</v>
          </cell>
          <cell r="M266">
            <v>0</v>
          </cell>
          <cell r="N266">
            <v>0</v>
          </cell>
          <cell r="O266">
            <v>0</v>
          </cell>
          <cell r="P266">
            <v>0</v>
          </cell>
          <cell r="Q266">
            <v>175032</v>
          </cell>
          <cell r="R266">
            <v>0</v>
          </cell>
          <cell r="S266">
            <v>0</v>
          </cell>
          <cell r="T266">
            <v>0</v>
          </cell>
          <cell r="U266">
            <v>0</v>
          </cell>
          <cell r="V266">
            <v>0</v>
          </cell>
          <cell r="W266">
            <v>0</v>
          </cell>
          <cell r="X266" t="str">
            <v/>
          </cell>
          <cell r="Y266" t="str">
            <v/>
          </cell>
          <cell r="Z266" t="str">
            <v/>
          </cell>
          <cell r="AA266" t="str">
            <v/>
          </cell>
          <cell r="AB266" t="str">
            <v/>
          </cell>
          <cell r="AC266" t="str">
            <v>⑨</v>
          </cell>
          <cell r="AD266" t="str">
            <v/>
          </cell>
          <cell r="AE266" t="str">
            <v/>
          </cell>
          <cell r="AF266" t="str">
            <v/>
          </cell>
          <cell r="AG266" t="str">
            <v/>
          </cell>
          <cell r="AH266" t="str">
            <v/>
          </cell>
          <cell r="AI266" t="str">
            <v/>
          </cell>
        </row>
        <row r="267">
          <cell r="B267">
            <v>1621</v>
          </cell>
          <cell r="C267">
            <v>16</v>
          </cell>
          <cell r="D267">
            <v>21</v>
          </cell>
          <cell r="F267" t="str">
            <v>仙台</v>
          </cell>
          <cell r="G267" t="str">
            <v>非常発電機設備保守</v>
          </cell>
          <cell r="H267" t="str">
            <v>三菱電機ﾌﾟﾗﾝﾄｴﾝｼﾞﾆｱﾘﾝｸﾞ</v>
          </cell>
          <cell r="I267">
            <v>312000</v>
          </cell>
          <cell r="J267">
            <v>318240</v>
          </cell>
          <cell r="K267">
            <v>1</v>
          </cell>
          <cell r="L267">
            <v>0</v>
          </cell>
          <cell r="M267">
            <v>0</v>
          </cell>
          <cell r="N267">
            <v>0</v>
          </cell>
          <cell r="O267">
            <v>0</v>
          </cell>
          <cell r="P267">
            <v>0</v>
          </cell>
          <cell r="Q267">
            <v>0</v>
          </cell>
          <cell r="R267">
            <v>0</v>
          </cell>
          <cell r="S267">
            <v>0</v>
          </cell>
          <cell r="T267">
            <v>0</v>
          </cell>
          <cell r="U267">
            <v>0</v>
          </cell>
          <cell r="V267">
            <v>0</v>
          </cell>
          <cell r="W267">
            <v>318240</v>
          </cell>
          <cell r="X267" t="str">
            <v/>
          </cell>
          <cell r="Y267" t="str">
            <v/>
          </cell>
          <cell r="Z267" t="str">
            <v/>
          </cell>
          <cell r="AA267" t="str">
            <v/>
          </cell>
          <cell r="AB267" t="str">
            <v/>
          </cell>
          <cell r="AC267" t="str">
            <v/>
          </cell>
          <cell r="AD267" t="str">
            <v/>
          </cell>
          <cell r="AE267" t="str">
            <v/>
          </cell>
          <cell r="AF267" t="str">
            <v/>
          </cell>
          <cell r="AG267" t="str">
            <v/>
          </cell>
          <cell r="AH267" t="str">
            <v/>
          </cell>
          <cell r="AI267" t="str">
            <v>③</v>
          </cell>
        </row>
        <row r="268">
          <cell r="B268">
            <v>1622</v>
          </cell>
          <cell r="C268">
            <v>16</v>
          </cell>
          <cell r="D268">
            <v>22</v>
          </cell>
          <cell r="F268" t="str">
            <v>仙台</v>
          </cell>
          <cell r="G268" t="str">
            <v>煤煙測定</v>
          </cell>
          <cell r="H268" t="str">
            <v>仙台環境化学</v>
          </cell>
          <cell r="I268">
            <v>94000</v>
          </cell>
          <cell r="J268">
            <v>108100</v>
          </cell>
          <cell r="K268">
            <v>1</v>
          </cell>
          <cell r="L268">
            <v>0</v>
          </cell>
          <cell r="M268">
            <v>0</v>
          </cell>
          <cell r="N268">
            <v>0</v>
          </cell>
          <cell r="O268">
            <v>0</v>
          </cell>
          <cell r="P268">
            <v>0</v>
          </cell>
          <cell r="Q268">
            <v>0</v>
          </cell>
          <cell r="R268">
            <v>0</v>
          </cell>
          <cell r="S268">
            <v>0</v>
          </cell>
          <cell r="T268">
            <v>108100</v>
          </cell>
          <cell r="U268">
            <v>0</v>
          </cell>
          <cell r="V268">
            <v>0</v>
          </cell>
          <cell r="W268">
            <v>0</v>
          </cell>
          <cell r="X268" t="str">
            <v/>
          </cell>
          <cell r="Y268" t="str">
            <v/>
          </cell>
          <cell r="Z268" t="str">
            <v/>
          </cell>
          <cell r="AA268" t="str">
            <v/>
          </cell>
          <cell r="AB268" t="str">
            <v/>
          </cell>
          <cell r="AC268" t="str">
            <v/>
          </cell>
          <cell r="AD268" t="str">
            <v/>
          </cell>
          <cell r="AE268" t="str">
            <v/>
          </cell>
          <cell r="AF268" t="str">
            <v>⑫</v>
          </cell>
          <cell r="AG268" t="str">
            <v/>
          </cell>
          <cell r="AH268" t="str">
            <v/>
          </cell>
          <cell r="AI268" t="str">
            <v/>
          </cell>
        </row>
        <row r="269">
          <cell r="B269">
            <v>1623</v>
          </cell>
          <cell r="C269">
            <v>16</v>
          </cell>
          <cell r="D269">
            <v>23</v>
          </cell>
          <cell r="F269" t="str">
            <v>仙台</v>
          </cell>
          <cell r="G269" t="str">
            <v>汚水･雑排水槽清掃</v>
          </cell>
          <cell r="H269" t="str">
            <v>青葉環境保全</v>
          </cell>
          <cell r="I269">
            <v>161000</v>
          </cell>
          <cell r="J269">
            <v>180320</v>
          </cell>
          <cell r="K269">
            <v>2</v>
          </cell>
          <cell r="L269">
            <v>0</v>
          </cell>
          <cell r="M269">
            <v>0</v>
          </cell>
          <cell r="N269">
            <v>180320</v>
          </cell>
          <cell r="O269">
            <v>0</v>
          </cell>
          <cell r="P269">
            <v>0</v>
          </cell>
          <cell r="Q269">
            <v>0</v>
          </cell>
          <cell r="R269">
            <v>0</v>
          </cell>
          <cell r="S269">
            <v>0</v>
          </cell>
          <cell r="T269">
            <v>180320</v>
          </cell>
          <cell r="U269">
            <v>0</v>
          </cell>
          <cell r="V269">
            <v>0</v>
          </cell>
          <cell r="W269">
            <v>0</v>
          </cell>
          <cell r="X269" t="str">
            <v/>
          </cell>
          <cell r="Y269" t="str">
            <v/>
          </cell>
          <cell r="Z269" t="str">
            <v>⑥</v>
          </cell>
          <cell r="AA269" t="str">
            <v/>
          </cell>
          <cell r="AB269" t="str">
            <v/>
          </cell>
          <cell r="AC269" t="str">
            <v/>
          </cell>
          <cell r="AD269" t="str">
            <v/>
          </cell>
          <cell r="AE269" t="str">
            <v/>
          </cell>
          <cell r="AF269" t="str">
            <v>⑫</v>
          </cell>
          <cell r="AG269" t="str">
            <v/>
          </cell>
          <cell r="AH269" t="str">
            <v/>
          </cell>
          <cell r="AI269" t="str">
            <v/>
          </cell>
        </row>
        <row r="270">
          <cell r="B270">
            <v>1624</v>
          </cell>
          <cell r="C270">
            <v>16</v>
          </cell>
          <cell r="D270">
            <v>24</v>
          </cell>
          <cell r="F270" t="str">
            <v>仙台</v>
          </cell>
          <cell r="G270" t="str">
            <v>受水槽清掃(含む高架水槽)</v>
          </cell>
          <cell r="H270" t="str">
            <v>石井ビル管理</v>
          </cell>
          <cell r="I270">
            <v>135600</v>
          </cell>
          <cell r="J270">
            <v>153228</v>
          </cell>
          <cell r="K270">
            <v>1</v>
          </cell>
          <cell r="L270">
            <v>0</v>
          </cell>
          <cell r="M270">
            <v>0</v>
          </cell>
          <cell r="N270">
            <v>153228</v>
          </cell>
          <cell r="O270">
            <v>0</v>
          </cell>
          <cell r="P270">
            <v>0</v>
          </cell>
          <cell r="Q270">
            <v>0</v>
          </cell>
          <cell r="R270">
            <v>0</v>
          </cell>
          <cell r="S270">
            <v>0</v>
          </cell>
          <cell r="T270">
            <v>0</v>
          </cell>
          <cell r="U270">
            <v>0</v>
          </cell>
          <cell r="V270">
            <v>0</v>
          </cell>
          <cell r="W270">
            <v>0</v>
          </cell>
          <cell r="X270" t="str">
            <v/>
          </cell>
          <cell r="Y270" t="str">
            <v/>
          </cell>
          <cell r="Z270" t="str">
            <v>⑥</v>
          </cell>
          <cell r="AA270" t="str">
            <v/>
          </cell>
          <cell r="AB270" t="str">
            <v/>
          </cell>
          <cell r="AC270" t="str">
            <v/>
          </cell>
          <cell r="AD270" t="str">
            <v/>
          </cell>
          <cell r="AE270" t="str">
            <v/>
          </cell>
          <cell r="AF270" t="str">
            <v/>
          </cell>
          <cell r="AG270" t="str">
            <v/>
          </cell>
          <cell r="AH270" t="str">
            <v/>
          </cell>
          <cell r="AI270" t="str">
            <v/>
          </cell>
        </row>
        <row r="271">
          <cell r="B271">
            <v>1625</v>
          </cell>
          <cell r="C271">
            <v>16</v>
          </cell>
          <cell r="D271">
            <v>25</v>
          </cell>
          <cell r="F271" t="str">
            <v>仙台</v>
          </cell>
          <cell r="G271" t="str">
            <v>害虫駆除</v>
          </cell>
          <cell r="H271" t="str">
            <v>シーアイ・シー</v>
          </cell>
          <cell r="I271">
            <v>286300</v>
          </cell>
          <cell r="J271">
            <v>314930</v>
          </cell>
          <cell r="K271">
            <v>2</v>
          </cell>
          <cell r="L271">
            <v>0</v>
          </cell>
          <cell r="M271">
            <v>0</v>
          </cell>
          <cell r="N271">
            <v>314930</v>
          </cell>
          <cell r="O271">
            <v>0</v>
          </cell>
          <cell r="P271">
            <v>0</v>
          </cell>
          <cell r="Q271">
            <v>0</v>
          </cell>
          <cell r="R271">
            <v>0</v>
          </cell>
          <cell r="S271">
            <v>0</v>
          </cell>
          <cell r="T271">
            <v>314930</v>
          </cell>
          <cell r="U271">
            <v>0</v>
          </cell>
          <cell r="V271">
            <v>0</v>
          </cell>
          <cell r="W271">
            <v>0</v>
          </cell>
          <cell r="X271" t="str">
            <v/>
          </cell>
          <cell r="Y271" t="str">
            <v/>
          </cell>
          <cell r="Z271" t="str">
            <v>⑥</v>
          </cell>
          <cell r="AA271" t="str">
            <v/>
          </cell>
          <cell r="AB271" t="str">
            <v/>
          </cell>
          <cell r="AC271" t="str">
            <v/>
          </cell>
          <cell r="AD271" t="str">
            <v/>
          </cell>
          <cell r="AE271" t="str">
            <v/>
          </cell>
          <cell r="AF271" t="str">
            <v>⑫</v>
          </cell>
          <cell r="AG271" t="str">
            <v/>
          </cell>
          <cell r="AH271" t="str">
            <v/>
          </cell>
          <cell r="AI271" t="str">
            <v/>
          </cell>
        </row>
        <row r="272">
          <cell r="B272">
            <v>1626</v>
          </cell>
          <cell r="C272">
            <v>16</v>
          </cell>
          <cell r="D272">
            <v>26</v>
          </cell>
          <cell r="F272" t="str">
            <v>仙台</v>
          </cell>
          <cell r="G272" t="str">
            <v>オートドア設備保守</v>
          </cell>
          <cell r="H272" t="str">
            <v>ナブコシステム</v>
          </cell>
          <cell r="I272">
            <v>80000</v>
          </cell>
          <cell r="J272">
            <v>81600</v>
          </cell>
          <cell r="K272">
            <v>2</v>
          </cell>
          <cell r="L272">
            <v>0</v>
          </cell>
          <cell r="M272">
            <v>0</v>
          </cell>
          <cell r="N272">
            <v>0</v>
          </cell>
          <cell r="O272">
            <v>81600</v>
          </cell>
          <cell r="P272">
            <v>0</v>
          </cell>
          <cell r="Q272">
            <v>0</v>
          </cell>
          <cell r="R272">
            <v>0</v>
          </cell>
          <cell r="S272">
            <v>0</v>
          </cell>
          <cell r="T272">
            <v>0</v>
          </cell>
          <cell r="U272">
            <v>81600</v>
          </cell>
          <cell r="V272">
            <v>0</v>
          </cell>
          <cell r="W272">
            <v>0</v>
          </cell>
          <cell r="X272" t="str">
            <v/>
          </cell>
          <cell r="Y272" t="str">
            <v/>
          </cell>
          <cell r="Z272" t="str">
            <v/>
          </cell>
          <cell r="AA272" t="str">
            <v>⑦</v>
          </cell>
          <cell r="AB272" t="str">
            <v/>
          </cell>
          <cell r="AC272" t="str">
            <v/>
          </cell>
          <cell r="AD272" t="str">
            <v/>
          </cell>
          <cell r="AE272" t="str">
            <v/>
          </cell>
          <cell r="AF272" t="str">
            <v/>
          </cell>
          <cell r="AG272" t="str">
            <v>①</v>
          </cell>
          <cell r="AH272" t="str">
            <v/>
          </cell>
          <cell r="AI272" t="str">
            <v/>
          </cell>
        </row>
        <row r="273">
          <cell r="B273">
            <v>1627</v>
          </cell>
          <cell r="C273">
            <v>16</v>
          </cell>
          <cell r="D273">
            <v>27</v>
          </cell>
          <cell r="F273" t="str">
            <v>仙台</v>
          </cell>
          <cell r="G273" t="str">
            <v>オートドア設備保守</v>
          </cell>
          <cell r="H273" t="str">
            <v>ナブコシステム</v>
          </cell>
          <cell r="I273">
            <v>50000</v>
          </cell>
          <cell r="J273">
            <v>51000</v>
          </cell>
          <cell r="K273">
            <v>2</v>
          </cell>
          <cell r="L273">
            <v>0</v>
          </cell>
          <cell r="M273">
            <v>0</v>
          </cell>
          <cell r="N273">
            <v>0</v>
          </cell>
          <cell r="O273">
            <v>0</v>
          </cell>
          <cell r="P273">
            <v>0</v>
          </cell>
          <cell r="Q273">
            <v>0</v>
          </cell>
          <cell r="R273">
            <v>51000</v>
          </cell>
          <cell r="S273">
            <v>0</v>
          </cell>
          <cell r="T273">
            <v>0</v>
          </cell>
          <cell r="U273">
            <v>0</v>
          </cell>
          <cell r="V273">
            <v>0</v>
          </cell>
          <cell r="W273">
            <v>51000</v>
          </cell>
          <cell r="X273" t="str">
            <v/>
          </cell>
          <cell r="Y273" t="str">
            <v/>
          </cell>
          <cell r="Z273" t="str">
            <v/>
          </cell>
          <cell r="AA273" t="str">
            <v/>
          </cell>
          <cell r="AB273" t="str">
            <v/>
          </cell>
          <cell r="AC273" t="str">
            <v/>
          </cell>
          <cell r="AD273" t="str">
            <v>⑩</v>
          </cell>
          <cell r="AE273" t="str">
            <v/>
          </cell>
          <cell r="AF273" t="str">
            <v/>
          </cell>
          <cell r="AG273" t="str">
            <v/>
          </cell>
          <cell r="AH273" t="str">
            <v/>
          </cell>
          <cell r="AI273" t="str">
            <v>③</v>
          </cell>
        </row>
        <row r="274">
          <cell r="B274">
            <v>1628</v>
          </cell>
          <cell r="C274">
            <v>16</v>
          </cell>
          <cell r="D274">
            <v>28</v>
          </cell>
          <cell r="F274" t="str">
            <v>仙台</v>
          </cell>
          <cell r="G274" t="str">
            <v>自動制御機器設備保守</v>
          </cell>
          <cell r="H274" t="str">
            <v>高砂熱学工業</v>
          </cell>
          <cell r="I274">
            <v>680000</v>
          </cell>
          <cell r="J274">
            <v>708000</v>
          </cell>
          <cell r="K274">
            <v>1</v>
          </cell>
          <cell r="L274">
            <v>0</v>
          </cell>
          <cell r="M274">
            <v>0</v>
          </cell>
          <cell r="N274">
            <v>0</v>
          </cell>
          <cell r="O274">
            <v>0</v>
          </cell>
          <cell r="P274">
            <v>0</v>
          </cell>
          <cell r="Q274">
            <v>0</v>
          </cell>
          <cell r="R274">
            <v>0</v>
          </cell>
          <cell r="S274">
            <v>708000</v>
          </cell>
          <cell r="T274">
            <v>0</v>
          </cell>
          <cell r="U274">
            <v>0</v>
          </cell>
          <cell r="V274">
            <v>0</v>
          </cell>
          <cell r="W274">
            <v>0</v>
          </cell>
          <cell r="X274" t="str">
            <v/>
          </cell>
          <cell r="Y274" t="str">
            <v/>
          </cell>
          <cell r="Z274" t="str">
            <v/>
          </cell>
          <cell r="AA274" t="str">
            <v/>
          </cell>
          <cell r="AB274" t="str">
            <v/>
          </cell>
          <cell r="AC274" t="str">
            <v/>
          </cell>
          <cell r="AD274" t="str">
            <v/>
          </cell>
          <cell r="AE274" t="str">
            <v>⑪</v>
          </cell>
          <cell r="AF274" t="str">
            <v/>
          </cell>
          <cell r="AG274" t="str">
            <v/>
          </cell>
          <cell r="AH274" t="str">
            <v/>
          </cell>
          <cell r="AI274" t="str">
            <v/>
          </cell>
          <cell r="AJ274" t="str">
            <v>変</v>
          </cell>
        </row>
        <row r="275">
          <cell r="B275">
            <v>1629</v>
          </cell>
          <cell r="C275">
            <v>16</v>
          </cell>
          <cell r="D275">
            <v>29</v>
          </cell>
          <cell r="F275" t="str">
            <v>仙台</v>
          </cell>
          <cell r="G275" t="str">
            <v>空調機設備保守</v>
          </cell>
          <cell r="H275" t="str">
            <v>三菱電機ﾋﾞﾙﾃｸﾉｻｰﾋﾞｽ</v>
          </cell>
          <cell r="I275">
            <v>458000</v>
          </cell>
          <cell r="J275">
            <v>467160</v>
          </cell>
          <cell r="K275">
            <v>4</v>
          </cell>
          <cell r="L275">
            <v>0</v>
          </cell>
          <cell r="M275">
            <v>467160</v>
          </cell>
          <cell r="N275">
            <v>0</v>
          </cell>
          <cell r="O275">
            <v>0</v>
          </cell>
          <cell r="P275">
            <v>467160</v>
          </cell>
          <cell r="Q275">
            <v>0</v>
          </cell>
          <cell r="R275">
            <v>0</v>
          </cell>
          <cell r="S275">
            <v>467160</v>
          </cell>
          <cell r="T275">
            <v>0</v>
          </cell>
          <cell r="U275">
            <v>0</v>
          </cell>
          <cell r="V275">
            <v>467160</v>
          </cell>
          <cell r="W275">
            <v>0</v>
          </cell>
          <cell r="X275" t="str">
            <v/>
          </cell>
          <cell r="Y275" t="str">
            <v>⑤</v>
          </cell>
          <cell r="Z275" t="str">
            <v/>
          </cell>
          <cell r="AA275" t="str">
            <v/>
          </cell>
          <cell r="AB275" t="str">
            <v>⑧</v>
          </cell>
          <cell r="AC275" t="str">
            <v/>
          </cell>
          <cell r="AD275" t="str">
            <v/>
          </cell>
          <cell r="AE275" t="str">
            <v>⑪</v>
          </cell>
          <cell r="AF275" t="str">
            <v/>
          </cell>
          <cell r="AG275" t="str">
            <v/>
          </cell>
          <cell r="AH275" t="str">
            <v>②</v>
          </cell>
          <cell r="AI275" t="str">
            <v/>
          </cell>
        </row>
        <row r="276">
          <cell r="B276">
            <v>1630</v>
          </cell>
          <cell r="C276">
            <v>16</v>
          </cell>
          <cell r="D276">
            <v>30</v>
          </cell>
          <cell r="F276" t="str">
            <v>仙台</v>
          </cell>
          <cell r="G276" t="str">
            <v>ＢＧＭレンタル</v>
          </cell>
          <cell r="H276" t="str">
            <v>仙台ミュージックｼｽﾃﾑ</v>
          </cell>
          <cell r="I276">
            <v>9000</v>
          </cell>
          <cell r="J276">
            <v>9180</v>
          </cell>
          <cell r="K276">
            <v>12</v>
          </cell>
          <cell r="L276">
            <v>9180</v>
          </cell>
          <cell r="M276">
            <v>9180</v>
          </cell>
          <cell r="N276">
            <v>9180</v>
          </cell>
          <cell r="O276">
            <v>9180</v>
          </cell>
          <cell r="P276">
            <v>9180</v>
          </cell>
          <cell r="Q276">
            <v>9180</v>
          </cell>
          <cell r="R276">
            <v>9180</v>
          </cell>
          <cell r="S276">
            <v>9180</v>
          </cell>
          <cell r="T276">
            <v>9180</v>
          </cell>
          <cell r="U276">
            <v>9180</v>
          </cell>
          <cell r="V276">
            <v>9180</v>
          </cell>
          <cell r="W276">
            <v>9180</v>
          </cell>
          <cell r="X276" t="str">
            <v>④</v>
          </cell>
          <cell r="Y276" t="str">
            <v>⑤</v>
          </cell>
          <cell r="Z276" t="str">
            <v>⑥</v>
          </cell>
          <cell r="AA276" t="str">
            <v>⑦</v>
          </cell>
          <cell r="AB276" t="str">
            <v>⑧</v>
          </cell>
          <cell r="AC276" t="str">
            <v>⑨</v>
          </cell>
          <cell r="AD276" t="str">
            <v>⑩</v>
          </cell>
          <cell r="AE276" t="str">
            <v>⑪</v>
          </cell>
          <cell r="AF276" t="str">
            <v>⑫</v>
          </cell>
          <cell r="AG276" t="str">
            <v>①</v>
          </cell>
          <cell r="AH276" t="str">
            <v>②</v>
          </cell>
          <cell r="AI276" t="str">
            <v>③</v>
          </cell>
        </row>
        <row r="277">
          <cell r="B277">
            <v>1631</v>
          </cell>
          <cell r="C277">
            <v>16</v>
          </cell>
          <cell r="D277">
            <v>31</v>
          </cell>
          <cell r="F277" t="str">
            <v>仙台</v>
          </cell>
          <cell r="G277" t="str">
            <v>カルミックレンタル</v>
          </cell>
          <cell r="H277" t="str">
            <v>日本カルミック</v>
          </cell>
          <cell r="I277">
            <v>3150</v>
          </cell>
          <cell r="J277">
            <v>3213</v>
          </cell>
          <cell r="K277">
            <v>12</v>
          </cell>
          <cell r="L277">
            <v>3213</v>
          </cell>
          <cell r="M277">
            <v>3213</v>
          </cell>
          <cell r="N277">
            <v>3213</v>
          </cell>
          <cell r="O277">
            <v>3213</v>
          </cell>
          <cell r="P277">
            <v>3213</v>
          </cell>
          <cell r="Q277">
            <v>3213</v>
          </cell>
          <cell r="R277">
            <v>3213</v>
          </cell>
          <cell r="S277">
            <v>3213</v>
          </cell>
          <cell r="T277">
            <v>3213</v>
          </cell>
          <cell r="U277">
            <v>3213</v>
          </cell>
          <cell r="V277">
            <v>3213</v>
          </cell>
          <cell r="W277">
            <v>3213</v>
          </cell>
          <cell r="X277" t="str">
            <v>④</v>
          </cell>
          <cell r="Y277" t="str">
            <v>⑤</v>
          </cell>
          <cell r="Z277" t="str">
            <v>⑥</v>
          </cell>
          <cell r="AA277" t="str">
            <v>⑦</v>
          </cell>
          <cell r="AB277" t="str">
            <v>⑧</v>
          </cell>
          <cell r="AC277" t="str">
            <v>⑨</v>
          </cell>
          <cell r="AD277" t="str">
            <v>⑩</v>
          </cell>
          <cell r="AE277" t="str">
            <v>⑪</v>
          </cell>
          <cell r="AF277" t="str">
            <v>⑫</v>
          </cell>
          <cell r="AG277" t="str">
            <v>①</v>
          </cell>
          <cell r="AH277" t="str">
            <v>②</v>
          </cell>
          <cell r="AI277" t="str">
            <v>③</v>
          </cell>
        </row>
        <row r="278">
          <cell r="B278">
            <v>1632</v>
          </cell>
          <cell r="C278">
            <v>16</v>
          </cell>
          <cell r="D278">
            <v>32</v>
          </cell>
          <cell r="F278" t="str">
            <v>仙台</v>
          </cell>
          <cell r="G278" t="str">
            <v>貸鉢代</v>
          </cell>
          <cell r="H278" t="str">
            <v>富士グリーンリース</v>
          </cell>
          <cell r="I278">
            <v>4000</v>
          </cell>
          <cell r="J278">
            <v>4080</v>
          </cell>
          <cell r="K278">
            <v>12</v>
          </cell>
          <cell r="L278">
            <v>4080</v>
          </cell>
          <cell r="M278">
            <v>4080</v>
          </cell>
          <cell r="N278">
            <v>4080</v>
          </cell>
          <cell r="O278">
            <v>4080</v>
          </cell>
          <cell r="P278">
            <v>4080</v>
          </cell>
          <cell r="Q278">
            <v>4080</v>
          </cell>
          <cell r="R278">
            <v>4080</v>
          </cell>
          <cell r="S278">
            <v>4080</v>
          </cell>
          <cell r="T278">
            <v>4080</v>
          </cell>
          <cell r="U278">
            <v>4080</v>
          </cell>
          <cell r="V278">
            <v>4080</v>
          </cell>
          <cell r="W278">
            <v>4080</v>
          </cell>
          <cell r="X278" t="str">
            <v>④</v>
          </cell>
          <cell r="Y278" t="str">
            <v>⑤</v>
          </cell>
          <cell r="Z278" t="str">
            <v>⑥</v>
          </cell>
          <cell r="AA278" t="str">
            <v>⑦</v>
          </cell>
          <cell r="AB278" t="str">
            <v>⑧</v>
          </cell>
          <cell r="AC278" t="str">
            <v>⑨</v>
          </cell>
          <cell r="AD278" t="str">
            <v>⑩</v>
          </cell>
          <cell r="AE278" t="str">
            <v>⑪</v>
          </cell>
          <cell r="AF278" t="str">
            <v>⑫</v>
          </cell>
          <cell r="AG278" t="str">
            <v>①</v>
          </cell>
          <cell r="AH278" t="str">
            <v>②</v>
          </cell>
          <cell r="AI278" t="str">
            <v>③</v>
          </cell>
        </row>
        <row r="279">
          <cell r="B279">
            <v>1633</v>
          </cell>
          <cell r="C279">
            <v>16</v>
          </cell>
          <cell r="D279">
            <v>33</v>
          </cell>
          <cell r="F279" t="str">
            <v>仙台</v>
          </cell>
          <cell r="G279" t="str">
            <v>冷却塔清掃</v>
          </cell>
          <cell r="H279" t="str">
            <v>石井ビル管理</v>
          </cell>
          <cell r="I279">
            <v>66300</v>
          </cell>
          <cell r="J279">
            <v>76245</v>
          </cell>
          <cell r="K279">
            <v>1</v>
          </cell>
          <cell r="L279">
            <v>0</v>
          </cell>
          <cell r="M279">
            <v>0</v>
          </cell>
          <cell r="N279">
            <v>76245</v>
          </cell>
          <cell r="O279">
            <v>0</v>
          </cell>
          <cell r="P279">
            <v>0</v>
          </cell>
          <cell r="Q279">
            <v>0</v>
          </cell>
          <cell r="R279">
            <v>0</v>
          </cell>
          <cell r="S279">
            <v>0</v>
          </cell>
          <cell r="T279">
            <v>0</v>
          </cell>
          <cell r="U279">
            <v>0</v>
          </cell>
          <cell r="V279">
            <v>0</v>
          </cell>
          <cell r="W279">
            <v>0</v>
          </cell>
          <cell r="X279" t="str">
            <v/>
          </cell>
          <cell r="Y279" t="str">
            <v/>
          </cell>
          <cell r="Z279" t="str">
            <v>⑥</v>
          </cell>
          <cell r="AA279" t="str">
            <v/>
          </cell>
          <cell r="AB279" t="str">
            <v/>
          </cell>
          <cell r="AC279" t="str">
            <v/>
          </cell>
          <cell r="AD279" t="str">
            <v/>
          </cell>
          <cell r="AE279" t="str">
            <v/>
          </cell>
          <cell r="AF279" t="str">
            <v/>
          </cell>
          <cell r="AG279" t="str">
            <v/>
          </cell>
          <cell r="AH279" t="str">
            <v/>
          </cell>
          <cell r="AI279" t="str">
            <v/>
          </cell>
          <cell r="AJ279" t="str">
            <v>追</v>
          </cell>
        </row>
        <row r="280">
          <cell r="B280">
            <v>1634</v>
          </cell>
          <cell r="C280">
            <v>16</v>
          </cell>
          <cell r="D280">
            <v>34</v>
          </cell>
          <cell r="F280" t="str">
            <v>仙台</v>
          </cell>
          <cell r="G280" t="str">
            <v>電気湯沸器点検整備</v>
          </cell>
          <cell r="H280" t="str">
            <v>小林商事</v>
          </cell>
          <cell r="I280">
            <v>80000</v>
          </cell>
          <cell r="J280">
            <v>92000</v>
          </cell>
          <cell r="K280">
            <v>1</v>
          </cell>
          <cell r="L280">
            <v>0</v>
          </cell>
          <cell r="M280">
            <v>0</v>
          </cell>
          <cell r="N280">
            <v>0</v>
          </cell>
          <cell r="O280">
            <v>0</v>
          </cell>
          <cell r="P280">
            <v>0</v>
          </cell>
          <cell r="Q280">
            <v>92000</v>
          </cell>
          <cell r="R280">
            <v>0</v>
          </cell>
          <cell r="S280">
            <v>0</v>
          </cell>
          <cell r="T280">
            <v>0</v>
          </cell>
          <cell r="U280">
            <v>0</v>
          </cell>
          <cell r="V280">
            <v>0</v>
          </cell>
          <cell r="W280">
            <v>0</v>
          </cell>
          <cell r="X280" t="str">
            <v/>
          </cell>
          <cell r="Y280" t="str">
            <v/>
          </cell>
          <cell r="Z280" t="str">
            <v/>
          </cell>
          <cell r="AA280" t="str">
            <v/>
          </cell>
          <cell r="AB280" t="str">
            <v/>
          </cell>
          <cell r="AC280" t="str">
            <v>⑨</v>
          </cell>
          <cell r="AD280" t="str">
            <v/>
          </cell>
          <cell r="AE280" t="str">
            <v/>
          </cell>
          <cell r="AF280" t="str">
            <v/>
          </cell>
          <cell r="AG280" t="str">
            <v/>
          </cell>
          <cell r="AH280" t="str">
            <v/>
          </cell>
          <cell r="AI280" t="str">
            <v/>
          </cell>
          <cell r="AJ280" t="str">
            <v>追</v>
          </cell>
        </row>
        <row r="281">
          <cell r="B281">
            <v>1635</v>
          </cell>
          <cell r="C281">
            <v>16</v>
          </cell>
          <cell r="D281">
            <v>35</v>
          </cell>
          <cell r="F281" t="str">
            <v>仙台</v>
          </cell>
          <cell r="G281" t="str">
            <v>シャッター設備点検整備</v>
          </cell>
          <cell r="H281" t="str">
            <v>小俣ｼｬｯﾀｰ工業</v>
          </cell>
          <cell r="I281">
            <v>242550</v>
          </cell>
          <cell r="J281">
            <v>278932</v>
          </cell>
          <cell r="K281">
            <v>1</v>
          </cell>
          <cell r="L281">
            <v>0</v>
          </cell>
          <cell r="M281">
            <v>0</v>
          </cell>
          <cell r="N281">
            <v>278932</v>
          </cell>
          <cell r="O281">
            <v>0</v>
          </cell>
          <cell r="P281">
            <v>0</v>
          </cell>
          <cell r="Q281">
            <v>0</v>
          </cell>
          <cell r="R281">
            <v>0</v>
          </cell>
          <cell r="S281">
            <v>0</v>
          </cell>
          <cell r="T281">
            <v>0</v>
          </cell>
          <cell r="U281">
            <v>0</v>
          </cell>
          <cell r="V281">
            <v>0</v>
          </cell>
          <cell r="W281">
            <v>0</v>
          </cell>
          <cell r="X281" t="str">
            <v/>
          </cell>
          <cell r="Y281" t="str">
            <v/>
          </cell>
          <cell r="Z281" t="str">
            <v>⑥</v>
          </cell>
          <cell r="AA281" t="str">
            <v/>
          </cell>
          <cell r="AB281" t="str">
            <v/>
          </cell>
          <cell r="AC281" t="str">
            <v/>
          </cell>
          <cell r="AD281" t="str">
            <v/>
          </cell>
          <cell r="AE281" t="str">
            <v/>
          </cell>
          <cell r="AF281" t="str">
            <v/>
          </cell>
          <cell r="AG281" t="str">
            <v/>
          </cell>
          <cell r="AH281" t="str">
            <v/>
          </cell>
          <cell r="AI281" t="str">
            <v/>
          </cell>
          <cell r="AJ281" t="str">
            <v>追</v>
          </cell>
        </row>
        <row r="282">
          <cell r="B282">
            <v>1636</v>
          </cell>
          <cell r="C282">
            <v>16</v>
          </cell>
          <cell r="D282">
            <v>36</v>
          </cell>
          <cell r="F282" t="str">
            <v>仙台</v>
          </cell>
          <cell r="G282" t="str">
            <v>ボイラー受検前整備</v>
          </cell>
          <cell r="H282" t="str">
            <v>石井ビル管理</v>
          </cell>
          <cell r="I282">
            <v>132000</v>
          </cell>
          <cell r="J282">
            <v>151800</v>
          </cell>
          <cell r="K282">
            <v>1</v>
          </cell>
          <cell r="L282">
            <v>0</v>
          </cell>
          <cell r="M282">
            <v>0</v>
          </cell>
          <cell r="N282">
            <v>0</v>
          </cell>
          <cell r="O282">
            <v>0</v>
          </cell>
          <cell r="P282">
            <v>0</v>
          </cell>
          <cell r="Q282">
            <v>0</v>
          </cell>
          <cell r="R282">
            <v>151800</v>
          </cell>
          <cell r="S282">
            <v>0</v>
          </cell>
          <cell r="T282">
            <v>0</v>
          </cell>
          <cell r="U282">
            <v>0</v>
          </cell>
          <cell r="V282">
            <v>0</v>
          </cell>
          <cell r="W282">
            <v>0</v>
          </cell>
          <cell r="X282" t="str">
            <v/>
          </cell>
          <cell r="Y282" t="str">
            <v/>
          </cell>
          <cell r="Z282" t="str">
            <v/>
          </cell>
          <cell r="AA282" t="str">
            <v/>
          </cell>
          <cell r="AB282" t="str">
            <v/>
          </cell>
          <cell r="AC282" t="str">
            <v/>
          </cell>
          <cell r="AD282" t="str">
            <v>⑩</v>
          </cell>
          <cell r="AE282" t="str">
            <v/>
          </cell>
          <cell r="AF282" t="str">
            <v/>
          </cell>
          <cell r="AG282" t="str">
            <v/>
          </cell>
          <cell r="AH282" t="str">
            <v/>
          </cell>
          <cell r="AI282" t="str">
            <v/>
          </cell>
          <cell r="AJ282" t="str">
            <v>追</v>
          </cell>
        </row>
        <row r="283">
          <cell r="B283">
            <v>1637</v>
          </cell>
          <cell r="C283">
            <v>16</v>
          </cell>
          <cell r="D283">
            <v>37</v>
          </cell>
          <cell r="F283" t="str">
            <v>仙台</v>
          </cell>
          <cell r="G283" t="str">
            <v>膨張タンク清掃</v>
          </cell>
          <cell r="H283" t="str">
            <v>石井ビル管理</v>
          </cell>
          <cell r="I283">
            <v>40700</v>
          </cell>
          <cell r="J283">
            <v>46805</v>
          </cell>
          <cell r="K283">
            <v>1</v>
          </cell>
          <cell r="L283">
            <v>0</v>
          </cell>
          <cell r="M283">
            <v>0</v>
          </cell>
          <cell r="N283">
            <v>0</v>
          </cell>
          <cell r="O283">
            <v>0</v>
          </cell>
          <cell r="P283">
            <v>0</v>
          </cell>
          <cell r="Q283">
            <v>0</v>
          </cell>
          <cell r="R283">
            <v>46805</v>
          </cell>
          <cell r="S283">
            <v>0</v>
          </cell>
          <cell r="T283">
            <v>0</v>
          </cell>
          <cell r="U283">
            <v>0</v>
          </cell>
          <cell r="V283">
            <v>0</v>
          </cell>
          <cell r="W283">
            <v>0</v>
          </cell>
          <cell r="X283" t="str">
            <v/>
          </cell>
          <cell r="Y283" t="str">
            <v/>
          </cell>
          <cell r="Z283" t="str">
            <v/>
          </cell>
          <cell r="AA283" t="str">
            <v/>
          </cell>
          <cell r="AB283" t="str">
            <v/>
          </cell>
          <cell r="AC283" t="str">
            <v/>
          </cell>
          <cell r="AD283" t="str">
            <v>⑩</v>
          </cell>
          <cell r="AE283" t="str">
            <v/>
          </cell>
          <cell r="AF283" t="str">
            <v/>
          </cell>
          <cell r="AG283" t="str">
            <v/>
          </cell>
          <cell r="AH283" t="str">
            <v/>
          </cell>
          <cell r="AI283" t="str">
            <v/>
          </cell>
          <cell r="AJ283" t="str">
            <v>追</v>
          </cell>
        </row>
        <row r="284">
          <cell r="B284">
            <v>1638</v>
          </cell>
          <cell r="C284">
            <v>16</v>
          </cell>
          <cell r="D284">
            <v>38</v>
          </cell>
          <cell r="F284" t="str">
            <v>仙台</v>
          </cell>
          <cell r="G284" t="str">
            <v>真空給水ポンプ整備</v>
          </cell>
          <cell r="H284" t="str">
            <v>石井ビル管理</v>
          </cell>
          <cell r="I284">
            <v>77000</v>
          </cell>
          <cell r="J284">
            <v>88550</v>
          </cell>
          <cell r="K284">
            <v>1</v>
          </cell>
          <cell r="L284">
            <v>0</v>
          </cell>
          <cell r="M284">
            <v>0</v>
          </cell>
          <cell r="N284">
            <v>0</v>
          </cell>
          <cell r="O284">
            <v>0</v>
          </cell>
          <cell r="P284">
            <v>0</v>
          </cell>
          <cell r="Q284">
            <v>0</v>
          </cell>
          <cell r="R284">
            <v>88550</v>
          </cell>
          <cell r="S284">
            <v>0</v>
          </cell>
          <cell r="T284">
            <v>0</v>
          </cell>
          <cell r="U284">
            <v>0</v>
          </cell>
          <cell r="V284">
            <v>0</v>
          </cell>
          <cell r="W284">
            <v>0</v>
          </cell>
          <cell r="X284" t="str">
            <v/>
          </cell>
          <cell r="Y284" t="str">
            <v/>
          </cell>
          <cell r="Z284" t="str">
            <v/>
          </cell>
          <cell r="AA284" t="str">
            <v/>
          </cell>
          <cell r="AB284" t="str">
            <v/>
          </cell>
          <cell r="AC284" t="str">
            <v/>
          </cell>
          <cell r="AD284" t="str">
            <v>⑩</v>
          </cell>
          <cell r="AE284" t="str">
            <v/>
          </cell>
          <cell r="AF284" t="str">
            <v/>
          </cell>
          <cell r="AG284" t="str">
            <v/>
          </cell>
          <cell r="AH284" t="str">
            <v/>
          </cell>
          <cell r="AI284" t="str">
            <v/>
          </cell>
          <cell r="AJ284" t="str">
            <v>追</v>
          </cell>
        </row>
        <row r="285">
          <cell r="B285">
            <v>1639</v>
          </cell>
          <cell r="C285">
            <v>16</v>
          </cell>
          <cell r="D285">
            <v>39</v>
          </cell>
          <cell r="F285" t="str">
            <v>仙台</v>
          </cell>
          <cell r="G285" t="str">
            <v>熱交換器受検前整備</v>
          </cell>
          <cell r="H285" t="str">
            <v>石井ビル管理</v>
          </cell>
          <cell r="I285">
            <v>145000</v>
          </cell>
          <cell r="J285">
            <v>166750</v>
          </cell>
          <cell r="K285">
            <v>1</v>
          </cell>
          <cell r="L285">
            <v>0</v>
          </cell>
          <cell r="M285">
            <v>0</v>
          </cell>
          <cell r="N285">
            <v>0</v>
          </cell>
          <cell r="O285">
            <v>0</v>
          </cell>
          <cell r="P285">
            <v>0</v>
          </cell>
          <cell r="Q285">
            <v>0</v>
          </cell>
          <cell r="R285">
            <v>166750</v>
          </cell>
          <cell r="S285">
            <v>0</v>
          </cell>
          <cell r="T285">
            <v>0</v>
          </cell>
          <cell r="U285">
            <v>0</v>
          </cell>
          <cell r="V285">
            <v>0</v>
          </cell>
          <cell r="W285">
            <v>0</v>
          </cell>
          <cell r="X285" t="str">
            <v/>
          </cell>
          <cell r="Y285" t="str">
            <v/>
          </cell>
          <cell r="Z285" t="str">
            <v/>
          </cell>
          <cell r="AA285" t="str">
            <v/>
          </cell>
          <cell r="AB285" t="str">
            <v/>
          </cell>
          <cell r="AC285" t="str">
            <v/>
          </cell>
          <cell r="AD285" t="str">
            <v>⑩</v>
          </cell>
          <cell r="AE285" t="str">
            <v/>
          </cell>
          <cell r="AF285" t="str">
            <v/>
          </cell>
          <cell r="AG285" t="str">
            <v/>
          </cell>
          <cell r="AH285" t="str">
            <v/>
          </cell>
          <cell r="AI285" t="str">
            <v/>
          </cell>
          <cell r="AJ285" t="str">
            <v>追</v>
          </cell>
        </row>
        <row r="286">
          <cell r="B286">
            <v>1640</v>
          </cell>
          <cell r="C286">
            <v>16</v>
          </cell>
          <cell r="D286">
            <v>40</v>
          </cell>
          <cell r="F286" t="str">
            <v>仙台</v>
          </cell>
          <cell r="G286" t="str">
            <v>オイルバーナー整備</v>
          </cell>
          <cell r="H286" t="str">
            <v>石井ビル管理</v>
          </cell>
          <cell r="I286">
            <v>80000</v>
          </cell>
          <cell r="J286">
            <v>92000</v>
          </cell>
          <cell r="K286">
            <v>1</v>
          </cell>
          <cell r="L286">
            <v>0</v>
          </cell>
          <cell r="M286">
            <v>0</v>
          </cell>
          <cell r="N286">
            <v>0</v>
          </cell>
          <cell r="O286">
            <v>0</v>
          </cell>
          <cell r="P286">
            <v>0</v>
          </cell>
          <cell r="Q286">
            <v>0</v>
          </cell>
          <cell r="R286">
            <v>92000</v>
          </cell>
          <cell r="S286">
            <v>0</v>
          </cell>
          <cell r="T286">
            <v>0</v>
          </cell>
          <cell r="U286">
            <v>0</v>
          </cell>
          <cell r="V286">
            <v>0</v>
          </cell>
          <cell r="W286">
            <v>0</v>
          </cell>
          <cell r="X286" t="str">
            <v/>
          </cell>
          <cell r="Y286" t="str">
            <v/>
          </cell>
          <cell r="Z286" t="str">
            <v/>
          </cell>
          <cell r="AA286" t="str">
            <v/>
          </cell>
          <cell r="AB286" t="str">
            <v/>
          </cell>
          <cell r="AC286" t="str">
            <v/>
          </cell>
          <cell r="AD286" t="str">
            <v>⑩</v>
          </cell>
          <cell r="AE286" t="str">
            <v/>
          </cell>
          <cell r="AF286" t="str">
            <v/>
          </cell>
          <cell r="AG286" t="str">
            <v/>
          </cell>
          <cell r="AH286" t="str">
            <v/>
          </cell>
          <cell r="AI286" t="str">
            <v/>
          </cell>
          <cell r="AJ286" t="str">
            <v>追</v>
          </cell>
        </row>
        <row r="287">
          <cell r="B287">
            <v>1641</v>
          </cell>
          <cell r="C287">
            <v>16</v>
          </cell>
          <cell r="D287">
            <v>41</v>
          </cell>
          <cell r="F287" t="str">
            <v>仙台</v>
          </cell>
          <cell r="G287" t="str">
            <v>ﾊﾟｯｹｰｼﾞﾌｨﾙﾀｰ清掃</v>
          </cell>
          <cell r="H287" t="str">
            <v>石井ビル管理</v>
          </cell>
          <cell r="I287">
            <v>60000</v>
          </cell>
          <cell r="J287">
            <v>69000</v>
          </cell>
          <cell r="K287">
            <v>5</v>
          </cell>
          <cell r="L287">
            <v>0</v>
          </cell>
          <cell r="M287">
            <v>69000</v>
          </cell>
          <cell r="N287">
            <v>0</v>
          </cell>
          <cell r="O287">
            <v>69000</v>
          </cell>
          <cell r="P287">
            <v>0</v>
          </cell>
          <cell r="Q287">
            <v>69000</v>
          </cell>
          <cell r="R287">
            <v>0</v>
          </cell>
          <cell r="S287">
            <v>69000</v>
          </cell>
          <cell r="T287">
            <v>0</v>
          </cell>
          <cell r="U287">
            <v>69000</v>
          </cell>
          <cell r="V287">
            <v>0</v>
          </cell>
          <cell r="W287">
            <v>0</v>
          </cell>
          <cell r="X287" t="str">
            <v/>
          </cell>
          <cell r="Y287" t="str">
            <v>⑤</v>
          </cell>
          <cell r="Z287" t="str">
            <v/>
          </cell>
          <cell r="AA287" t="str">
            <v>⑦</v>
          </cell>
          <cell r="AB287" t="str">
            <v/>
          </cell>
          <cell r="AC287" t="str">
            <v>⑨</v>
          </cell>
          <cell r="AD287" t="str">
            <v/>
          </cell>
          <cell r="AE287" t="str">
            <v>⑪</v>
          </cell>
          <cell r="AF287" t="str">
            <v/>
          </cell>
          <cell r="AG287" t="str">
            <v>①</v>
          </cell>
          <cell r="AH287" t="str">
            <v/>
          </cell>
          <cell r="AI287" t="str">
            <v/>
          </cell>
          <cell r="AJ287" t="str">
            <v>追</v>
          </cell>
        </row>
        <row r="288">
          <cell r="B288">
            <v>1642</v>
          </cell>
          <cell r="C288">
            <v>16</v>
          </cell>
          <cell r="D288">
            <v>42</v>
          </cell>
          <cell r="F288" t="str">
            <v>仙台</v>
          </cell>
          <cell r="G288" t="str">
            <v>外調機パネルﾌｨﾙﾀｰ清掃</v>
          </cell>
          <cell r="H288" t="str">
            <v>石井ビル管理</v>
          </cell>
          <cell r="I288">
            <v>15100</v>
          </cell>
          <cell r="J288">
            <v>17365</v>
          </cell>
          <cell r="K288">
            <v>5</v>
          </cell>
          <cell r="L288">
            <v>0</v>
          </cell>
          <cell r="M288">
            <v>17365</v>
          </cell>
          <cell r="N288">
            <v>0</v>
          </cell>
          <cell r="O288">
            <v>17365</v>
          </cell>
          <cell r="P288">
            <v>0</v>
          </cell>
          <cell r="Q288">
            <v>17365</v>
          </cell>
          <cell r="R288">
            <v>0</v>
          </cell>
          <cell r="S288">
            <v>17365</v>
          </cell>
          <cell r="T288">
            <v>0</v>
          </cell>
          <cell r="U288">
            <v>17365</v>
          </cell>
          <cell r="V288">
            <v>0</v>
          </cell>
          <cell r="W288">
            <v>0</v>
          </cell>
          <cell r="X288" t="str">
            <v/>
          </cell>
          <cell r="Y288" t="str">
            <v>⑤</v>
          </cell>
          <cell r="Z288" t="str">
            <v/>
          </cell>
          <cell r="AA288" t="str">
            <v>⑦</v>
          </cell>
          <cell r="AB288" t="str">
            <v/>
          </cell>
          <cell r="AC288" t="str">
            <v>⑨</v>
          </cell>
          <cell r="AD288" t="str">
            <v/>
          </cell>
          <cell r="AE288" t="str">
            <v>⑪</v>
          </cell>
          <cell r="AF288" t="str">
            <v/>
          </cell>
          <cell r="AG288" t="str">
            <v>①</v>
          </cell>
          <cell r="AH288" t="str">
            <v/>
          </cell>
          <cell r="AI288" t="str">
            <v/>
          </cell>
          <cell r="AJ288" t="str">
            <v>追</v>
          </cell>
        </row>
        <row r="289">
          <cell r="B289">
            <v>1643</v>
          </cell>
          <cell r="C289">
            <v>16</v>
          </cell>
          <cell r="D289">
            <v>43</v>
          </cell>
          <cell r="F289" t="str">
            <v>仙台</v>
          </cell>
          <cell r="G289" t="str">
            <v>エアコンﾌｨﾙﾀｰ清掃</v>
          </cell>
          <cell r="H289" t="str">
            <v>石井ビル管理</v>
          </cell>
          <cell r="I289">
            <v>12850</v>
          </cell>
          <cell r="J289">
            <v>14850</v>
          </cell>
          <cell r="K289">
            <v>4</v>
          </cell>
          <cell r="L289">
            <v>0</v>
          </cell>
          <cell r="M289">
            <v>14850</v>
          </cell>
          <cell r="N289">
            <v>0</v>
          </cell>
          <cell r="O289">
            <v>0</v>
          </cell>
          <cell r="P289">
            <v>14850</v>
          </cell>
          <cell r="Q289">
            <v>0</v>
          </cell>
          <cell r="R289">
            <v>0</v>
          </cell>
          <cell r="S289">
            <v>14850</v>
          </cell>
          <cell r="T289">
            <v>0</v>
          </cell>
          <cell r="U289">
            <v>0</v>
          </cell>
          <cell r="V289">
            <v>14850</v>
          </cell>
          <cell r="W289">
            <v>0</v>
          </cell>
          <cell r="X289" t="str">
            <v/>
          </cell>
          <cell r="Y289" t="str">
            <v>⑤</v>
          </cell>
          <cell r="AB289" t="str">
            <v>⑧</v>
          </cell>
          <cell r="AE289" t="str">
            <v>⑪</v>
          </cell>
          <cell r="AH289" t="str">
            <v>②</v>
          </cell>
          <cell r="AI289" t="str">
            <v/>
          </cell>
          <cell r="AJ289" t="str">
            <v>追</v>
          </cell>
        </row>
        <row r="290">
          <cell r="B290">
            <v>1644</v>
          </cell>
          <cell r="C290">
            <v>16</v>
          </cell>
          <cell r="D290">
            <v>44</v>
          </cell>
          <cell r="F290" t="str">
            <v>仙台</v>
          </cell>
          <cell r="G290" t="str">
            <v>ファンコイルﾌｨﾙﾀｰ清掃</v>
          </cell>
          <cell r="H290" t="str">
            <v>石井ビル管理</v>
          </cell>
          <cell r="I290">
            <v>32900</v>
          </cell>
          <cell r="J290">
            <v>37835</v>
          </cell>
          <cell r="K290">
            <v>2</v>
          </cell>
          <cell r="L290">
            <v>0</v>
          </cell>
          <cell r="M290">
            <v>0</v>
          </cell>
          <cell r="N290">
            <v>0</v>
          </cell>
          <cell r="O290">
            <v>0</v>
          </cell>
          <cell r="P290">
            <v>0</v>
          </cell>
          <cell r="Q290">
            <v>0</v>
          </cell>
          <cell r="R290">
            <v>0</v>
          </cell>
          <cell r="S290">
            <v>37835</v>
          </cell>
          <cell r="T290">
            <v>0</v>
          </cell>
          <cell r="U290">
            <v>0</v>
          </cell>
          <cell r="V290">
            <v>37835</v>
          </cell>
          <cell r="W290">
            <v>0</v>
          </cell>
          <cell r="X290" t="str">
            <v/>
          </cell>
          <cell r="Y290" t="str">
            <v/>
          </cell>
          <cell r="Z290" t="str">
            <v/>
          </cell>
          <cell r="AA290" t="str">
            <v/>
          </cell>
          <cell r="AB290" t="str">
            <v/>
          </cell>
          <cell r="AC290" t="str">
            <v/>
          </cell>
          <cell r="AD290" t="str">
            <v/>
          </cell>
          <cell r="AE290" t="str">
            <v>⑪</v>
          </cell>
          <cell r="AF290" t="str">
            <v/>
          </cell>
          <cell r="AG290" t="str">
            <v/>
          </cell>
          <cell r="AH290" t="str">
            <v>②</v>
          </cell>
          <cell r="AI290" t="str">
            <v/>
          </cell>
          <cell r="AJ290" t="str">
            <v>追</v>
          </cell>
        </row>
        <row r="291">
          <cell r="B291">
            <v>1645</v>
          </cell>
          <cell r="C291">
            <v>16</v>
          </cell>
          <cell r="D291">
            <v>45</v>
          </cell>
          <cell r="F291" t="str">
            <v>仙台</v>
          </cell>
          <cell r="G291" t="str">
            <v>外調機エルミネーター清掃</v>
          </cell>
          <cell r="H291" t="str">
            <v>石井ビル管理</v>
          </cell>
          <cell r="I291">
            <v>14040</v>
          </cell>
          <cell r="J291">
            <v>16146</v>
          </cell>
          <cell r="K291">
            <v>2</v>
          </cell>
          <cell r="L291">
            <v>0</v>
          </cell>
          <cell r="M291">
            <v>0</v>
          </cell>
          <cell r="N291">
            <v>0</v>
          </cell>
          <cell r="O291">
            <v>0</v>
          </cell>
          <cell r="P291">
            <v>0</v>
          </cell>
          <cell r="Q291">
            <v>0</v>
          </cell>
          <cell r="R291">
            <v>0</v>
          </cell>
          <cell r="S291">
            <v>16146</v>
          </cell>
          <cell r="T291">
            <v>0</v>
          </cell>
          <cell r="U291">
            <v>0</v>
          </cell>
          <cell r="V291">
            <v>16146</v>
          </cell>
          <cell r="W291">
            <v>0</v>
          </cell>
          <cell r="X291" t="str">
            <v/>
          </cell>
          <cell r="Y291" t="str">
            <v/>
          </cell>
          <cell r="Z291" t="str">
            <v/>
          </cell>
          <cell r="AA291" t="str">
            <v/>
          </cell>
          <cell r="AB291" t="str">
            <v/>
          </cell>
          <cell r="AC291" t="str">
            <v/>
          </cell>
          <cell r="AD291" t="str">
            <v/>
          </cell>
          <cell r="AE291" t="str">
            <v>⑪</v>
          </cell>
          <cell r="AF291" t="str">
            <v/>
          </cell>
          <cell r="AG291" t="str">
            <v/>
          </cell>
          <cell r="AH291" t="str">
            <v>②</v>
          </cell>
          <cell r="AI291" t="str">
            <v/>
          </cell>
          <cell r="AJ291" t="str">
            <v>追</v>
          </cell>
        </row>
        <row r="292">
          <cell r="B292">
            <v>1646</v>
          </cell>
          <cell r="C292">
            <v>16</v>
          </cell>
          <cell r="D292">
            <v>46</v>
          </cell>
          <cell r="F292" t="str">
            <v>仙台</v>
          </cell>
          <cell r="G292" t="str">
            <v>全熱交換機ﾊﾟﾈﾙﾌｨﾙﾀｰ清掃</v>
          </cell>
          <cell r="H292" t="str">
            <v>石井ビル管理</v>
          </cell>
          <cell r="I292">
            <v>7280</v>
          </cell>
          <cell r="J292">
            <v>9280</v>
          </cell>
          <cell r="K292">
            <v>2</v>
          </cell>
          <cell r="L292">
            <v>0</v>
          </cell>
          <cell r="M292">
            <v>0</v>
          </cell>
          <cell r="N292">
            <v>0</v>
          </cell>
          <cell r="O292">
            <v>9280</v>
          </cell>
          <cell r="P292">
            <v>0</v>
          </cell>
          <cell r="Q292">
            <v>0</v>
          </cell>
          <cell r="R292">
            <v>0</v>
          </cell>
          <cell r="S292">
            <v>9280</v>
          </cell>
          <cell r="T292">
            <v>0</v>
          </cell>
          <cell r="U292">
            <v>0</v>
          </cell>
          <cell r="V292">
            <v>0</v>
          </cell>
          <cell r="W292">
            <v>0</v>
          </cell>
          <cell r="X292" t="str">
            <v/>
          </cell>
          <cell r="Y292" t="str">
            <v/>
          </cell>
          <cell r="Z292" t="str">
            <v/>
          </cell>
          <cell r="AA292" t="str">
            <v>⑦</v>
          </cell>
          <cell r="AB292" t="str">
            <v/>
          </cell>
          <cell r="AC292" t="str">
            <v/>
          </cell>
          <cell r="AD292" t="str">
            <v/>
          </cell>
          <cell r="AE292" t="str">
            <v>⑪</v>
          </cell>
          <cell r="AF292" t="str">
            <v/>
          </cell>
          <cell r="AG292" t="str">
            <v/>
          </cell>
          <cell r="AH292" t="str">
            <v/>
          </cell>
          <cell r="AI292" t="str">
            <v/>
          </cell>
          <cell r="AJ292" t="str">
            <v>追</v>
          </cell>
        </row>
        <row r="293">
          <cell r="B293">
            <v>1647</v>
          </cell>
          <cell r="C293">
            <v>16</v>
          </cell>
          <cell r="D293">
            <v>47</v>
          </cell>
          <cell r="F293" t="str">
            <v>仙台</v>
          </cell>
          <cell r="G293" t="str">
            <v>全熱交換機ﾛｰﾙﾌｨﾙﾀｰ交換</v>
          </cell>
          <cell r="H293" t="str">
            <v>石井ビル管理</v>
          </cell>
          <cell r="I293">
            <v>70000</v>
          </cell>
          <cell r="J293">
            <v>80500</v>
          </cell>
          <cell r="K293">
            <v>1</v>
          </cell>
          <cell r="L293">
            <v>0</v>
          </cell>
          <cell r="M293">
            <v>0</v>
          </cell>
          <cell r="N293">
            <v>0</v>
          </cell>
          <cell r="O293">
            <v>0</v>
          </cell>
          <cell r="P293">
            <v>0</v>
          </cell>
          <cell r="Q293">
            <v>0</v>
          </cell>
          <cell r="R293">
            <v>0</v>
          </cell>
          <cell r="S293">
            <v>0</v>
          </cell>
          <cell r="T293">
            <v>0</v>
          </cell>
          <cell r="U293">
            <v>0</v>
          </cell>
          <cell r="V293">
            <v>80500</v>
          </cell>
          <cell r="W293">
            <v>0</v>
          </cell>
          <cell r="X293" t="str">
            <v/>
          </cell>
          <cell r="Y293" t="str">
            <v/>
          </cell>
          <cell r="Z293" t="str">
            <v/>
          </cell>
          <cell r="AA293" t="str">
            <v/>
          </cell>
          <cell r="AB293" t="str">
            <v/>
          </cell>
          <cell r="AC293" t="str">
            <v/>
          </cell>
          <cell r="AD293" t="str">
            <v/>
          </cell>
          <cell r="AE293" t="str">
            <v/>
          </cell>
          <cell r="AF293" t="str">
            <v/>
          </cell>
          <cell r="AG293" t="str">
            <v/>
          </cell>
          <cell r="AH293" t="str">
            <v>②</v>
          </cell>
          <cell r="AI293" t="str">
            <v/>
          </cell>
          <cell r="AJ293" t="str">
            <v>追</v>
          </cell>
        </row>
        <row r="294">
          <cell r="B294">
            <v>1648</v>
          </cell>
          <cell r="C294">
            <v>16</v>
          </cell>
          <cell r="D294">
            <v>48</v>
          </cell>
          <cell r="F294" t="str">
            <v>仙台</v>
          </cell>
          <cell r="G294" t="str">
            <v>発電機冷却水槽清掃</v>
          </cell>
          <cell r="H294" t="str">
            <v>石井ビル管理</v>
          </cell>
          <cell r="I294">
            <v>22600</v>
          </cell>
          <cell r="J294">
            <v>25990</v>
          </cell>
          <cell r="K294">
            <v>1</v>
          </cell>
          <cell r="L294">
            <v>0</v>
          </cell>
          <cell r="M294">
            <v>0</v>
          </cell>
          <cell r="N294">
            <v>0</v>
          </cell>
          <cell r="O294">
            <v>0</v>
          </cell>
          <cell r="P294">
            <v>0</v>
          </cell>
          <cell r="Q294">
            <v>0</v>
          </cell>
          <cell r="R294">
            <v>0</v>
          </cell>
          <cell r="S294">
            <v>0</v>
          </cell>
          <cell r="T294">
            <v>25990</v>
          </cell>
          <cell r="U294">
            <v>0</v>
          </cell>
          <cell r="V294">
            <v>0</v>
          </cell>
          <cell r="W294">
            <v>0</v>
          </cell>
          <cell r="X294" t="str">
            <v/>
          </cell>
          <cell r="Y294" t="str">
            <v/>
          </cell>
          <cell r="Z294" t="str">
            <v/>
          </cell>
          <cell r="AA294" t="str">
            <v/>
          </cell>
          <cell r="AB294" t="str">
            <v/>
          </cell>
          <cell r="AC294" t="str">
            <v/>
          </cell>
          <cell r="AD294" t="str">
            <v/>
          </cell>
          <cell r="AE294" t="str">
            <v/>
          </cell>
          <cell r="AF294" t="str">
            <v>⑫</v>
          </cell>
          <cell r="AG294" t="str">
            <v/>
          </cell>
          <cell r="AH294" t="str">
            <v/>
          </cell>
          <cell r="AI294" t="str">
            <v/>
          </cell>
          <cell r="AJ294" t="str">
            <v>追</v>
          </cell>
        </row>
        <row r="295">
          <cell r="B295">
            <v>1701</v>
          </cell>
          <cell r="C295">
            <v>17</v>
          </cell>
          <cell r="D295">
            <v>1</v>
          </cell>
          <cell r="F295" t="str">
            <v>秋田</v>
          </cell>
          <cell r="G295" t="str">
            <v>立体駐車場設備保守</v>
          </cell>
          <cell r="H295" t="str">
            <v>三菱重工ﾊﾟｰｷﾝｸﾞ建設</v>
          </cell>
          <cell r="I295">
            <v>111000</v>
          </cell>
          <cell r="J295">
            <v>113220</v>
          </cell>
          <cell r="K295">
            <v>12</v>
          </cell>
          <cell r="L295">
            <v>113220</v>
          </cell>
          <cell r="M295">
            <v>113220</v>
          </cell>
          <cell r="N295">
            <v>113220</v>
          </cell>
          <cell r="O295">
            <v>113220</v>
          </cell>
          <cell r="P295">
            <v>113220</v>
          </cell>
          <cell r="Q295">
            <v>113220</v>
          </cell>
          <cell r="R295">
            <v>113220</v>
          </cell>
          <cell r="S295">
            <v>113220</v>
          </cell>
          <cell r="T295">
            <v>113220</v>
          </cell>
          <cell r="U295">
            <v>113220</v>
          </cell>
          <cell r="V295">
            <v>113220</v>
          </cell>
          <cell r="W295">
            <v>113220</v>
          </cell>
          <cell r="X295" t="str">
            <v>④</v>
          </cell>
          <cell r="Y295" t="str">
            <v>⑤</v>
          </cell>
          <cell r="Z295" t="str">
            <v>⑥</v>
          </cell>
          <cell r="AA295" t="str">
            <v>⑦</v>
          </cell>
          <cell r="AB295" t="str">
            <v>⑧</v>
          </cell>
          <cell r="AC295" t="str">
            <v>⑨</v>
          </cell>
          <cell r="AD295" t="str">
            <v>⑩</v>
          </cell>
          <cell r="AE295" t="str">
            <v>⑪</v>
          </cell>
          <cell r="AF295" t="str">
            <v>⑫</v>
          </cell>
          <cell r="AG295" t="str">
            <v>①</v>
          </cell>
          <cell r="AH295" t="str">
            <v>②</v>
          </cell>
          <cell r="AI295" t="str">
            <v>③</v>
          </cell>
        </row>
        <row r="296">
          <cell r="B296">
            <v>1702</v>
          </cell>
          <cell r="C296">
            <v>17</v>
          </cell>
          <cell r="D296">
            <v>2</v>
          </cell>
          <cell r="F296" t="str">
            <v>秋田</v>
          </cell>
          <cell r="G296" t="str">
            <v>エレベーター保守</v>
          </cell>
          <cell r="H296" t="str">
            <v>三菱電機ﾋﾞﾙﾃｸﾉｻｰﾋﾞｽ</v>
          </cell>
          <cell r="I296">
            <v>142800</v>
          </cell>
          <cell r="J296">
            <v>145656</v>
          </cell>
          <cell r="K296">
            <v>12</v>
          </cell>
          <cell r="L296">
            <v>145656</v>
          </cell>
          <cell r="M296">
            <v>145656</v>
          </cell>
          <cell r="N296">
            <v>145656</v>
          </cell>
          <cell r="O296">
            <v>145656</v>
          </cell>
          <cell r="P296">
            <v>145656</v>
          </cell>
          <cell r="Q296">
            <v>145656</v>
          </cell>
          <cell r="R296">
            <v>145656</v>
          </cell>
          <cell r="S296">
            <v>145656</v>
          </cell>
          <cell r="T296">
            <v>145656</v>
          </cell>
          <cell r="U296">
            <v>145656</v>
          </cell>
          <cell r="V296">
            <v>145656</v>
          </cell>
          <cell r="W296">
            <v>145656</v>
          </cell>
          <cell r="X296" t="str">
            <v>④</v>
          </cell>
          <cell r="Y296" t="str">
            <v>⑤</v>
          </cell>
          <cell r="Z296" t="str">
            <v>⑥</v>
          </cell>
          <cell r="AA296" t="str">
            <v>⑦</v>
          </cell>
          <cell r="AB296" t="str">
            <v>⑧</v>
          </cell>
          <cell r="AC296" t="str">
            <v>⑨</v>
          </cell>
          <cell r="AD296" t="str">
            <v>⑩</v>
          </cell>
          <cell r="AE296" t="str">
            <v>⑪</v>
          </cell>
          <cell r="AF296" t="str">
            <v>⑫</v>
          </cell>
          <cell r="AG296" t="str">
            <v>①</v>
          </cell>
          <cell r="AH296" t="str">
            <v>②</v>
          </cell>
          <cell r="AI296" t="str">
            <v>③</v>
          </cell>
        </row>
        <row r="297">
          <cell r="B297">
            <v>1703</v>
          </cell>
          <cell r="C297">
            <v>17</v>
          </cell>
          <cell r="D297">
            <v>3</v>
          </cell>
          <cell r="F297" t="str">
            <v>秋田</v>
          </cell>
          <cell r="G297" t="str">
            <v>消防設備点検保守料</v>
          </cell>
          <cell r="H297" t="str">
            <v>秋田ホーチキ</v>
          </cell>
          <cell r="I297">
            <v>267300</v>
          </cell>
          <cell r="J297">
            <v>272646</v>
          </cell>
          <cell r="K297">
            <v>1</v>
          </cell>
          <cell r="L297">
            <v>272646</v>
          </cell>
          <cell r="M297">
            <v>0</v>
          </cell>
          <cell r="N297">
            <v>0</v>
          </cell>
          <cell r="O297">
            <v>0</v>
          </cell>
          <cell r="P297">
            <v>0</v>
          </cell>
          <cell r="Q297">
            <v>0</v>
          </cell>
          <cell r="R297">
            <v>0</v>
          </cell>
          <cell r="S297">
            <v>0</v>
          </cell>
          <cell r="T297">
            <v>0</v>
          </cell>
          <cell r="U297">
            <v>0</v>
          </cell>
          <cell r="V297">
            <v>0</v>
          </cell>
          <cell r="W297">
            <v>0</v>
          </cell>
          <cell r="X297" t="str">
            <v>④</v>
          </cell>
          <cell r="Y297" t="str">
            <v/>
          </cell>
          <cell r="Z297" t="str">
            <v/>
          </cell>
          <cell r="AA297" t="str">
            <v/>
          </cell>
          <cell r="AB297" t="str">
            <v/>
          </cell>
          <cell r="AC297" t="str">
            <v/>
          </cell>
          <cell r="AD297" t="str">
            <v/>
          </cell>
          <cell r="AE297" t="str">
            <v/>
          </cell>
          <cell r="AF297" t="str">
            <v/>
          </cell>
          <cell r="AG297" t="str">
            <v/>
          </cell>
          <cell r="AH297" t="str">
            <v/>
          </cell>
          <cell r="AI297" t="str">
            <v/>
          </cell>
        </row>
        <row r="298">
          <cell r="B298">
            <v>1704</v>
          </cell>
          <cell r="C298">
            <v>17</v>
          </cell>
          <cell r="D298">
            <v>4</v>
          </cell>
          <cell r="F298" t="str">
            <v>秋田</v>
          </cell>
          <cell r="G298" t="str">
            <v>消防設備点検保守料</v>
          </cell>
          <cell r="H298" t="str">
            <v>秋田ホーチキ</v>
          </cell>
          <cell r="I298">
            <v>397800</v>
          </cell>
          <cell r="J298">
            <v>405756</v>
          </cell>
          <cell r="K298">
            <v>1</v>
          </cell>
          <cell r="L298">
            <v>0</v>
          </cell>
          <cell r="M298">
            <v>0</v>
          </cell>
          <cell r="N298">
            <v>0</v>
          </cell>
          <cell r="O298">
            <v>0</v>
          </cell>
          <cell r="P298">
            <v>0</v>
          </cell>
          <cell r="Q298">
            <v>0</v>
          </cell>
          <cell r="R298">
            <v>0</v>
          </cell>
          <cell r="S298">
            <v>405756</v>
          </cell>
          <cell r="T298">
            <v>0</v>
          </cell>
          <cell r="U298">
            <v>0</v>
          </cell>
          <cell r="V298">
            <v>0</v>
          </cell>
          <cell r="W298">
            <v>0</v>
          </cell>
          <cell r="X298" t="str">
            <v/>
          </cell>
          <cell r="Y298" t="str">
            <v/>
          </cell>
          <cell r="Z298" t="str">
            <v/>
          </cell>
          <cell r="AA298" t="str">
            <v/>
          </cell>
          <cell r="AB298" t="str">
            <v/>
          </cell>
          <cell r="AC298" t="str">
            <v/>
          </cell>
          <cell r="AD298" t="str">
            <v/>
          </cell>
          <cell r="AE298" t="str">
            <v>⑪</v>
          </cell>
          <cell r="AF298" t="str">
            <v/>
          </cell>
          <cell r="AG298" t="str">
            <v/>
          </cell>
          <cell r="AH298" t="str">
            <v/>
          </cell>
          <cell r="AI298" t="str">
            <v/>
          </cell>
        </row>
        <row r="299">
          <cell r="B299">
            <v>1705</v>
          </cell>
          <cell r="C299">
            <v>17</v>
          </cell>
          <cell r="D299">
            <v>5</v>
          </cell>
          <cell r="F299" t="str">
            <v>秋田</v>
          </cell>
          <cell r="G299" t="str">
            <v>ﾊﾛｹﾞﾝ化物設備保守(外観)</v>
          </cell>
          <cell r="H299" t="str">
            <v>日本ドライケミカル</v>
          </cell>
          <cell r="I299">
            <v>70000</v>
          </cell>
          <cell r="J299">
            <v>71400</v>
          </cell>
          <cell r="K299">
            <v>1</v>
          </cell>
          <cell r="L299">
            <v>0</v>
          </cell>
          <cell r="M299">
            <v>71400</v>
          </cell>
          <cell r="N299">
            <v>0</v>
          </cell>
          <cell r="O299">
            <v>0</v>
          </cell>
          <cell r="P299">
            <v>0</v>
          </cell>
          <cell r="Q299">
            <v>0</v>
          </cell>
          <cell r="R299">
            <v>0</v>
          </cell>
          <cell r="S299">
            <v>0</v>
          </cell>
          <cell r="T299">
            <v>0</v>
          </cell>
          <cell r="U299">
            <v>0</v>
          </cell>
          <cell r="V299">
            <v>0</v>
          </cell>
          <cell r="W299">
            <v>0</v>
          </cell>
          <cell r="X299" t="str">
            <v/>
          </cell>
          <cell r="Y299" t="str">
            <v>⑤</v>
          </cell>
          <cell r="Z299" t="str">
            <v/>
          </cell>
          <cell r="AA299" t="str">
            <v/>
          </cell>
          <cell r="AB299" t="str">
            <v/>
          </cell>
          <cell r="AC299" t="str">
            <v/>
          </cell>
          <cell r="AD299" t="str">
            <v/>
          </cell>
          <cell r="AE299" t="str">
            <v/>
          </cell>
          <cell r="AF299" t="str">
            <v/>
          </cell>
          <cell r="AG299" t="str">
            <v/>
          </cell>
          <cell r="AH299" t="str">
            <v/>
          </cell>
          <cell r="AI299" t="str">
            <v/>
          </cell>
        </row>
        <row r="300">
          <cell r="B300">
            <v>1706</v>
          </cell>
          <cell r="C300">
            <v>17</v>
          </cell>
          <cell r="D300">
            <v>6</v>
          </cell>
          <cell r="F300" t="str">
            <v>秋田</v>
          </cell>
          <cell r="G300" t="str">
            <v>ﾊﾛｹﾞﾝ化物設備保守(総合)</v>
          </cell>
          <cell r="H300" t="str">
            <v>日本ドライケミカル</v>
          </cell>
          <cell r="I300">
            <v>140000</v>
          </cell>
          <cell r="J300">
            <v>142800</v>
          </cell>
          <cell r="K300">
            <v>1</v>
          </cell>
          <cell r="L300">
            <v>0</v>
          </cell>
          <cell r="M300">
            <v>0</v>
          </cell>
          <cell r="N300">
            <v>0</v>
          </cell>
          <cell r="O300">
            <v>0</v>
          </cell>
          <cell r="P300">
            <v>0</v>
          </cell>
          <cell r="Q300">
            <v>0</v>
          </cell>
          <cell r="R300">
            <v>0</v>
          </cell>
          <cell r="S300">
            <v>142800</v>
          </cell>
          <cell r="T300">
            <v>0</v>
          </cell>
          <cell r="U300">
            <v>0</v>
          </cell>
          <cell r="V300">
            <v>0</v>
          </cell>
          <cell r="W300">
            <v>0</v>
          </cell>
          <cell r="X300" t="str">
            <v/>
          </cell>
          <cell r="Y300" t="str">
            <v/>
          </cell>
          <cell r="Z300" t="str">
            <v/>
          </cell>
          <cell r="AA300" t="str">
            <v/>
          </cell>
          <cell r="AB300" t="str">
            <v/>
          </cell>
          <cell r="AC300" t="str">
            <v/>
          </cell>
          <cell r="AD300" t="str">
            <v/>
          </cell>
          <cell r="AE300" t="str">
            <v>⑪</v>
          </cell>
          <cell r="AF300" t="str">
            <v/>
          </cell>
          <cell r="AG300" t="str">
            <v/>
          </cell>
          <cell r="AH300" t="str">
            <v/>
          </cell>
          <cell r="AI300" t="str">
            <v/>
          </cell>
        </row>
        <row r="301">
          <cell r="B301">
            <v>1707</v>
          </cell>
          <cell r="C301">
            <v>17</v>
          </cell>
          <cell r="D301">
            <v>7</v>
          </cell>
          <cell r="F301" t="str">
            <v>秋田</v>
          </cell>
          <cell r="G301" t="str">
            <v>汚水槽清掃</v>
          </cell>
          <cell r="H301" t="str">
            <v>秋田太洋ビル管理</v>
          </cell>
          <cell r="I301">
            <v>120000</v>
          </cell>
          <cell r="J301">
            <v>134400</v>
          </cell>
          <cell r="K301">
            <v>2</v>
          </cell>
          <cell r="L301">
            <v>0</v>
          </cell>
          <cell r="M301">
            <v>134400</v>
          </cell>
          <cell r="N301">
            <v>0</v>
          </cell>
          <cell r="O301">
            <v>0</v>
          </cell>
          <cell r="P301">
            <v>0</v>
          </cell>
          <cell r="Q301">
            <v>0</v>
          </cell>
          <cell r="R301">
            <v>0</v>
          </cell>
          <cell r="S301">
            <v>134400</v>
          </cell>
          <cell r="T301">
            <v>0</v>
          </cell>
          <cell r="U301">
            <v>0</v>
          </cell>
          <cell r="V301">
            <v>0</v>
          </cell>
          <cell r="W301">
            <v>0</v>
          </cell>
          <cell r="X301" t="str">
            <v/>
          </cell>
          <cell r="Y301" t="str">
            <v>⑤</v>
          </cell>
          <cell r="Z301" t="str">
            <v/>
          </cell>
          <cell r="AA301" t="str">
            <v/>
          </cell>
          <cell r="AB301" t="str">
            <v/>
          </cell>
          <cell r="AC301" t="str">
            <v/>
          </cell>
          <cell r="AD301" t="str">
            <v/>
          </cell>
          <cell r="AE301" t="str">
            <v>⑪</v>
          </cell>
          <cell r="AF301" t="str">
            <v/>
          </cell>
          <cell r="AG301" t="str">
            <v/>
          </cell>
          <cell r="AH301" t="str">
            <v/>
          </cell>
          <cell r="AI301" t="str">
            <v/>
          </cell>
        </row>
        <row r="302">
          <cell r="B302">
            <v>1708</v>
          </cell>
          <cell r="C302">
            <v>17</v>
          </cell>
          <cell r="D302">
            <v>8</v>
          </cell>
          <cell r="F302" t="str">
            <v>秋田</v>
          </cell>
          <cell r="G302" t="str">
            <v>受水槽清掃</v>
          </cell>
          <cell r="H302" t="str">
            <v>友愛ビルサービス</v>
          </cell>
          <cell r="I302">
            <v>90000</v>
          </cell>
          <cell r="J302">
            <v>101700</v>
          </cell>
          <cell r="K302">
            <v>1</v>
          </cell>
          <cell r="L302">
            <v>0</v>
          </cell>
          <cell r="M302">
            <v>0</v>
          </cell>
          <cell r="N302">
            <v>0</v>
          </cell>
          <cell r="O302">
            <v>0</v>
          </cell>
          <cell r="P302">
            <v>0</v>
          </cell>
          <cell r="Q302">
            <v>101700</v>
          </cell>
          <cell r="R302">
            <v>0</v>
          </cell>
          <cell r="S302">
            <v>0</v>
          </cell>
          <cell r="T302">
            <v>0</v>
          </cell>
          <cell r="U302">
            <v>0</v>
          </cell>
          <cell r="V302">
            <v>0</v>
          </cell>
          <cell r="W302">
            <v>0</v>
          </cell>
          <cell r="X302" t="str">
            <v/>
          </cell>
          <cell r="Y302" t="str">
            <v/>
          </cell>
          <cell r="Z302" t="str">
            <v/>
          </cell>
          <cell r="AA302" t="str">
            <v/>
          </cell>
          <cell r="AB302" t="str">
            <v/>
          </cell>
          <cell r="AC302" t="str">
            <v>⑨</v>
          </cell>
          <cell r="AD302" t="str">
            <v/>
          </cell>
          <cell r="AE302" t="str">
            <v/>
          </cell>
          <cell r="AF302" t="str">
            <v/>
          </cell>
          <cell r="AG302" t="str">
            <v/>
          </cell>
          <cell r="AH302" t="str">
            <v/>
          </cell>
          <cell r="AI302" t="str">
            <v/>
          </cell>
        </row>
        <row r="303">
          <cell r="B303">
            <v>1709</v>
          </cell>
          <cell r="C303">
            <v>17</v>
          </cell>
          <cell r="D303">
            <v>9</v>
          </cell>
          <cell r="F303" t="str">
            <v>秋田</v>
          </cell>
          <cell r="G303" t="str">
            <v>害虫駆除</v>
          </cell>
          <cell r="H303" t="str">
            <v>環境技研</v>
          </cell>
          <cell r="I303">
            <v>70000</v>
          </cell>
          <cell r="J303">
            <v>77000</v>
          </cell>
          <cell r="K303">
            <v>2</v>
          </cell>
          <cell r="L303">
            <v>0</v>
          </cell>
          <cell r="M303">
            <v>0</v>
          </cell>
          <cell r="N303">
            <v>0</v>
          </cell>
          <cell r="O303">
            <v>77000</v>
          </cell>
          <cell r="P303">
            <v>0</v>
          </cell>
          <cell r="Q303">
            <v>0</v>
          </cell>
          <cell r="R303">
            <v>0</v>
          </cell>
          <cell r="S303">
            <v>0</v>
          </cell>
          <cell r="T303">
            <v>0</v>
          </cell>
          <cell r="U303">
            <v>77000</v>
          </cell>
          <cell r="V303">
            <v>0</v>
          </cell>
          <cell r="W303">
            <v>0</v>
          </cell>
          <cell r="X303" t="str">
            <v/>
          </cell>
          <cell r="Y303" t="str">
            <v/>
          </cell>
          <cell r="Z303" t="str">
            <v/>
          </cell>
          <cell r="AA303" t="str">
            <v>⑦</v>
          </cell>
          <cell r="AB303" t="str">
            <v/>
          </cell>
          <cell r="AC303" t="str">
            <v/>
          </cell>
          <cell r="AD303" t="str">
            <v/>
          </cell>
          <cell r="AE303" t="str">
            <v/>
          </cell>
          <cell r="AF303" t="str">
            <v/>
          </cell>
          <cell r="AG303" t="str">
            <v>①</v>
          </cell>
          <cell r="AH303" t="str">
            <v/>
          </cell>
          <cell r="AI303" t="str">
            <v/>
          </cell>
        </row>
        <row r="304">
          <cell r="B304">
            <v>1710</v>
          </cell>
          <cell r="C304">
            <v>17</v>
          </cell>
          <cell r="D304">
            <v>10</v>
          </cell>
          <cell r="F304" t="str">
            <v>秋田</v>
          </cell>
          <cell r="G304" t="str">
            <v>オートドア保守</v>
          </cell>
          <cell r="H304" t="str">
            <v>ナブコシステム</v>
          </cell>
          <cell r="I304">
            <v>35000</v>
          </cell>
          <cell r="J304">
            <v>35700</v>
          </cell>
          <cell r="K304">
            <v>2</v>
          </cell>
          <cell r="L304">
            <v>0</v>
          </cell>
          <cell r="M304">
            <v>35700</v>
          </cell>
          <cell r="N304">
            <v>0</v>
          </cell>
          <cell r="O304">
            <v>0</v>
          </cell>
          <cell r="P304">
            <v>0</v>
          </cell>
          <cell r="Q304">
            <v>0</v>
          </cell>
          <cell r="R304">
            <v>0</v>
          </cell>
          <cell r="S304">
            <v>35700</v>
          </cell>
          <cell r="T304">
            <v>0</v>
          </cell>
          <cell r="U304">
            <v>0</v>
          </cell>
          <cell r="V304">
            <v>0</v>
          </cell>
          <cell r="W304">
            <v>0</v>
          </cell>
          <cell r="X304" t="str">
            <v/>
          </cell>
          <cell r="Y304" t="str">
            <v>⑤</v>
          </cell>
          <cell r="Z304" t="str">
            <v/>
          </cell>
          <cell r="AA304" t="str">
            <v/>
          </cell>
          <cell r="AB304" t="str">
            <v/>
          </cell>
          <cell r="AC304" t="str">
            <v/>
          </cell>
          <cell r="AD304" t="str">
            <v/>
          </cell>
          <cell r="AE304" t="str">
            <v>⑪</v>
          </cell>
          <cell r="AF304" t="str">
            <v/>
          </cell>
          <cell r="AG304" t="str">
            <v/>
          </cell>
          <cell r="AH304" t="str">
            <v/>
          </cell>
          <cell r="AI304" t="str">
            <v/>
          </cell>
        </row>
        <row r="305">
          <cell r="B305">
            <v>1711</v>
          </cell>
          <cell r="C305">
            <v>17</v>
          </cell>
          <cell r="D305">
            <v>11</v>
          </cell>
          <cell r="F305" t="str">
            <v>秋田</v>
          </cell>
          <cell r="G305" t="str">
            <v>空調機設備保守</v>
          </cell>
          <cell r="H305" t="str">
            <v>三菱電機ﾋﾞﾙﾃｸﾉｻｰﾋﾞｽ</v>
          </cell>
          <cell r="I305">
            <v>257500</v>
          </cell>
          <cell r="J305">
            <v>262650</v>
          </cell>
          <cell r="K305">
            <v>2</v>
          </cell>
          <cell r="L305">
            <v>0</v>
          </cell>
          <cell r="M305">
            <v>0</v>
          </cell>
          <cell r="N305">
            <v>262650</v>
          </cell>
          <cell r="O305">
            <v>0</v>
          </cell>
          <cell r="P305">
            <v>0</v>
          </cell>
          <cell r="Q305">
            <v>0</v>
          </cell>
          <cell r="R305">
            <v>262650</v>
          </cell>
          <cell r="S305">
            <v>0</v>
          </cell>
          <cell r="T305">
            <v>0</v>
          </cell>
          <cell r="U305">
            <v>0</v>
          </cell>
          <cell r="V305">
            <v>0</v>
          </cell>
          <cell r="W305">
            <v>0</v>
          </cell>
          <cell r="X305" t="str">
            <v/>
          </cell>
          <cell r="Y305" t="str">
            <v/>
          </cell>
          <cell r="Z305" t="str">
            <v>⑥</v>
          </cell>
          <cell r="AA305" t="str">
            <v/>
          </cell>
          <cell r="AB305" t="str">
            <v/>
          </cell>
          <cell r="AC305" t="str">
            <v/>
          </cell>
          <cell r="AD305" t="str">
            <v>⑩</v>
          </cell>
          <cell r="AE305" t="str">
            <v/>
          </cell>
          <cell r="AF305" t="str">
            <v/>
          </cell>
          <cell r="AG305" t="str">
            <v/>
          </cell>
          <cell r="AH305" t="str">
            <v/>
          </cell>
          <cell r="AI305" t="str">
            <v/>
          </cell>
        </row>
        <row r="306">
          <cell r="B306">
            <v>1712</v>
          </cell>
          <cell r="C306">
            <v>17</v>
          </cell>
          <cell r="D306">
            <v>12</v>
          </cell>
          <cell r="F306" t="str">
            <v>秋田</v>
          </cell>
          <cell r="G306" t="str">
            <v>ﾎﾞｲﾗｰ性能検査に伴う点検整備</v>
          </cell>
          <cell r="H306" t="str">
            <v>テクノサイエンス</v>
          </cell>
          <cell r="I306">
            <v>300000</v>
          </cell>
          <cell r="J306">
            <v>345000</v>
          </cell>
          <cell r="K306">
            <v>1</v>
          </cell>
          <cell r="L306">
            <v>0</v>
          </cell>
          <cell r="M306">
            <v>0</v>
          </cell>
          <cell r="N306">
            <v>0</v>
          </cell>
          <cell r="O306">
            <v>0</v>
          </cell>
          <cell r="P306">
            <v>0</v>
          </cell>
          <cell r="Q306">
            <v>0</v>
          </cell>
          <cell r="R306">
            <v>0</v>
          </cell>
          <cell r="S306">
            <v>0</v>
          </cell>
          <cell r="T306">
            <v>0</v>
          </cell>
          <cell r="U306">
            <v>345000</v>
          </cell>
          <cell r="V306">
            <v>0</v>
          </cell>
          <cell r="W306">
            <v>0</v>
          </cell>
          <cell r="X306" t="str">
            <v/>
          </cell>
          <cell r="Y306" t="str">
            <v/>
          </cell>
          <cell r="Z306" t="str">
            <v/>
          </cell>
          <cell r="AA306" t="str">
            <v/>
          </cell>
          <cell r="AB306" t="str">
            <v/>
          </cell>
          <cell r="AC306" t="str">
            <v/>
          </cell>
          <cell r="AD306" t="str">
            <v/>
          </cell>
          <cell r="AE306" t="str">
            <v/>
          </cell>
          <cell r="AF306" t="str">
            <v/>
          </cell>
          <cell r="AG306" t="str">
            <v>①</v>
          </cell>
          <cell r="AH306" t="str">
            <v/>
          </cell>
          <cell r="AI306" t="str">
            <v/>
          </cell>
          <cell r="AJ306" t="str">
            <v>追</v>
          </cell>
        </row>
        <row r="307">
          <cell r="B307">
            <v>1713</v>
          </cell>
          <cell r="C307">
            <v>17</v>
          </cell>
          <cell r="D307">
            <v>13</v>
          </cell>
          <cell r="F307" t="str">
            <v>秋田</v>
          </cell>
          <cell r="G307" t="str">
            <v>シャッター保守整備(軽量)</v>
          </cell>
          <cell r="H307" t="str">
            <v>三和シャッター工業</v>
          </cell>
          <cell r="I307">
            <v>69500</v>
          </cell>
          <cell r="J307">
            <v>79930</v>
          </cell>
          <cell r="K307">
            <v>1</v>
          </cell>
          <cell r="L307">
            <v>0</v>
          </cell>
          <cell r="M307">
            <v>0</v>
          </cell>
          <cell r="N307">
            <v>0</v>
          </cell>
          <cell r="O307">
            <v>0</v>
          </cell>
          <cell r="P307">
            <v>0</v>
          </cell>
          <cell r="Q307">
            <v>0</v>
          </cell>
          <cell r="R307">
            <v>0</v>
          </cell>
          <cell r="S307">
            <v>0</v>
          </cell>
          <cell r="T307">
            <v>0</v>
          </cell>
          <cell r="U307">
            <v>0</v>
          </cell>
          <cell r="V307">
            <v>0</v>
          </cell>
          <cell r="W307">
            <v>79930</v>
          </cell>
          <cell r="X307" t="str">
            <v/>
          </cell>
          <cell r="Y307" t="str">
            <v/>
          </cell>
          <cell r="Z307" t="str">
            <v/>
          </cell>
          <cell r="AA307" t="str">
            <v/>
          </cell>
          <cell r="AB307" t="str">
            <v/>
          </cell>
          <cell r="AC307" t="str">
            <v/>
          </cell>
          <cell r="AD307" t="str">
            <v/>
          </cell>
          <cell r="AE307" t="str">
            <v/>
          </cell>
          <cell r="AF307" t="str">
            <v/>
          </cell>
          <cell r="AG307" t="str">
            <v/>
          </cell>
          <cell r="AH307" t="str">
            <v/>
          </cell>
          <cell r="AI307" t="str">
            <v>③</v>
          </cell>
          <cell r="AJ307" t="str">
            <v>追</v>
          </cell>
        </row>
        <row r="308">
          <cell r="B308">
            <v>1714</v>
          </cell>
          <cell r="C308">
            <v>17</v>
          </cell>
          <cell r="D308">
            <v>14</v>
          </cell>
          <cell r="F308" t="str">
            <v>秋田</v>
          </cell>
          <cell r="G308" t="str">
            <v>シャッター保守整備(防火)</v>
          </cell>
          <cell r="H308" t="str">
            <v>三和シャッター工業</v>
          </cell>
          <cell r="I308">
            <v>9000</v>
          </cell>
          <cell r="J308">
            <v>11000</v>
          </cell>
          <cell r="K308">
            <v>1</v>
          </cell>
          <cell r="L308">
            <v>0</v>
          </cell>
          <cell r="M308">
            <v>0</v>
          </cell>
          <cell r="N308">
            <v>0</v>
          </cell>
          <cell r="O308">
            <v>0</v>
          </cell>
          <cell r="P308">
            <v>0</v>
          </cell>
          <cell r="Q308">
            <v>0</v>
          </cell>
          <cell r="R308">
            <v>0</v>
          </cell>
          <cell r="S308">
            <v>0</v>
          </cell>
          <cell r="T308">
            <v>0</v>
          </cell>
          <cell r="U308">
            <v>0</v>
          </cell>
          <cell r="V308">
            <v>0</v>
          </cell>
          <cell r="W308">
            <v>11000</v>
          </cell>
          <cell r="X308" t="str">
            <v/>
          </cell>
          <cell r="Y308" t="str">
            <v/>
          </cell>
          <cell r="Z308" t="str">
            <v/>
          </cell>
          <cell r="AA308" t="str">
            <v/>
          </cell>
          <cell r="AB308" t="str">
            <v/>
          </cell>
          <cell r="AC308" t="str">
            <v/>
          </cell>
          <cell r="AD308" t="str">
            <v/>
          </cell>
          <cell r="AE308" t="str">
            <v/>
          </cell>
          <cell r="AF308" t="str">
            <v/>
          </cell>
          <cell r="AG308" t="str">
            <v/>
          </cell>
          <cell r="AH308" t="str">
            <v/>
          </cell>
          <cell r="AI308" t="str">
            <v>③</v>
          </cell>
          <cell r="AJ308" t="str">
            <v>追</v>
          </cell>
        </row>
        <row r="309">
          <cell r="B309">
            <v>1715</v>
          </cell>
          <cell r="C309">
            <v>17</v>
          </cell>
          <cell r="D309">
            <v>15</v>
          </cell>
          <cell r="F309" t="str">
            <v>秋田</v>
          </cell>
          <cell r="G309" t="str">
            <v>植栽管理</v>
          </cell>
          <cell r="H309" t="str">
            <v>奈良造園</v>
          </cell>
          <cell r="I309">
            <v>65000</v>
          </cell>
          <cell r="J309">
            <v>74750</v>
          </cell>
          <cell r="K309">
            <v>1</v>
          </cell>
          <cell r="L309">
            <v>0</v>
          </cell>
          <cell r="M309">
            <v>0</v>
          </cell>
          <cell r="N309">
            <v>0</v>
          </cell>
          <cell r="O309">
            <v>0</v>
          </cell>
          <cell r="P309">
            <v>0</v>
          </cell>
          <cell r="Q309">
            <v>0</v>
          </cell>
          <cell r="R309">
            <v>0</v>
          </cell>
          <cell r="S309">
            <v>74750</v>
          </cell>
          <cell r="T309">
            <v>0</v>
          </cell>
          <cell r="U309">
            <v>0</v>
          </cell>
          <cell r="V309">
            <v>0</v>
          </cell>
          <cell r="W309">
            <v>0</v>
          </cell>
          <cell r="X309" t="str">
            <v/>
          </cell>
          <cell r="Y309" t="str">
            <v/>
          </cell>
          <cell r="Z309" t="str">
            <v/>
          </cell>
          <cell r="AA309" t="str">
            <v/>
          </cell>
          <cell r="AB309" t="str">
            <v/>
          </cell>
          <cell r="AC309" t="str">
            <v/>
          </cell>
          <cell r="AD309" t="str">
            <v/>
          </cell>
          <cell r="AE309" t="str">
            <v>⑪</v>
          </cell>
          <cell r="AF309" t="str">
            <v/>
          </cell>
          <cell r="AG309" t="str">
            <v/>
          </cell>
          <cell r="AH309" t="str">
            <v/>
          </cell>
          <cell r="AI309" t="str">
            <v/>
          </cell>
          <cell r="AJ309" t="str">
            <v>追</v>
          </cell>
        </row>
        <row r="310">
          <cell r="B310">
            <v>1716</v>
          </cell>
          <cell r="C310">
            <v>17</v>
          </cell>
          <cell r="D310">
            <v>16</v>
          </cell>
          <cell r="F310" t="str">
            <v>秋田</v>
          </cell>
          <cell r="G310" t="str">
            <v>ﾛｰﾙﾌｨﾙﾀｰ清掃</v>
          </cell>
          <cell r="H310" t="str">
            <v>新菱冷熱工業</v>
          </cell>
          <cell r="I310">
            <v>75000</v>
          </cell>
          <cell r="J310">
            <v>86250</v>
          </cell>
          <cell r="K310">
            <v>1</v>
          </cell>
          <cell r="L310">
            <v>0</v>
          </cell>
          <cell r="M310">
            <v>0</v>
          </cell>
          <cell r="N310">
            <v>0</v>
          </cell>
          <cell r="O310">
            <v>0</v>
          </cell>
          <cell r="P310">
            <v>0</v>
          </cell>
          <cell r="Q310">
            <v>0</v>
          </cell>
          <cell r="R310">
            <v>0</v>
          </cell>
          <cell r="S310">
            <v>0</v>
          </cell>
          <cell r="T310">
            <v>0</v>
          </cell>
          <cell r="U310">
            <v>0</v>
          </cell>
          <cell r="V310">
            <v>0</v>
          </cell>
          <cell r="W310">
            <v>86250</v>
          </cell>
          <cell r="X310" t="str">
            <v/>
          </cell>
          <cell r="Y310" t="str">
            <v/>
          </cell>
          <cell r="Z310" t="str">
            <v/>
          </cell>
          <cell r="AA310" t="str">
            <v/>
          </cell>
          <cell r="AB310" t="str">
            <v/>
          </cell>
          <cell r="AC310" t="str">
            <v/>
          </cell>
          <cell r="AD310" t="str">
            <v/>
          </cell>
          <cell r="AE310" t="str">
            <v/>
          </cell>
          <cell r="AF310" t="str">
            <v/>
          </cell>
          <cell r="AG310" t="str">
            <v/>
          </cell>
          <cell r="AH310" t="str">
            <v/>
          </cell>
          <cell r="AI310" t="str">
            <v>③</v>
          </cell>
          <cell r="AJ310" t="str">
            <v>追</v>
          </cell>
        </row>
        <row r="311">
          <cell r="B311">
            <v>1717</v>
          </cell>
          <cell r="C311">
            <v>17</v>
          </cell>
          <cell r="D311">
            <v>17</v>
          </cell>
          <cell r="F311" t="str">
            <v>秋田</v>
          </cell>
          <cell r="G311" t="str">
            <v>ﾊﾟｯｹｰｼﾞﾌｨﾙﾀｰ清掃</v>
          </cell>
          <cell r="H311" t="str">
            <v>大洋ビル管理</v>
          </cell>
          <cell r="I311">
            <v>25600</v>
          </cell>
          <cell r="J311">
            <v>29440</v>
          </cell>
          <cell r="K311">
            <v>6</v>
          </cell>
          <cell r="L311">
            <v>29440</v>
          </cell>
          <cell r="M311">
            <v>0</v>
          </cell>
          <cell r="N311">
            <v>29440</v>
          </cell>
          <cell r="O311">
            <v>0</v>
          </cell>
          <cell r="P311">
            <v>29440</v>
          </cell>
          <cell r="Q311">
            <v>0</v>
          </cell>
          <cell r="R311">
            <v>29440</v>
          </cell>
          <cell r="S311">
            <v>0</v>
          </cell>
          <cell r="T311">
            <v>29440</v>
          </cell>
          <cell r="U311">
            <v>0</v>
          </cell>
          <cell r="V311">
            <v>29440</v>
          </cell>
          <cell r="W311">
            <v>0</v>
          </cell>
          <cell r="X311" t="str">
            <v>④</v>
          </cell>
          <cell r="Z311" t="str">
            <v>⑥</v>
          </cell>
          <cell r="AB311" t="str">
            <v>⑧</v>
          </cell>
          <cell r="AD311" t="str">
            <v>⑩</v>
          </cell>
          <cell r="AF311" t="str">
            <v>⑫</v>
          </cell>
          <cell r="AH311" t="str">
            <v>②</v>
          </cell>
          <cell r="AJ311" t="str">
            <v>追</v>
          </cell>
        </row>
        <row r="312">
          <cell r="B312">
            <v>1718</v>
          </cell>
          <cell r="C312">
            <v>17</v>
          </cell>
          <cell r="D312">
            <v>18</v>
          </cell>
          <cell r="F312" t="str">
            <v>秋田</v>
          </cell>
          <cell r="G312" t="str">
            <v>冷却塔清掃</v>
          </cell>
          <cell r="H312" t="str">
            <v>大洋ビル管理</v>
          </cell>
          <cell r="I312">
            <v>19500</v>
          </cell>
          <cell r="J312">
            <v>22430</v>
          </cell>
          <cell r="K312">
            <v>1</v>
          </cell>
          <cell r="L312">
            <v>0</v>
          </cell>
          <cell r="M312">
            <v>0</v>
          </cell>
          <cell r="N312">
            <v>0</v>
          </cell>
          <cell r="O312">
            <v>0</v>
          </cell>
          <cell r="P312">
            <v>0</v>
          </cell>
          <cell r="Q312">
            <v>0</v>
          </cell>
          <cell r="R312">
            <v>0</v>
          </cell>
          <cell r="S312">
            <v>22430</v>
          </cell>
          <cell r="T312">
            <v>0</v>
          </cell>
          <cell r="U312">
            <v>0</v>
          </cell>
          <cell r="V312">
            <v>0</v>
          </cell>
          <cell r="W312">
            <v>0</v>
          </cell>
          <cell r="X312" t="str">
            <v/>
          </cell>
          <cell r="Y312" t="str">
            <v/>
          </cell>
          <cell r="Z312" t="str">
            <v/>
          </cell>
          <cell r="AA312" t="str">
            <v/>
          </cell>
          <cell r="AB312" t="str">
            <v/>
          </cell>
          <cell r="AC312" t="str">
            <v/>
          </cell>
          <cell r="AD312" t="str">
            <v/>
          </cell>
          <cell r="AE312" t="str">
            <v>⑪</v>
          </cell>
          <cell r="AF312" t="str">
            <v/>
          </cell>
          <cell r="AG312" t="str">
            <v/>
          </cell>
          <cell r="AH312" t="str">
            <v/>
          </cell>
          <cell r="AI312" t="str">
            <v/>
          </cell>
          <cell r="AJ312" t="str">
            <v>追</v>
          </cell>
        </row>
        <row r="313">
          <cell r="B313">
            <v>1719</v>
          </cell>
          <cell r="C313">
            <v>17</v>
          </cell>
          <cell r="D313">
            <v>19</v>
          </cell>
          <cell r="F313" t="str">
            <v>秋田</v>
          </cell>
          <cell r="G313" t="str">
            <v>電気湯沸器点検整備</v>
          </cell>
          <cell r="H313" t="str">
            <v>大洋ビル管理</v>
          </cell>
          <cell r="I313">
            <v>25000</v>
          </cell>
          <cell r="J313">
            <v>28750</v>
          </cell>
          <cell r="K313">
            <v>1</v>
          </cell>
          <cell r="L313">
            <v>0</v>
          </cell>
          <cell r="M313">
            <v>0</v>
          </cell>
          <cell r="N313">
            <v>0</v>
          </cell>
          <cell r="O313">
            <v>28750</v>
          </cell>
          <cell r="P313">
            <v>0</v>
          </cell>
          <cell r="Q313">
            <v>0</v>
          </cell>
          <cell r="R313">
            <v>0</v>
          </cell>
          <cell r="S313">
            <v>0</v>
          </cell>
          <cell r="T313">
            <v>0</v>
          </cell>
          <cell r="U313">
            <v>0</v>
          </cell>
          <cell r="V313">
            <v>0</v>
          </cell>
          <cell r="W313">
            <v>0</v>
          </cell>
          <cell r="X313" t="str">
            <v/>
          </cell>
          <cell r="Y313" t="str">
            <v/>
          </cell>
          <cell r="Z313" t="str">
            <v/>
          </cell>
          <cell r="AA313" t="str">
            <v>⑦</v>
          </cell>
          <cell r="AB313" t="str">
            <v/>
          </cell>
          <cell r="AC313" t="str">
            <v/>
          </cell>
          <cell r="AD313" t="str">
            <v/>
          </cell>
          <cell r="AE313" t="str">
            <v/>
          </cell>
          <cell r="AF313" t="str">
            <v/>
          </cell>
          <cell r="AG313" t="str">
            <v/>
          </cell>
          <cell r="AH313" t="str">
            <v/>
          </cell>
          <cell r="AI313" t="str">
            <v/>
          </cell>
          <cell r="AJ313" t="str">
            <v>追</v>
          </cell>
        </row>
        <row r="314">
          <cell r="B314">
            <v>1720</v>
          </cell>
          <cell r="C314">
            <v>17</v>
          </cell>
          <cell r="D314">
            <v>20</v>
          </cell>
          <cell r="F314" t="str">
            <v>秋田</v>
          </cell>
          <cell r="G314" t="str">
            <v>送排用機点検整備</v>
          </cell>
          <cell r="H314" t="str">
            <v>テクノサイエンス</v>
          </cell>
          <cell r="I314">
            <v>37000</v>
          </cell>
          <cell r="J314">
            <v>42550</v>
          </cell>
          <cell r="K314">
            <v>1</v>
          </cell>
          <cell r="L314">
            <v>42550</v>
          </cell>
          <cell r="M314">
            <v>0</v>
          </cell>
          <cell r="N314">
            <v>0</v>
          </cell>
          <cell r="O314">
            <v>0</v>
          </cell>
          <cell r="P314">
            <v>0</v>
          </cell>
          <cell r="Q314">
            <v>0</v>
          </cell>
          <cell r="R314">
            <v>0</v>
          </cell>
          <cell r="S314">
            <v>0</v>
          </cell>
          <cell r="T314">
            <v>0</v>
          </cell>
          <cell r="U314">
            <v>0</v>
          </cell>
          <cell r="V314">
            <v>0</v>
          </cell>
          <cell r="W314">
            <v>0</v>
          </cell>
          <cell r="X314" t="str">
            <v>④</v>
          </cell>
          <cell r="Y314" t="str">
            <v/>
          </cell>
          <cell r="Z314" t="str">
            <v/>
          </cell>
          <cell r="AA314" t="str">
            <v/>
          </cell>
          <cell r="AB314" t="str">
            <v/>
          </cell>
          <cell r="AC314" t="str">
            <v/>
          </cell>
          <cell r="AD314" t="str">
            <v/>
          </cell>
          <cell r="AE314" t="str">
            <v/>
          </cell>
          <cell r="AF314" t="str">
            <v/>
          </cell>
          <cell r="AG314" t="str">
            <v/>
          </cell>
          <cell r="AH314" t="str">
            <v/>
          </cell>
          <cell r="AI314" t="str">
            <v/>
          </cell>
          <cell r="AJ314" t="str">
            <v>追</v>
          </cell>
        </row>
        <row r="315">
          <cell r="B315">
            <v>1721</v>
          </cell>
          <cell r="C315">
            <v>17</v>
          </cell>
          <cell r="D315">
            <v>21</v>
          </cell>
          <cell r="F315" t="str">
            <v>秋田</v>
          </cell>
          <cell r="G315" t="str">
            <v>全熱交換機点検整備</v>
          </cell>
          <cell r="H315" t="str">
            <v>テクノサイエンス</v>
          </cell>
          <cell r="I315">
            <v>50000</v>
          </cell>
          <cell r="J315">
            <v>57500</v>
          </cell>
          <cell r="K315">
            <v>1</v>
          </cell>
          <cell r="L315">
            <v>57500</v>
          </cell>
          <cell r="M315">
            <v>0</v>
          </cell>
          <cell r="N315">
            <v>0</v>
          </cell>
          <cell r="O315">
            <v>0</v>
          </cell>
          <cell r="P315">
            <v>0</v>
          </cell>
          <cell r="Q315">
            <v>0</v>
          </cell>
          <cell r="R315">
            <v>0</v>
          </cell>
          <cell r="S315">
            <v>0</v>
          </cell>
          <cell r="T315">
            <v>0</v>
          </cell>
          <cell r="U315">
            <v>0</v>
          </cell>
          <cell r="V315">
            <v>0</v>
          </cell>
          <cell r="W315">
            <v>0</v>
          </cell>
          <cell r="X315" t="str">
            <v>④</v>
          </cell>
          <cell r="Y315" t="str">
            <v/>
          </cell>
          <cell r="Z315" t="str">
            <v/>
          </cell>
          <cell r="AA315" t="str">
            <v/>
          </cell>
          <cell r="AB315" t="str">
            <v/>
          </cell>
          <cell r="AC315" t="str">
            <v/>
          </cell>
          <cell r="AD315" t="str">
            <v/>
          </cell>
          <cell r="AE315" t="str">
            <v/>
          </cell>
          <cell r="AF315" t="str">
            <v/>
          </cell>
          <cell r="AG315" t="str">
            <v/>
          </cell>
          <cell r="AH315" t="str">
            <v/>
          </cell>
          <cell r="AI315" t="str">
            <v/>
          </cell>
          <cell r="AJ315" t="str">
            <v>追</v>
          </cell>
        </row>
        <row r="316">
          <cell r="B316">
            <v>1722</v>
          </cell>
          <cell r="C316">
            <v>17</v>
          </cell>
          <cell r="D316">
            <v>22</v>
          </cell>
          <cell r="F316" t="str">
            <v>秋田</v>
          </cell>
          <cell r="G316" t="str">
            <v>ポンプ類点検</v>
          </cell>
          <cell r="H316" t="str">
            <v>テクノサイエンス</v>
          </cell>
          <cell r="I316">
            <v>38000</v>
          </cell>
          <cell r="J316">
            <v>43700</v>
          </cell>
          <cell r="K316">
            <v>1</v>
          </cell>
          <cell r="L316">
            <v>0</v>
          </cell>
          <cell r="M316">
            <v>0</v>
          </cell>
          <cell r="N316">
            <v>0</v>
          </cell>
          <cell r="O316">
            <v>0</v>
          </cell>
          <cell r="P316">
            <v>0</v>
          </cell>
          <cell r="Q316">
            <v>0</v>
          </cell>
          <cell r="R316">
            <v>0</v>
          </cell>
          <cell r="S316">
            <v>43700</v>
          </cell>
          <cell r="T316">
            <v>0</v>
          </cell>
          <cell r="U316">
            <v>0</v>
          </cell>
          <cell r="V316">
            <v>0</v>
          </cell>
          <cell r="W316">
            <v>0</v>
          </cell>
          <cell r="X316" t="str">
            <v/>
          </cell>
          <cell r="Y316" t="str">
            <v/>
          </cell>
          <cell r="Z316" t="str">
            <v/>
          </cell>
          <cell r="AA316" t="str">
            <v/>
          </cell>
          <cell r="AB316" t="str">
            <v/>
          </cell>
          <cell r="AC316" t="str">
            <v/>
          </cell>
          <cell r="AD316" t="str">
            <v/>
          </cell>
          <cell r="AE316" t="str">
            <v>⑪</v>
          </cell>
          <cell r="AF316" t="str">
            <v/>
          </cell>
          <cell r="AG316" t="str">
            <v/>
          </cell>
          <cell r="AH316" t="str">
            <v/>
          </cell>
          <cell r="AI316" t="str">
            <v/>
          </cell>
          <cell r="AJ316" t="str">
            <v>追</v>
          </cell>
        </row>
        <row r="317">
          <cell r="B317">
            <v>1801</v>
          </cell>
          <cell r="C317">
            <v>18</v>
          </cell>
          <cell r="D317">
            <v>1</v>
          </cell>
          <cell r="F317" t="str">
            <v>山形</v>
          </cell>
          <cell r="G317" t="str">
            <v>立体駐車場設備保守</v>
          </cell>
          <cell r="H317" t="str">
            <v>石川島運搬機械</v>
          </cell>
          <cell r="I317">
            <v>64000</v>
          </cell>
          <cell r="J317">
            <v>68100</v>
          </cell>
          <cell r="K317">
            <v>12</v>
          </cell>
          <cell r="L317">
            <v>68100</v>
          </cell>
          <cell r="M317">
            <v>68100</v>
          </cell>
          <cell r="N317">
            <v>68100</v>
          </cell>
          <cell r="O317">
            <v>68100</v>
          </cell>
          <cell r="P317">
            <v>68100</v>
          </cell>
          <cell r="Q317">
            <v>68100</v>
          </cell>
          <cell r="R317">
            <v>68100</v>
          </cell>
          <cell r="S317">
            <v>68100</v>
          </cell>
          <cell r="T317">
            <v>68100</v>
          </cell>
          <cell r="U317">
            <v>68100</v>
          </cell>
          <cell r="V317">
            <v>68100</v>
          </cell>
          <cell r="W317">
            <v>68100</v>
          </cell>
          <cell r="X317" t="str">
            <v>④</v>
          </cell>
          <cell r="Y317" t="str">
            <v>⑤</v>
          </cell>
          <cell r="Z317" t="str">
            <v>⑥</v>
          </cell>
          <cell r="AA317" t="str">
            <v>⑦</v>
          </cell>
          <cell r="AB317" t="str">
            <v>⑧</v>
          </cell>
          <cell r="AC317" t="str">
            <v>⑨</v>
          </cell>
          <cell r="AD317" t="str">
            <v>⑩</v>
          </cell>
          <cell r="AE317" t="str">
            <v>⑪</v>
          </cell>
          <cell r="AF317" t="str">
            <v>⑫</v>
          </cell>
          <cell r="AG317" t="str">
            <v>①</v>
          </cell>
          <cell r="AH317" t="str">
            <v>②</v>
          </cell>
          <cell r="AI317" t="str">
            <v>③</v>
          </cell>
        </row>
        <row r="318">
          <cell r="B318">
            <v>1802</v>
          </cell>
          <cell r="C318">
            <v>18</v>
          </cell>
          <cell r="D318">
            <v>2</v>
          </cell>
          <cell r="F318" t="str">
            <v>山形</v>
          </cell>
          <cell r="G318" t="str">
            <v>エレベーター保守</v>
          </cell>
          <cell r="H318" t="str">
            <v>三菱電機ﾋﾞﾙﾃｸﾉｻｰﾋﾞｽ</v>
          </cell>
          <cell r="I318">
            <v>57500</v>
          </cell>
          <cell r="J318">
            <v>58650</v>
          </cell>
          <cell r="K318">
            <v>12</v>
          </cell>
          <cell r="L318">
            <v>58650</v>
          </cell>
          <cell r="M318">
            <v>58650</v>
          </cell>
          <cell r="N318">
            <v>58650</v>
          </cell>
          <cell r="O318">
            <v>58650</v>
          </cell>
          <cell r="P318">
            <v>58650</v>
          </cell>
          <cell r="Q318">
            <v>58650</v>
          </cell>
          <cell r="R318">
            <v>58650</v>
          </cell>
          <cell r="S318">
            <v>58650</v>
          </cell>
          <cell r="T318">
            <v>58650</v>
          </cell>
          <cell r="U318">
            <v>58650</v>
          </cell>
          <cell r="V318">
            <v>58650</v>
          </cell>
          <cell r="W318">
            <v>58650</v>
          </cell>
          <cell r="X318" t="str">
            <v>④</v>
          </cell>
          <cell r="Y318" t="str">
            <v>⑤</v>
          </cell>
          <cell r="Z318" t="str">
            <v>⑥</v>
          </cell>
          <cell r="AA318" t="str">
            <v>⑦</v>
          </cell>
          <cell r="AB318" t="str">
            <v>⑧</v>
          </cell>
          <cell r="AC318" t="str">
            <v>⑨</v>
          </cell>
          <cell r="AD318" t="str">
            <v>⑩</v>
          </cell>
          <cell r="AE318" t="str">
            <v>⑪</v>
          </cell>
          <cell r="AF318" t="str">
            <v>⑫</v>
          </cell>
          <cell r="AG318" t="str">
            <v>①</v>
          </cell>
          <cell r="AH318" t="str">
            <v>②</v>
          </cell>
          <cell r="AI318" t="str">
            <v>③</v>
          </cell>
        </row>
        <row r="319">
          <cell r="B319">
            <v>1803</v>
          </cell>
          <cell r="C319">
            <v>18</v>
          </cell>
          <cell r="D319">
            <v>3</v>
          </cell>
          <cell r="F319" t="str">
            <v>山形</v>
          </cell>
          <cell r="G319" t="str">
            <v>消防設備点検保守</v>
          </cell>
          <cell r="H319" t="str">
            <v>東信工業</v>
          </cell>
          <cell r="I319">
            <v>233500</v>
          </cell>
          <cell r="J319">
            <v>238170</v>
          </cell>
          <cell r="K319">
            <v>2</v>
          </cell>
          <cell r="L319">
            <v>0</v>
          </cell>
          <cell r="M319">
            <v>0</v>
          </cell>
          <cell r="N319">
            <v>0</v>
          </cell>
          <cell r="O319">
            <v>238170</v>
          </cell>
          <cell r="P319">
            <v>0</v>
          </cell>
          <cell r="Q319">
            <v>0</v>
          </cell>
          <cell r="R319">
            <v>0</v>
          </cell>
          <cell r="S319">
            <v>0</v>
          </cell>
          <cell r="T319">
            <v>0</v>
          </cell>
          <cell r="U319">
            <v>238170</v>
          </cell>
          <cell r="V319">
            <v>0</v>
          </cell>
          <cell r="W319">
            <v>0</v>
          </cell>
          <cell r="X319" t="str">
            <v/>
          </cell>
          <cell r="Y319" t="str">
            <v/>
          </cell>
          <cell r="Z319" t="str">
            <v/>
          </cell>
          <cell r="AA319" t="str">
            <v>⑦</v>
          </cell>
          <cell r="AB319" t="str">
            <v/>
          </cell>
          <cell r="AC319" t="str">
            <v/>
          </cell>
          <cell r="AD319" t="str">
            <v/>
          </cell>
          <cell r="AE319" t="str">
            <v/>
          </cell>
          <cell r="AF319" t="str">
            <v/>
          </cell>
          <cell r="AG319" t="str">
            <v>①</v>
          </cell>
          <cell r="AH319" t="str">
            <v/>
          </cell>
          <cell r="AI319" t="str">
            <v/>
          </cell>
        </row>
        <row r="320">
          <cell r="B320">
            <v>1804</v>
          </cell>
          <cell r="C320">
            <v>18</v>
          </cell>
          <cell r="D320">
            <v>4</v>
          </cell>
          <cell r="F320" t="str">
            <v>山形</v>
          </cell>
          <cell r="G320" t="str">
            <v>害虫駆除</v>
          </cell>
          <cell r="H320" t="str">
            <v>ＮＥＳコーポレーション</v>
          </cell>
          <cell r="I320">
            <v>58500</v>
          </cell>
          <cell r="J320">
            <v>64350</v>
          </cell>
          <cell r="K320">
            <v>2</v>
          </cell>
          <cell r="L320">
            <v>0</v>
          </cell>
          <cell r="M320">
            <v>0</v>
          </cell>
          <cell r="N320">
            <v>0</v>
          </cell>
          <cell r="O320">
            <v>0</v>
          </cell>
          <cell r="P320">
            <v>0</v>
          </cell>
          <cell r="Q320">
            <v>64350</v>
          </cell>
          <cell r="R320">
            <v>0</v>
          </cell>
          <cell r="S320">
            <v>0</v>
          </cell>
          <cell r="T320">
            <v>0</v>
          </cell>
          <cell r="U320">
            <v>0</v>
          </cell>
          <cell r="V320">
            <v>0</v>
          </cell>
          <cell r="W320">
            <v>64350</v>
          </cell>
          <cell r="X320" t="str">
            <v/>
          </cell>
          <cell r="Y320" t="str">
            <v/>
          </cell>
          <cell r="Z320" t="str">
            <v/>
          </cell>
          <cell r="AA320" t="str">
            <v/>
          </cell>
          <cell r="AB320" t="str">
            <v/>
          </cell>
          <cell r="AC320" t="str">
            <v>⑨</v>
          </cell>
          <cell r="AD320" t="str">
            <v/>
          </cell>
          <cell r="AE320" t="str">
            <v/>
          </cell>
          <cell r="AF320" t="str">
            <v/>
          </cell>
          <cell r="AG320" t="str">
            <v/>
          </cell>
          <cell r="AH320" t="str">
            <v/>
          </cell>
          <cell r="AI320" t="str">
            <v>③</v>
          </cell>
        </row>
        <row r="321">
          <cell r="B321">
            <v>1805</v>
          </cell>
          <cell r="C321">
            <v>18</v>
          </cell>
          <cell r="D321">
            <v>5</v>
          </cell>
          <cell r="F321" t="str">
            <v>山形</v>
          </cell>
          <cell r="G321" t="str">
            <v>受水槽清掃(含む高架水槽)</v>
          </cell>
          <cell r="H321" t="str">
            <v>ＮＥＳコーポレーション</v>
          </cell>
          <cell r="I321">
            <v>58000</v>
          </cell>
          <cell r="J321">
            <v>65540</v>
          </cell>
          <cell r="K321">
            <v>1</v>
          </cell>
          <cell r="L321">
            <v>0</v>
          </cell>
          <cell r="M321">
            <v>0</v>
          </cell>
          <cell r="N321">
            <v>0</v>
          </cell>
          <cell r="O321">
            <v>0</v>
          </cell>
          <cell r="P321">
            <v>0</v>
          </cell>
          <cell r="Q321">
            <v>65540</v>
          </cell>
          <cell r="R321">
            <v>0</v>
          </cell>
          <cell r="S321">
            <v>0</v>
          </cell>
          <cell r="T321">
            <v>0</v>
          </cell>
          <cell r="U321">
            <v>0</v>
          </cell>
          <cell r="V321">
            <v>0</v>
          </cell>
          <cell r="W321">
            <v>0</v>
          </cell>
          <cell r="X321" t="str">
            <v/>
          </cell>
          <cell r="Y321" t="str">
            <v/>
          </cell>
          <cell r="Z321" t="str">
            <v/>
          </cell>
          <cell r="AA321" t="str">
            <v/>
          </cell>
          <cell r="AB321" t="str">
            <v/>
          </cell>
          <cell r="AC321" t="str">
            <v>⑨</v>
          </cell>
          <cell r="AD321" t="str">
            <v/>
          </cell>
          <cell r="AE321" t="str">
            <v/>
          </cell>
          <cell r="AF321" t="str">
            <v/>
          </cell>
          <cell r="AG321" t="str">
            <v/>
          </cell>
          <cell r="AH321" t="str">
            <v/>
          </cell>
          <cell r="AI321" t="str">
            <v/>
          </cell>
        </row>
        <row r="322">
          <cell r="B322">
            <v>1806</v>
          </cell>
          <cell r="C322">
            <v>18</v>
          </cell>
          <cell r="D322">
            <v>6</v>
          </cell>
          <cell r="F322" t="str">
            <v>山形</v>
          </cell>
          <cell r="G322" t="str">
            <v>空調機設備保守</v>
          </cell>
          <cell r="H322" t="str">
            <v>三菱電機ﾋﾞﾙﾃｸﾉｻｰﾋﾞｽ</v>
          </cell>
          <cell r="I322">
            <v>110000</v>
          </cell>
          <cell r="J322">
            <v>112200</v>
          </cell>
          <cell r="K322">
            <v>2</v>
          </cell>
          <cell r="L322">
            <v>0</v>
          </cell>
          <cell r="M322">
            <v>0</v>
          </cell>
          <cell r="N322">
            <v>0</v>
          </cell>
          <cell r="O322">
            <v>112200</v>
          </cell>
          <cell r="P322">
            <v>0</v>
          </cell>
          <cell r="Q322">
            <v>0</v>
          </cell>
          <cell r="R322">
            <v>0</v>
          </cell>
          <cell r="S322">
            <v>0</v>
          </cell>
          <cell r="T322">
            <v>112200</v>
          </cell>
          <cell r="U322">
            <v>0</v>
          </cell>
          <cell r="V322">
            <v>0</v>
          </cell>
          <cell r="W322">
            <v>0</v>
          </cell>
          <cell r="X322" t="str">
            <v/>
          </cell>
          <cell r="Y322" t="str">
            <v/>
          </cell>
          <cell r="Z322" t="str">
            <v/>
          </cell>
          <cell r="AA322" t="str">
            <v>⑦</v>
          </cell>
          <cell r="AB322" t="str">
            <v/>
          </cell>
          <cell r="AC322" t="str">
            <v/>
          </cell>
          <cell r="AD322" t="str">
            <v/>
          </cell>
          <cell r="AE322" t="str">
            <v/>
          </cell>
          <cell r="AF322" t="str">
            <v>⑫</v>
          </cell>
          <cell r="AG322" t="str">
            <v/>
          </cell>
          <cell r="AH322" t="str">
            <v/>
          </cell>
          <cell r="AI322" t="str">
            <v/>
          </cell>
        </row>
        <row r="323">
          <cell r="B323">
            <v>1807</v>
          </cell>
          <cell r="C323">
            <v>18</v>
          </cell>
          <cell r="D323">
            <v>7</v>
          </cell>
          <cell r="F323" t="str">
            <v>山形</v>
          </cell>
          <cell r="G323" t="str">
            <v>植栽管理</v>
          </cell>
          <cell r="H323" t="str">
            <v>千歳建設</v>
          </cell>
          <cell r="I323">
            <v>50000</v>
          </cell>
          <cell r="J323">
            <v>57500</v>
          </cell>
          <cell r="K323">
            <v>1</v>
          </cell>
          <cell r="L323">
            <v>0</v>
          </cell>
          <cell r="M323">
            <v>0</v>
          </cell>
          <cell r="N323">
            <v>0</v>
          </cell>
          <cell r="O323">
            <v>57500</v>
          </cell>
          <cell r="P323">
            <v>0</v>
          </cell>
          <cell r="Q323">
            <v>0</v>
          </cell>
          <cell r="R323">
            <v>0</v>
          </cell>
          <cell r="S323">
            <v>0</v>
          </cell>
          <cell r="T323">
            <v>0</v>
          </cell>
          <cell r="U323">
            <v>0</v>
          </cell>
          <cell r="V323">
            <v>0</v>
          </cell>
          <cell r="W323">
            <v>0</v>
          </cell>
          <cell r="X323" t="str">
            <v/>
          </cell>
          <cell r="Y323" t="str">
            <v/>
          </cell>
          <cell r="Z323" t="str">
            <v/>
          </cell>
          <cell r="AA323" t="str">
            <v>⑦</v>
          </cell>
          <cell r="AB323" t="str">
            <v/>
          </cell>
          <cell r="AC323" t="str">
            <v/>
          </cell>
          <cell r="AD323" t="str">
            <v/>
          </cell>
          <cell r="AE323" t="str">
            <v/>
          </cell>
          <cell r="AF323" t="str">
            <v/>
          </cell>
          <cell r="AG323" t="str">
            <v/>
          </cell>
          <cell r="AH323" t="str">
            <v/>
          </cell>
          <cell r="AI323" t="str">
            <v/>
          </cell>
          <cell r="AJ323" t="str">
            <v>追</v>
          </cell>
        </row>
        <row r="324">
          <cell r="B324">
            <v>1808</v>
          </cell>
          <cell r="C324">
            <v>18</v>
          </cell>
          <cell r="D324">
            <v>8</v>
          </cell>
          <cell r="F324" t="str">
            <v>山形</v>
          </cell>
          <cell r="G324" t="str">
            <v>重油地下ﾀﾝｸ清掃･漏洩検査</v>
          </cell>
          <cell r="H324" t="str">
            <v>山形ビルサービス</v>
          </cell>
          <cell r="I324">
            <v>100000</v>
          </cell>
          <cell r="J324">
            <v>115000</v>
          </cell>
          <cell r="K324">
            <v>1</v>
          </cell>
          <cell r="L324">
            <v>0</v>
          </cell>
          <cell r="M324">
            <v>0</v>
          </cell>
          <cell r="N324">
            <v>0</v>
          </cell>
          <cell r="O324">
            <v>0</v>
          </cell>
          <cell r="P324">
            <v>0</v>
          </cell>
          <cell r="Q324">
            <v>0</v>
          </cell>
          <cell r="R324">
            <v>0</v>
          </cell>
          <cell r="S324">
            <v>0</v>
          </cell>
          <cell r="T324">
            <v>0</v>
          </cell>
          <cell r="U324">
            <v>115000</v>
          </cell>
          <cell r="V324">
            <v>0</v>
          </cell>
          <cell r="W324">
            <v>0</v>
          </cell>
          <cell r="X324" t="str">
            <v/>
          </cell>
          <cell r="Y324" t="str">
            <v/>
          </cell>
          <cell r="Z324" t="str">
            <v/>
          </cell>
          <cell r="AA324" t="str">
            <v/>
          </cell>
          <cell r="AB324" t="str">
            <v/>
          </cell>
          <cell r="AC324" t="str">
            <v/>
          </cell>
          <cell r="AD324" t="str">
            <v/>
          </cell>
          <cell r="AE324" t="str">
            <v/>
          </cell>
          <cell r="AF324" t="str">
            <v/>
          </cell>
          <cell r="AG324" t="str">
            <v>①</v>
          </cell>
          <cell r="AH324" t="str">
            <v/>
          </cell>
          <cell r="AI324" t="str">
            <v/>
          </cell>
          <cell r="AJ324" t="str">
            <v>追</v>
          </cell>
        </row>
        <row r="325">
          <cell r="B325">
            <v>1901</v>
          </cell>
          <cell r="C325">
            <v>19</v>
          </cell>
          <cell r="D325">
            <v>1</v>
          </cell>
          <cell r="F325" t="str">
            <v>いわき</v>
          </cell>
          <cell r="G325" t="str">
            <v>立体駐車場設備保守</v>
          </cell>
          <cell r="H325" t="str">
            <v>三菱重工ﾊﾟｰｷﾝｸﾞ建設</v>
          </cell>
          <cell r="I325">
            <v>111000</v>
          </cell>
          <cell r="J325">
            <v>113220</v>
          </cell>
          <cell r="K325">
            <v>12</v>
          </cell>
          <cell r="L325">
            <v>113220</v>
          </cell>
          <cell r="M325">
            <v>113220</v>
          </cell>
          <cell r="N325">
            <v>113220</v>
          </cell>
          <cell r="O325">
            <v>113220</v>
          </cell>
          <cell r="P325">
            <v>113220</v>
          </cell>
          <cell r="Q325">
            <v>113220</v>
          </cell>
          <cell r="R325">
            <v>113220</v>
          </cell>
          <cell r="S325">
            <v>113220</v>
          </cell>
          <cell r="T325">
            <v>113220</v>
          </cell>
          <cell r="U325">
            <v>113220</v>
          </cell>
          <cell r="V325">
            <v>113220</v>
          </cell>
          <cell r="W325">
            <v>113220</v>
          </cell>
          <cell r="X325" t="str">
            <v>④</v>
          </cell>
          <cell r="Y325" t="str">
            <v>⑤</v>
          </cell>
          <cell r="Z325" t="str">
            <v>⑥</v>
          </cell>
          <cell r="AA325" t="str">
            <v>⑦</v>
          </cell>
          <cell r="AB325" t="str">
            <v>⑧</v>
          </cell>
          <cell r="AC325" t="str">
            <v>⑨</v>
          </cell>
          <cell r="AD325" t="str">
            <v>⑩</v>
          </cell>
          <cell r="AE325" t="str">
            <v>⑪</v>
          </cell>
          <cell r="AF325" t="str">
            <v>⑫</v>
          </cell>
          <cell r="AG325" t="str">
            <v>①</v>
          </cell>
          <cell r="AH325" t="str">
            <v>②</v>
          </cell>
          <cell r="AI325" t="str">
            <v>③</v>
          </cell>
        </row>
        <row r="326">
          <cell r="B326">
            <v>1902</v>
          </cell>
          <cell r="C326">
            <v>19</v>
          </cell>
          <cell r="D326">
            <v>2</v>
          </cell>
          <cell r="F326" t="str">
            <v>いわき</v>
          </cell>
          <cell r="G326" t="str">
            <v>エレベーター保守</v>
          </cell>
          <cell r="H326" t="str">
            <v>三菱電機ﾋﾞﾙﾃｸﾉｻｰﾋﾞｽ</v>
          </cell>
          <cell r="I326">
            <v>71500</v>
          </cell>
          <cell r="J326">
            <v>72930</v>
          </cell>
          <cell r="K326">
            <v>12</v>
          </cell>
          <cell r="L326">
            <v>72930</v>
          </cell>
          <cell r="M326">
            <v>72930</v>
          </cell>
          <cell r="N326">
            <v>72930</v>
          </cell>
          <cell r="O326">
            <v>72930</v>
          </cell>
          <cell r="P326">
            <v>72930</v>
          </cell>
          <cell r="Q326">
            <v>72930</v>
          </cell>
          <cell r="R326">
            <v>72930</v>
          </cell>
          <cell r="S326">
            <v>72930</v>
          </cell>
          <cell r="T326">
            <v>72930</v>
          </cell>
          <cell r="U326">
            <v>72930</v>
          </cell>
          <cell r="V326">
            <v>72930</v>
          </cell>
          <cell r="W326">
            <v>72930</v>
          </cell>
          <cell r="X326" t="str">
            <v>④</v>
          </cell>
          <cell r="Y326" t="str">
            <v>⑤</v>
          </cell>
          <cell r="Z326" t="str">
            <v>⑥</v>
          </cell>
          <cell r="AA326" t="str">
            <v>⑦</v>
          </cell>
          <cell r="AB326" t="str">
            <v>⑧</v>
          </cell>
          <cell r="AC326" t="str">
            <v>⑨</v>
          </cell>
          <cell r="AD326" t="str">
            <v>⑩</v>
          </cell>
          <cell r="AE326" t="str">
            <v>⑪</v>
          </cell>
          <cell r="AF326" t="str">
            <v>⑫</v>
          </cell>
          <cell r="AG326" t="str">
            <v>①</v>
          </cell>
          <cell r="AH326" t="str">
            <v>②</v>
          </cell>
          <cell r="AI326" t="str">
            <v>③</v>
          </cell>
        </row>
        <row r="327">
          <cell r="B327">
            <v>1903</v>
          </cell>
          <cell r="C327">
            <v>19</v>
          </cell>
          <cell r="D327">
            <v>3</v>
          </cell>
          <cell r="F327" t="str">
            <v>いわき</v>
          </cell>
          <cell r="G327" t="str">
            <v>消火器(外観)</v>
          </cell>
          <cell r="H327" t="str">
            <v>ホーチキ</v>
          </cell>
          <cell r="I327">
            <v>27000</v>
          </cell>
          <cell r="J327">
            <v>27540</v>
          </cell>
          <cell r="K327">
            <v>1</v>
          </cell>
          <cell r="L327">
            <v>0</v>
          </cell>
          <cell r="M327">
            <v>0</v>
          </cell>
          <cell r="N327">
            <v>0</v>
          </cell>
          <cell r="O327">
            <v>27540</v>
          </cell>
          <cell r="P327">
            <v>0</v>
          </cell>
          <cell r="Q327">
            <v>0</v>
          </cell>
          <cell r="R327">
            <v>0</v>
          </cell>
          <cell r="S327">
            <v>0</v>
          </cell>
          <cell r="T327">
            <v>0</v>
          </cell>
          <cell r="U327">
            <v>0</v>
          </cell>
          <cell r="V327">
            <v>0</v>
          </cell>
          <cell r="W327">
            <v>0</v>
          </cell>
          <cell r="X327" t="str">
            <v/>
          </cell>
          <cell r="Y327" t="str">
            <v/>
          </cell>
          <cell r="Z327" t="str">
            <v/>
          </cell>
          <cell r="AA327" t="str">
            <v>⑦</v>
          </cell>
          <cell r="AB327" t="str">
            <v/>
          </cell>
          <cell r="AC327" t="str">
            <v/>
          </cell>
          <cell r="AD327" t="str">
            <v/>
          </cell>
          <cell r="AE327" t="str">
            <v/>
          </cell>
          <cell r="AF327" t="str">
            <v/>
          </cell>
          <cell r="AG327" t="str">
            <v/>
          </cell>
          <cell r="AH327" t="str">
            <v/>
          </cell>
          <cell r="AI327" t="str">
            <v/>
          </cell>
        </row>
        <row r="328">
          <cell r="B328">
            <v>1904</v>
          </cell>
          <cell r="C328">
            <v>19</v>
          </cell>
          <cell r="D328">
            <v>4</v>
          </cell>
          <cell r="F328" t="str">
            <v>いわき</v>
          </cell>
          <cell r="G328" t="str">
            <v>消火器(総合)</v>
          </cell>
          <cell r="H328" t="str">
            <v>ホーチキ</v>
          </cell>
          <cell r="I328">
            <v>23900</v>
          </cell>
          <cell r="J328">
            <v>24378</v>
          </cell>
          <cell r="K328">
            <v>1</v>
          </cell>
          <cell r="L328">
            <v>0</v>
          </cell>
          <cell r="M328">
            <v>0</v>
          </cell>
          <cell r="N328">
            <v>0</v>
          </cell>
          <cell r="O328">
            <v>0</v>
          </cell>
          <cell r="P328">
            <v>0</v>
          </cell>
          <cell r="Q328">
            <v>0</v>
          </cell>
          <cell r="R328">
            <v>0</v>
          </cell>
          <cell r="S328">
            <v>0</v>
          </cell>
          <cell r="T328">
            <v>0</v>
          </cell>
          <cell r="U328">
            <v>24378</v>
          </cell>
          <cell r="V328">
            <v>0</v>
          </cell>
          <cell r="W328">
            <v>0</v>
          </cell>
          <cell r="X328" t="str">
            <v/>
          </cell>
          <cell r="Y328" t="str">
            <v/>
          </cell>
          <cell r="Z328" t="str">
            <v/>
          </cell>
          <cell r="AA328" t="str">
            <v/>
          </cell>
          <cell r="AB328" t="str">
            <v/>
          </cell>
          <cell r="AC328" t="str">
            <v/>
          </cell>
          <cell r="AD328" t="str">
            <v/>
          </cell>
          <cell r="AE328" t="str">
            <v/>
          </cell>
          <cell r="AF328" t="str">
            <v/>
          </cell>
          <cell r="AG328" t="str">
            <v>①</v>
          </cell>
          <cell r="AH328" t="str">
            <v/>
          </cell>
          <cell r="AI328" t="str">
            <v/>
          </cell>
        </row>
        <row r="329">
          <cell r="B329">
            <v>1905</v>
          </cell>
          <cell r="C329">
            <v>19</v>
          </cell>
          <cell r="D329">
            <v>5</v>
          </cell>
          <cell r="F329" t="str">
            <v>いわき</v>
          </cell>
          <cell r="G329" t="str">
            <v>屋内消火栓(外観)</v>
          </cell>
          <cell r="H329" t="str">
            <v>ホーチキ</v>
          </cell>
          <cell r="I329">
            <v>42000</v>
          </cell>
          <cell r="J329">
            <v>42840</v>
          </cell>
          <cell r="K329">
            <v>1</v>
          </cell>
          <cell r="L329">
            <v>0</v>
          </cell>
          <cell r="M329">
            <v>0</v>
          </cell>
          <cell r="N329">
            <v>0</v>
          </cell>
          <cell r="O329">
            <v>42840</v>
          </cell>
          <cell r="P329">
            <v>0</v>
          </cell>
          <cell r="Q329">
            <v>0</v>
          </cell>
          <cell r="R329">
            <v>0</v>
          </cell>
          <cell r="S329">
            <v>0</v>
          </cell>
          <cell r="T329">
            <v>0</v>
          </cell>
          <cell r="U329">
            <v>0</v>
          </cell>
          <cell r="V329">
            <v>0</v>
          </cell>
          <cell r="W329">
            <v>0</v>
          </cell>
          <cell r="X329" t="str">
            <v/>
          </cell>
          <cell r="Y329" t="str">
            <v/>
          </cell>
          <cell r="Z329" t="str">
            <v/>
          </cell>
          <cell r="AA329" t="str">
            <v>⑦</v>
          </cell>
          <cell r="AB329" t="str">
            <v/>
          </cell>
          <cell r="AC329" t="str">
            <v/>
          </cell>
          <cell r="AD329" t="str">
            <v/>
          </cell>
          <cell r="AE329" t="str">
            <v/>
          </cell>
          <cell r="AF329" t="str">
            <v/>
          </cell>
          <cell r="AG329" t="str">
            <v/>
          </cell>
          <cell r="AH329" t="str">
            <v/>
          </cell>
          <cell r="AI329" t="str">
            <v/>
          </cell>
        </row>
        <row r="330">
          <cell r="B330">
            <v>1906</v>
          </cell>
          <cell r="C330">
            <v>19</v>
          </cell>
          <cell r="D330">
            <v>6</v>
          </cell>
          <cell r="F330" t="str">
            <v>いわき</v>
          </cell>
          <cell r="G330" t="str">
            <v>屋内消火栓(総合)</v>
          </cell>
          <cell r="H330" t="str">
            <v>ホーチキ</v>
          </cell>
          <cell r="I330">
            <v>55100</v>
          </cell>
          <cell r="J330">
            <v>56202</v>
          </cell>
          <cell r="K330">
            <v>1</v>
          </cell>
          <cell r="L330">
            <v>0</v>
          </cell>
          <cell r="M330">
            <v>0</v>
          </cell>
          <cell r="N330">
            <v>0</v>
          </cell>
          <cell r="O330">
            <v>0</v>
          </cell>
          <cell r="P330">
            <v>0</v>
          </cell>
          <cell r="Q330">
            <v>0</v>
          </cell>
          <cell r="R330">
            <v>0</v>
          </cell>
          <cell r="S330">
            <v>0</v>
          </cell>
          <cell r="T330">
            <v>0</v>
          </cell>
          <cell r="U330">
            <v>56202</v>
          </cell>
          <cell r="V330">
            <v>0</v>
          </cell>
          <cell r="W330">
            <v>0</v>
          </cell>
          <cell r="X330" t="str">
            <v/>
          </cell>
          <cell r="Y330" t="str">
            <v/>
          </cell>
          <cell r="Z330" t="str">
            <v/>
          </cell>
          <cell r="AA330" t="str">
            <v/>
          </cell>
          <cell r="AB330" t="str">
            <v/>
          </cell>
          <cell r="AC330" t="str">
            <v/>
          </cell>
          <cell r="AD330" t="str">
            <v/>
          </cell>
          <cell r="AE330" t="str">
            <v/>
          </cell>
          <cell r="AF330" t="str">
            <v/>
          </cell>
          <cell r="AG330" t="str">
            <v>①</v>
          </cell>
          <cell r="AH330" t="str">
            <v/>
          </cell>
          <cell r="AI330" t="str">
            <v/>
          </cell>
        </row>
        <row r="331">
          <cell r="B331">
            <v>1907</v>
          </cell>
          <cell r="C331">
            <v>19</v>
          </cell>
          <cell r="D331">
            <v>7</v>
          </cell>
          <cell r="F331" t="str">
            <v>いわき</v>
          </cell>
          <cell r="G331" t="str">
            <v>非常放送(外観)</v>
          </cell>
          <cell r="H331" t="str">
            <v>ホーチキ</v>
          </cell>
          <cell r="I331">
            <v>21000</v>
          </cell>
          <cell r="J331">
            <v>21420</v>
          </cell>
          <cell r="K331">
            <v>1</v>
          </cell>
          <cell r="L331">
            <v>0</v>
          </cell>
          <cell r="M331">
            <v>0</v>
          </cell>
          <cell r="N331">
            <v>0</v>
          </cell>
          <cell r="O331">
            <v>21420</v>
          </cell>
          <cell r="P331">
            <v>0</v>
          </cell>
          <cell r="Q331">
            <v>0</v>
          </cell>
          <cell r="R331">
            <v>0</v>
          </cell>
          <cell r="S331">
            <v>0</v>
          </cell>
          <cell r="T331">
            <v>0</v>
          </cell>
          <cell r="U331">
            <v>0</v>
          </cell>
          <cell r="V331">
            <v>0</v>
          </cell>
          <cell r="W331">
            <v>0</v>
          </cell>
          <cell r="X331" t="str">
            <v/>
          </cell>
          <cell r="Y331" t="str">
            <v/>
          </cell>
          <cell r="Z331" t="str">
            <v/>
          </cell>
          <cell r="AA331" t="str">
            <v>⑦</v>
          </cell>
          <cell r="AB331" t="str">
            <v/>
          </cell>
          <cell r="AC331" t="str">
            <v/>
          </cell>
          <cell r="AD331" t="str">
            <v/>
          </cell>
          <cell r="AE331" t="str">
            <v/>
          </cell>
          <cell r="AF331" t="str">
            <v/>
          </cell>
          <cell r="AG331" t="str">
            <v/>
          </cell>
          <cell r="AH331" t="str">
            <v/>
          </cell>
          <cell r="AI331" t="str">
            <v/>
          </cell>
        </row>
        <row r="332">
          <cell r="B332">
            <v>1908</v>
          </cell>
          <cell r="C332">
            <v>19</v>
          </cell>
          <cell r="D332">
            <v>8</v>
          </cell>
          <cell r="F332" t="str">
            <v>いわき</v>
          </cell>
          <cell r="G332" t="str">
            <v>非常放送(総合)</v>
          </cell>
          <cell r="H332" t="str">
            <v>ホーチキ</v>
          </cell>
          <cell r="I332">
            <v>31800</v>
          </cell>
          <cell r="J332">
            <v>32436</v>
          </cell>
          <cell r="K332">
            <v>1</v>
          </cell>
          <cell r="L332">
            <v>0</v>
          </cell>
          <cell r="M332">
            <v>0</v>
          </cell>
          <cell r="N332">
            <v>0</v>
          </cell>
          <cell r="O332">
            <v>0</v>
          </cell>
          <cell r="P332">
            <v>0</v>
          </cell>
          <cell r="Q332">
            <v>0</v>
          </cell>
          <cell r="R332">
            <v>0</v>
          </cell>
          <cell r="S332">
            <v>0</v>
          </cell>
          <cell r="T332">
            <v>0</v>
          </cell>
          <cell r="U332">
            <v>32436</v>
          </cell>
          <cell r="V332">
            <v>0</v>
          </cell>
          <cell r="W332">
            <v>0</v>
          </cell>
          <cell r="X332" t="str">
            <v/>
          </cell>
          <cell r="Y332" t="str">
            <v/>
          </cell>
          <cell r="Z332" t="str">
            <v/>
          </cell>
          <cell r="AA332" t="str">
            <v/>
          </cell>
          <cell r="AB332" t="str">
            <v/>
          </cell>
          <cell r="AC332" t="str">
            <v/>
          </cell>
          <cell r="AD332" t="str">
            <v/>
          </cell>
          <cell r="AE332" t="str">
            <v/>
          </cell>
          <cell r="AF332" t="str">
            <v/>
          </cell>
          <cell r="AG332" t="str">
            <v>①</v>
          </cell>
          <cell r="AH332" t="str">
            <v/>
          </cell>
          <cell r="AI332" t="str">
            <v/>
          </cell>
        </row>
        <row r="333">
          <cell r="B333">
            <v>1909</v>
          </cell>
          <cell r="C333">
            <v>19</v>
          </cell>
          <cell r="D333">
            <v>9</v>
          </cell>
          <cell r="F333" t="str">
            <v>いわき</v>
          </cell>
          <cell r="G333" t="str">
            <v>誘導灯(外観)</v>
          </cell>
          <cell r="H333" t="str">
            <v>ホーチキ</v>
          </cell>
          <cell r="I333">
            <v>23000</v>
          </cell>
          <cell r="J333">
            <v>23460</v>
          </cell>
          <cell r="K333">
            <v>1</v>
          </cell>
          <cell r="L333">
            <v>0</v>
          </cell>
          <cell r="M333">
            <v>0</v>
          </cell>
          <cell r="N333">
            <v>0</v>
          </cell>
          <cell r="O333">
            <v>23460</v>
          </cell>
          <cell r="P333">
            <v>0</v>
          </cell>
          <cell r="Q333">
            <v>0</v>
          </cell>
          <cell r="R333">
            <v>0</v>
          </cell>
          <cell r="S333">
            <v>0</v>
          </cell>
          <cell r="T333">
            <v>0</v>
          </cell>
          <cell r="U333">
            <v>0</v>
          </cell>
          <cell r="V333">
            <v>0</v>
          </cell>
          <cell r="W333">
            <v>0</v>
          </cell>
          <cell r="X333" t="str">
            <v/>
          </cell>
          <cell r="Y333" t="str">
            <v/>
          </cell>
          <cell r="Z333" t="str">
            <v/>
          </cell>
          <cell r="AA333" t="str">
            <v>⑦</v>
          </cell>
          <cell r="AB333" t="str">
            <v/>
          </cell>
          <cell r="AC333" t="str">
            <v/>
          </cell>
          <cell r="AD333" t="str">
            <v/>
          </cell>
          <cell r="AE333" t="str">
            <v/>
          </cell>
          <cell r="AF333" t="str">
            <v/>
          </cell>
          <cell r="AG333" t="str">
            <v/>
          </cell>
          <cell r="AH333" t="str">
            <v/>
          </cell>
          <cell r="AI333" t="str">
            <v/>
          </cell>
        </row>
        <row r="334">
          <cell r="B334">
            <v>1910</v>
          </cell>
          <cell r="C334">
            <v>19</v>
          </cell>
          <cell r="D334">
            <v>10</v>
          </cell>
          <cell r="F334" t="str">
            <v>いわき</v>
          </cell>
          <cell r="G334" t="str">
            <v>誘導灯(総合)</v>
          </cell>
          <cell r="H334" t="str">
            <v>ホーチキ</v>
          </cell>
          <cell r="I334">
            <v>22800</v>
          </cell>
          <cell r="J334">
            <v>23256</v>
          </cell>
          <cell r="K334">
            <v>1</v>
          </cell>
          <cell r="L334">
            <v>0</v>
          </cell>
          <cell r="M334">
            <v>0</v>
          </cell>
          <cell r="N334">
            <v>0</v>
          </cell>
          <cell r="O334">
            <v>0</v>
          </cell>
          <cell r="P334">
            <v>0</v>
          </cell>
          <cell r="Q334">
            <v>0</v>
          </cell>
          <cell r="R334">
            <v>0</v>
          </cell>
          <cell r="S334">
            <v>0</v>
          </cell>
          <cell r="T334">
            <v>0</v>
          </cell>
          <cell r="U334">
            <v>23256</v>
          </cell>
          <cell r="V334">
            <v>0</v>
          </cell>
          <cell r="W334">
            <v>0</v>
          </cell>
          <cell r="X334" t="str">
            <v/>
          </cell>
          <cell r="Y334" t="str">
            <v/>
          </cell>
          <cell r="Z334" t="str">
            <v/>
          </cell>
          <cell r="AA334" t="str">
            <v/>
          </cell>
          <cell r="AB334" t="str">
            <v/>
          </cell>
          <cell r="AC334" t="str">
            <v/>
          </cell>
          <cell r="AD334" t="str">
            <v/>
          </cell>
          <cell r="AE334" t="str">
            <v/>
          </cell>
          <cell r="AF334" t="str">
            <v/>
          </cell>
          <cell r="AG334" t="str">
            <v>①</v>
          </cell>
          <cell r="AH334" t="str">
            <v/>
          </cell>
          <cell r="AI334" t="str">
            <v/>
          </cell>
        </row>
        <row r="335">
          <cell r="B335">
            <v>1911</v>
          </cell>
          <cell r="C335">
            <v>19</v>
          </cell>
          <cell r="D335">
            <v>11</v>
          </cell>
          <cell r="F335" t="str">
            <v>いわき</v>
          </cell>
          <cell r="G335" t="str">
            <v>Ｐ型防排煙制御(外観)</v>
          </cell>
          <cell r="H335" t="str">
            <v>ホーチキ</v>
          </cell>
          <cell r="I335">
            <v>58000</v>
          </cell>
          <cell r="J335">
            <v>59160</v>
          </cell>
          <cell r="K335">
            <v>1</v>
          </cell>
          <cell r="L335">
            <v>0</v>
          </cell>
          <cell r="M335">
            <v>0</v>
          </cell>
          <cell r="N335">
            <v>0</v>
          </cell>
          <cell r="O335">
            <v>59160</v>
          </cell>
          <cell r="P335">
            <v>0</v>
          </cell>
          <cell r="Q335">
            <v>0</v>
          </cell>
          <cell r="R335">
            <v>0</v>
          </cell>
          <cell r="S335">
            <v>0</v>
          </cell>
          <cell r="T335">
            <v>0</v>
          </cell>
          <cell r="U335">
            <v>0</v>
          </cell>
          <cell r="V335">
            <v>0</v>
          </cell>
          <cell r="W335">
            <v>0</v>
          </cell>
          <cell r="X335" t="str">
            <v/>
          </cell>
          <cell r="Y335" t="str">
            <v/>
          </cell>
          <cell r="Z335" t="str">
            <v/>
          </cell>
          <cell r="AA335" t="str">
            <v>⑦</v>
          </cell>
          <cell r="AB335" t="str">
            <v/>
          </cell>
          <cell r="AC335" t="str">
            <v/>
          </cell>
          <cell r="AD335" t="str">
            <v/>
          </cell>
          <cell r="AE335" t="str">
            <v/>
          </cell>
          <cell r="AF335" t="str">
            <v/>
          </cell>
          <cell r="AG335" t="str">
            <v/>
          </cell>
          <cell r="AH335" t="str">
            <v/>
          </cell>
          <cell r="AI335" t="str">
            <v/>
          </cell>
        </row>
        <row r="336">
          <cell r="B336">
            <v>1912</v>
          </cell>
          <cell r="C336">
            <v>19</v>
          </cell>
          <cell r="D336">
            <v>12</v>
          </cell>
          <cell r="F336" t="str">
            <v>いわき</v>
          </cell>
          <cell r="G336" t="str">
            <v>Ｐ型防排煙制御(総合)</v>
          </cell>
          <cell r="H336" t="str">
            <v>ホーチキ</v>
          </cell>
          <cell r="I336">
            <v>79500</v>
          </cell>
          <cell r="J336">
            <v>81090</v>
          </cell>
          <cell r="K336">
            <v>1</v>
          </cell>
          <cell r="L336">
            <v>0</v>
          </cell>
          <cell r="M336">
            <v>0</v>
          </cell>
          <cell r="N336">
            <v>0</v>
          </cell>
          <cell r="O336">
            <v>0</v>
          </cell>
          <cell r="P336">
            <v>0</v>
          </cell>
          <cell r="Q336">
            <v>0</v>
          </cell>
          <cell r="R336">
            <v>0</v>
          </cell>
          <cell r="S336">
            <v>0</v>
          </cell>
          <cell r="T336">
            <v>0</v>
          </cell>
          <cell r="U336">
            <v>81090</v>
          </cell>
          <cell r="V336">
            <v>0</v>
          </cell>
          <cell r="W336">
            <v>0</v>
          </cell>
          <cell r="X336" t="str">
            <v/>
          </cell>
          <cell r="Y336" t="str">
            <v/>
          </cell>
          <cell r="Z336" t="str">
            <v/>
          </cell>
          <cell r="AA336" t="str">
            <v/>
          </cell>
          <cell r="AB336" t="str">
            <v/>
          </cell>
          <cell r="AC336" t="str">
            <v/>
          </cell>
          <cell r="AD336" t="str">
            <v/>
          </cell>
          <cell r="AE336" t="str">
            <v/>
          </cell>
          <cell r="AF336" t="str">
            <v/>
          </cell>
          <cell r="AG336" t="str">
            <v>①</v>
          </cell>
          <cell r="AH336" t="str">
            <v/>
          </cell>
          <cell r="AI336" t="str">
            <v/>
          </cell>
        </row>
        <row r="337">
          <cell r="B337">
            <v>1913</v>
          </cell>
          <cell r="C337">
            <v>19</v>
          </cell>
          <cell r="D337">
            <v>13</v>
          </cell>
          <cell r="F337" t="str">
            <v>いわき</v>
          </cell>
          <cell r="G337" t="str">
            <v>連結送水管(外観)</v>
          </cell>
          <cell r="H337" t="str">
            <v>ホーチキ</v>
          </cell>
          <cell r="I337">
            <v>25000</v>
          </cell>
          <cell r="J337">
            <v>25500</v>
          </cell>
          <cell r="K337">
            <v>1</v>
          </cell>
          <cell r="L337">
            <v>0</v>
          </cell>
          <cell r="M337">
            <v>0</v>
          </cell>
          <cell r="N337">
            <v>0</v>
          </cell>
          <cell r="O337">
            <v>25500</v>
          </cell>
          <cell r="P337">
            <v>0</v>
          </cell>
          <cell r="Q337">
            <v>0</v>
          </cell>
          <cell r="R337">
            <v>0</v>
          </cell>
          <cell r="S337">
            <v>0</v>
          </cell>
          <cell r="T337">
            <v>0</v>
          </cell>
          <cell r="U337">
            <v>0</v>
          </cell>
          <cell r="V337">
            <v>0</v>
          </cell>
          <cell r="W337">
            <v>0</v>
          </cell>
          <cell r="X337" t="str">
            <v/>
          </cell>
          <cell r="Y337" t="str">
            <v/>
          </cell>
          <cell r="Z337" t="str">
            <v/>
          </cell>
          <cell r="AA337" t="str">
            <v>⑦</v>
          </cell>
          <cell r="AB337" t="str">
            <v/>
          </cell>
          <cell r="AC337" t="str">
            <v/>
          </cell>
          <cell r="AD337" t="str">
            <v/>
          </cell>
          <cell r="AE337" t="str">
            <v/>
          </cell>
          <cell r="AF337" t="str">
            <v/>
          </cell>
          <cell r="AG337" t="str">
            <v/>
          </cell>
          <cell r="AH337" t="str">
            <v/>
          </cell>
          <cell r="AI337" t="str">
            <v/>
          </cell>
        </row>
        <row r="338">
          <cell r="B338">
            <v>1914</v>
          </cell>
          <cell r="C338">
            <v>19</v>
          </cell>
          <cell r="D338">
            <v>14</v>
          </cell>
          <cell r="F338" t="str">
            <v>いわき</v>
          </cell>
          <cell r="G338" t="str">
            <v>連結送水管(総合)</v>
          </cell>
          <cell r="H338" t="str">
            <v>ホーチキ</v>
          </cell>
          <cell r="I338">
            <v>22800</v>
          </cell>
          <cell r="J338">
            <v>23256</v>
          </cell>
          <cell r="K338">
            <v>1</v>
          </cell>
          <cell r="L338">
            <v>0</v>
          </cell>
          <cell r="M338">
            <v>0</v>
          </cell>
          <cell r="N338">
            <v>0</v>
          </cell>
          <cell r="O338">
            <v>0</v>
          </cell>
          <cell r="P338">
            <v>0</v>
          </cell>
          <cell r="Q338">
            <v>0</v>
          </cell>
          <cell r="R338">
            <v>0</v>
          </cell>
          <cell r="S338">
            <v>0</v>
          </cell>
          <cell r="T338">
            <v>0</v>
          </cell>
          <cell r="U338">
            <v>23256</v>
          </cell>
          <cell r="V338">
            <v>0</v>
          </cell>
          <cell r="W338">
            <v>0</v>
          </cell>
          <cell r="X338" t="str">
            <v/>
          </cell>
          <cell r="Y338" t="str">
            <v/>
          </cell>
          <cell r="Z338" t="str">
            <v/>
          </cell>
          <cell r="AA338" t="str">
            <v/>
          </cell>
          <cell r="AB338" t="str">
            <v/>
          </cell>
          <cell r="AC338" t="str">
            <v/>
          </cell>
          <cell r="AD338" t="str">
            <v/>
          </cell>
          <cell r="AE338" t="str">
            <v/>
          </cell>
          <cell r="AF338" t="str">
            <v/>
          </cell>
          <cell r="AG338" t="str">
            <v>①</v>
          </cell>
          <cell r="AH338" t="str">
            <v/>
          </cell>
          <cell r="AI338" t="str">
            <v/>
          </cell>
        </row>
        <row r="339">
          <cell r="B339">
            <v>1915</v>
          </cell>
          <cell r="C339">
            <v>19</v>
          </cell>
          <cell r="D339">
            <v>15</v>
          </cell>
          <cell r="F339" t="str">
            <v>いわき</v>
          </cell>
          <cell r="G339" t="str">
            <v>Ｐ型自火報(外観)</v>
          </cell>
          <cell r="H339" t="str">
            <v>ホーチキ</v>
          </cell>
          <cell r="I339">
            <v>37000</v>
          </cell>
          <cell r="J339">
            <v>37740</v>
          </cell>
          <cell r="K339">
            <v>1</v>
          </cell>
          <cell r="L339">
            <v>0</v>
          </cell>
          <cell r="M339">
            <v>0</v>
          </cell>
          <cell r="N339">
            <v>0</v>
          </cell>
          <cell r="O339">
            <v>37740</v>
          </cell>
          <cell r="P339">
            <v>0</v>
          </cell>
          <cell r="Q339">
            <v>0</v>
          </cell>
          <cell r="R339">
            <v>0</v>
          </cell>
          <cell r="S339">
            <v>0</v>
          </cell>
          <cell r="T339">
            <v>0</v>
          </cell>
          <cell r="U339">
            <v>0</v>
          </cell>
          <cell r="V339">
            <v>0</v>
          </cell>
          <cell r="W339">
            <v>0</v>
          </cell>
          <cell r="X339" t="str">
            <v/>
          </cell>
          <cell r="Y339" t="str">
            <v/>
          </cell>
          <cell r="Z339" t="str">
            <v/>
          </cell>
          <cell r="AA339" t="str">
            <v>⑦</v>
          </cell>
          <cell r="AB339" t="str">
            <v/>
          </cell>
          <cell r="AC339" t="str">
            <v/>
          </cell>
          <cell r="AD339" t="str">
            <v/>
          </cell>
          <cell r="AE339" t="str">
            <v/>
          </cell>
          <cell r="AF339" t="str">
            <v/>
          </cell>
          <cell r="AG339" t="str">
            <v/>
          </cell>
          <cell r="AH339" t="str">
            <v/>
          </cell>
          <cell r="AI339" t="str">
            <v/>
          </cell>
        </row>
        <row r="340">
          <cell r="B340">
            <v>1916</v>
          </cell>
          <cell r="C340">
            <v>19</v>
          </cell>
          <cell r="D340">
            <v>16</v>
          </cell>
          <cell r="F340" t="str">
            <v>いわき</v>
          </cell>
          <cell r="G340" t="str">
            <v>Ｐ型自火報(総合)</v>
          </cell>
          <cell r="H340" t="str">
            <v>ホーチキ</v>
          </cell>
          <cell r="I340">
            <v>65700</v>
          </cell>
          <cell r="J340">
            <v>67014</v>
          </cell>
          <cell r="K340">
            <v>1</v>
          </cell>
          <cell r="L340">
            <v>0</v>
          </cell>
          <cell r="M340">
            <v>0</v>
          </cell>
          <cell r="N340">
            <v>0</v>
          </cell>
          <cell r="O340">
            <v>0</v>
          </cell>
          <cell r="P340">
            <v>0</v>
          </cell>
          <cell r="Q340">
            <v>0</v>
          </cell>
          <cell r="R340">
            <v>0</v>
          </cell>
          <cell r="S340">
            <v>0</v>
          </cell>
          <cell r="T340">
            <v>0</v>
          </cell>
          <cell r="U340">
            <v>67014</v>
          </cell>
          <cell r="V340">
            <v>0</v>
          </cell>
          <cell r="W340">
            <v>0</v>
          </cell>
          <cell r="X340" t="str">
            <v/>
          </cell>
          <cell r="Y340" t="str">
            <v/>
          </cell>
          <cell r="Z340" t="str">
            <v/>
          </cell>
          <cell r="AA340" t="str">
            <v/>
          </cell>
          <cell r="AB340" t="str">
            <v/>
          </cell>
          <cell r="AC340" t="str">
            <v/>
          </cell>
          <cell r="AD340" t="str">
            <v/>
          </cell>
          <cell r="AE340" t="str">
            <v/>
          </cell>
          <cell r="AF340" t="str">
            <v/>
          </cell>
          <cell r="AG340" t="str">
            <v>①</v>
          </cell>
          <cell r="AH340" t="str">
            <v/>
          </cell>
          <cell r="AI340" t="str">
            <v/>
          </cell>
        </row>
        <row r="341">
          <cell r="B341">
            <v>1917</v>
          </cell>
          <cell r="C341">
            <v>19</v>
          </cell>
          <cell r="D341">
            <v>17</v>
          </cell>
          <cell r="F341" t="str">
            <v>いわき</v>
          </cell>
          <cell r="G341" t="str">
            <v>ﾊﾛｹﾞﾝ化物設備保守</v>
          </cell>
          <cell r="H341" t="str">
            <v>日本ドライケミカル</v>
          </cell>
          <cell r="I341">
            <v>74667</v>
          </cell>
          <cell r="J341">
            <v>76160</v>
          </cell>
          <cell r="K341">
            <v>1</v>
          </cell>
          <cell r="L341">
            <v>0</v>
          </cell>
          <cell r="M341">
            <v>0</v>
          </cell>
          <cell r="N341">
            <v>0</v>
          </cell>
          <cell r="O341">
            <v>0</v>
          </cell>
          <cell r="P341">
            <v>0</v>
          </cell>
          <cell r="Q341">
            <v>76160</v>
          </cell>
          <cell r="R341">
            <v>0</v>
          </cell>
          <cell r="S341">
            <v>0</v>
          </cell>
          <cell r="T341">
            <v>0</v>
          </cell>
          <cell r="U341">
            <v>0</v>
          </cell>
          <cell r="V341">
            <v>0</v>
          </cell>
          <cell r="W341">
            <v>0</v>
          </cell>
          <cell r="X341" t="str">
            <v/>
          </cell>
          <cell r="Y341" t="str">
            <v/>
          </cell>
          <cell r="Z341" t="str">
            <v/>
          </cell>
          <cell r="AA341" t="str">
            <v/>
          </cell>
          <cell r="AB341" t="str">
            <v/>
          </cell>
          <cell r="AC341" t="str">
            <v>⑨</v>
          </cell>
          <cell r="AD341" t="str">
            <v/>
          </cell>
          <cell r="AE341" t="str">
            <v/>
          </cell>
          <cell r="AF341" t="str">
            <v/>
          </cell>
          <cell r="AG341" t="str">
            <v/>
          </cell>
          <cell r="AH341" t="str">
            <v/>
          </cell>
          <cell r="AI341" t="str">
            <v/>
          </cell>
        </row>
        <row r="342">
          <cell r="B342">
            <v>1918</v>
          </cell>
          <cell r="C342">
            <v>19</v>
          </cell>
          <cell r="D342">
            <v>18</v>
          </cell>
          <cell r="F342" t="str">
            <v>いわき</v>
          </cell>
          <cell r="G342" t="str">
            <v>ﾊﾛｹﾞﾝ化物設備保守</v>
          </cell>
          <cell r="H342" t="str">
            <v>日本ドライケミカル</v>
          </cell>
          <cell r="I342">
            <v>161553</v>
          </cell>
          <cell r="J342">
            <v>164784</v>
          </cell>
          <cell r="K342">
            <v>1</v>
          </cell>
          <cell r="L342">
            <v>0</v>
          </cell>
          <cell r="M342">
            <v>0</v>
          </cell>
          <cell r="N342">
            <v>0</v>
          </cell>
          <cell r="O342">
            <v>0</v>
          </cell>
          <cell r="P342">
            <v>0</v>
          </cell>
          <cell r="Q342">
            <v>0</v>
          </cell>
          <cell r="R342">
            <v>0</v>
          </cell>
          <cell r="S342">
            <v>0</v>
          </cell>
          <cell r="T342">
            <v>0</v>
          </cell>
          <cell r="U342">
            <v>0</v>
          </cell>
          <cell r="V342">
            <v>0</v>
          </cell>
          <cell r="W342">
            <v>164784</v>
          </cell>
          <cell r="X342" t="str">
            <v/>
          </cell>
          <cell r="Y342" t="str">
            <v/>
          </cell>
          <cell r="Z342" t="str">
            <v/>
          </cell>
          <cell r="AA342" t="str">
            <v/>
          </cell>
          <cell r="AB342" t="str">
            <v/>
          </cell>
          <cell r="AC342" t="str">
            <v/>
          </cell>
          <cell r="AD342" t="str">
            <v/>
          </cell>
          <cell r="AE342" t="str">
            <v/>
          </cell>
          <cell r="AF342" t="str">
            <v/>
          </cell>
          <cell r="AG342" t="str">
            <v/>
          </cell>
          <cell r="AH342" t="str">
            <v/>
          </cell>
          <cell r="AI342" t="str">
            <v>③</v>
          </cell>
        </row>
        <row r="343">
          <cell r="B343">
            <v>1919</v>
          </cell>
          <cell r="C343">
            <v>19</v>
          </cell>
          <cell r="D343">
            <v>19</v>
          </cell>
          <cell r="F343" t="str">
            <v>いわき</v>
          </cell>
          <cell r="G343" t="str">
            <v>非常用蓄電池保守</v>
          </cell>
          <cell r="H343" t="str">
            <v>ケンナン</v>
          </cell>
          <cell r="I343">
            <v>53000</v>
          </cell>
          <cell r="J343">
            <v>54060</v>
          </cell>
          <cell r="K343">
            <v>1</v>
          </cell>
          <cell r="L343">
            <v>0</v>
          </cell>
          <cell r="M343">
            <v>0</v>
          </cell>
          <cell r="N343">
            <v>0</v>
          </cell>
          <cell r="O343">
            <v>0</v>
          </cell>
          <cell r="P343">
            <v>0</v>
          </cell>
          <cell r="Q343">
            <v>54060</v>
          </cell>
          <cell r="R343">
            <v>0</v>
          </cell>
          <cell r="S343">
            <v>0</v>
          </cell>
          <cell r="T343">
            <v>0</v>
          </cell>
          <cell r="U343">
            <v>0</v>
          </cell>
          <cell r="V343">
            <v>0</v>
          </cell>
          <cell r="W343">
            <v>0</v>
          </cell>
          <cell r="X343" t="str">
            <v/>
          </cell>
          <cell r="Y343" t="str">
            <v/>
          </cell>
          <cell r="Z343" t="str">
            <v/>
          </cell>
          <cell r="AA343" t="str">
            <v/>
          </cell>
          <cell r="AB343" t="str">
            <v/>
          </cell>
          <cell r="AC343" t="str">
            <v>⑨</v>
          </cell>
          <cell r="AD343" t="str">
            <v/>
          </cell>
          <cell r="AE343" t="str">
            <v/>
          </cell>
          <cell r="AF343" t="str">
            <v/>
          </cell>
          <cell r="AG343" t="str">
            <v/>
          </cell>
          <cell r="AH343" t="str">
            <v/>
          </cell>
          <cell r="AI343" t="str">
            <v/>
          </cell>
        </row>
        <row r="344">
          <cell r="B344">
            <v>1920</v>
          </cell>
          <cell r="C344">
            <v>19</v>
          </cell>
          <cell r="D344">
            <v>20</v>
          </cell>
          <cell r="F344" t="str">
            <v>いわき</v>
          </cell>
          <cell r="G344" t="str">
            <v>シャッター設備保守</v>
          </cell>
          <cell r="H344" t="str">
            <v>文化シャッターｻｰﾋﾞｽ</v>
          </cell>
          <cell r="I344">
            <v>60000</v>
          </cell>
          <cell r="J344">
            <v>61200</v>
          </cell>
          <cell r="K344">
            <v>1</v>
          </cell>
          <cell r="L344">
            <v>0</v>
          </cell>
          <cell r="M344">
            <v>0</v>
          </cell>
          <cell r="N344">
            <v>0</v>
          </cell>
          <cell r="O344">
            <v>0</v>
          </cell>
          <cell r="P344">
            <v>0</v>
          </cell>
          <cell r="Q344">
            <v>0</v>
          </cell>
          <cell r="R344">
            <v>0</v>
          </cell>
          <cell r="S344">
            <v>0</v>
          </cell>
          <cell r="T344">
            <v>61200</v>
          </cell>
          <cell r="U344">
            <v>0</v>
          </cell>
          <cell r="V344">
            <v>0</v>
          </cell>
          <cell r="W344">
            <v>0</v>
          </cell>
          <cell r="X344" t="str">
            <v/>
          </cell>
          <cell r="Y344" t="str">
            <v/>
          </cell>
          <cell r="Z344" t="str">
            <v/>
          </cell>
          <cell r="AA344" t="str">
            <v/>
          </cell>
          <cell r="AB344" t="str">
            <v/>
          </cell>
          <cell r="AC344" t="str">
            <v/>
          </cell>
          <cell r="AD344" t="str">
            <v/>
          </cell>
          <cell r="AE344" t="str">
            <v/>
          </cell>
          <cell r="AF344" t="str">
            <v>⑫</v>
          </cell>
          <cell r="AG344" t="str">
            <v/>
          </cell>
          <cell r="AH344" t="str">
            <v/>
          </cell>
          <cell r="AI344" t="str">
            <v/>
          </cell>
        </row>
        <row r="345">
          <cell r="B345">
            <v>1921</v>
          </cell>
          <cell r="C345">
            <v>19</v>
          </cell>
          <cell r="D345">
            <v>21</v>
          </cell>
          <cell r="F345" t="str">
            <v>いわき</v>
          </cell>
          <cell r="G345" t="str">
            <v>害虫駆除</v>
          </cell>
          <cell r="H345" t="str">
            <v>東京美装興業</v>
          </cell>
          <cell r="I345">
            <v>98000</v>
          </cell>
          <cell r="J345">
            <v>107800</v>
          </cell>
          <cell r="K345">
            <v>2</v>
          </cell>
          <cell r="L345">
            <v>0</v>
          </cell>
          <cell r="M345">
            <v>0</v>
          </cell>
          <cell r="N345">
            <v>107800</v>
          </cell>
          <cell r="O345">
            <v>0</v>
          </cell>
          <cell r="P345">
            <v>0</v>
          </cell>
          <cell r="Q345">
            <v>0</v>
          </cell>
          <cell r="R345">
            <v>0</v>
          </cell>
          <cell r="S345">
            <v>0</v>
          </cell>
          <cell r="T345">
            <v>107800</v>
          </cell>
          <cell r="U345">
            <v>0</v>
          </cell>
          <cell r="V345">
            <v>0</v>
          </cell>
          <cell r="W345">
            <v>0</v>
          </cell>
          <cell r="X345" t="str">
            <v/>
          </cell>
          <cell r="Y345" t="str">
            <v/>
          </cell>
          <cell r="Z345" t="str">
            <v>⑥</v>
          </cell>
          <cell r="AA345" t="str">
            <v/>
          </cell>
          <cell r="AB345" t="str">
            <v/>
          </cell>
          <cell r="AC345" t="str">
            <v/>
          </cell>
          <cell r="AD345" t="str">
            <v/>
          </cell>
          <cell r="AE345" t="str">
            <v/>
          </cell>
          <cell r="AF345" t="str">
            <v>⑫</v>
          </cell>
          <cell r="AG345" t="str">
            <v/>
          </cell>
          <cell r="AH345" t="str">
            <v/>
          </cell>
          <cell r="AI345" t="str">
            <v/>
          </cell>
        </row>
        <row r="346">
          <cell r="B346">
            <v>1922</v>
          </cell>
          <cell r="C346">
            <v>19</v>
          </cell>
          <cell r="D346">
            <v>22</v>
          </cell>
          <cell r="F346" t="str">
            <v>いわき</v>
          </cell>
          <cell r="G346" t="str">
            <v>雑排水槽･側溝清掃</v>
          </cell>
          <cell r="H346" t="str">
            <v>東京美装興業</v>
          </cell>
          <cell r="I346">
            <v>7700</v>
          </cell>
          <cell r="J346">
            <v>8624</v>
          </cell>
          <cell r="K346">
            <v>2</v>
          </cell>
          <cell r="L346">
            <v>0</v>
          </cell>
          <cell r="M346">
            <v>0</v>
          </cell>
          <cell r="N346">
            <v>8624</v>
          </cell>
          <cell r="O346">
            <v>0</v>
          </cell>
          <cell r="P346">
            <v>0</v>
          </cell>
          <cell r="Q346">
            <v>0</v>
          </cell>
          <cell r="R346">
            <v>0</v>
          </cell>
          <cell r="S346">
            <v>0</v>
          </cell>
          <cell r="T346">
            <v>0</v>
          </cell>
          <cell r="U346">
            <v>8624</v>
          </cell>
          <cell r="V346">
            <v>0</v>
          </cell>
          <cell r="W346">
            <v>0</v>
          </cell>
          <cell r="X346" t="str">
            <v/>
          </cell>
          <cell r="Y346" t="str">
            <v/>
          </cell>
          <cell r="Z346" t="str">
            <v>⑥</v>
          </cell>
          <cell r="AA346" t="str">
            <v/>
          </cell>
          <cell r="AB346" t="str">
            <v/>
          </cell>
          <cell r="AC346" t="str">
            <v/>
          </cell>
          <cell r="AD346" t="str">
            <v/>
          </cell>
          <cell r="AE346" t="str">
            <v/>
          </cell>
          <cell r="AF346" t="str">
            <v/>
          </cell>
          <cell r="AG346" t="str">
            <v>①</v>
          </cell>
          <cell r="AH346" t="str">
            <v/>
          </cell>
          <cell r="AI346" t="str">
            <v/>
          </cell>
        </row>
        <row r="347">
          <cell r="B347">
            <v>1923</v>
          </cell>
          <cell r="C347">
            <v>19</v>
          </cell>
          <cell r="D347">
            <v>23</v>
          </cell>
          <cell r="F347" t="str">
            <v>いわき</v>
          </cell>
          <cell r="G347" t="str">
            <v>貯水槽清掃</v>
          </cell>
          <cell r="H347" t="str">
            <v>東京美装興業</v>
          </cell>
          <cell r="I347">
            <v>144000</v>
          </cell>
          <cell r="J347">
            <v>162720</v>
          </cell>
          <cell r="K347">
            <v>1</v>
          </cell>
          <cell r="L347">
            <v>0</v>
          </cell>
          <cell r="M347">
            <v>0</v>
          </cell>
          <cell r="N347">
            <v>0</v>
          </cell>
          <cell r="O347">
            <v>162720</v>
          </cell>
          <cell r="P347">
            <v>0</v>
          </cell>
          <cell r="Q347">
            <v>0</v>
          </cell>
          <cell r="R347">
            <v>0</v>
          </cell>
          <cell r="S347">
            <v>0</v>
          </cell>
          <cell r="T347">
            <v>0</v>
          </cell>
          <cell r="U347">
            <v>0</v>
          </cell>
          <cell r="V347">
            <v>0</v>
          </cell>
          <cell r="W347">
            <v>0</v>
          </cell>
          <cell r="X347" t="str">
            <v/>
          </cell>
          <cell r="Y347" t="str">
            <v/>
          </cell>
          <cell r="Z347" t="str">
            <v/>
          </cell>
          <cell r="AA347" t="str">
            <v>⑦</v>
          </cell>
          <cell r="AB347" t="str">
            <v/>
          </cell>
          <cell r="AC347" t="str">
            <v/>
          </cell>
          <cell r="AD347" t="str">
            <v/>
          </cell>
          <cell r="AE347" t="str">
            <v/>
          </cell>
          <cell r="AF347" t="str">
            <v/>
          </cell>
          <cell r="AG347" t="str">
            <v/>
          </cell>
          <cell r="AH347" t="str">
            <v/>
          </cell>
          <cell r="AI347" t="str">
            <v/>
          </cell>
        </row>
        <row r="348">
          <cell r="B348">
            <v>1924</v>
          </cell>
          <cell r="C348">
            <v>19</v>
          </cell>
          <cell r="D348">
            <v>24</v>
          </cell>
          <cell r="F348" t="str">
            <v>いわき</v>
          </cell>
          <cell r="G348" t="str">
            <v>オートドア設備保守</v>
          </cell>
          <cell r="H348" t="str">
            <v>ナブコシステム</v>
          </cell>
          <cell r="I348">
            <v>22500</v>
          </cell>
          <cell r="J348">
            <v>22950</v>
          </cell>
          <cell r="K348">
            <v>4</v>
          </cell>
          <cell r="L348">
            <v>0</v>
          </cell>
          <cell r="M348">
            <v>0</v>
          </cell>
          <cell r="N348">
            <v>22950</v>
          </cell>
          <cell r="O348">
            <v>0</v>
          </cell>
          <cell r="P348">
            <v>0</v>
          </cell>
          <cell r="Q348">
            <v>22950</v>
          </cell>
          <cell r="R348">
            <v>0</v>
          </cell>
          <cell r="S348">
            <v>0</v>
          </cell>
          <cell r="T348">
            <v>22950</v>
          </cell>
          <cell r="U348">
            <v>0</v>
          </cell>
          <cell r="V348">
            <v>0</v>
          </cell>
          <cell r="W348">
            <v>22950</v>
          </cell>
          <cell r="X348" t="str">
            <v/>
          </cell>
          <cell r="Y348" t="str">
            <v/>
          </cell>
          <cell r="Z348" t="str">
            <v>⑥</v>
          </cell>
          <cell r="AA348" t="str">
            <v/>
          </cell>
          <cell r="AB348" t="str">
            <v/>
          </cell>
          <cell r="AC348" t="str">
            <v>⑨</v>
          </cell>
          <cell r="AD348" t="str">
            <v/>
          </cell>
          <cell r="AE348" t="str">
            <v/>
          </cell>
          <cell r="AF348" t="str">
            <v>⑫</v>
          </cell>
          <cell r="AG348" t="str">
            <v/>
          </cell>
          <cell r="AH348" t="str">
            <v/>
          </cell>
          <cell r="AI348" t="str">
            <v>③</v>
          </cell>
        </row>
        <row r="349">
          <cell r="B349">
            <v>1925</v>
          </cell>
          <cell r="C349">
            <v>19</v>
          </cell>
          <cell r="D349">
            <v>25</v>
          </cell>
          <cell r="F349" t="str">
            <v>いわき</v>
          </cell>
          <cell r="G349" t="str">
            <v>空調機設備保守</v>
          </cell>
          <cell r="H349" t="str">
            <v>北関東空調工業</v>
          </cell>
          <cell r="I349">
            <v>150250</v>
          </cell>
          <cell r="J349">
            <v>153255</v>
          </cell>
          <cell r="K349">
            <v>4</v>
          </cell>
          <cell r="L349">
            <v>0</v>
          </cell>
          <cell r="M349">
            <v>0</v>
          </cell>
          <cell r="N349">
            <v>153255</v>
          </cell>
          <cell r="O349">
            <v>0</v>
          </cell>
          <cell r="P349">
            <v>0</v>
          </cell>
          <cell r="Q349">
            <v>153255</v>
          </cell>
          <cell r="R349">
            <v>0</v>
          </cell>
          <cell r="S349">
            <v>153255</v>
          </cell>
          <cell r="T349">
            <v>0</v>
          </cell>
          <cell r="U349">
            <v>0</v>
          </cell>
          <cell r="V349">
            <v>153255</v>
          </cell>
          <cell r="W349">
            <v>0</v>
          </cell>
          <cell r="X349" t="str">
            <v/>
          </cell>
          <cell r="Y349" t="str">
            <v/>
          </cell>
          <cell r="Z349" t="str">
            <v>⑥</v>
          </cell>
          <cell r="AA349" t="str">
            <v/>
          </cell>
          <cell r="AB349" t="str">
            <v/>
          </cell>
          <cell r="AC349" t="str">
            <v>⑨</v>
          </cell>
          <cell r="AD349" t="str">
            <v/>
          </cell>
          <cell r="AE349" t="str">
            <v>⑪</v>
          </cell>
          <cell r="AF349" t="str">
            <v/>
          </cell>
          <cell r="AG349" t="str">
            <v/>
          </cell>
          <cell r="AH349" t="str">
            <v>②</v>
          </cell>
          <cell r="AI349" t="str">
            <v/>
          </cell>
        </row>
        <row r="350">
          <cell r="B350">
            <v>1926</v>
          </cell>
          <cell r="C350">
            <v>19</v>
          </cell>
          <cell r="D350">
            <v>26</v>
          </cell>
          <cell r="F350" t="str">
            <v>いわき</v>
          </cell>
          <cell r="G350" t="str">
            <v>自動制御機器設備保守</v>
          </cell>
          <cell r="H350" t="str">
            <v>オーテック</v>
          </cell>
          <cell r="I350">
            <v>486720</v>
          </cell>
          <cell r="J350">
            <v>496454</v>
          </cell>
          <cell r="K350">
            <v>1</v>
          </cell>
          <cell r="L350">
            <v>0</v>
          </cell>
          <cell r="M350">
            <v>0</v>
          </cell>
          <cell r="N350">
            <v>0</v>
          </cell>
          <cell r="O350">
            <v>0</v>
          </cell>
          <cell r="P350">
            <v>0</v>
          </cell>
          <cell r="Q350">
            <v>0</v>
          </cell>
          <cell r="R350">
            <v>0</v>
          </cell>
          <cell r="S350">
            <v>0</v>
          </cell>
          <cell r="T350">
            <v>0</v>
          </cell>
          <cell r="U350">
            <v>0</v>
          </cell>
          <cell r="V350">
            <v>0</v>
          </cell>
          <cell r="W350">
            <v>496454</v>
          </cell>
          <cell r="X350" t="str">
            <v/>
          </cell>
          <cell r="Y350" t="str">
            <v/>
          </cell>
          <cell r="Z350" t="str">
            <v/>
          </cell>
          <cell r="AA350" t="str">
            <v/>
          </cell>
          <cell r="AB350" t="str">
            <v/>
          </cell>
          <cell r="AC350" t="str">
            <v/>
          </cell>
          <cell r="AD350" t="str">
            <v/>
          </cell>
          <cell r="AE350" t="str">
            <v/>
          </cell>
          <cell r="AF350" t="str">
            <v/>
          </cell>
          <cell r="AG350" t="str">
            <v/>
          </cell>
          <cell r="AH350" t="str">
            <v/>
          </cell>
          <cell r="AI350" t="str">
            <v>③</v>
          </cell>
        </row>
        <row r="351">
          <cell r="B351">
            <v>1927</v>
          </cell>
          <cell r="C351">
            <v>19</v>
          </cell>
          <cell r="D351">
            <v>27</v>
          </cell>
          <cell r="F351" t="str">
            <v>いわき</v>
          </cell>
          <cell r="G351" t="str">
            <v>貸鉢代</v>
          </cell>
          <cell r="H351" t="str">
            <v>呉羽環境</v>
          </cell>
          <cell r="I351">
            <v>6000</v>
          </cell>
          <cell r="J351">
            <v>6120</v>
          </cell>
          <cell r="K351">
            <v>12</v>
          </cell>
          <cell r="L351">
            <v>6120</v>
          </cell>
          <cell r="M351">
            <v>6120</v>
          </cell>
          <cell r="N351">
            <v>6120</v>
          </cell>
          <cell r="O351">
            <v>6120</v>
          </cell>
          <cell r="P351">
            <v>6120</v>
          </cell>
          <cell r="Q351">
            <v>6120</v>
          </cell>
          <cell r="R351">
            <v>6120</v>
          </cell>
          <cell r="S351">
            <v>6120</v>
          </cell>
          <cell r="T351">
            <v>6120</v>
          </cell>
          <cell r="U351">
            <v>6120</v>
          </cell>
          <cell r="V351">
            <v>6120</v>
          </cell>
          <cell r="W351">
            <v>6120</v>
          </cell>
          <cell r="X351" t="str">
            <v>④</v>
          </cell>
          <cell r="Y351" t="str">
            <v>⑤</v>
          </cell>
          <cell r="Z351" t="str">
            <v>⑥</v>
          </cell>
          <cell r="AA351" t="str">
            <v>⑦</v>
          </cell>
          <cell r="AB351" t="str">
            <v>⑧</v>
          </cell>
          <cell r="AC351" t="str">
            <v>⑨</v>
          </cell>
          <cell r="AD351" t="str">
            <v>⑩</v>
          </cell>
          <cell r="AE351" t="str">
            <v>⑪</v>
          </cell>
          <cell r="AF351" t="str">
            <v>⑫</v>
          </cell>
          <cell r="AG351" t="str">
            <v>①</v>
          </cell>
          <cell r="AH351" t="str">
            <v>②</v>
          </cell>
          <cell r="AI351" t="str">
            <v>③</v>
          </cell>
        </row>
        <row r="352">
          <cell r="B352">
            <v>1928</v>
          </cell>
          <cell r="C352">
            <v>19</v>
          </cell>
          <cell r="D352">
            <v>28</v>
          </cell>
          <cell r="F352" t="str">
            <v>いわき</v>
          </cell>
          <cell r="G352" t="str">
            <v>全熱交換機ﾌｨﾙﾀｰ清掃</v>
          </cell>
          <cell r="H352" t="str">
            <v>東京美装興業</v>
          </cell>
          <cell r="I352">
            <v>9200</v>
          </cell>
          <cell r="J352">
            <v>10580</v>
          </cell>
          <cell r="K352">
            <v>6</v>
          </cell>
          <cell r="L352">
            <v>0</v>
          </cell>
          <cell r="M352">
            <v>10580</v>
          </cell>
          <cell r="N352">
            <v>0</v>
          </cell>
          <cell r="O352">
            <v>10580</v>
          </cell>
          <cell r="P352">
            <v>0</v>
          </cell>
          <cell r="Q352">
            <v>10580</v>
          </cell>
          <cell r="R352">
            <v>0</v>
          </cell>
          <cell r="S352">
            <v>10580</v>
          </cell>
          <cell r="T352">
            <v>0</v>
          </cell>
          <cell r="U352">
            <v>10580</v>
          </cell>
          <cell r="V352">
            <v>0</v>
          </cell>
          <cell r="W352">
            <v>10580</v>
          </cell>
          <cell r="X352" t="str">
            <v/>
          </cell>
          <cell r="Y352" t="str">
            <v>⑤</v>
          </cell>
          <cell r="Z352" t="str">
            <v/>
          </cell>
          <cell r="AA352" t="str">
            <v>⑦</v>
          </cell>
          <cell r="AB352" t="str">
            <v/>
          </cell>
          <cell r="AC352" t="str">
            <v>⑨</v>
          </cell>
          <cell r="AD352" t="str">
            <v/>
          </cell>
          <cell r="AE352" t="str">
            <v>⑪</v>
          </cell>
          <cell r="AF352" t="str">
            <v/>
          </cell>
          <cell r="AG352" t="str">
            <v>①</v>
          </cell>
          <cell r="AH352" t="str">
            <v/>
          </cell>
          <cell r="AI352" t="str">
            <v>③</v>
          </cell>
          <cell r="AJ352" t="str">
            <v>追</v>
          </cell>
        </row>
        <row r="353">
          <cell r="B353">
            <v>1929</v>
          </cell>
          <cell r="C353">
            <v>19</v>
          </cell>
          <cell r="D353">
            <v>29</v>
          </cell>
          <cell r="F353" t="str">
            <v>いわき</v>
          </cell>
          <cell r="G353" t="str">
            <v>ﾊﾟｯｹｰｼﾞﾌｨﾙﾀｰ清掃</v>
          </cell>
          <cell r="H353" t="str">
            <v>東京美装興業</v>
          </cell>
          <cell r="I353">
            <v>45760</v>
          </cell>
          <cell r="J353">
            <v>52624</v>
          </cell>
          <cell r="K353">
            <v>4</v>
          </cell>
          <cell r="L353">
            <v>0</v>
          </cell>
          <cell r="M353">
            <v>52624</v>
          </cell>
          <cell r="N353">
            <v>0</v>
          </cell>
          <cell r="O353">
            <v>0</v>
          </cell>
          <cell r="P353">
            <v>52624</v>
          </cell>
          <cell r="Q353">
            <v>0</v>
          </cell>
          <cell r="R353">
            <v>0</v>
          </cell>
          <cell r="S353">
            <v>52624</v>
          </cell>
          <cell r="T353">
            <v>0</v>
          </cell>
          <cell r="U353">
            <v>0</v>
          </cell>
          <cell r="V353">
            <v>52624</v>
          </cell>
          <cell r="W353">
            <v>0</v>
          </cell>
          <cell r="X353" t="str">
            <v/>
          </cell>
          <cell r="Y353" t="str">
            <v>⑤</v>
          </cell>
          <cell r="AB353" t="str">
            <v>⑧</v>
          </cell>
          <cell r="AE353" t="str">
            <v>⑪</v>
          </cell>
          <cell r="AH353" t="str">
            <v>②</v>
          </cell>
          <cell r="AI353" t="str">
            <v/>
          </cell>
          <cell r="AJ353" t="str">
            <v>追</v>
          </cell>
        </row>
        <row r="354">
          <cell r="B354">
            <v>1930</v>
          </cell>
          <cell r="C354">
            <v>19</v>
          </cell>
          <cell r="D354">
            <v>30</v>
          </cell>
          <cell r="F354" t="str">
            <v>いわき</v>
          </cell>
          <cell r="G354" t="str">
            <v>ファンコイルﾌｨﾙﾀｰ清掃　 　</v>
          </cell>
          <cell r="H354" t="str">
            <v>東京美装興業</v>
          </cell>
          <cell r="I354">
            <v>16000</v>
          </cell>
          <cell r="J354">
            <v>18400</v>
          </cell>
          <cell r="K354">
            <v>1</v>
          </cell>
          <cell r="L354">
            <v>0</v>
          </cell>
          <cell r="M354">
            <v>0</v>
          </cell>
          <cell r="N354">
            <v>18400</v>
          </cell>
          <cell r="O354">
            <v>0</v>
          </cell>
          <cell r="P354">
            <v>0</v>
          </cell>
          <cell r="Q354">
            <v>0</v>
          </cell>
          <cell r="R354">
            <v>0</v>
          </cell>
          <cell r="S354">
            <v>0</v>
          </cell>
          <cell r="T354">
            <v>0</v>
          </cell>
          <cell r="U354">
            <v>0</v>
          </cell>
          <cell r="V354">
            <v>0</v>
          </cell>
          <cell r="W354">
            <v>0</v>
          </cell>
          <cell r="X354" t="str">
            <v/>
          </cell>
          <cell r="Y354" t="str">
            <v/>
          </cell>
          <cell r="Z354" t="str">
            <v>⑥</v>
          </cell>
          <cell r="AA354" t="str">
            <v/>
          </cell>
          <cell r="AB354" t="str">
            <v/>
          </cell>
          <cell r="AC354" t="str">
            <v/>
          </cell>
          <cell r="AD354" t="str">
            <v/>
          </cell>
          <cell r="AE354" t="str">
            <v/>
          </cell>
          <cell r="AF354" t="str">
            <v/>
          </cell>
          <cell r="AG354" t="str">
            <v/>
          </cell>
          <cell r="AH354" t="str">
            <v/>
          </cell>
          <cell r="AI354" t="str">
            <v/>
          </cell>
          <cell r="AJ354" t="str">
            <v>追</v>
          </cell>
        </row>
        <row r="355">
          <cell r="B355">
            <v>1931</v>
          </cell>
          <cell r="C355">
            <v>19</v>
          </cell>
          <cell r="D355">
            <v>31</v>
          </cell>
          <cell r="F355" t="str">
            <v>いわき</v>
          </cell>
          <cell r="G355" t="str">
            <v>電気湯沸器点検整備</v>
          </cell>
          <cell r="H355" t="str">
            <v>東京美装興業</v>
          </cell>
          <cell r="I355">
            <v>25550</v>
          </cell>
          <cell r="J355">
            <v>29382</v>
          </cell>
          <cell r="K355">
            <v>1</v>
          </cell>
          <cell r="L355">
            <v>0</v>
          </cell>
          <cell r="M355">
            <v>0</v>
          </cell>
          <cell r="N355">
            <v>0</v>
          </cell>
          <cell r="O355">
            <v>29382</v>
          </cell>
          <cell r="P355">
            <v>0</v>
          </cell>
          <cell r="Q355">
            <v>0</v>
          </cell>
          <cell r="R355">
            <v>0</v>
          </cell>
          <cell r="S355">
            <v>0</v>
          </cell>
          <cell r="T355">
            <v>0</v>
          </cell>
          <cell r="U355">
            <v>0</v>
          </cell>
          <cell r="V355">
            <v>0</v>
          </cell>
          <cell r="W355">
            <v>0</v>
          </cell>
          <cell r="X355" t="str">
            <v/>
          </cell>
          <cell r="Y355" t="str">
            <v/>
          </cell>
          <cell r="Z355" t="str">
            <v/>
          </cell>
          <cell r="AA355" t="str">
            <v>⑦</v>
          </cell>
          <cell r="AB355" t="str">
            <v/>
          </cell>
          <cell r="AC355" t="str">
            <v/>
          </cell>
          <cell r="AD355" t="str">
            <v/>
          </cell>
          <cell r="AE355" t="str">
            <v/>
          </cell>
          <cell r="AF355" t="str">
            <v/>
          </cell>
          <cell r="AG355" t="str">
            <v/>
          </cell>
          <cell r="AH355" t="str">
            <v/>
          </cell>
          <cell r="AI355" t="str">
            <v/>
          </cell>
          <cell r="AJ355" t="str">
            <v>追</v>
          </cell>
        </row>
        <row r="356">
          <cell r="B356">
            <v>1932</v>
          </cell>
          <cell r="C356">
            <v>19</v>
          </cell>
          <cell r="D356">
            <v>32</v>
          </cell>
          <cell r="F356" t="str">
            <v>いわき</v>
          </cell>
          <cell r="G356" t="str">
            <v>冷温水ポンプ点検整備</v>
          </cell>
          <cell r="H356" t="str">
            <v>北関東空調工業</v>
          </cell>
          <cell r="I356">
            <v>3600</v>
          </cell>
          <cell r="J356">
            <v>5600</v>
          </cell>
          <cell r="K356">
            <v>2</v>
          </cell>
          <cell r="L356">
            <v>0</v>
          </cell>
          <cell r="M356">
            <v>5600</v>
          </cell>
          <cell r="N356">
            <v>0</v>
          </cell>
          <cell r="O356">
            <v>0</v>
          </cell>
          <cell r="P356">
            <v>0</v>
          </cell>
          <cell r="Q356">
            <v>0</v>
          </cell>
          <cell r="R356">
            <v>0</v>
          </cell>
          <cell r="S356">
            <v>5600</v>
          </cell>
          <cell r="T356">
            <v>0</v>
          </cell>
          <cell r="U356">
            <v>0</v>
          </cell>
          <cell r="V356">
            <v>0</v>
          </cell>
          <cell r="W356">
            <v>0</v>
          </cell>
          <cell r="X356" t="str">
            <v/>
          </cell>
          <cell r="Y356" t="str">
            <v>⑤</v>
          </cell>
          <cell r="Z356" t="str">
            <v/>
          </cell>
          <cell r="AA356" t="str">
            <v/>
          </cell>
          <cell r="AB356" t="str">
            <v/>
          </cell>
          <cell r="AC356" t="str">
            <v/>
          </cell>
          <cell r="AD356" t="str">
            <v/>
          </cell>
          <cell r="AE356" t="str">
            <v>⑪</v>
          </cell>
          <cell r="AF356" t="str">
            <v/>
          </cell>
          <cell r="AG356" t="str">
            <v/>
          </cell>
          <cell r="AH356" t="str">
            <v/>
          </cell>
          <cell r="AI356" t="str">
            <v/>
          </cell>
          <cell r="AJ356" t="str">
            <v>追</v>
          </cell>
        </row>
        <row r="357">
          <cell r="B357">
            <v>1933</v>
          </cell>
          <cell r="C357">
            <v>19</v>
          </cell>
          <cell r="D357">
            <v>33</v>
          </cell>
          <cell r="F357" t="str">
            <v>いわき</v>
          </cell>
          <cell r="G357" t="str">
            <v>ファンコイル点検整備</v>
          </cell>
          <cell r="H357" t="str">
            <v>北関東空調工業</v>
          </cell>
          <cell r="I357">
            <v>14600</v>
          </cell>
          <cell r="J357">
            <v>16790</v>
          </cell>
          <cell r="K357">
            <v>2</v>
          </cell>
          <cell r="L357">
            <v>0</v>
          </cell>
          <cell r="M357">
            <v>16790</v>
          </cell>
          <cell r="N357">
            <v>0</v>
          </cell>
          <cell r="O357">
            <v>0</v>
          </cell>
          <cell r="P357">
            <v>0</v>
          </cell>
          <cell r="Q357">
            <v>0</v>
          </cell>
          <cell r="R357">
            <v>0</v>
          </cell>
          <cell r="S357">
            <v>16790</v>
          </cell>
          <cell r="T357">
            <v>0</v>
          </cell>
          <cell r="U357">
            <v>0</v>
          </cell>
          <cell r="V357">
            <v>0</v>
          </cell>
          <cell r="W357">
            <v>0</v>
          </cell>
          <cell r="X357" t="str">
            <v/>
          </cell>
          <cell r="Y357" t="str">
            <v>⑤</v>
          </cell>
          <cell r="Z357" t="str">
            <v/>
          </cell>
          <cell r="AA357" t="str">
            <v/>
          </cell>
          <cell r="AB357" t="str">
            <v/>
          </cell>
          <cell r="AC357" t="str">
            <v/>
          </cell>
          <cell r="AD357" t="str">
            <v/>
          </cell>
          <cell r="AE357" t="str">
            <v>⑪</v>
          </cell>
          <cell r="AF357" t="str">
            <v/>
          </cell>
          <cell r="AG357" t="str">
            <v/>
          </cell>
          <cell r="AH357" t="str">
            <v/>
          </cell>
          <cell r="AI357" t="str">
            <v/>
          </cell>
          <cell r="AJ357" t="str">
            <v>追</v>
          </cell>
        </row>
        <row r="358">
          <cell r="B358">
            <v>1934</v>
          </cell>
          <cell r="C358">
            <v>19</v>
          </cell>
          <cell r="D358">
            <v>34</v>
          </cell>
          <cell r="F358" t="str">
            <v>いわき</v>
          </cell>
          <cell r="G358" t="str">
            <v>全熱交換機点検整備　　　　 　</v>
          </cell>
          <cell r="H358" t="str">
            <v>北関東空調工業</v>
          </cell>
          <cell r="I358">
            <v>18000</v>
          </cell>
          <cell r="J358">
            <v>20700</v>
          </cell>
          <cell r="K358">
            <v>1</v>
          </cell>
          <cell r="L358">
            <v>0</v>
          </cell>
          <cell r="M358">
            <v>0</v>
          </cell>
          <cell r="N358">
            <v>0</v>
          </cell>
          <cell r="O358">
            <v>0</v>
          </cell>
          <cell r="P358">
            <v>0</v>
          </cell>
          <cell r="Q358">
            <v>0</v>
          </cell>
          <cell r="R358">
            <v>0</v>
          </cell>
          <cell r="S358">
            <v>20700</v>
          </cell>
          <cell r="T358">
            <v>0</v>
          </cell>
          <cell r="U358">
            <v>0</v>
          </cell>
          <cell r="V358">
            <v>0</v>
          </cell>
          <cell r="W358">
            <v>0</v>
          </cell>
          <cell r="X358" t="str">
            <v/>
          </cell>
          <cell r="Y358" t="str">
            <v/>
          </cell>
          <cell r="Z358" t="str">
            <v/>
          </cell>
          <cell r="AA358" t="str">
            <v/>
          </cell>
          <cell r="AB358" t="str">
            <v/>
          </cell>
          <cell r="AC358" t="str">
            <v/>
          </cell>
          <cell r="AD358" t="str">
            <v/>
          </cell>
          <cell r="AE358" t="str">
            <v>⑪</v>
          </cell>
          <cell r="AF358" t="str">
            <v/>
          </cell>
          <cell r="AG358" t="str">
            <v/>
          </cell>
          <cell r="AH358" t="str">
            <v/>
          </cell>
          <cell r="AI358" t="str">
            <v/>
          </cell>
          <cell r="AJ358" t="str">
            <v>追</v>
          </cell>
        </row>
        <row r="359">
          <cell r="B359">
            <v>1935</v>
          </cell>
          <cell r="C359">
            <v>19</v>
          </cell>
          <cell r="D359">
            <v>35</v>
          </cell>
          <cell r="F359" t="str">
            <v>いわき</v>
          </cell>
          <cell r="G359" t="str">
            <v>リターンファン点検整備　　　　 　</v>
          </cell>
          <cell r="H359" t="str">
            <v>北関東空調工業</v>
          </cell>
          <cell r="I359">
            <v>36500</v>
          </cell>
          <cell r="J359">
            <v>41975</v>
          </cell>
          <cell r="K359">
            <v>1</v>
          </cell>
          <cell r="L359">
            <v>0</v>
          </cell>
          <cell r="M359">
            <v>0</v>
          </cell>
          <cell r="N359">
            <v>0</v>
          </cell>
          <cell r="O359">
            <v>0</v>
          </cell>
          <cell r="P359">
            <v>0</v>
          </cell>
          <cell r="Q359">
            <v>0</v>
          </cell>
          <cell r="R359">
            <v>0</v>
          </cell>
          <cell r="S359">
            <v>41975</v>
          </cell>
          <cell r="T359">
            <v>0</v>
          </cell>
          <cell r="U359">
            <v>0</v>
          </cell>
          <cell r="V359">
            <v>0</v>
          </cell>
          <cell r="W359">
            <v>0</v>
          </cell>
          <cell r="X359" t="str">
            <v/>
          </cell>
          <cell r="Y359" t="str">
            <v/>
          </cell>
          <cell r="Z359" t="str">
            <v/>
          </cell>
          <cell r="AA359" t="str">
            <v/>
          </cell>
          <cell r="AB359" t="str">
            <v/>
          </cell>
          <cell r="AC359" t="str">
            <v/>
          </cell>
          <cell r="AD359" t="str">
            <v/>
          </cell>
          <cell r="AE359" t="str">
            <v>⑪</v>
          </cell>
          <cell r="AF359" t="str">
            <v/>
          </cell>
          <cell r="AG359" t="str">
            <v/>
          </cell>
          <cell r="AH359" t="str">
            <v/>
          </cell>
          <cell r="AI359" t="str">
            <v/>
          </cell>
          <cell r="AJ359" t="str">
            <v>追</v>
          </cell>
        </row>
        <row r="360">
          <cell r="B360">
            <v>1936</v>
          </cell>
          <cell r="C360">
            <v>19</v>
          </cell>
          <cell r="D360">
            <v>36</v>
          </cell>
          <cell r="F360" t="str">
            <v>いわき</v>
          </cell>
          <cell r="G360" t="str">
            <v>膨張タンク点検整備　　　　 　</v>
          </cell>
          <cell r="H360" t="str">
            <v>北関東空調工業</v>
          </cell>
          <cell r="I360">
            <v>6500</v>
          </cell>
          <cell r="J360">
            <v>8500</v>
          </cell>
          <cell r="K360">
            <v>1</v>
          </cell>
          <cell r="L360">
            <v>0</v>
          </cell>
          <cell r="M360">
            <v>0</v>
          </cell>
          <cell r="N360">
            <v>0</v>
          </cell>
          <cell r="O360">
            <v>0</v>
          </cell>
          <cell r="P360">
            <v>0</v>
          </cell>
          <cell r="Q360">
            <v>0</v>
          </cell>
          <cell r="R360">
            <v>0</v>
          </cell>
          <cell r="S360">
            <v>8500</v>
          </cell>
          <cell r="T360">
            <v>0</v>
          </cell>
          <cell r="U360">
            <v>0</v>
          </cell>
          <cell r="V360">
            <v>0</v>
          </cell>
          <cell r="W360">
            <v>0</v>
          </cell>
          <cell r="X360" t="str">
            <v/>
          </cell>
          <cell r="Y360" t="str">
            <v/>
          </cell>
          <cell r="Z360" t="str">
            <v/>
          </cell>
          <cell r="AA360" t="str">
            <v/>
          </cell>
          <cell r="AB360" t="str">
            <v/>
          </cell>
          <cell r="AC360" t="str">
            <v/>
          </cell>
          <cell r="AD360" t="str">
            <v/>
          </cell>
          <cell r="AE360" t="str">
            <v>⑪</v>
          </cell>
          <cell r="AF360" t="str">
            <v/>
          </cell>
          <cell r="AG360" t="str">
            <v/>
          </cell>
          <cell r="AH360" t="str">
            <v/>
          </cell>
          <cell r="AI360" t="str">
            <v/>
          </cell>
          <cell r="AJ360" t="str">
            <v>追</v>
          </cell>
        </row>
        <row r="361">
          <cell r="B361">
            <v>1937</v>
          </cell>
          <cell r="C361">
            <v>19</v>
          </cell>
          <cell r="D361">
            <v>37</v>
          </cell>
          <cell r="F361" t="str">
            <v>いわき</v>
          </cell>
          <cell r="G361" t="str">
            <v>共聴アンテナ点検整備　　　　 　</v>
          </cell>
          <cell r="H361" t="str">
            <v>ホーチキ</v>
          </cell>
          <cell r="I361">
            <v>130000</v>
          </cell>
          <cell r="J361">
            <v>149500</v>
          </cell>
          <cell r="K361">
            <v>1</v>
          </cell>
          <cell r="L361">
            <v>0</v>
          </cell>
          <cell r="M361">
            <v>0</v>
          </cell>
          <cell r="N361">
            <v>0</v>
          </cell>
          <cell r="O361">
            <v>0</v>
          </cell>
          <cell r="P361">
            <v>0</v>
          </cell>
          <cell r="Q361">
            <v>0</v>
          </cell>
          <cell r="R361">
            <v>0</v>
          </cell>
          <cell r="S361">
            <v>149500</v>
          </cell>
          <cell r="T361">
            <v>0</v>
          </cell>
          <cell r="U361">
            <v>0</v>
          </cell>
          <cell r="V361">
            <v>0</v>
          </cell>
          <cell r="W361">
            <v>0</v>
          </cell>
          <cell r="X361" t="str">
            <v/>
          </cell>
          <cell r="Y361" t="str">
            <v/>
          </cell>
          <cell r="Z361" t="str">
            <v/>
          </cell>
          <cell r="AA361" t="str">
            <v/>
          </cell>
          <cell r="AB361" t="str">
            <v/>
          </cell>
          <cell r="AC361" t="str">
            <v/>
          </cell>
          <cell r="AD361" t="str">
            <v/>
          </cell>
          <cell r="AE361" t="str">
            <v>⑪</v>
          </cell>
          <cell r="AF361" t="str">
            <v/>
          </cell>
          <cell r="AG361" t="str">
            <v/>
          </cell>
          <cell r="AH361" t="str">
            <v/>
          </cell>
          <cell r="AI361" t="str">
            <v/>
          </cell>
          <cell r="AJ361" t="str">
            <v>追</v>
          </cell>
        </row>
        <row r="362">
          <cell r="B362">
            <v>2001</v>
          </cell>
          <cell r="C362">
            <v>20</v>
          </cell>
          <cell r="D362">
            <v>1</v>
          </cell>
          <cell r="F362" t="str">
            <v>郡山</v>
          </cell>
          <cell r="G362" t="str">
            <v>立体駐車場設備保守</v>
          </cell>
          <cell r="H362" t="str">
            <v>日本発条</v>
          </cell>
          <cell r="I362">
            <v>45000</v>
          </cell>
          <cell r="J362">
            <v>45900</v>
          </cell>
          <cell r="K362">
            <v>2</v>
          </cell>
          <cell r="L362">
            <v>0</v>
          </cell>
          <cell r="M362">
            <v>0</v>
          </cell>
          <cell r="N362">
            <v>45900</v>
          </cell>
          <cell r="O362">
            <v>0</v>
          </cell>
          <cell r="P362">
            <v>0</v>
          </cell>
          <cell r="Q362">
            <v>0</v>
          </cell>
          <cell r="R362">
            <v>0</v>
          </cell>
          <cell r="S362">
            <v>0</v>
          </cell>
          <cell r="T362">
            <v>45900</v>
          </cell>
          <cell r="U362">
            <v>0</v>
          </cell>
          <cell r="V362">
            <v>0</v>
          </cell>
          <cell r="W362">
            <v>0</v>
          </cell>
          <cell r="X362" t="str">
            <v/>
          </cell>
          <cell r="Y362" t="str">
            <v/>
          </cell>
          <cell r="Z362" t="str">
            <v>⑥</v>
          </cell>
          <cell r="AA362" t="str">
            <v/>
          </cell>
          <cell r="AB362" t="str">
            <v/>
          </cell>
          <cell r="AC362" t="str">
            <v/>
          </cell>
          <cell r="AD362" t="str">
            <v/>
          </cell>
          <cell r="AE362" t="str">
            <v/>
          </cell>
          <cell r="AF362" t="str">
            <v>⑫</v>
          </cell>
          <cell r="AG362" t="str">
            <v/>
          </cell>
          <cell r="AH362" t="str">
            <v/>
          </cell>
          <cell r="AI362" t="str">
            <v/>
          </cell>
        </row>
        <row r="363">
          <cell r="B363">
            <v>2002</v>
          </cell>
          <cell r="C363">
            <v>20</v>
          </cell>
          <cell r="D363">
            <v>2</v>
          </cell>
          <cell r="F363" t="str">
            <v>郡山</v>
          </cell>
          <cell r="G363" t="str">
            <v>エレベーター保守</v>
          </cell>
          <cell r="H363" t="str">
            <v>三菱電機ﾋﾞﾙﾃｸﾉｻｰﾋﾞｽ</v>
          </cell>
          <cell r="I363">
            <v>140200</v>
          </cell>
          <cell r="J363">
            <v>143004</v>
          </cell>
          <cell r="K363">
            <v>12</v>
          </cell>
          <cell r="L363">
            <v>143004</v>
          </cell>
          <cell r="M363">
            <v>143004</v>
          </cell>
          <cell r="N363">
            <v>143004</v>
          </cell>
          <cell r="O363">
            <v>143004</v>
          </cell>
          <cell r="P363">
            <v>143004</v>
          </cell>
          <cell r="Q363">
            <v>143004</v>
          </cell>
          <cell r="R363">
            <v>143004</v>
          </cell>
          <cell r="S363">
            <v>143004</v>
          </cell>
          <cell r="T363">
            <v>143004</v>
          </cell>
          <cell r="U363">
            <v>143004</v>
          </cell>
          <cell r="V363">
            <v>143004</v>
          </cell>
          <cell r="W363">
            <v>143004</v>
          </cell>
          <cell r="X363" t="str">
            <v>④</v>
          </cell>
          <cell r="Y363" t="str">
            <v>⑤</v>
          </cell>
          <cell r="Z363" t="str">
            <v>⑥</v>
          </cell>
          <cell r="AA363" t="str">
            <v>⑦</v>
          </cell>
          <cell r="AB363" t="str">
            <v>⑧</v>
          </cell>
          <cell r="AC363" t="str">
            <v>⑨</v>
          </cell>
          <cell r="AD363" t="str">
            <v>⑩</v>
          </cell>
          <cell r="AE363" t="str">
            <v>⑪</v>
          </cell>
          <cell r="AF363" t="str">
            <v>⑫</v>
          </cell>
          <cell r="AG363" t="str">
            <v>①</v>
          </cell>
          <cell r="AH363" t="str">
            <v>②</v>
          </cell>
          <cell r="AI363" t="str">
            <v>③</v>
          </cell>
        </row>
        <row r="364">
          <cell r="B364">
            <v>2003</v>
          </cell>
          <cell r="C364">
            <v>20</v>
          </cell>
          <cell r="D364">
            <v>3</v>
          </cell>
          <cell r="F364" t="str">
            <v>郡山</v>
          </cell>
          <cell r="G364" t="str">
            <v>消防設備点検保守(外観)</v>
          </cell>
          <cell r="H364" t="str">
            <v>アサヒビルサービス</v>
          </cell>
          <cell r="I364">
            <v>213150</v>
          </cell>
          <cell r="J364">
            <v>217413</v>
          </cell>
          <cell r="K364">
            <v>1</v>
          </cell>
          <cell r="L364">
            <v>0</v>
          </cell>
          <cell r="M364">
            <v>0</v>
          </cell>
          <cell r="N364">
            <v>0</v>
          </cell>
          <cell r="O364">
            <v>0</v>
          </cell>
          <cell r="P364">
            <v>217413</v>
          </cell>
          <cell r="Q364">
            <v>0</v>
          </cell>
          <cell r="R364">
            <v>0</v>
          </cell>
          <cell r="S364">
            <v>0</v>
          </cell>
          <cell r="T364">
            <v>0</v>
          </cell>
          <cell r="U364">
            <v>0</v>
          </cell>
          <cell r="V364">
            <v>0</v>
          </cell>
          <cell r="W364">
            <v>0</v>
          </cell>
          <cell r="X364" t="str">
            <v/>
          </cell>
          <cell r="Y364" t="str">
            <v/>
          </cell>
          <cell r="Z364" t="str">
            <v/>
          </cell>
          <cell r="AA364" t="str">
            <v/>
          </cell>
          <cell r="AB364" t="str">
            <v>⑧</v>
          </cell>
          <cell r="AC364" t="str">
            <v/>
          </cell>
          <cell r="AD364" t="str">
            <v/>
          </cell>
          <cell r="AE364" t="str">
            <v/>
          </cell>
          <cell r="AF364" t="str">
            <v/>
          </cell>
          <cell r="AG364" t="str">
            <v/>
          </cell>
          <cell r="AH364" t="str">
            <v/>
          </cell>
          <cell r="AI364" t="str">
            <v/>
          </cell>
        </row>
        <row r="365">
          <cell r="B365">
            <v>2004</v>
          </cell>
          <cell r="C365">
            <v>20</v>
          </cell>
          <cell r="D365">
            <v>4</v>
          </cell>
          <cell r="F365" t="str">
            <v>郡山</v>
          </cell>
          <cell r="G365" t="str">
            <v>消防設備点検保守(総合)</v>
          </cell>
          <cell r="H365" t="str">
            <v>アサヒビルサービス</v>
          </cell>
          <cell r="I365">
            <v>395850</v>
          </cell>
          <cell r="J365">
            <v>403767</v>
          </cell>
          <cell r="K365">
            <v>1</v>
          </cell>
          <cell r="L365">
            <v>0</v>
          </cell>
          <cell r="M365">
            <v>0</v>
          </cell>
          <cell r="N365">
            <v>0</v>
          </cell>
          <cell r="O365">
            <v>0</v>
          </cell>
          <cell r="P365">
            <v>0</v>
          </cell>
          <cell r="Q365">
            <v>0</v>
          </cell>
          <cell r="R365">
            <v>0</v>
          </cell>
          <cell r="S365">
            <v>0</v>
          </cell>
          <cell r="T365">
            <v>0</v>
          </cell>
          <cell r="U365">
            <v>0</v>
          </cell>
          <cell r="V365">
            <v>403767</v>
          </cell>
          <cell r="W365">
            <v>0</v>
          </cell>
          <cell r="X365" t="str">
            <v/>
          </cell>
          <cell r="Y365" t="str">
            <v/>
          </cell>
          <cell r="Z365" t="str">
            <v/>
          </cell>
          <cell r="AA365" t="str">
            <v/>
          </cell>
          <cell r="AB365" t="str">
            <v/>
          </cell>
          <cell r="AC365" t="str">
            <v/>
          </cell>
          <cell r="AD365" t="str">
            <v/>
          </cell>
          <cell r="AE365" t="str">
            <v/>
          </cell>
          <cell r="AF365" t="str">
            <v/>
          </cell>
          <cell r="AG365" t="str">
            <v/>
          </cell>
          <cell r="AH365" t="str">
            <v>②</v>
          </cell>
          <cell r="AI365" t="str">
            <v/>
          </cell>
        </row>
        <row r="366">
          <cell r="B366">
            <v>2005</v>
          </cell>
          <cell r="C366">
            <v>20</v>
          </cell>
          <cell r="D366">
            <v>5</v>
          </cell>
          <cell r="F366" t="str">
            <v>郡山</v>
          </cell>
          <cell r="G366" t="str">
            <v>害虫駆除</v>
          </cell>
          <cell r="H366" t="str">
            <v>アサヒビルサービス</v>
          </cell>
          <cell r="I366">
            <v>130000</v>
          </cell>
          <cell r="J366">
            <v>143000</v>
          </cell>
          <cell r="K366">
            <v>2</v>
          </cell>
          <cell r="L366">
            <v>0</v>
          </cell>
          <cell r="M366">
            <v>0</v>
          </cell>
          <cell r="N366">
            <v>143000</v>
          </cell>
          <cell r="O366">
            <v>0</v>
          </cell>
          <cell r="P366">
            <v>0</v>
          </cell>
          <cell r="Q366">
            <v>0</v>
          </cell>
          <cell r="R366">
            <v>0</v>
          </cell>
          <cell r="S366">
            <v>0</v>
          </cell>
          <cell r="T366">
            <v>143000</v>
          </cell>
          <cell r="U366">
            <v>0</v>
          </cell>
          <cell r="V366">
            <v>0</v>
          </cell>
          <cell r="W366">
            <v>0</v>
          </cell>
          <cell r="X366" t="str">
            <v/>
          </cell>
          <cell r="Y366" t="str">
            <v/>
          </cell>
          <cell r="Z366" t="str">
            <v>⑥</v>
          </cell>
          <cell r="AA366" t="str">
            <v/>
          </cell>
          <cell r="AB366" t="str">
            <v/>
          </cell>
          <cell r="AC366" t="str">
            <v/>
          </cell>
          <cell r="AD366" t="str">
            <v/>
          </cell>
          <cell r="AE366" t="str">
            <v/>
          </cell>
          <cell r="AF366" t="str">
            <v>⑫</v>
          </cell>
          <cell r="AG366" t="str">
            <v/>
          </cell>
          <cell r="AH366" t="str">
            <v/>
          </cell>
          <cell r="AI366" t="str">
            <v/>
          </cell>
        </row>
        <row r="367">
          <cell r="B367">
            <v>2006</v>
          </cell>
          <cell r="C367">
            <v>20</v>
          </cell>
          <cell r="D367">
            <v>6</v>
          </cell>
          <cell r="F367" t="str">
            <v>郡山</v>
          </cell>
          <cell r="G367" t="str">
            <v>汚水･湧水･雑排水槽清掃</v>
          </cell>
          <cell r="H367" t="str">
            <v>アサヒビルサービス</v>
          </cell>
          <cell r="I367">
            <v>95000</v>
          </cell>
          <cell r="J367">
            <v>106400</v>
          </cell>
          <cell r="K367">
            <v>2</v>
          </cell>
          <cell r="L367">
            <v>0</v>
          </cell>
          <cell r="M367">
            <v>0</v>
          </cell>
          <cell r="N367">
            <v>106400</v>
          </cell>
          <cell r="O367">
            <v>0</v>
          </cell>
          <cell r="P367">
            <v>0</v>
          </cell>
          <cell r="Q367">
            <v>0</v>
          </cell>
          <cell r="R367">
            <v>0</v>
          </cell>
          <cell r="S367">
            <v>0</v>
          </cell>
          <cell r="T367">
            <v>106400</v>
          </cell>
          <cell r="U367">
            <v>0</v>
          </cell>
          <cell r="V367">
            <v>0</v>
          </cell>
          <cell r="W367">
            <v>0</v>
          </cell>
          <cell r="X367" t="str">
            <v/>
          </cell>
          <cell r="Y367" t="str">
            <v/>
          </cell>
          <cell r="Z367" t="str">
            <v>⑥</v>
          </cell>
          <cell r="AA367" t="str">
            <v/>
          </cell>
          <cell r="AB367" t="str">
            <v/>
          </cell>
          <cell r="AC367" t="str">
            <v/>
          </cell>
          <cell r="AD367" t="str">
            <v/>
          </cell>
          <cell r="AE367" t="str">
            <v/>
          </cell>
          <cell r="AF367" t="str">
            <v>⑫</v>
          </cell>
          <cell r="AG367" t="str">
            <v/>
          </cell>
          <cell r="AH367" t="str">
            <v/>
          </cell>
          <cell r="AI367" t="str">
            <v/>
          </cell>
        </row>
        <row r="368">
          <cell r="B368">
            <v>2007</v>
          </cell>
          <cell r="C368">
            <v>20</v>
          </cell>
          <cell r="D368">
            <v>7</v>
          </cell>
          <cell r="F368" t="str">
            <v>郡山</v>
          </cell>
          <cell r="G368" t="str">
            <v>貯水槽清掃(含む高架水槽)</v>
          </cell>
          <cell r="H368" t="str">
            <v>アサヒビルサービス</v>
          </cell>
          <cell r="I368">
            <v>143000</v>
          </cell>
          <cell r="J368">
            <v>161590</v>
          </cell>
          <cell r="K368">
            <v>1</v>
          </cell>
          <cell r="L368">
            <v>0</v>
          </cell>
          <cell r="M368">
            <v>161590</v>
          </cell>
          <cell r="N368">
            <v>0</v>
          </cell>
          <cell r="O368">
            <v>0</v>
          </cell>
          <cell r="P368">
            <v>0</v>
          </cell>
          <cell r="Q368">
            <v>0</v>
          </cell>
          <cell r="R368">
            <v>0</v>
          </cell>
          <cell r="S368">
            <v>0</v>
          </cell>
          <cell r="T368">
            <v>0</v>
          </cell>
          <cell r="U368">
            <v>0</v>
          </cell>
          <cell r="V368">
            <v>0</v>
          </cell>
          <cell r="W368">
            <v>0</v>
          </cell>
          <cell r="X368" t="str">
            <v/>
          </cell>
          <cell r="Y368" t="str">
            <v>⑤</v>
          </cell>
          <cell r="Z368" t="str">
            <v/>
          </cell>
          <cell r="AA368" t="str">
            <v/>
          </cell>
          <cell r="AB368" t="str">
            <v/>
          </cell>
          <cell r="AC368" t="str">
            <v/>
          </cell>
          <cell r="AD368" t="str">
            <v/>
          </cell>
          <cell r="AE368" t="str">
            <v/>
          </cell>
          <cell r="AF368" t="str">
            <v/>
          </cell>
          <cell r="AG368" t="str">
            <v/>
          </cell>
          <cell r="AH368" t="str">
            <v/>
          </cell>
          <cell r="AI368" t="str">
            <v/>
          </cell>
        </row>
        <row r="369">
          <cell r="B369">
            <v>2008</v>
          </cell>
          <cell r="C369">
            <v>20</v>
          </cell>
          <cell r="D369">
            <v>8</v>
          </cell>
          <cell r="F369" t="str">
            <v>郡山</v>
          </cell>
          <cell r="G369" t="str">
            <v>オートドア設備保守</v>
          </cell>
          <cell r="H369" t="str">
            <v>東日本寺岡オートドア</v>
          </cell>
          <cell r="I369">
            <v>38625</v>
          </cell>
          <cell r="J369">
            <v>39397</v>
          </cell>
          <cell r="K369">
            <v>4</v>
          </cell>
          <cell r="L369">
            <v>0</v>
          </cell>
          <cell r="M369">
            <v>0</v>
          </cell>
          <cell r="N369">
            <v>39397</v>
          </cell>
          <cell r="O369">
            <v>0</v>
          </cell>
          <cell r="P369">
            <v>0</v>
          </cell>
          <cell r="Q369">
            <v>39397</v>
          </cell>
          <cell r="R369">
            <v>0</v>
          </cell>
          <cell r="S369">
            <v>0</v>
          </cell>
          <cell r="T369">
            <v>39397</v>
          </cell>
          <cell r="U369">
            <v>0</v>
          </cell>
          <cell r="V369">
            <v>0</v>
          </cell>
          <cell r="W369">
            <v>39397</v>
          </cell>
          <cell r="X369" t="str">
            <v/>
          </cell>
          <cell r="Y369" t="str">
            <v/>
          </cell>
          <cell r="Z369" t="str">
            <v>⑥</v>
          </cell>
          <cell r="AA369" t="str">
            <v/>
          </cell>
          <cell r="AB369" t="str">
            <v/>
          </cell>
          <cell r="AC369" t="str">
            <v>⑨</v>
          </cell>
          <cell r="AD369" t="str">
            <v/>
          </cell>
          <cell r="AE369" t="str">
            <v/>
          </cell>
          <cell r="AF369" t="str">
            <v>⑫</v>
          </cell>
          <cell r="AG369" t="str">
            <v/>
          </cell>
          <cell r="AH369" t="str">
            <v/>
          </cell>
          <cell r="AI369" t="str">
            <v>③</v>
          </cell>
        </row>
        <row r="370">
          <cell r="B370">
            <v>2009</v>
          </cell>
          <cell r="C370">
            <v>20</v>
          </cell>
          <cell r="D370">
            <v>9</v>
          </cell>
          <cell r="F370" t="str">
            <v>郡山</v>
          </cell>
          <cell r="G370" t="str">
            <v>ＴＶ共聴設備保守</v>
          </cell>
          <cell r="H370" t="str">
            <v>大槻電気通信</v>
          </cell>
          <cell r="I370">
            <v>150000</v>
          </cell>
          <cell r="J370">
            <v>153000</v>
          </cell>
          <cell r="K370">
            <v>2</v>
          </cell>
          <cell r="L370">
            <v>0</v>
          </cell>
          <cell r="M370">
            <v>0</v>
          </cell>
          <cell r="N370">
            <v>153000</v>
          </cell>
          <cell r="O370">
            <v>0</v>
          </cell>
          <cell r="P370">
            <v>0</v>
          </cell>
          <cell r="Q370">
            <v>0</v>
          </cell>
          <cell r="R370">
            <v>0</v>
          </cell>
          <cell r="S370">
            <v>0</v>
          </cell>
          <cell r="T370">
            <v>153000</v>
          </cell>
          <cell r="U370">
            <v>0</v>
          </cell>
          <cell r="V370">
            <v>0</v>
          </cell>
          <cell r="W370">
            <v>0</v>
          </cell>
          <cell r="X370" t="str">
            <v/>
          </cell>
          <cell r="Y370" t="str">
            <v/>
          </cell>
          <cell r="Z370" t="str">
            <v>⑥</v>
          </cell>
          <cell r="AA370" t="str">
            <v/>
          </cell>
          <cell r="AB370" t="str">
            <v/>
          </cell>
          <cell r="AC370" t="str">
            <v/>
          </cell>
          <cell r="AD370" t="str">
            <v/>
          </cell>
          <cell r="AE370" t="str">
            <v/>
          </cell>
          <cell r="AF370" t="str">
            <v>⑫</v>
          </cell>
          <cell r="AG370" t="str">
            <v/>
          </cell>
          <cell r="AH370" t="str">
            <v/>
          </cell>
          <cell r="AI370" t="str">
            <v/>
          </cell>
        </row>
        <row r="371">
          <cell r="B371">
            <v>2010</v>
          </cell>
          <cell r="C371">
            <v>20</v>
          </cell>
          <cell r="D371">
            <v>10</v>
          </cell>
          <cell r="F371" t="str">
            <v>郡山</v>
          </cell>
          <cell r="G371" t="str">
            <v>空調機設備保守</v>
          </cell>
          <cell r="H371" t="str">
            <v>三菱電機ﾋﾞﾙﾃｸﾉｻｰﾋﾞｽ</v>
          </cell>
          <cell r="I371">
            <v>110000</v>
          </cell>
          <cell r="J371">
            <v>112200</v>
          </cell>
          <cell r="K371">
            <v>2</v>
          </cell>
          <cell r="L371">
            <v>0</v>
          </cell>
          <cell r="M371">
            <v>0</v>
          </cell>
          <cell r="N371">
            <v>112200</v>
          </cell>
          <cell r="O371">
            <v>0</v>
          </cell>
          <cell r="P371">
            <v>0</v>
          </cell>
          <cell r="Q371">
            <v>0</v>
          </cell>
          <cell r="R371">
            <v>0</v>
          </cell>
          <cell r="S371">
            <v>0</v>
          </cell>
          <cell r="T371">
            <v>0</v>
          </cell>
          <cell r="U371">
            <v>112200</v>
          </cell>
          <cell r="V371">
            <v>0</v>
          </cell>
          <cell r="W371">
            <v>0</v>
          </cell>
          <cell r="X371" t="str">
            <v/>
          </cell>
          <cell r="Y371" t="str">
            <v/>
          </cell>
          <cell r="Z371" t="str">
            <v>⑥</v>
          </cell>
          <cell r="AA371" t="str">
            <v/>
          </cell>
          <cell r="AB371" t="str">
            <v/>
          </cell>
          <cell r="AC371" t="str">
            <v/>
          </cell>
          <cell r="AD371" t="str">
            <v/>
          </cell>
          <cell r="AE371" t="str">
            <v/>
          </cell>
          <cell r="AF371" t="str">
            <v/>
          </cell>
          <cell r="AG371" t="str">
            <v>①</v>
          </cell>
          <cell r="AH371" t="str">
            <v/>
          </cell>
          <cell r="AI371" t="str">
            <v/>
          </cell>
        </row>
        <row r="372">
          <cell r="B372">
            <v>2011</v>
          </cell>
          <cell r="C372">
            <v>20</v>
          </cell>
          <cell r="D372">
            <v>11</v>
          </cell>
          <cell r="F372" t="str">
            <v>郡山</v>
          </cell>
          <cell r="G372" t="str">
            <v>空調機設備保守</v>
          </cell>
          <cell r="H372" t="str">
            <v>福菱冷熱</v>
          </cell>
          <cell r="I372">
            <v>300000</v>
          </cell>
          <cell r="J372">
            <v>312000</v>
          </cell>
          <cell r="K372">
            <v>2</v>
          </cell>
          <cell r="L372">
            <v>0</v>
          </cell>
          <cell r="M372">
            <v>0</v>
          </cell>
          <cell r="N372">
            <v>0</v>
          </cell>
          <cell r="O372">
            <v>0</v>
          </cell>
          <cell r="P372">
            <v>312000</v>
          </cell>
          <cell r="Q372">
            <v>0</v>
          </cell>
          <cell r="R372">
            <v>0</v>
          </cell>
          <cell r="S372">
            <v>0</v>
          </cell>
          <cell r="T372">
            <v>0</v>
          </cell>
          <cell r="U372">
            <v>0</v>
          </cell>
          <cell r="V372">
            <v>312000</v>
          </cell>
          <cell r="W372">
            <v>0</v>
          </cell>
          <cell r="X372" t="str">
            <v/>
          </cell>
          <cell r="Y372" t="str">
            <v/>
          </cell>
          <cell r="Z372" t="str">
            <v/>
          </cell>
          <cell r="AA372" t="str">
            <v/>
          </cell>
          <cell r="AB372" t="str">
            <v>⑧</v>
          </cell>
          <cell r="AC372" t="str">
            <v/>
          </cell>
          <cell r="AD372" t="str">
            <v/>
          </cell>
          <cell r="AE372" t="str">
            <v/>
          </cell>
          <cell r="AF372" t="str">
            <v/>
          </cell>
          <cell r="AG372" t="str">
            <v/>
          </cell>
          <cell r="AH372" t="str">
            <v>②</v>
          </cell>
          <cell r="AI372" t="str">
            <v/>
          </cell>
        </row>
        <row r="373">
          <cell r="B373">
            <v>2012</v>
          </cell>
          <cell r="C373">
            <v>20</v>
          </cell>
          <cell r="D373">
            <v>12</v>
          </cell>
          <cell r="F373" t="str">
            <v>郡山</v>
          </cell>
          <cell r="G373" t="str">
            <v>自動制御機器設備保守</v>
          </cell>
          <cell r="H373" t="str">
            <v>横河ｼﾞｮﾝｿﾝｺﾝﾄﾛｰﾙｽﾞ</v>
          </cell>
          <cell r="I373">
            <v>350000</v>
          </cell>
          <cell r="J373">
            <v>373800</v>
          </cell>
          <cell r="K373">
            <v>1</v>
          </cell>
          <cell r="L373">
            <v>0</v>
          </cell>
          <cell r="M373">
            <v>0</v>
          </cell>
          <cell r="N373">
            <v>0</v>
          </cell>
          <cell r="O373">
            <v>0</v>
          </cell>
          <cell r="P373">
            <v>0</v>
          </cell>
          <cell r="Q373">
            <v>0</v>
          </cell>
          <cell r="R373">
            <v>0</v>
          </cell>
          <cell r="S373">
            <v>0</v>
          </cell>
          <cell r="T373">
            <v>0</v>
          </cell>
          <cell r="U373">
            <v>373800</v>
          </cell>
          <cell r="V373">
            <v>0</v>
          </cell>
          <cell r="W373">
            <v>0</v>
          </cell>
          <cell r="X373" t="str">
            <v/>
          </cell>
          <cell r="Y373" t="str">
            <v/>
          </cell>
          <cell r="Z373" t="str">
            <v/>
          </cell>
          <cell r="AA373" t="str">
            <v/>
          </cell>
          <cell r="AB373" t="str">
            <v/>
          </cell>
          <cell r="AC373" t="str">
            <v/>
          </cell>
          <cell r="AD373" t="str">
            <v/>
          </cell>
          <cell r="AE373" t="str">
            <v/>
          </cell>
          <cell r="AF373" t="str">
            <v/>
          </cell>
          <cell r="AG373" t="str">
            <v>①</v>
          </cell>
          <cell r="AH373" t="str">
            <v/>
          </cell>
          <cell r="AI373" t="str">
            <v/>
          </cell>
          <cell r="AJ373" t="str">
            <v>変</v>
          </cell>
        </row>
        <row r="374">
          <cell r="B374">
            <v>2013</v>
          </cell>
          <cell r="C374">
            <v>20</v>
          </cell>
          <cell r="D374">
            <v>13</v>
          </cell>
          <cell r="F374" t="str">
            <v>郡山</v>
          </cell>
          <cell r="G374" t="str">
            <v>全熱交換機ﾛｰﾙﾌｨﾙﾀｰ清掃</v>
          </cell>
          <cell r="H374" t="str">
            <v>アサヒビルサービス</v>
          </cell>
          <cell r="I374">
            <v>45000</v>
          </cell>
          <cell r="J374">
            <v>51750</v>
          </cell>
          <cell r="K374">
            <v>2</v>
          </cell>
          <cell r="L374">
            <v>0</v>
          </cell>
          <cell r="M374">
            <v>0</v>
          </cell>
          <cell r="N374">
            <v>51750</v>
          </cell>
          <cell r="O374">
            <v>0</v>
          </cell>
          <cell r="P374">
            <v>0</v>
          </cell>
          <cell r="Q374">
            <v>0</v>
          </cell>
          <cell r="R374">
            <v>0</v>
          </cell>
          <cell r="S374">
            <v>51750</v>
          </cell>
          <cell r="T374">
            <v>0</v>
          </cell>
          <cell r="U374">
            <v>0</v>
          </cell>
          <cell r="V374">
            <v>0</v>
          </cell>
          <cell r="W374">
            <v>0</v>
          </cell>
          <cell r="X374" t="str">
            <v/>
          </cell>
          <cell r="Y374" t="str">
            <v/>
          </cell>
          <cell r="Z374" t="str">
            <v>⑥</v>
          </cell>
          <cell r="AA374" t="str">
            <v/>
          </cell>
          <cell r="AB374" t="str">
            <v/>
          </cell>
          <cell r="AC374" t="str">
            <v/>
          </cell>
          <cell r="AD374" t="str">
            <v/>
          </cell>
          <cell r="AE374" t="str">
            <v>⑪</v>
          </cell>
          <cell r="AF374" t="str">
            <v/>
          </cell>
          <cell r="AG374" t="str">
            <v/>
          </cell>
          <cell r="AH374" t="str">
            <v/>
          </cell>
          <cell r="AI374" t="str">
            <v/>
          </cell>
          <cell r="AJ374" t="str">
            <v>追</v>
          </cell>
        </row>
        <row r="375">
          <cell r="B375">
            <v>2014</v>
          </cell>
          <cell r="C375">
            <v>20</v>
          </cell>
          <cell r="D375">
            <v>14</v>
          </cell>
          <cell r="F375" t="str">
            <v>郡山</v>
          </cell>
          <cell r="G375" t="str">
            <v>ﾊﾟｯｹｰｼﾞﾌｨﾙﾀｰ清掃</v>
          </cell>
          <cell r="H375" t="str">
            <v>アサヒビルサービス</v>
          </cell>
          <cell r="I375">
            <v>48500</v>
          </cell>
          <cell r="J375">
            <v>55775</v>
          </cell>
          <cell r="K375">
            <v>4</v>
          </cell>
          <cell r="L375">
            <v>0</v>
          </cell>
          <cell r="M375">
            <v>55775</v>
          </cell>
          <cell r="N375">
            <v>0</v>
          </cell>
          <cell r="O375">
            <v>0</v>
          </cell>
          <cell r="P375">
            <v>55775</v>
          </cell>
          <cell r="Q375">
            <v>0</v>
          </cell>
          <cell r="R375">
            <v>0</v>
          </cell>
          <cell r="S375">
            <v>55775</v>
          </cell>
          <cell r="T375">
            <v>0</v>
          </cell>
          <cell r="U375">
            <v>0</v>
          </cell>
          <cell r="V375">
            <v>55775</v>
          </cell>
          <cell r="W375">
            <v>0</v>
          </cell>
          <cell r="X375" t="str">
            <v/>
          </cell>
          <cell r="Y375" t="str">
            <v>⑤</v>
          </cell>
          <cell r="AB375" t="str">
            <v>⑧</v>
          </cell>
          <cell r="AE375" t="str">
            <v>⑪</v>
          </cell>
          <cell r="AH375" t="str">
            <v>②</v>
          </cell>
          <cell r="AI375" t="str">
            <v/>
          </cell>
          <cell r="AJ375" t="str">
            <v>追</v>
          </cell>
        </row>
        <row r="376">
          <cell r="B376">
            <v>2015</v>
          </cell>
          <cell r="C376">
            <v>20</v>
          </cell>
          <cell r="D376">
            <v>15</v>
          </cell>
          <cell r="F376" t="str">
            <v>郡山</v>
          </cell>
          <cell r="G376" t="str">
            <v>シャッター点検整備　　　　 　</v>
          </cell>
          <cell r="H376" t="str">
            <v>アサヒビルサービス</v>
          </cell>
          <cell r="I376">
            <v>63000</v>
          </cell>
          <cell r="J376">
            <v>72450</v>
          </cell>
          <cell r="K376">
            <v>1</v>
          </cell>
          <cell r="L376">
            <v>0</v>
          </cell>
          <cell r="M376">
            <v>0</v>
          </cell>
          <cell r="N376">
            <v>0</v>
          </cell>
          <cell r="O376">
            <v>0</v>
          </cell>
          <cell r="P376">
            <v>0</v>
          </cell>
          <cell r="Q376">
            <v>0</v>
          </cell>
          <cell r="R376">
            <v>0</v>
          </cell>
          <cell r="S376">
            <v>0</v>
          </cell>
          <cell r="T376">
            <v>0</v>
          </cell>
          <cell r="U376">
            <v>72450</v>
          </cell>
          <cell r="V376">
            <v>0</v>
          </cell>
          <cell r="W376">
            <v>0</v>
          </cell>
          <cell r="X376" t="str">
            <v/>
          </cell>
          <cell r="Y376" t="str">
            <v/>
          </cell>
          <cell r="Z376" t="str">
            <v/>
          </cell>
          <cell r="AA376" t="str">
            <v/>
          </cell>
          <cell r="AB376" t="str">
            <v/>
          </cell>
          <cell r="AC376" t="str">
            <v/>
          </cell>
          <cell r="AD376" t="str">
            <v/>
          </cell>
          <cell r="AE376" t="str">
            <v/>
          </cell>
          <cell r="AF376" t="str">
            <v/>
          </cell>
          <cell r="AG376" t="str">
            <v>①</v>
          </cell>
          <cell r="AH376" t="str">
            <v/>
          </cell>
          <cell r="AI376" t="str">
            <v/>
          </cell>
          <cell r="AJ376" t="str">
            <v>追</v>
          </cell>
        </row>
        <row r="377">
          <cell r="B377">
            <v>2016</v>
          </cell>
          <cell r="C377">
            <v>20</v>
          </cell>
          <cell r="D377">
            <v>16</v>
          </cell>
          <cell r="F377" t="str">
            <v>郡山</v>
          </cell>
          <cell r="G377" t="str">
            <v>電気湯沸器点検整備</v>
          </cell>
          <cell r="H377" t="str">
            <v>アサヒビルサービス</v>
          </cell>
          <cell r="I377">
            <v>30700</v>
          </cell>
          <cell r="J377">
            <v>35305</v>
          </cell>
          <cell r="K377">
            <v>1</v>
          </cell>
          <cell r="L377">
            <v>0</v>
          </cell>
          <cell r="M377">
            <v>0</v>
          </cell>
          <cell r="N377">
            <v>0</v>
          </cell>
          <cell r="O377">
            <v>0</v>
          </cell>
          <cell r="P377">
            <v>0</v>
          </cell>
          <cell r="Q377">
            <v>0</v>
          </cell>
          <cell r="R377">
            <v>0</v>
          </cell>
          <cell r="S377">
            <v>0</v>
          </cell>
          <cell r="T377">
            <v>35305</v>
          </cell>
          <cell r="U377">
            <v>0</v>
          </cell>
          <cell r="V377">
            <v>0</v>
          </cell>
          <cell r="W377">
            <v>0</v>
          </cell>
          <cell r="X377" t="str">
            <v/>
          </cell>
          <cell r="Y377" t="str">
            <v/>
          </cell>
          <cell r="Z377" t="str">
            <v/>
          </cell>
          <cell r="AA377" t="str">
            <v/>
          </cell>
          <cell r="AB377" t="str">
            <v/>
          </cell>
          <cell r="AC377" t="str">
            <v/>
          </cell>
          <cell r="AD377" t="str">
            <v/>
          </cell>
          <cell r="AE377" t="str">
            <v/>
          </cell>
          <cell r="AF377" t="str">
            <v>⑫</v>
          </cell>
          <cell r="AG377" t="str">
            <v/>
          </cell>
          <cell r="AH377" t="str">
            <v/>
          </cell>
          <cell r="AI377" t="str">
            <v/>
          </cell>
          <cell r="AJ377" t="str">
            <v>追</v>
          </cell>
        </row>
        <row r="378">
          <cell r="B378">
            <v>2017</v>
          </cell>
          <cell r="C378">
            <v>20</v>
          </cell>
          <cell r="D378">
            <v>17</v>
          </cell>
          <cell r="F378" t="str">
            <v>郡山</v>
          </cell>
          <cell r="G378" t="str">
            <v>ボイラー点検･整備</v>
          </cell>
          <cell r="H378" t="str">
            <v>栗原工業所</v>
          </cell>
          <cell r="I378">
            <v>40000</v>
          </cell>
          <cell r="J378">
            <v>46000</v>
          </cell>
          <cell r="K378">
            <v>1</v>
          </cell>
          <cell r="L378">
            <v>0</v>
          </cell>
          <cell r="M378">
            <v>0</v>
          </cell>
          <cell r="N378">
            <v>0</v>
          </cell>
          <cell r="O378">
            <v>0</v>
          </cell>
          <cell r="P378">
            <v>46000</v>
          </cell>
          <cell r="Q378">
            <v>0</v>
          </cell>
          <cell r="R378">
            <v>0</v>
          </cell>
          <cell r="S378">
            <v>0</v>
          </cell>
          <cell r="T378">
            <v>0</v>
          </cell>
          <cell r="U378">
            <v>0</v>
          </cell>
          <cell r="V378">
            <v>0</v>
          </cell>
          <cell r="W378">
            <v>0</v>
          </cell>
          <cell r="X378" t="str">
            <v/>
          </cell>
          <cell r="Y378" t="str">
            <v/>
          </cell>
          <cell r="Z378" t="str">
            <v/>
          </cell>
          <cell r="AA378" t="str">
            <v/>
          </cell>
          <cell r="AB378" t="str">
            <v>⑧</v>
          </cell>
          <cell r="AC378" t="str">
            <v/>
          </cell>
          <cell r="AD378" t="str">
            <v/>
          </cell>
          <cell r="AE378" t="str">
            <v/>
          </cell>
          <cell r="AF378" t="str">
            <v/>
          </cell>
          <cell r="AG378" t="str">
            <v/>
          </cell>
          <cell r="AH378" t="str">
            <v/>
          </cell>
          <cell r="AI378" t="str">
            <v/>
          </cell>
          <cell r="AJ378" t="str">
            <v>追</v>
          </cell>
        </row>
        <row r="379">
          <cell r="B379">
            <v>2018</v>
          </cell>
          <cell r="C379">
            <v>20</v>
          </cell>
          <cell r="D379">
            <v>18</v>
          </cell>
          <cell r="F379" t="str">
            <v>郡山</v>
          </cell>
          <cell r="G379" t="str">
            <v>直流電源ﾊﾞｯﾃﾘｰの点検整備</v>
          </cell>
          <cell r="H379" t="str">
            <v>古河バッテリーサービス</v>
          </cell>
          <cell r="I379">
            <v>70000</v>
          </cell>
          <cell r="J379">
            <v>80500</v>
          </cell>
          <cell r="K379">
            <v>1</v>
          </cell>
          <cell r="L379">
            <v>0</v>
          </cell>
          <cell r="M379">
            <v>0</v>
          </cell>
          <cell r="N379">
            <v>0</v>
          </cell>
          <cell r="O379">
            <v>0</v>
          </cell>
          <cell r="P379">
            <v>0</v>
          </cell>
          <cell r="Q379">
            <v>0</v>
          </cell>
          <cell r="R379">
            <v>0</v>
          </cell>
          <cell r="S379">
            <v>0</v>
          </cell>
          <cell r="T379">
            <v>80500</v>
          </cell>
          <cell r="U379">
            <v>0</v>
          </cell>
          <cell r="V379">
            <v>0</v>
          </cell>
          <cell r="W379">
            <v>0</v>
          </cell>
          <cell r="X379" t="str">
            <v/>
          </cell>
          <cell r="Y379" t="str">
            <v/>
          </cell>
          <cell r="Z379" t="str">
            <v/>
          </cell>
          <cell r="AA379" t="str">
            <v/>
          </cell>
          <cell r="AB379" t="str">
            <v/>
          </cell>
          <cell r="AC379" t="str">
            <v/>
          </cell>
          <cell r="AD379" t="str">
            <v/>
          </cell>
          <cell r="AE379" t="str">
            <v/>
          </cell>
          <cell r="AF379" t="str">
            <v>⑫</v>
          </cell>
          <cell r="AG379" t="str">
            <v/>
          </cell>
          <cell r="AH379" t="str">
            <v/>
          </cell>
          <cell r="AI379" t="str">
            <v/>
          </cell>
          <cell r="AJ379" t="str">
            <v>追</v>
          </cell>
        </row>
        <row r="380">
          <cell r="B380">
            <v>2019</v>
          </cell>
          <cell r="C380">
            <v>20</v>
          </cell>
          <cell r="D380">
            <v>19</v>
          </cell>
          <cell r="F380" t="str">
            <v>郡山</v>
          </cell>
          <cell r="G380" t="str">
            <v>全熱交換機の点検･整備</v>
          </cell>
          <cell r="H380" t="str">
            <v>福菱冷熱</v>
          </cell>
          <cell r="I380">
            <v>54000</v>
          </cell>
          <cell r="J380">
            <v>62100</v>
          </cell>
          <cell r="K380">
            <v>1</v>
          </cell>
          <cell r="L380">
            <v>0</v>
          </cell>
          <cell r="M380">
            <v>0</v>
          </cell>
          <cell r="N380">
            <v>0</v>
          </cell>
          <cell r="O380">
            <v>0</v>
          </cell>
          <cell r="P380">
            <v>0</v>
          </cell>
          <cell r="Q380">
            <v>0</v>
          </cell>
          <cell r="R380">
            <v>62100</v>
          </cell>
          <cell r="S380">
            <v>0</v>
          </cell>
          <cell r="T380">
            <v>0</v>
          </cell>
          <cell r="U380">
            <v>0</v>
          </cell>
          <cell r="V380">
            <v>0</v>
          </cell>
          <cell r="W380">
            <v>0</v>
          </cell>
          <cell r="X380" t="str">
            <v/>
          </cell>
          <cell r="Y380" t="str">
            <v/>
          </cell>
          <cell r="Z380" t="str">
            <v/>
          </cell>
          <cell r="AA380" t="str">
            <v/>
          </cell>
          <cell r="AB380" t="str">
            <v/>
          </cell>
          <cell r="AC380" t="str">
            <v/>
          </cell>
          <cell r="AD380" t="str">
            <v>⑩</v>
          </cell>
          <cell r="AE380" t="str">
            <v/>
          </cell>
          <cell r="AF380" t="str">
            <v/>
          </cell>
          <cell r="AG380" t="str">
            <v/>
          </cell>
          <cell r="AH380" t="str">
            <v/>
          </cell>
          <cell r="AI380" t="str">
            <v/>
          </cell>
          <cell r="AJ380" t="str">
            <v>追</v>
          </cell>
        </row>
        <row r="381">
          <cell r="B381">
            <v>2101</v>
          </cell>
          <cell r="C381">
            <v>21</v>
          </cell>
          <cell r="D381">
            <v>1</v>
          </cell>
          <cell r="F381" t="str">
            <v>会津</v>
          </cell>
          <cell r="G381" t="str">
            <v>立体駐車場設備保守</v>
          </cell>
          <cell r="H381" t="str">
            <v>三菱重工ﾊﾟｰｷﾝｸﾞ建設</v>
          </cell>
          <cell r="I381">
            <v>111000</v>
          </cell>
          <cell r="J381">
            <v>113220</v>
          </cell>
          <cell r="K381">
            <v>12</v>
          </cell>
          <cell r="L381">
            <v>113220</v>
          </cell>
          <cell r="M381">
            <v>113220</v>
          </cell>
          <cell r="N381">
            <v>113220</v>
          </cell>
          <cell r="O381">
            <v>113220</v>
          </cell>
          <cell r="P381">
            <v>113220</v>
          </cell>
          <cell r="Q381">
            <v>113220</v>
          </cell>
          <cell r="R381">
            <v>113220</v>
          </cell>
          <cell r="S381">
            <v>113220</v>
          </cell>
          <cell r="T381">
            <v>113220</v>
          </cell>
          <cell r="U381">
            <v>113220</v>
          </cell>
          <cell r="V381">
            <v>113220</v>
          </cell>
          <cell r="W381">
            <v>113220</v>
          </cell>
          <cell r="X381" t="str">
            <v>④</v>
          </cell>
          <cell r="Y381" t="str">
            <v>⑤</v>
          </cell>
          <cell r="Z381" t="str">
            <v>⑥</v>
          </cell>
          <cell r="AA381" t="str">
            <v>⑦</v>
          </cell>
          <cell r="AB381" t="str">
            <v>⑧</v>
          </cell>
          <cell r="AC381" t="str">
            <v>⑨</v>
          </cell>
          <cell r="AD381" t="str">
            <v>⑩</v>
          </cell>
          <cell r="AE381" t="str">
            <v>⑪</v>
          </cell>
          <cell r="AF381" t="str">
            <v>⑫</v>
          </cell>
          <cell r="AG381" t="str">
            <v>①</v>
          </cell>
          <cell r="AH381" t="str">
            <v>②</v>
          </cell>
          <cell r="AI381" t="str">
            <v>③</v>
          </cell>
        </row>
        <row r="382">
          <cell r="B382">
            <v>2102</v>
          </cell>
          <cell r="C382">
            <v>21</v>
          </cell>
          <cell r="D382">
            <v>2</v>
          </cell>
          <cell r="F382" t="str">
            <v>会津</v>
          </cell>
          <cell r="G382" t="str">
            <v>エレベーター保守</v>
          </cell>
          <cell r="H382" t="str">
            <v>三菱電機ﾋﾞﾙﾃｸﾉｻｰﾋﾞｽ</v>
          </cell>
          <cell r="I382">
            <v>56700</v>
          </cell>
          <cell r="J382">
            <v>57834</v>
          </cell>
          <cell r="K382">
            <v>12</v>
          </cell>
          <cell r="L382">
            <v>57834</v>
          </cell>
          <cell r="M382">
            <v>57834</v>
          </cell>
          <cell r="N382">
            <v>57834</v>
          </cell>
          <cell r="O382">
            <v>57834</v>
          </cell>
          <cell r="P382">
            <v>57834</v>
          </cell>
          <cell r="Q382">
            <v>57834</v>
          </cell>
          <cell r="R382">
            <v>57834</v>
          </cell>
          <cell r="S382">
            <v>57834</v>
          </cell>
          <cell r="T382">
            <v>57834</v>
          </cell>
          <cell r="U382">
            <v>57834</v>
          </cell>
          <cell r="V382">
            <v>57834</v>
          </cell>
          <cell r="W382">
            <v>57834</v>
          </cell>
          <cell r="X382" t="str">
            <v>④</v>
          </cell>
          <cell r="Y382" t="str">
            <v>⑤</v>
          </cell>
          <cell r="Z382" t="str">
            <v>⑥</v>
          </cell>
          <cell r="AA382" t="str">
            <v>⑦</v>
          </cell>
          <cell r="AB382" t="str">
            <v>⑧</v>
          </cell>
          <cell r="AC382" t="str">
            <v>⑨</v>
          </cell>
          <cell r="AD382" t="str">
            <v>⑩</v>
          </cell>
          <cell r="AE382" t="str">
            <v>⑪</v>
          </cell>
          <cell r="AF382" t="str">
            <v>⑫</v>
          </cell>
          <cell r="AG382" t="str">
            <v>①</v>
          </cell>
          <cell r="AH382" t="str">
            <v>②</v>
          </cell>
          <cell r="AI382" t="str">
            <v>③</v>
          </cell>
        </row>
        <row r="383">
          <cell r="B383">
            <v>2103</v>
          </cell>
          <cell r="C383">
            <v>21</v>
          </cell>
          <cell r="D383">
            <v>3</v>
          </cell>
          <cell r="F383" t="str">
            <v>会津</v>
          </cell>
          <cell r="G383" t="str">
            <v>消火器(外観)</v>
          </cell>
          <cell r="H383" t="str">
            <v>ホーチキ</v>
          </cell>
          <cell r="I383">
            <v>29600</v>
          </cell>
          <cell r="J383">
            <v>30192</v>
          </cell>
          <cell r="K383">
            <v>1</v>
          </cell>
          <cell r="L383">
            <v>30192</v>
          </cell>
          <cell r="M383">
            <v>0</v>
          </cell>
          <cell r="N383">
            <v>0</v>
          </cell>
          <cell r="O383">
            <v>0</v>
          </cell>
          <cell r="P383">
            <v>0</v>
          </cell>
          <cell r="Q383">
            <v>0</v>
          </cell>
          <cell r="R383">
            <v>0</v>
          </cell>
          <cell r="S383">
            <v>0</v>
          </cell>
          <cell r="T383">
            <v>0</v>
          </cell>
          <cell r="U383">
            <v>0</v>
          </cell>
          <cell r="V383">
            <v>0</v>
          </cell>
          <cell r="W383">
            <v>0</v>
          </cell>
          <cell r="X383" t="str">
            <v>④</v>
          </cell>
          <cell r="Y383" t="str">
            <v/>
          </cell>
          <cell r="Z383" t="str">
            <v/>
          </cell>
          <cell r="AA383" t="str">
            <v/>
          </cell>
          <cell r="AB383" t="str">
            <v/>
          </cell>
          <cell r="AC383" t="str">
            <v/>
          </cell>
          <cell r="AD383" t="str">
            <v/>
          </cell>
          <cell r="AE383" t="str">
            <v/>
          </cell>
          <cell r="AF383" t="str">
            <v/>
          </cell>
          <cell r="AG383" t="str">
            <v/>
          </cell>
          <cell r="AH383" t="str">
            <v/>
          </cell>
          <cell r="AI383" t="str">
            <v/>
          </cell>
        </row>
        <row r="384">
          <cell r="B384">
            <v>2104</v>
          </cell>
          <cell r="C384">
            <v>21</v>
          </cell>
          <cell r="D384">
            <v>4</v>
          </cell>
          <cell r="F384" t="str">
            <v>会津</v>
          </cell>
          <cell r="G384" t="str">
            <v>消火器(総合)</v>
          </cell>
          <cell r="H384" t="str">
            <v>ホーチキ</v>
          </cell>
          <cell r="I384">
            <v>26100</v>
          </cell>
          <cell r="J384">
            <v>26622</v>
          </cell>
          <cell r="K384">
            <v>1</v>
          </cell>
          <cell r="L384">
            <v>0</v>
          </cell>
          <cell r="M384">
            <v>0</v>
          </cell>
          <cell r="N384">
            <v>0</v>
          </cell>
          <cell r="O384">
            <v>0</v>
          </cell>
          <cell r="P384">
            <v>0</v>
          </cell>
          <cell r="Q384">
            <v>0</v>
          </cell>
          <cell r="R384">
            <v>26622</v>
          </cell>
          <cell r="S384">
            <v>0</v>
          </cell>
          <cell r="T384">
            <v>0</v>
          </cell>
          <cell r="U384">
            <v>0</v>
          </cell>
          <cell r="V384">
            <v>0</v>
          </cell>
          <cell r="W384">
            <v>0</v>
          </cell>
          <cell r="X384" t="str">
            <v/>
          </cell>
          <cell r="Y384" t="str">
            <v/>
          </cell>
          <cell r="Z384" t="str">
            <v/>
          </cell>
          <cell r="AA384" t="str">
            <v/>
          </cell>
          <cell r="AB384" t="str">
            <v/>
          </cell>
          <cell r="AC384" t="str">
            <v/>
          </cell>
          <cell r="AD384" t="str">
            <v>⑩</v>
          </cell>
          <cell r="AE384" t="str">
            <v/>
          </cell>
          <cell r="AF384" t="str">
            <v/>
          </cell>
          <cell r="AG384" t="str">
            <v/>
          </cell>
          <cell r="AH384" t="str">
            <v/>
          </cell>
          <cell r="AI384" t="str">
            <v/>
          </cell>
        </row>
        <row r="385">
          <cell r="B385">
            <v>2105</v>
          </cell>
          <cell r="C385">
            <v>21</v>
          </cell>
          <cell r="D385">
            <v>5</v>
          </cell>
          <cell r="F385" t="str">
            <v>会津</v>
          </cell>
          <cell r="G385" t="str">
            <v>屋内消火栓(外観)</v>
          </cell>
          <cell r="H385" t="str">
            <v>ホーチキ</v>
          </cell>
          <cell r="I385">
            <v>55200</v>
          </cell>
          <cell r="J385">
            <v>56304</v>
          </cell>
          <cell r="K385">
            <v>1</v>
          </cell>
          <cell r="L385">
            <v>56304</v>
          </cell>
          <cell r="M385">
            <v>0</v>
          </cell>
          <cell r="N385">
            <v>0</v>
          </cell>
          <cell r="O385">
            <v>0</v>
          </cell>
          <cell r="P385">
            <v>0</v>
          </cell>
          <cell r="Q385">
            <v>0</v>
          </cell>
          <cell r="R385">
            <v>0</v>
          </cell>
          <cell r="S385">
            <v>0</v>
          </cell>
          <cell r="T385">
            <v>0</v>
          </cell>
          <cell r="U385">
            <v>0</v>
          </cell>
          <cell r="V385">
            <v>0</v>
          </cell>
          <cell r="W385">
            <v>0</v>
          </cell>
          <cell r="X385" t="str">
            <v>④</v>
          </cell>
          <cell r="Y385" t="str">
            <v/>
          </cell>
          <cell r="Z385" t="str">
            <v/>
          </cell>
          <cell r="AA385" t="str">
            <v/>
          </cell>
          <cell r="AB385" t="str">
            <v/>
          </cell>
          <cell r="AC385" t="str">
            <v/>
          </cell>
          <cell r="AD385" t="str">
            <v/>
          </cell>
          <cell r="AE385" t="str">
            <v/>
          </cell>
          <cell r="AF385" t="str">
            <v/>
          </cell>
          <cell r="AG385" t="str">
            <v/>
          </cell>
          <cell r="AH385" t="str">
            <v/>
          </cell>
          <cell r="AI385" t="str">
            <v/>
          </cell>
        </row>
        <row r="386">
          <cell r="B386">
            <v>2106</v>
          </cell>
          <cell r="C386">
            <v>21</v>
          </cell>
          <cell r="D386">
            <v>6</v>
          </cell>
          <cell r="F386" t="str">
            <v>会津</v>
          </cell>
          <cell r="G386" t="str">
            <v>屋内消火栓(総合)</v>
          </cell>
          <cell r="H386" t="str">
            <v>ホーチキ</v>
          </cell>
          <cell r="I386">
            <v>78300</v>
          </cell>
          <cell r="J386">
            <v>79866</v>
          </cell>
          <cell r="K386">
            <v>1</v>
          </cell>
          <cell r="L386">
            <v>0</v>
          </cell>
          <cell r="M386">
            <v>0</v>
          </cell>
          <cell r="N386">
            <v>0</v>
          </cell>
          <cell r="O386">
            <v>0</v>
          </cell>
          <cell r="P386">
            <v>0</v>
          </cell>
          <cell r="Q386">
            <v>0</v>
          </cell>
          <cell r="R386">
            <v>79866</v>
          </cell>
          <cell r="S386">
            <v>0</v>
          </cell>
          <cell r="T386">
            <v>0</v>
          </cell>
          <cell r="U386">
            <v>0</v>
          </cell>
          <cell r="V386">
            <v>0</v>
          </cell>
          <cell r="W386">
            <v>0</v>
          </cell>
          <cell r="X386" t="str">
            <v/>
          </cell>
          <cell r="Y386" t="str">
            <v/>
          </cell>
          <cell r="Z386" t="str">
            <v/>
          </cell>
          <cell r="AA386" t="str">
            <v/>
          </cell>
          <cell r="AB386" t="str">
            <v/>
          </cell>
          <cell r="AC386" t="str">
            <v/>
          </cell>
          <cell r="AD386" t="str">
            <v>⑩</v>
          </cell>
          <cell r="AE386" t="str">
            <v/>
          </cell>
          <cell r="AF386" t="str">
            <v/>
          </cell>
          <cell r="AG386" t="str">
            <v/>
          </cell>
          <cell r="AH386" t="str">
            <v/>
          </cell>
          <cell r="AI386" t="str">
            <v/>
          </cell>
        </row>
        <row r="387">
          <cell r="B387">
            <v>2107</v>
          </cell>
          <cell r="C387">
            <v>21</v>
          </cell>
          <cell r="D387">
            <v>7</v>
          </cell>
          <cell r="F387" t="str">
            <v>会津</v>
          </cell>
          <cell r="G387" t="str">
            <v>ハロゲン消火(外観)</v>
          </cell>
          <cell r="H387" t="str">
            <v>ホーチキ</v>
          </cell>
          <cell r="I387">
            <v>74900</v>
          </cell>
          <cell r="J387">
            <v>76398</v>
          </cell>
          <cell r="K387">
            <v>1</v>
          </cell>
          <cell r="L387">
            <v>76398</v>
          </cell>
          <cell r="M387">
            <v>0</v>
          </cell>
          <cell r="N387">
            <v>0</v>
          </cell>
          <cell r="O387">
            <v>0</v>
          </cell>
          <cell r="P387">
            <v>0</v>
          </cell>
          <cell r="Q387">
            <v>0</v>
          </cell>
          <cell r="R387">
            <v>0</v>
          </cell>
          <cell r="S387">
            <v>0</v>
          </cell>
          <cell r="T387">
            <v>0</v>
          </cell>
          <cell r="U387">
            <v>0</v>
          </cell>
          <cell r="V387">
            <v>0</v>
          </cell>
          <cell r="W387">
            <v>0</v>
          </cell>
          <cell r="X387" t="str">
            <v>④</v>
          </cell>
          <cell r="Y387" t="str">
            <v/>
          </cell>
          <cell r="Z387" t="str">
            <v/>
          </cell>
          <cell r="AA387" t="str">
            <v/>
          </cell>
          <cell r="AB387" t="str">
            <v/>
          </cell>
          <cell r="AC387" t="str">
            <v/>
          </cell>
          <cell r="AD387" t="str">
            <v/>
          </cell>
          <cell r="AE387" t="str">
            <v/>
          </cell>
          <cell r="AF387" t="str">
            <v/>
          </cell>
          <cell r="AG387" t="str">
            <v/>
          </cell>
          <cell r="AH387" t="str">
            <v/>
          </cell>
          <cell r="AI387" t="str">
            <v/>
          </cell>
        </row>
        <row r="388">
          <cell r="B388">
            <v>2108</v>
          </cell>
          <cell r="C388">
            <v>21</v>
          </cell>
          <cell r="D388">
            <v>8</v>
          </cell>
          <cell r="F388" t="str">
            <v>会津</v>
          </cell>
          <cell r="G388" t="str">
            <v>ハロゲン消火(総合)</v>
          </cell>
          <cell r="H388" t="str">
            <v>ホーチキ</v>
          </cell>
          <cell r="I388">
            <v>420800</v>
          </cell>
          <cell r="J388">
            <v>429216</v>
          </cell>
          <cell r="K388">
            <v>1</v>
          </cell>
          <cell r="L388">
            <v>0</v>
          </cell>
          <cell r="M388">
            <v>0</v>
          </cell>
          <cell r="N388">
            <v>0</v>
          </cell>
          <cell r="O388">
            <v>0</v>
          </cell>
          <cell r="P388">
            <v>0</v>
          </cell>
          <cell r="Q388">
            <v>0</v>
          </cell>
          <cell r="R388">
            <v>429216</v>
          </cell>
          <cell r="S388">
            <v>0</v>
          </cell>
          <cell r="T388">
            <v>0</v>
          </cell>
          <cell r="U388">
            <v>0</v>
          </cell>
          <cell r="V388">
            <v>0</v>
          </cell>
          <cell r="W388">
            <v>0</v>
          </cell>
          <cell r="X388" t="str">
            <v/>
          </cell>
          <cell r="Y388" t="str">
            <v/>
          </cell>
          <cell r="Z388" t="str">
            <v/>
          </cell>
          <cell r="AA388" t="str">
            <v/>
          </cell>
          <cell r="AB388" t="str">
            <v/>
          </cell>
          <cell r="AC388" t="str">
            <v/>
          </cell>
          <cell r="AD388" t="str">
            <v>⑩</v>
          </cell>
          <cell r="AE388" t="str">
            <v/>
          </cell>
          <cell r="AF388" t="str">
            <v/>
          </cell>
          <cell r="AG388" t="str">
            <v/>
          </cell>
          <cell r="AH388" t="str">
            <v/>
          </cell>
          <cell r="AI388" t="str">
            <v/>
          </cell>
        </row>
        <row r="389">
          <cell r="B389">
            <v>2109</v>
          </cell>
          <cell r="C389">
            <v>21</v>
          </cell>
          <cell r="D389">
            <v>9</v>
          </cell>
          <cell r="F389" t="str">
            <v>会津</v>
          </cell>
          <cell r="G389" t="str">
            <v>非常放送(外観)</v>
          </cell>
          <cell r="H389" t="str">
            <v>ホーチキ</v>
          </cell>
          <cell r="I389">
            <v>37400</v>
          </cell>
          <cell r="J389">
            <v>38148</v>
          </cell>
          <cell r="K389">
            <v>1</v>
          </cell>
          <cell r="L389">
            <v>38148</v>
          </cell>
          <cell r="M389">
            <v>0</v>
          </cell>
          <cell r="N389">
            <v>0</v>
          </cell>
          <cell r="O389">
            <v>0</v>
          </cell>
          <cell r="P389">
            <v>0</v>
          </cell>
          <cell r="Q389">
            <v>0</v>
          </cell>
          <cell r="R389">
            <v>0</v>
          </cell>
          <cell r="S389">
            <v>0</v>
          </cell>
          <cell r="T389">
            <v>0</v>
          </cell>
          <cell r="U389">
            <v>0</v>
          </cell>
          <cell r="V389">
            <v>0</v>
          </cell>
          <cell r="W389">
            <v>0</v>
          </cell>
          <cell r="X389" t="str">
            <v>④</v>
          </cell>
          <cell r="Y389" t="str">
            <v/>
          </cell>
          <cell r="Z389" t="str">
            <v/>
          </cell>
          <cell r="AA389" t="str">
            <v/>
          </cell>
          <cell r="AB389" t="str">
            <v/>
          </cell>
          <cell r="AC389" t="str">
            <v/>
          </cell>
          <cell r="AD389" t="str">
            <v/>
          </cell>
          <cell r="AE389" t="str">
            <v/>
          </cell>
          <cell r="AF389" t="str">
            <v/>
          </cell>
          <cell r="AG389" t="str">
            <v/>
          </cell>
          <cell r="AH389" t="str">
            <v/>
          </cell>
          <cell r="AI389" t="str">
            <v/>
          </cell>
        </row>
        <row r="390">
          <cell r="B390">
            <v>2110</v>
          </cell>
          <cell r="C390">
            <v>21</v>
          </cell>
          <cell r="D390">
            <v>10</v>
          </cell>
          <cell r="F390" t="str">
            <v>会津</v>
          </cell>
          <cell r="G390" t="str">
            <v>非常放送(総合)</v>
          </cell>
          <cell r="H390" t="str">
            <v>ホーチキ</v>
          </cell>
          <cell r="I390">
            <v>57400</v>
          </cell>
          <cell r="J390">
            <v>58548</v>
          </cell>
          <cell r="K390">
            <v>1</v>
          </cell>
          <cell r="L390">
            <v>0</v>
          </cell>
          <cell r="M390">
            <v>0</v>
          </cell>
          <cell r="N390">
            <v>0</v>
          </cell>
          <cell r="O390">
            <v>0</v>
          </cell>
          <cell r="P390">
            <v>0</v>
          </cell>
          <cell r="Q390">
            <v>0</v>
          </cell>
          <cell r="R390">
            <v>58548</v>
          </cell>
          <cell r="S390">
            <v>0</v>
          </cell>
          <cell r="T390">
            <v>0</v>
          </cell>
          <cell r="U390">
            <v>0</v>
          </cell>
          <cell r="V390">
            <v>0</v>
          </cell>
          <cell r="W390">
            <v>0</v>
          </cell>
          <cell r="X390" t="str">
            <v/>
          </cell>
          <cell r="Y390" t="str">
            <v/>
          </cell>
          <cell r="Z390" t="str">
            <v/>
          </cell>
          <cell r="AA390" t="str">
            <v/>
          </cell>
          <cell r="AB390" t="str">
            <v/>
          </cell>
          <cell r="AC390" t="str">
            <v/>
          </cell>
          <cell r="AD390" t="str">
            <v>⑩</v>
          </cell>
          <cell r="AE390" t="str">
            <v/>
          </cell>
          <cell r="AF390" t="str">
            <v/>
          </cell>
          <cell r="AG390" t="str">
            <v/>
          </cell>
          <cell r="AH390" t="str">
            <v/>
          </cell>
          <cell r="AI390" t="str">
            <v/>
          </cell>
        </row>
        <row r="391">
          <cell r="B391">
            <v>2111</v>
          </cell>
          <cell r="C391">
            <v>21</v>
          </cell>
          <cell r="D391">
            <v>11</v>
          </cell>
          <cell r="F391" t="str">
            <v>会津</v>
          </cell>
          <cell r="G391" t="str">
            <v>誘導灯(外観)</v>
          </cell>
          <cell r="H391" t="str">
            <v>ホーチキ</v>
          </cell>
          <cell r="I391">
            <v>36400</v>
          </cell>
          <cell r="J391">
            <v>37128</v>
          </cell>
          <cell r="K391">
            <v>1</v>
          </cell>
          <cell r="L391">
            <v>37128</v>
          </cell>
          <cell r="M391">
            <v>0</v>
          </cell>
          <cell r="N391">
            <v>0</v>
          </cell>
          <cell r="O391">
            <v>0</v>
          </cell>
          <cell r="P391">
            <v>0</v>
          </cell>
          <cell r="Q391">
            <v>0</v>
          </cell>
          <cell r="R391">
            <v>0</v>
          </cell>
          <cell r="S391">
            <v>0</v>
          </cell>
          <cell r="T391">
            <v>0</v>
          </cell>
          <cell r="U391">
            <v>0</v>
          </cell>
          <cell r="V391">
            <v>0</v>
          </cell>
          <cell r="W391">
            <v>0</v>
          </cell>
          <cell r="X391" t="str">
            <v>④</v>
          </cell>
          <cell r="Y391" t="str">
            <v/>
          </cell>
          <cell r="Z391" t="str">
            <v/>
          </cell>
          <cell r="AA391" t="str">
            <v/>
          </cell>
          <cell r="AB391" t="str">
            <v/>
          </cell>
          <cell r="AC391" t="str">
            <v/>
          </cell>
          <cell r="AD391" t="str">
            <v/>
          </cell>
          <cell r="AE391" t="str">
            <v/>
          </cell>
          <cell r="AF391" t="str">
            <v/>
          </cell>
          <cell r="AG391" t="str">
            <v/>
          </cell>
          <cell r="AH391" t="str">
            <v/>
          </cell>
          <cell r="AI391" t="str">
            <v/>
          </cell>
        </row>
        <row r="392">
          <cell r="B392">
            <v>2112</v>
          </cell>
          <cell r="C392">
            <v>21</v>
          </cell>
          <cell r="D392">
            <v>12</v>
          </cell>
          <cell r="F392" t="str">
            <v>会津</v>
          </cell>
          <cell r="G392" t="str">
            <v>誘導灯(総合)</v>
          </cell>
          <cell r="H392" t="str">
            <v>ホーチキ</v>
          </cell>
          <cell r="I392">
            <v>34900</v>
          </cell>
          <cell r="J392">
            <v>35598</v>
          </cell>
          <cell r="K392">
            <v>1</v>
          </cell>
          <cell r="L392">
            <v>0</v>
          </cell>
          <cell r="M392">
            <v>0</v>
          </cell>
          <cell r="N392">
            <v>0</v>
          </cell>
          <cell r="O392">
            <v>0</v>
          </cell>
          <cell r="P392">
            <v>0</v>
          </cell>
          <cell r="Q392">
            <v>0</v>
          </cell>
          <cell r="R392">
            <v>35598</v>
          </cell>
          <cell r="S392">
            <v>0</v>
          </cell>
          <cell r="T392">
            <v>0</v>
          </cell>
          <cell r="U392">
            <v>0</v>
          </cell>
          <cell r="V392">
            <v>0</v>
          </cell>
          <cell r="W392">
            <v>0</v>
          </cell>
          <cell r="X392" t="str">
            <v/>
          </cell>
          <cell r="Y392" t="str">
            <v/>
          </cell>
          <cell r="Z392" t="str">
            <v/>
          </cell>
          <cell r="AA392" t="str">
            <v/>
          </cell>
          <cell r="AB392" t="str">
            <v/>
          </cell>
          <cell r="AC392" t="str">
            <v/>
          </cell>
          <cell r="AD392" t="str">
            <v>⑩</v>
          </cell>
          <cell r="AE392" t="str">
            <v/>
          </cell>
          <cell r="AF392" t="str">
            <v/>
          </cell>
          <cell r="AG392" t="str">
            <v/>
          </cell>
          <cell r="AH392" t="str">
            <v/>
          </cell>
          <cell r="AI392" t="str">
            <v/>
          </cell>
        </row>
        <row r="393">
          <cell r="B393">
            <v>2113</v>
          </cell>
          <cell r="C393">
            <v>21</v>
          </cell>
          <cell r="D393">
            <v>13</v>
          </cell>
          <cell r="F393" t="str">
            <v>会津</v>
          </cell>
          <cell r="G393" t="str">
            <v>Ｐ型防排煙制御(外観)</v>
          </cell>
          <cell r="H393" t="str">
            <v>ホーチキ</v>
          </cell>
          <cell r="I393">
            <v>33500</v>
          </cell>
          <cell r="J393">
            <v>34170</v>
          </cell>
          <cell r="K393">
            <v>1</v>
          </cell>
          <cell r="L393">
            <v>34170</v>
          </cell>
          <cell r="M393">
            <v>0</v>
          </cell>
          <cell r="N393">
            <v>0</v>
          </cell>
          <cell r="O393">
            <v>0</v>
          </cell>
          <cell r="P393">
            <v>0</v>
          </cell>
          <cell r="Q393">
            <v>0</v>
          </cell>
          <cell r="R393">
            <v>0</v>
          </cell>
          <cell r="S393">
            <v>0</v>
          </cell>
          <cell r="T393">
            <v>0</v>
          </cell>
          <cell r="U393">
            <v>0</v>
          </cell>
          <cell r="V393">
            <v>0</v>
          </cell>
          <cell r="W393">
            <v>0</v>
          </cell>
          <cell r="X393" t="str">
            <v>④</v>
          </cell>
          <cell r="Y393" t="str">
            <v/>
          </cell>
          <cell r="Z393" t="str">
            <v/>
          </cell>
          <cell r="AA393" t="str">
            <v/>
          </cell>
          <cell r="AB393" t="str">
            <v/>
          </cell>
          <cell r="AC393" t="str">
            <v/>
          </cell>
          <cell r="AD393" t="str">
            <v/>
          </cell>
          <cell r="AE393" t="str">
            <v/>
          </cell>
          <cell r="AF393" t="str">
            <v/>
          </cell>
          <cell r="AG393" t="str">
            <v/>
          </cell>
          <cell r="AH393" t="str">
            <v/>
          </cell>
          <cell r="AI393" t="str">
            <v/>
          </cell>
        </row>
        <row r="394">
          <cell r="B394">
            <v>2114</v>
          </cell>
          <cell r="C394">
            <v>21</v>
          </cell>
          <cell r="D394">
            <v>14</v>
          </cell>
          <cell r="F394" t="str">
            <v>会津</v>
          </cell>
          <cell r="G394" t="str">
            <v>Ｐ型防排煙制御(総合)</v>
          </cell>
          <cell r="H394" t="str">
            <v>ホーチキ</v>
          </cell>
          <cell r="I394">
            <v>40900</v>
          </cell>
          <cell r="J394">
            <v>41718</v>
          </cell>
          <cell r="K394">
            <v>1</v>
          </cell>
          <cell r="L394">
            <v>0</v>
          </cell>
          <cell r="M394">
            <v>0</v>
          </cell>
          <cell r="N394">
            <v>0</v>
          </cell>
          <cell r="O394">
            <v>0</v>
          </cell>
          <cell r="P394">
            <v>0</v>
          </cell>
          <cell r="Q394">
            <v>0</v>
          </cell>
          <cell r="R394">
            <v>41718</v>
          </cell>
          <cell r="S394">
            <v>0</v>
          </cell>
          <cell r="T394">
            <v>0</v>
          </cell>
          <cell r="U394">
            <v>0</v>
          </cell>
          <cell r="V394">
            <v>0</v>
          </cell>
          <cell r="W394">
            <v>0</v>
          </cell>
          <cell r="X394" t="str">
            <v/>
          </cell>
          <cell r="Y394" t="str">
            <v/>
          </cell>
          <cell r="Z394" t="str">
            <v/>
          </cell>
          <cell r="AA394" t="str">
            <v/>
          </cell>
          <cell r="AB394" t="str">
            <v/>
          </cell>
          <cell r="AC394" t="str">
            <v/>
          </cell>
          <cell r="AD394" t="str">
            <v>⑩</v>
          </cell>
          <cell r="AE394" t="str">
            <v/>
          </cell>
          <cell r="AF394" t="str">
            <v/>
          </cell>
          <cell r="AG394" t="str">
            <v/>
          </cell>
          <cell r="AH394" t="str">
            <v/>
          </cell>
          <cell r="AI394" t="str">
            <v/>
          </cell>
        </row>
        <row r="395">
          <cell r="B395">
            <v>2115</v>
          </cell>
          <cell r="C395">
            <v>21</v>
          </cell>
          <cell r="D395">
            <v>15</v>
          </cell>
          <cell r="F395" t="str">
            <v>会津</v>
          </cell>
          <cell r="G395" t="str">
            <v>Ｐ型ｶﾞｽ漏火災警報(外観)</v>
          </cell>
          <cell r="H395" t="str">
            <v>ホーチキ</v>
          </cell>
          <cell r="I395">
            <v>24600</v>
          </cell>
          <cell r="J395">
            <v>25092</v>
          </cell>
          <cell r="K395">
            <v>1</v>
          </cell>
          <cell r="L395">
            <v>25092</v>
          </cell>
          <cell r="M395">
            <v>0</v>
          </cell>
          <cell r="N395">
            <v>0</v>
          </cell>
          <cell r="O395">
            <v>0</v>
          </cell>
          <cell r="P395">
            <v>0</v>
          </cell>
          <cell r="Q395">
            <v>0</v>
          </cell>
          <cell r="R395">
            <v>0</v>
          </cell>
          <cell r="S395">
            <v>0</v>
          </cell>
          <cell r="T395">
            <v>0</v>
          </cell>
          <cell r="U395">
            <v>0</v>
          </cell>
          <cell r="V395">
            <v>0</v>
          </cell>
          <cell r="W395">
            <v>0</v>
          </cell>
          <cell r="X395" t="str">
            <v>④</v>
          </cell>
          <cell r="Y395" t="str">
            <v/>
          </cell>
          <cell r="Z395" t="str">
            <v/>
          </cell>
          <cell r="AA395" t="str">
            <v/>
          </cell>
          <cell r="AB395" t="str">
            <v/>
          </cell>
          <cell r="AC395" t="str">
            <v/>
          </cell>
          <cell r="AD395" t="str">
            <v/>
          </cell>
          <cell r="AE395" t="str">
            <v/>
          </cell>
          <cell r="AF395" t="str">
            <v/>
          </cell>
          <cell r="AG395" t="str">
            <v/>
          </cell>
          <cell r="AH395" t="str">
            <v/>
          </cell>
          <cell r="AI395" t="str">
            <v/>
          </cell>
        </row>
        <row r="396">
          <cell r="B396">
            <v>2116</v>
          </cell>
          <cell r="C396">
            <v>21</v>
          </cell>
          <cell r="D396">
            <v>16</v>
          </cell>
          <cell r="F396" t="str">
            <v>会津</v>
          </cell>
          <cell r="G396" t="str">
            <v>Ｐ型ｶﾞｽ漏火災警報(総合)</v>
          </cell>
          <cell r="H396" t="str">
            <v>ホーチキ</v>
          </cell>
          <cell r="I396">
            <v>34900</v>
          </cell>
          <cell r="J396">
            <v>35598</v>
          </cell>
          <cell r="K396">
            <v>1</v>
          </cell>
          <cell r="L396">
            <v>0</v>
          </cell>
          <cell r="M396">
            <v>0</v>
          </cell>
          <cell r="N396">
            <v>0</v>
          </cell>
          <cell r="O396">
            <v>0</v>
          </cell>
          <cell r="P396">
            <v>0</v>
          </cell>
          <cell r="Q396">
            <v>0</v>
          </cell>
          <cell r="R396">
            <v>35598</v>
          </cell>
          <cell r="S396">
            <v>0</v>
          </cell>
          <cell r="T396">
            <v>0</v>
          </cell>
          <cell r="U396">
            <v>0</v>
          </cell>
          <cell r="V396">
            <v>0</v>
          </cell>
          <cell r="W396">
            <v>0</v>
          </cell>
          <cell r="X396" t="str">
            <v/>
          </cell>
          <cell r="Y396" t="str">
            <v/>
          </cell>
          <cell r="Z396" t="str">
            <v/>
          </cell>
          <cell r="AA396" t="str">
            <v/>
          </cell>
          <cell r="AB396" t="str">
            <v/>
          </cell>
          <cell r="AC396" t="str">
            <v/>
          </cell>
          <cell r="AD396" t="str">
            <v>⑩</v>
          </cell>
          <cell r="AE396" t="str">
            <v/>
          </cell>
          <cell r="AF396" t="str">
            <v/>
          </cell>
          <cell r="AG396" t="str">
            <v/>
          </cell>
          <cell r="AH396" t="str">
            <v/>
          </cell>
          <cell r="AI396" t="str">
            <v/>
          </cell>
        </row>
        <row r="397">
          <cell r="B397">
            <v>2117</v>
          </cell>
          <cell r="C397">
            <v>21</v>
          </cell>
          <cell r="D397">
            <v>17</v>
          </cell>
          <cell r="F397" t="str">
            <v>会津</v>
          </cell>
          <cell r="G397" t="str">
            <v>Ｐ型自火報(外観)</v>
          </cell>
          <cell r="H397" t="str">
            <v>ホーチキ</v>
          </cell>
          <cell r="I397">
            <v>72000</v>
          </cell>
          <cell r="J397">
            <v>73440</v>
          </cell>
          <cell r="K397">
            <v>1</v>
          </cell>
          <cell r="L397">
            <v>73440</v>
          </cell>
          <cell r="M397">
            <v>0</v>
          </cell>
          <cell r="N397">
            <v>0</v>
          </cell>
          <cell r="O397">
            <v>0</v>
          </cell>
          <cell r="P397">
            <v>0</v>
          </cell>
          <cell r="Q397">
            <v>0</v>
          </cell>
          <cell r="R397">
            <v>0</v>
          </cell>
          <cell r="S397">
            <v>0</v>
          </cell>
          <cell r="T397">
            <v>0</v>
          </cell>
          <cell r="U397">
            <v>0</v>
          </cell>
          <cell r="V397">
            <v>0</v>
          </cell>
          <cell r="W397">
            <v>0</v>
          </cell>
          <cell r="X397" t="str">
            <v>④</v>
          </cell>
          <cell r="Y397" t="str">
            <v/>
          </cell>
          <cell r="Z397" t="str">
            <v/>
          </cell>
          <cell r="AA397" t="str">
            <v/>
          </cell>
          <cell r="AB397" t="str">
            <v/>
          </cell>
          <cell r="AC397" t="str">
            <v/>
          </cell>
          <cell r="AD397" t="str">
            <v/>
          </cell>
          <cell r="AE397" t="str">
            <v/>
          </cell>
          <cell r="AF397" t="str">
            <v/>
          </cell>
          <cell r="AG397" t="str">
            <v/>
          </cell>
          <cell r="AH397" t="str">
            <v/>
          </cell>
          <cell r="AI397" t="str">
            <v/>
          </cell>
        </row>
        <row r="398">
          <cell r="B398">
            <v>2118</v>
          </cell>
          <cell r="C398">
            <v>21</v>
          </cell>
          <cell r="D398">
            <v>18</v>
          </cell>
          <cell r="F398" t="str">
            <v>会津</v>
          </cell>
          <cell r="G398" t="str">
            <v>Ｐ型自火報(総合)</v>
          </cell>
          <cell r="H398" t="str">
            <v>ホーチキ</v>
          </cell>
          <cell r="I398">
            <v>137400</v>
          </cell>
          <cell r="J398">
            <v>140148</v>
          </cell>
          <cell r="K398">
            <v>1</v>
          </cell>
          <cell r="L398">
            <v>0</v>
          </cell>
          <cell r="M398">
            <v>0</v>
          </cell>
          <cell r="N398">
            <v>0</v>
          </cell>
          <cell r="O398">
            <v>0</v>
          </cell>
          <cell r="P398">
            <v>0</v>
          </cell>
          <cell r="Q398">
            <v>0</v>
          </cell>
          <cell r="R398">
            <v>140148</v>
          </cell>
          <cell r="S398">
            <v>0</v>
          </cell>
          <cell r="T398">
            <v>0</v>
          </cell>
          <cell r="U398">
            <v>0</v>
          </cell>
          <cell r="V398">
            <v>0</v>
          </cell>
          <cell r="W398">
            <v>0</v>
          </cell>
          <cell r="X398" t="str">
            <v/>
          </cell>
          <cell r="Y398" t="str">
            <v/>
          </cell>
          <cell r="Z398" t="str">
            <v/>
          </cell>
          <cell r="AA398" t="str">
            <v/>
          </cell>
          <cell r="AB398" t="str">
            <v/>
          </cell>
          <cell r="AC398" t="str">
            <v/>
          </cell>
          <cell r="AD398" t="str">
            <v>⑩</v>
          </cell>
          <cell r="AE398" t="str">
            <v/>
          </cell>
          <cell r="AF398" t="str">
            <v/>
          </cell>
          <cell r="AG398" t="str">
            <v/>
          </cell>
          <cell r="AH398" t="str">
            <v/>
          </cell>
          <cell r="AI398" t="str">
            <v/>
          </cell>
        </row>
        <row r="399">
          <cell r="B399">
            <v>2119</v>
          </cell>
          <cell r="C399">
            <v>21</v>
          </cell>
          <cell r="D399">
            <v>19</v>
          </cell>
          <cell r="F399" t="str">
            <v>会津</v>
          </cell>
          <cell r="G399" t="str">
            <v>貯水槽清掃(含む高架水槽)</v>
          </cell>
          <cell r="H399" t="str">
            <v>ローズビルサービス</v>
          </cell>
          <cell r="I399">
            <v>63500</v>
          </cell>
          <cell r="J399">
            <v>71755</v>
          </cell>
          <cell r="K399">
            <v>1</v>
          </cell>
          <cell r="L399">
            <v>0</v>
          </cell>
          <cell r="M399">
            <v>0</v>
          </cell>
          <cell r="N399">
            <v>0</v>
          </cell>
          <cell r="O399">
            <v>0</v>
          </cell>
          <cell r="P399">
            <v>0</v>
          </cell>
          <cell r="Q399">
            <v>71755</v>
          </cell>
          <cell r="R399">
            <v>0</v>
          </cell>
          <cell r="S399">
            <v>0</v>
          </cell>
          <cell r="T399">
            <v>0</v>
          </cell>
          <cell r="U399">
            <v>0</v>
          </cell>
          <cell r="V399">
            <v>0</v>
          </cell>
          <cell r="W399">
            <v>0</v>
          </cell>
          <cell r="X399" t="str">
            <v/>
          </cell>
          <cell r="Y399" t="str">
            <v/>
          </cell>
          <cell r="Z399" t="str">
            <v/>
          </cell>
          <cell r="AA399" t="str">
            <v/>
          </cell>
          <cell r="AB399" t="str">
            <v/>
          </cell>
          <cell r="AC399" t="str">
            <v>⑨</v>
          </cell>
          <cell r="AD399" t="str">
            <v/>
          </cell>
          <cell r="AE399" t="str">
            <v/>
          </cell>
          <cell r="AF399" t="str">
            <v/>
          </cell>
          <cell r="AG399" t="str">
            <v/>
          </cell>
          <cell r="AH399" t="str">
            <v/>
          </cell>
          <cell r="AI399" t="str">
            <v/>
          </cell>
        </row>
        <row r="400">
          <cell r="B400">
            <v>2120</v>
          </cell>
          <cell r="C400">
            <v>21</v>
          </cell>
          <cell r="D400">
            <v>20</v>
          </cell>
          <cell r="F400" t="str">
            <v>会津</v>
          </cell>
          <cell r="G400" t="str">
            <v>害虫駆除</v>
          </cell>
          <cell r="H400" t="str">
            <v>シーアイ・シー</v>
          </cell>
          <cell r="I400">
            <v>64000</v>
          </cell>
          <cell r="J400">
            <v>70400</v>
          </cell>
          <cell r="K400">
            <v>2</v>
          </cell>
          <cell r="L400">
            <v>0</v>
          </cell>
          <cell r="M400">
            <v>0</v>
          </cell>
          <cell r="N400">
            <v>0</v>
          </cell>
          <cell r="O400">
            <v>0</v>
          </cell>
          <cell r="P400">
            <v>70400</v>
          </cell>
          <cell r="Q400">
            <v>0</v>
          </cell>
          <cell r="R400">
            <v>0</v>
          </cell>
          <cell r="S400">
            <v>0</v>
          </cell>
          <cell r="T400">
            <v>0</v>
          </cell>
          <cell r="U400">
            <v>0</v>
          </cell>
          <cell r="V400">
            <v>70400</v>
          </cell>
          <cell r="W400">
            <v>0</v>
          </cell>
          <cell r="X400" t="str">
            <v/>
          </cell>
          <cell r="Y400" t="str">
            <v/>
          </cell>
          <cell r="Z400" t="str">
            <v/>
          </cell>
          <cell r="AA400" t="str">
            <v/>
          </cell>
          <cell r="AB400" t="str">
            <v>⑧</v>
          </cell>
          <cell r="AC400" t="str">
            <v/>
          </cell>
          <cell r="AD400" t="str">
            <v/>
          </cell>
          <cell r="AE400" t="str">
            <v/>
          </cell>
          <cell r="AF400" t="str">
            <v/>
          </cell>
          <cell r="AG400" t="str">
            <v/>
          </cell>
          <cell r="AH400" t="str">
            <v>②</v>
          </cell>
          <cell r="AI400" t="str">
            <v/>
          </cell>
        </row>
        <row r="401">
          <cell r="B401">
            <v>2121</v>
          </cell>
          <cell r="C401">
            <v>21</v>
          </cell>
          <cell r="D401">
            <v>21</v>
          </cell>
          <cell r="F401" t="str">
            <v>会津</v>
          </cell>
          <cell r="G401" t="str">
            <v>オートドア設備保守</v>
          </cell>
          <cell r="H401" t="str">
            <v>ナブコシステム</v>
          </cell>
          <cell r="I401">
            <v>33000</v>
          </cell>
          <cell r="J401">
            <v>33660</v>
          </cell>
          <cell r="K401">
            <v>4</v>
          </cell>
          <cell r="L401">
            <v>0</v>
          </cell>
          <cell r="M401">
            <v>0</v>
          </cell>
          <cell r="N401">
            <v>33660</v>
          </cell>
          <cell r="O401">
            <v>0</v>
          </cell>
          <cell r="P401">
            <v>0</v>
          </cell>
          <cell r="Q401">
            <v>33660</v>
          </cell>
          <cell r="R401">
            <v>0</v>
          </cell>
          <cell r="S401">
            <v>0</v>
          </cell>
          <cell r="T401">
            <v>33660</v>
          </cell>
          <cell r="U401">
            <v>0</v>
          </cell>
          <cell r="V401">
            <v>0</v>
          </cell>
          <cell r="W401">
            <v>33660</v>
          </cell>
          <cell r="X401" t="str">
            <v/>
          </cell>
          <cell r="Y401" t="str">
            <v/>
          </cell>
          <cell r="Z401" t="str">
            <v>⑥</v>
          </cell>
          <cell r="AA401" t="str">
            <v/>
          </cell>
          <cell r="AB401" t="str">
            <v/>
          </cell>
          <cell r="AC401" t="str">
            <v>⑨</v>
          </cell>
          <cell r="AD401" t="str">
            <v/>
          </cell>
          <cell r="AE401" t="str">
            <v/>
          </cell>
          <cell r="AF401" t="str">
            <v>⑫</v>
          </cell>
          <cell r="AG401" t="str">
            <v/>
          </cell>
          <cell r="AH401" t="str">
            <v/>
          </cell>
          <cell r="AI401" t="str">
            <v>③</v>
          </cell>
        </row>
        <row r="402">
          <cell r="B402">
            <v>2122</v>
          </cell>
          <cell r="C402">
            <v>21</v>
          </cell>
          <cell r="D402">
            <v>22</v>
          </cell>
          <cell r="F402" t="str">
            <v>会津</v>
          </cell>
          <cell r="G402" t="str">
            <v>空調機設備保守</v>
          </cell>
          <cell r="H402" t="str">
            <v>三菱電機ﾋﾞﾙﾃｸﾉｻｰﾋﾞｽ</v>
          </cell>
          <cell r="I402">
            <v>202500</v>
          </cell>
          <cell r="J402">
            <v>206550</v>
          </cell>
          <cell r="K402">
            <v>2</v>
          </cell>
          <cell r="L402">
            <v>0</v>
          </cell>
          <cell r="M402">
            <v>0</v>
          </cell>
          <cell r="N402">
            <v>206550</v>
          </cell>
          <cell r="O402">
            <v>0</v>
          </cell>
          <cell r="P402">
            <v>0</v>
          </cell>
          <cell r="Q402">
            <v>0</v>
          </cell>
          <cell r="R402">
            <v>0</v>
          </cell>
          <cell r="S402">
            <v>206550</v>
          </cell>
          <cell r="T402">
            <v>0</v>
          </cell>
          <cell r="U402">
            <v>0</v>
          </cell>
          <cell r="V402">
            <v>0</v>
          </cell>
          <cell r="W402">
            <v>0</v>
          </cell>
          <cell r="X402" t="str">
            <v/>
          </cell>
          <cell r="Y402" t="str">
            <v/>
          </cell>
          <cell r="Z402" t="str">
            <v>⑥</v>
          </cell>
          <cell r="AA402" t="str">
            <v/>
          </cell>
          <cell r="AB402" t="str">
            <v/>
          </cell>
          <cell r="AC402" t="str">
            <v/>
          </cell>
          <cell r="AD402" t="str">
            <v/>
          </cell>
          <cell r="AE402" t="str">
            <v>⑪</v>
          </cell>
          <cell r="AF402" t="str">
            <v/>
          </cell>
          <cell r="AG402" t="str">
            <v/>
          </cell>
          <cell r="AH402" t="str">
            <v/>
          </cell>
          <cell r="AI402" t="str">
            <v/>
          </cell>
        </row>
        <row r="403">
          <cell r="B403">
            <v>2123</v>
          </cell>
          <cell r="C403">
            <v>21</v>
          </cell>
          <cell r="D403">
            <v>23</v>
          </cell>
          <cell r="F403" t="str">
            <v>会津</v>
          </cell>
          <cell r="G403" t="str">
            <v>空調機ﾌｧﾝｺﾝﾍﾞｸﾀｰ･ﾌｨﾙﾀｰ清掃</v>
          </cell>
          <cell r="H403" t="str">
            <v>ローズビルサービス</v>
          </cell>
          <cell r="I403">
            <v>28500</v>
          </cell>
          <cell r="J403">
            <v>32775</v>
          </cell>
          <cell r="K403">
            <v>4</v>
          </cell>
          <cell r="L403">
            <v>0</v>
          </cell>
          <cell r="M403">
            <v>32775</v>
          </cell>
          <cell r="N403">
            <v>0</v>
          </cell>
          <cell r="O403">
            <v>0</v>
          </cell>
          <cell r="P403">
            <v>32775</v>
          </cell>
          <cell r="Q403">
            <v>0</v>
          </cell>
          <cell r="R403">
            <v>0</v>
          </cell>
          <cell r="S403">
            <v>32775</v>
          </cell>
          <cell r="T403">
            <v>0</v>
          </cell>
          <cell r="U403">
            <v>0</v>
          </cell>
          <cell r="V403">
            <v>32775</v>
          </cell>
          <cell r="W403">
            <v>0</v>
          </cell>
          <cell r="X403" t="str">
            <v/>
          </cell>
          <cell r="Y403" t="str">
            <v>⑤</v>
          </cell>
          <cell r="AB403" t="str">
            <v>⑧</v>
          </cell>
          <cell r="AE403" t="str">
            <v>⑪</v>
          </cell>
          <cell r="AH403" t="str">
            <v>②</v>
          </cell>
          <cell r="AI403" t="str">
            <v/>
          </cell>
          <cell r="AJ403" t="str">
            <v>追</v>
          </cell>
        </row>
        <row r="404">
          <cell r="B404">
            <v>2124</v>
          </cell>
          <cell r="C404">
            <v>21</v>
          </cell>
          <cell r="D404">
            <v>24</v>
          </cell>
          <cell r="F404" t="str">
            <v>会津</v>
          </cell>
          <cell r="G404" t="str">
            <v>シャッター点検整備　　　　 　</v>
          </cell>
          <cell r="H404" t="str">
            <v>文化シャッター</v>
          </cell>
          <cell r="I404">
            <v>21000</v>
          </cell>
          <cell r="J404">
            <v>24150</v>
          </cell>
          <cell r="K404">
            <v>1</v>
          </cell>
          <cell r="L404">
            <v>0</v>
          </cell>
          <cell r="M404">
            <v>0</v>
          </cell>
          <cell r="N404">
            <v>0</v>
          </cell>
          <cell r="O404">
            <v>0</v>
          </cell>
          <cell r="P404">
            <v>0</v>
          </cell>
          <cell r="Q404">
            <v>0</v>
          </cell>
          <cell r="R404">
            <v>0</v>
          </cell>
          <cell r="S404">
            <v>0</v>
          </cell>
          <cell r="T404">
            <v>24150</v>
          </cell>
          <cell r="U404">
            <v>0</v>
          </cell>
          <cell r="V404">
            <v>0</v>
          </cell>
          <cell r="W404">
            <v>0</v>
          </cell>
          <cell r="X404" t="str">
            <v/>
          </cell>
          <cell r="Y404" t="str">
            <v/>
          </cell>
          <cell r="Z404" t="str">
            <v/>
          </cell>
          <cell r="AA404" t="str">
            <v/>
          </cell>
          <cell r="AB404" t="str">
            <v/>
          </cell>
          <cell r="AC404" t="str">
            <v/>
          </cell>
          <cell r="AD404" t="str">
            <v/>
          </cell>
          <cell r="AE404" t="str">
            <v/>
          </cell>
          <cell r="AF404" t="str">
            <v>⑫</v>
          </cell>
          <cell r="AG404" t="str">
            <v/>
          </cell>
          <cell r="AH404" t="str">
            <v/>
          </cell>
          <cell r="AI404" t="str">
            <v/>
          </cell>
          <cell r="AJ404" t="str">
            <v>追</v>
          </cell>
        </row>
        <row r="405">
          <cell r="B405">
            <v>2125</v>
          </cell>
          <cell r="C405">
            <v>21</v>
          </cell>
          <cell r="D405">
            <v>25</v>
          </cell>
          <cell r="F405" t="str">
            <v>会津</v>
          </cell>
          <cell r="G405" t="str">
            <v>電気湯沸器点検整備</v>
          </cell>
          <cell r="H405" t="str">
            <v>ローズビルサービス</v>
          </cell>
          <cell r="I405">
            <v>30500</v>
          </cell>
          <cell r="J405">
            <v>35075</v>
          </cell>
          <cell r="K405">
            <v>1</v>
          </cell>
          <cell r="L405">
            <v>0</v>
          </cell>
          <cell r="M405">
            <v>0</v>
          </cell>
          <cell r="N405">
            <v>0</v>
          </cell>
          <cell r="O405">
            <v>0</v>
          </cell>
          <cell r="P405">
            <v>0</v>
          </cell>
          <cell r="Q405">
            <v>0</v>
          </cell>
          <cell r="R405">
            <v>35075</v>
          </cell>
          <cell r="S405">
            <v>0</v>
          </cell>
          <cell r="T405">
            <v>0</v>
          </cell>
          <cell r="U405">
            <v>0</v>
          </cell>
          <cell r="V405">
            <v>0</v>
          </cell>
          <cell r="W405">
            <v>0</v>
          </cell>
          <cell r="X405" t="str">
            <v/>
          </cell>
          <cell r="Y405" t="str">
            <v/>
          </cell>
          <cell r="Z405" t="str">
            <v/>
          </cell>
          <cell r="AA405" t="str">
            <v/>
          </cell>
          <cell r="AB405" t="str">
            <v/>
          </cell>
          <cell r="AC405" t="str">
            <v/>
          </cell>
          <cell r="AD405" t="str">
            <v>⑩</v>
          </cell>
          <cell r="AE405" t="str">
            <v/>
          </cell>
          <cell r="AF405" t="str">
            <v/>
          </cell>
          <cell r="AG405" t="str">
            <v/>
          </cell>
          <cell r="AH405" t="str">
            <v/>
          </cell>
          <cell r="AI405" t="str">
            <v/>
          </cell>
          <cell r="AJ405" t="str">
            <v>追</v>
          </cell>
        </row>
        <row r="406">
          <cell r="B406">
            <v>2126</v>
          </cell>
          <cell r="C406">
            <v>21</v>
          </cell>
          <cell r="D406">
            <v>26</v>
          </cell>
          <cell r="F406" t="str">
            <v>会津</v>
          </cell>
          <cell r="G406" t="str">
            <v>ボイラー使用後の点検･整備</v>
          </cell>
          <cell r="H406" t="str">
            <v>福島エンジニア</v>
          </cell>
          <cell r="I406">
            <v>77000</v>
          </cell>
          <cell r="J406">
            <v>88550</v>
          </cell>
          <cell r="K406">
            <v>2</v>
          </cell>
          <cell r="L406">
            <v>0</v>
          </cell>
          <cell r="M406">
            <v>88550</v>
          </cell>
          <cell r="N406">
            <v>0</v>
          </cell>
          <cell r="O406">
            <v>0</v>
          </cell>
          <cell r="P406">
            <v>0</v>
          </cell>
          <cell r="Q406">
            <v>0</v>
          </cell>
          <cell r="R406">
            <v>0</v>
          </cell>
          <cell r="S406">
            <v>88550</v>
          </cell>
          <cell r="T406">
            <v>0</v>
          </cell>
          <cell r="U406">
            <v>0</v>
          </cell>
          <cell r="V406">
            <v>0</v>
          </cell>
          <cell r="W406">
            <v>0</v>
          </cell>
          <cell r="X406" t="str">
            <v/>
          </cell>
          <cell r="Y406" t="str">
            <v>⑤</v>
          </cell>
          <cell r="Z406" t="str">
            <v/>
          </cell>
          <cell r="AA406" t="str">
            <v/>
          </cell>
          <cell r="AB406" t="str">
            <v/>
          </cell>
          <cell r="AC406" t="str">
            <v/>
          </cell>
          <cell r="AD406" t="str">
            <v/>
          </cell>
          <cell r="AE406" t="str">
            <v>⑪</v>
          </cell>
          <cell r="AF406" t="str">
            <v/>
          </cell>
          <cell r="AG406" t="str">
            <v/>
          </cell>
          <cell r="AH406" t="str">
            <v/>
          </cell>
          <cell r="AI406" t="str">
            <v/>
          </cell>
          <cell r="AJ406" t="str">
            <v>追</v>
          </cell>
        </row>
        <row r="407">
          <cell r="B407">
            <v>2201</v>
          </cell>
          <cell r="C407">
            <v>22</v>
          </cell>
          <cell r="D407">
            <v>1</v>
          </cell>
          <cell r="F407" t="str">
            <v>水戸</v>
          </cell>
          <cell r="G407" t="str">
            <v>昇降機設備保守</v>
          </cell>
          <cell r="H407" t="str">
            <v>三菱電機ﾋﾞﾙﾃｸﾉｻｰﾋﾞｽ</v>
          </cell>
          <cell r="I407">
            <v>83100</v>
          </cell>
          <cell r="J407">
            <v>84762</v>
          </cell>
          <cell r="K407">
            <v>12</v>
          </cell>
          <cell r="L407">
            <v>84762</v>
          </cell>
          <cell r="M407">
            <v>84762</v>
          </cell>
          <cell r="N407">
            <v>84762</v>
          </cell>
          <cell r="O407">
            <v>84762</v>
          </cell>
          <cell r="P407">
            <v>84762</v>
          </cell>
          <cell r="Q407">
            <v>84762</v>
          </cell>
          <cell r="R407">
            <v>84762</v>
          </cell>
          <cell r="S407">
            <v>84762</v>
          </cell>
          <cell r="T407">
            <v>84762</v>
          </cell>
          <cell r="U407">
            <v>84762</v>
          </cell>
          <cell r="V407">
            <v>84762</v>
          </cell>
          <cell r="W407">
            <v>84762</v>
          </cell>
          <cell r="X407" t="str">
            <v>④</v>
          </cell>
          <cell r="Y407" t="str">
            <v>⑤</v>
          </cell>
          <cell r="Z407" t="str">
            <v>⑥</v>
          </cell>
          <cell r="AA407" t="str">
            <v>⑦</v>
          </cell>
          <cell r="AB407" t="str">
            <v>⑧</v>
          </cell>
          <cell r="AC407" t="str">
            <v>⑨</v>
          </cell>
          <cell r="AD407" t="str">
            <v>⑩</v>
          </cell>
          <cell r="AE407" t="str">
            <v>⑪</v>
          </cell>
          <cell r="AF407" t="str">
            <v>⑫</v>
          </cell>
          <cell r="AG407" t="str">
            <v>①</v>
          </cell>
          <cell r="AH407" t="str">
            <v>②</v>
          </cell>
          <cell r="AI407" t="str">
            <v>③</v>
          </cell>
        </row>
        <row r="408">
          <cell r="B408">
            <v>2202</v>
          </cell>
          <cell r="C408">
            <v>22</v>
          </cell>
          <cell r="D408">
            <v>2</v>
          </cell>
          <cell r="F408" t="str">
            <v>水戸</v>
          </cell>
          <cell r="G408" t="str">
            <v>自動火災報知設備(外観)</v>
          </cell>
          <cell r="H408" t="str">
            <v>能美防災</v>
          </cell>
          <cell r="I408">
            <v>24200</v>
          </cell>
          <cell r="J408">
            <v>24797</v>
          </cell>
          <cell r="K408">
            <v>1</v>
          </cell>
          <cell r="L408">
            <v>0</v>
          </cell>
          <cell r="M408">
            <v>0</v>
          </cell>
          <cell r="N408">
            <v>0</v>
          </cell>
          <cell r="O408">
            <v>24797</v>
          </cell>
          <cell r="P408">
            <v>0</v>
          </cell>
          <cell r="Q408">
            <v>0</v>
          </cell>
          <cell r="R408">
            <v>0</v>
          </cell>
          <cell r="S408">
            <v>0</v>
          </cell>
          <cell r="T408">
            <v>0</v>
          </cell>
          <cell r="U408">
            <v>0</v>
          </cell>
          <cell r="V408">
            <v>0</v>
          </cell>
          <cell r="W408">
            <v>0</v>
          </cell>
          <cell r="X408" t="str">
            <v/>
          </cell>
          <cell r="Y408" t="str">
            <v/>
          </cell>
          <cell r="Z408" t="str">
            <v/>
          </cell>
          <cell r="AA408" t="str">
            <v>⑦</v>
          </cell>
          <cell r="AB408" t="str">
            <v/>
          </cell>
          <cell r="AC408" t="str">
            <v/>
          </cell>
          <cell r="AD408" t="str">
            <v/>
          </cell>
          <cell r="AE408" t="str">
            <v/>
          </cell>
          <cell r="AF408" t="str">
            <v/>
          </cell>
          <cell r="AG408" t="str">
            <v/>
          </cell>
          <cell r="AH408" t="str">
            <v/>
          </cell>
          <cell r="AI408" t="str">
            <v/>
          </cell>
          <cell r="AJ408" t="str">
            <v>変</v>
          </cell>
        </row>
        <row r="409">
          <cell r="B409">
            <v>2203</v>
          </cell>
          <cell r="C409">
            <v>22</v>
          </cell>
          <cell r="D409">
            <v>3</v>
          </cell>
          <cell r="F409" t="str">
            <v>水戸</v>
          </cell>
          <cell r="G409" t="str">
            <v>自動火災報知設備(総合)</v>
          </cell>
          <cell r="H409" t="str">
            <v>能美防災</v>
          </cell>
          <cell r="I409">
            <v>37000</v>
          </cell>
          <cell r="J409">
            <v>38200</v>
          </cell>
          <cell r="K409">
            <v>1</v>
          </cell>
          <cell r="L409">
            <v>0</v>
          </cell>
          <cell r="M409">
            <v>0</v>
          </cell>
          <cell r="N409">
            <v>0</v>
          </cell>
          <cell r="O409">
            <v>0</v>
          </cell>
          <cell r="P409">
            <v>0</v>
          </cell>
          <cell r="Q409">
            <v>0</v>
          </cell>
          <cell r="R409">
            <v>0</v>
          </cell>
          <cell r="S409">
            <v>0</v>
          </cell>
          <cell r="T409">
            <v>0</v>
          </cell>
          <cell r="U409">
            <v>38200</v>
          </cell>
          <cell r="V409">
            <v>0</v>
          </cell>
          <cell r="W409">
            <v>0</v>
          </cell>
          <cell r="X409" t="str">
            <v/>
          </cell>
          <cell r="Y409" t="str">
            <v/>
          </cell>
          <cell r="Z409" t="str">
            <v/>
          </cell>
          <cell r="AA409" t="str">
            <v/>
          </cell>
          <cell r="AB409" t="str">
            <v/>
          </cell>
          <cell r="AC409" t="str">
            <v/>
          </cell>
          <cell r="AD409" t="str">
            <v/>
          </cell>
          <cell r="AE409" t="str">
            <v/>
          </cell>
          <cell r="AF409" t="str">
            <v/>
          </cell>
          <cell r="AG409" t="str">
            <v>①</v>
          </cell>
          <cell r="AH409" t="str">
            <v/>
          </cell>
          <cell r="AI409" t="str">
            <v/>
          </cell>
          <cell r="AJ409" t="str">
            <v>変</v>
          </cell>
        </row>
        <row r="410">
          <cell r="B410">
            <v>2204</v>
          </cell>
          <cell r="C410">
            <v>22</v>
          </cell>
          <cell r="D410">
            <v>4</v>
          </cell>
          <cell r="F410" t="str">
            <v>水戸</v>
          </cell>
          <cell r="G410" t="str">
            <v>消火器設備保守</v>
          </cell>
          <cell r="H410" t="str">
            <v>能美防災</v>
          </cell>
          <cell r="I410">
            <v>14300</v>
          </cell>
          <cell r="J410">
            <v>14800</v>
          </cell>
          <cell r="K410">
            <v>2</v>
          </cell>
          <cell r="L410">
            <v>0</v>
          </cell>
          <cell r="M410">
            <v>0</v>
          </cell>
          <cell r="N410">
            <v>0</v>
          </cell>
          <cell r="O410">
            <v>14800</v>
          </cell>
          <cell r="P410">
            <v>0</v>
          </cell>
          <cell r="Q410">
            <v>0</v>
          </cell>
          <cell r="R410">
            <v>0</v>
          </cell>
          <cell r="S410">
            <v>0</v>
          </cell>
          <cell r="T410">
            <v>0</v>
          </cell>
          <cell r="U410">
            <v>14800</v>
          </cell>
          <cell r="V410">
            <v>0</v>
          </cell>
          <cell r="W410">
            <v>0</v>
          </cell>
          <cell r="X410" t="str">
            <v/>
          </cell>
          <cell r="Y410" t="str">
            <v/>
          </cell>
          <cell r="Z410" t="str">
            <v/>
          </cell>
          <cell r="AA410" t="str">
            <v>⑦</v>
          </cell>
          <cell r="AB410" t="str">
            <v/>
          </cell>
          <cell r="AC410" t="str">
            <v/>
          </cell>
          <cell r="AD410" t="str">
            <v/>
          </cell>
          <cell r="AE410" t="str">
            <v/>
          </cell>
          <cell r="AF410" t="str">
            <v/>
          </cell>
          <cell r="AG410" t="str">
            <v>①</v>
          </cell>
          <cell r="AH410" t="str">
            <v/>
          </cell>
          <cell r="AI410" t="str">
            <v/>
          </cell>
          <cell r="AJ410" t="str">
            <v>変</v>
          </cell>
        </row>
        <row r="411">
          <cell r="B411">
            <v>2205</v>
          </cell>
          <cell r="C411">
            <v>22</v>
          </cell>
          <cell r="D411">
            <v>5</v>
          </cell>
          <cell r="F411" t="str">
            <v>水戸</v>
          </cell>
          <cell r="G411" t="str">
            <v>防排煙設備保守(外観)</v>
          </cell>
          <cell r="H411" t="str">
            <v>能美防災</v>
          </cell>
          <cell r="I411">
            <v>33800</v>
          </cell>
          <cell r="J411">
            <v>35000</v>
          </cell>
          <cell r="K411">
            <v>1</v>
          </cell>
          <cell r="L411">
            <v>0</v>
          </cell>
          <cell r="M411">
            <v>0</v>
          </cell>
          <cell r="N411">
            <v>0</v>
          </cell>
          <cell r="O411">
            <v>35000</v>
          </cell>
          <cell r="P411">
            <v>0</v>
          </cell>
          <cell r="Q411">
            <v>0</v>
          </cell>
          <cell r="R411">
            <v>0</v>
          </cell>
          <cell r="S411">
            <v>0</v>
          </cell>
          <cell r="T411">
            <v>0</v>
          </cell>
          <cell r="U411">
            <v>0</v>
          </cell>
          <cell r="V411">
            <v>0</v>
          </cell>
          <cell r="W411">
            <v>0</v>
          </cell>
          <cell r="X411" t="str">
            <v/>
          </cell>
          <cell r="Y411" t="str">
            <v/>
          </cell>
          <cell r="Z411" t="str">
            <v/>
          </cell>
          <cell r="AA411" t="str">
            <v>⑦</v>
          </cell>
          <cell r="AB411" t="str">
            <v/>
          </cell>
          <cell r="AC411" t="str">
            <v/>
          </cell>
          <cell r="AD411" t="str">
            <v/>
          </cell>
          <cell r="AE411" t="str">
            <v/>
          </cell>
          <cell r="AF411" t="str">
            <v/>
          </cell>
          <cell r="AG411" t="str">
            <v/>
          </cell>
          <cell r="AH411" t="str">
            <v/>
          </cell>
          <cell r="AI411" t="str">
            <v/>
          </cell>
          <cell r="AJ411" t="str">
            <v>変</v>
          </cell>
        </row>
        <row r="412">
          <cell r="B412">
            <v>2206</v>
          </cell>
          <cell r="C412">
            <v>22</v>
          </cell>
          <cell r="D412">
            <v>6</v>
          </cell>
          <cell r="F412" t="str">
            <v>水戸</v>
          </cell>
          <cell r="G412" t="str">
            <v>防排煙設備保守(総合)</v>
          </cell>
          <cell r="H412" t="str">
            <v>能美防災</v>
          </cell>
          <cell r="I412">
            <v>50000</v>
          </cell>
          <cell r="J412">
            <v>51700</v>
          </cell>
          <cell r="K412">
            <v>1</v>
          </cell>
          <cell r="L412">
            <v>0</v>
          </cell>
          <cell r="M412">
            <v>0</v>
          </cell>
          <cell r="N412">
            <v>0</v>
          </cell>
          <cell r="O412">
            <v>0</v>
          </cell>
          <cell r="P412">
            <v>0</v>
          </cell>
          <cell r="Q412">
            <v>0</v>
          </cell>
          <cell r="R412">
            <v>0</v>
          </cell>
          <cell r="S412">
            <v>0</v>
          </cell>
          <cell r="T412">
            <v>0</v>
          </cell>
          <cell r="U412">
            <v>51700</v>
          </cell>
          <cell r="V412">
            <v>0</v>
          </cell>
          <cell r="W412">
            <v>0</v>
          </cell>
          <cell r="X412" t="str">
            <v/>
          </cell>
          <cell r="Y412" t="str">
            <v/>
          </cell>
          <cell r="Z412" t="str">
            <v/>
          </cell>
          <cell r="AA412" t="str">
            <v/>
          </cell>
          <cell r="AB412" t="str">
            <v/>
          </cell>
          <cell r="AC412" t="str">
            <v/>
          </cell>
          <cell r="AD412" t="str">
            <v/>
          </cell>
          <cell r="AE412" t="str">
            <v/>
          </cell>
          <cell r="AF412" t="str">
            <v/>
          </cell>
          <cell r="AG412" t="str">
            <v>①</v>
          </cell>
          <cell r="AH412" t="str">
            <v/>
          </cell>
          <cell r="AI412" t="str">
            <v/>
          </cell>
          <cell r="AJ412" t="str">
            <v>変</v>
          </cell>
        </row>
        <row r="413">
          <cell r="B413">
            <v>2207</v>
          </cell>
          <cell r="C413">
            <v>22</v>
          </cell>
          <cell r="D413">
            <v>7</v>
          </cell>
          <cell r="F413" t="str">
            <v>水戸</v>
          </cell>
          <cell r="G413" t="str">
            <v>誘導灯設備保守(外観)</v>
          </cell>
          <cell r="H413" t="str">
            <v>能美防災</v>
          </cell>
          <cell r="I413">
            <v>12300</v>
          </cell>
          <cell r="J413">
            <v>12700</v>
          </cell>
          <cell r="K413">
            <v>1</v>
          </cell>
          <cell r="L413">
            <v>0</v>
          </cell>
          <cell r="M413">
            <v>0</v>
          </cell>
          <cell r="N413">
            <v>0</v>
          </cell>
          <cell r="O413">
            <v>12700</v>
          </cell>
          <cell r="P413">
            <v>0</v>
          </cell>
          <cell r="Q413">
            <v>0</v>
          </cell>
          <cell r="R413">
            <v>0</v>
          </cell>
          <cell r="S413">
            <v>0</v>
          </cell>
          <cell r="T413">
            <v>0</v>
          </cell>
          <cell r="U413">
            <v>0</v>
          </cell>
          <cell r="V413">
            <v>0</v>
          </cell>
          <cell r="W413">
            <v>0</v>
          </cell>
          <cell r="X413" t="str">
            <v/>
          </cell>
          <cell r="Y413" t="str">
            <v/>
          </cell>
          <cell r="Z413" t="str">
            <v/>
          </cell>
          <cell r="AA413" t="str">
            <v>⑦</v>
          </cell>
          <cell r="AB413" t="str">
            <v/>
          </cell>
          <cell r="AC413" t="str">
            <v/>
          </cell>
          <cell r="AD413" t="str">
            <v/>
          </cell>
          <cell r="AE413" t="str">
            <v/>
          </cell>
          <cell r="AF413" t="str">
            <v/>
          </cell>
          <cell r="AG413" t="str">
            <v/>
          </cell>
          <cell r="AH413" t="str">
            <v/>
          </cell>
          <cell r="AI413" t="str">
            <v/>
          </cell>
          <cell r="AJ413" t="str">
            <v>変</v>
          </cell>
        </row>
        <row r="414">
          <cell r="B414">
            <v>2208</v>
          </cell>
          <cell r="C414">
            <v>22</v>
          </cell>
          <cell r="D414">
            <v>8</v>
          </cell>
          <cell r="F414" t="str">
            <v>水戸</v>
          </cell>
          <cell r="G414" t="str">
            <v>誘導灯設備保守(総合)</v>
          </cell>
          <cell r="H414" t="str">
            <v>能美防災</v>
          </cell>
          <cell r="I414">
            <v>14300</v>
          </cell>
          <cell r="J414">
            <v>14800</v>
          </cell>
          <cell r="K414">
            <v>1</v>
          </cell>
          <cell r="L414">
            <v>0</v>
          </cell>
          <cell r="M414">
            <v>0</v>
          </cell>
          <cell r="N414">
            <v>0</v>
          </cell>
          <cell r="O414">
            <v>0</v>
          </cell>
          <cell r="P414">
            <v>0</v>
          </cell>
          <cell r="Q414">
            <v>0</v>
          </cell>
          <cell r="R414">
            <v>0</v>
          </cell>
          <cell r="S414">
            <v>0</v>
          </cell>
          <cell r="T414">
            <v>0</v>
          </cell>
          <cell r="U414">
            <v>14800</v>
          </cell>
          <cell r="V414">
            <v>0</v>
          </cell>
          <cell r="W414">
            <v>0</v>
          </cell>
          <cell r="X414" t="str">
            <v/>
          </cell>
          <cell r="Y414" t="str">
            <v/>
          </cell>
          <cell r="Z414" t="str">
            <v/>
          </cell>
          <cell r="AA414" t="str">
            <v/>
          </cell>
          <cell r="AB414" t="str">
            <v/>
          </cell>
          <cell r="AC414" t="str">
            <v/>
          </cell>
          <cell r="AD414" t="str">
            <v/>
          </cell>
          <cell r="AE414" t="str">
            <v/>
          </cell>
          <cell r="AF414" t="str">
            <v/>
          </cell>
          <cell r="AG414" t="str">
            <v>①</v>
          </cell>
          <cell r="AH414" t="str">
            <v/>
          </cell>
          <cell r="AI414" t="str">
            <v/>
          </cell>
          <cell r="AJ414" t="str">
            <v>変</v>
          </cell>
        </row>
        <row r="415">
          <cell r="B415">
            <v>2209</v>
          </cell>
          <cell r="C415">
            <v>22</v>
          </cell>
          <cell r="D415">
            <v>9</v>
          </cell>
          <cell r="F415" t="str">
            <v>水戸</v>
          </cell>
          <cell r="G415" t="str">
            <v>機械式駐車場設備保守</v>
          </cell>
          <cell r="H415" t="str">
            <v>古河機械金属</v>
          </cell>
          <cell r="I415">
            <v>134400</v>
          </cell>
          <cell r="J415">
            <v>137088</v>
          </cell>
          <cell r="K415">
            <v>12</v>
          </cell>
          <cell r="L415">
            <v>137088</v>
          </cell>
          <cell r="M415">
            <v>137088</v>
          </cell>
          <cell r="N415">
            <v>137088</v>
          </cell>
          <cell r="O415">
            <v>137088</v>
          </cell>
          <cell r="P415">
            <v>137088</v>
          </cell>
          <cell r="Q415">
            <v>137088</v>
          </cell>
          <cell r="R415">
            <v>137088</v>
          </cell>
          <cell r="S415">
            <v>137088</v>
          </cell>
          <cell r="T415">
            <v>137088</v>
          </cell>
          <cell r="U415">
            <v>137088</v>
          </cell>
          <cell r="V415">
            <v>137088</v>
          </cell>
          <cell r="W415">
            <v>137088</v>
          </cell>
          <cell r="X415" t="str">
            <v>④</v>
          </cell>
          <cell r="Y415" t="str">
            <v>⑤</v>
          </cell>
          <cell r="Z415" t="str">
            <v>⑥</v>
          </cell>
          <cell r="AA415" t="str">
            <v>⑦</v>
          </cell>
          <cell r="AB415" t="str">
            <v>⑧</v>
          </cell>
          <cell r="AC415" t="str">
            <v>⑨</v>
          </cell>
          <cell r="AD415" t="str">
            <v>⑩</v>
          </cell>
          <cell r="AE415" t="str">
            <v>⑪</v>
          </cell>
          <cell r="AF415" t="str">
            <v>⑫</v>
          </cell>
          <cell r="AG415" t="str">
            <v>①</v>
          </cell>
          <cell r="AH415" t="str">
            <v>②</v>
          </cell>
          <cell r="AI415" t="str">
            <v>③</v>
          </cell>
        </row>
        <row r="416">
          <cell r="B416">
            <v>2210</v>
          </cell>
          <cell r="C416">
            <v>22</v>
          </cell>
          <cell r="D416">
            <v>10</v>
          </cell>
          <cell r="F416" t="str">
            <v>水戸</v>
          </cell>
          <cell r="G416" t="str">
            <v>害虫駆除</v>
          </cell>
          <cell r="H416" t="str">
            <v>三共消毒</v>
          </cell>
          <cell r="I416">
            <v>66160</v>
          </cell>
          <cell r="J416">
            <v>72776</v>
          </cell>
          <cell r="K416">
            <v>2</v>
          </cell>
          <cell r="L416">
            <v>0</v>
          </cell>
          <cell r="M416">
            <v>0</v>
          </cell>
          <cell r="N416">
            <v>0</v>
          </cell>
          <cell r="O416">
            <v>0</v>
          </cell>
          <cell r="P416">
            <v>72776</v>
          </cell>
          <cell r="Q416">
            <v>0</v>
          </cell>
          <cell r="R416">
            <v>0</v>
          </cell>
          <cell r="S416">
            <v>0</v>
          </cell>
          <cell r="T416">
            <v>0</v>
          </cell>
          <cell r="U416">
            <v>0</v>
          </cell>
          <cell r="V416">
            <v>72776</v>
          </cell>
          <cell r="W416">
            <v>0</v>
          </cell>
          <cell r="X416" t="str">
            <v/>
          </cell>
          <cell r="Y416" t="str">
            <v/>
          </cell>
          <cell r="Z416" t="str">
            <v/>
          </cell>
          <cell r="AA416" t="str">
            <v/>
          </cell>
          <cell r="AB416" t="str">
            <v>⑧</v>
          </cell>
          <cell r="AC416" t="str">
            <v/>
          </cell>
          <cell r="AD416" t="str">
            <v/>
          </cell>
          <cell r="AE416" t="str">
            <v/>
          </cell>
          <cell r="AF416" t="str">
            <v/>
          </cell>
          <cell r="AG416" t="str">
            <v/>
          </cell>
          <cell r="AH416" t="str">
            <v>②</v>
          </cell>
          <cell r="AI416" t="str">
            <v/>
          </cell>
        </row>
        <row r="417">
          <cell r="B417">
            <v>2211</v>
          </cell>
          <cell r="C417">
            <v>22</v>
          </cell>
          <cell r="D417">
            <v>11</v>
          </cell>
          <cell r="F417" t="str">
            <v>水戸</v>
          </cell>
          <cell r="G417" t="str">
            <v>貯水槽清掃</v>
          </cell>
          <cell r="H417" t="str">
            <v>イワサキ</v>
          </cell>
          <cell r="I417">
            <v>85000</v>
          </cell>
          <cell r="J417">
            <v>96050</v>
          </cell>
          <cell r="K417">
            <v>1</v>
          </cell>
          <cell r="L417">
            <v>0</v>
          </cell>
          <cell r="M417">
            <v>0</v>
          </cell>
          <cell r="N417">
            <v>0</v>
          </cell>
          <cell r="O417">
            <v>0</v>
          </cell>
          <cell r="P417">
            <v>0</v>
          </cell>
          <cell r="Q417">
            <v>0</v>
          </cell>
          <cell r="R417">
            <v>0</v>
          </cell>
          <cell r="S417">
            <v>0</v>
          </cell>
          <cell r="T417">
            <v>0</v>
          </cell>
          <cell r="U417">
            <v>96050</v>
          </cell>
          <cell r="V417">
            <v>0</v>
          </cell>
          <cell r="W417">
            <v>0</v>
          </cell>
          <cell r="X417" t="str">
            <v/>
          </cell>
          <cell r="Y417" t="str">
            <v/>
          </cell>
          <cell r="Z417" t="str">
            <v/>
          </cell>
          <cell r="AA417" t="str">
            <v/>
          </cell>
          <cell r="AB417" t="str">
            <v/>
          </cell>
          <cell r="AC417" t="str">
            <v/>
          </cell>
          <cell r="AD417" t="str">
            <v/>
          </cell>
          <cell r="AE417" t="str">
            <v/>
          </cell>
          <cell r="AF417" t="str">
            <v/>
          </cell>
          <cell r="AG417" t="str">
            <v>①</v>
          </cell>
          <cell r="AH417" t="str">
            <v/>
          </cell>
          <cell r="AI417" t="str">
            <v/>
          </cell>
        </row>
        <row r="418">
          <cell r="B418">
            <v>2212</v>
          </cell>
          <cell r="C418">
            <v>22</v>
          </cell>
          <cell r="D418">
            <v>12</v>
          </cell>
          <cell r="F418" t="str">
            <v>水戸</v>
          </cell>
          <cell r="G418" t="str">
            <v>空調機設備保守</v>
          </cell>
          <cell r="H418" t="str">
            <v>飯島工業</v>
          </cell>
          <cell r="I418">
            <v>380000</v>
          </cell>
          <cell r="J418">
            <v>387600</v>
          </cell>
          <cell r="K418">
            <v>2</v>
          </cell>
          <cell r="L418">
            <v>0</v>
          </cell>
          <cell r="M418">
            <v>0</v>
          </cell>
          <cell r="N418">
            <v>387600</v>
          </cell>
          <cell r="O418">
            <v>0</v>
          </cell>
          <cell r="P418">
            <v>0</v>
          </cell>
          <cell r="Q418">
            <v>0</v>
          </cell>
          <cell r="R418">
            <v>387600</v>
          </cell>
          <cell r="S418">
            <v>0</v>
          </cell>
          <cell r="T418">
            <v>0</v>
          </cell>
          <cell r="U418">
            <v>0</v>
          </cell>
          <cell r="V418">
            <v>0</v>
          </cell>
          <cell r="W418">
            <v>0</v>
          </cell>
          <cell r="X418" t="str">
            <v/>
          </cell>
          <cell r="Y418" t="str">
            <v/>
          </cell>
          <cell r="Z418" t="str">
            <v>⑥</v>
          </cell>
          <cell r="AA418" t="str">
            <v/>
          </cell>
          <cell r="AB418" t="str">
            <v/>
          </cell>
          <cell r="AC418" t="str">
            <v/>
          </cell>
          <cell r="AD418" t="str">
            <v>⑩</v>
          </cell>
          <cell r="AE418" t="str">
            <v/>
          </cell>
          <cell r="AF418" t="str">
            <v/>
          </cell>
          <cell r="AG418" t="str">
            <v/>
          </cell>
          <cell r="AH418" t="str">
            <v/>
          </cell>
          <cell r="AI418" t="str">
            <v/>
          </cell>
        </row>
        <row r="419">
          <cell r="B419">
            <v>2213</v>
          </cell>
          <cell r="C419">
            <v>22</v>
          </cell>
          <cell r="D419">
            <v>13</v>
          </cell>
          <cell r="F419" t="str">
            <v>水戸</v>
          </cell>
          <cell r="G419" t="str">
            <v>植栽管理</v>
          </cell>
          <cell r="H419" t="str">
            <v>梶間造園</v>
          </cell>
          <cell r="I419">
            <v>55000</v>
          </cell>
          <cell r="J419">
            <v>63250</v>
          </cell>
          <cell r="K419">
            <v>1</v>
          </cell>
          <cell r="L419">
            <v>0</v>
          </cell>
          <cell r="M419">
            <v>63250</v>
          </cell>
          <cell r="N419">
            <v>0</v>
          </cell>
          <cell r="O419">
            <v>0</v>
          </cell>
          <cell r="P419">
            <v>0</v>
          </cell>
          <cell r="Q419">
            <v>0</v>
          </cell>
          <cell r="R419">
            <v>0</v>
          </cell>
          <cell r="S419">
            <v>0</v>
          </cell>
          <cell r="T419">
            <v>0</v>
          </cell>
          <cell r="U419">
            <v>0</v>
          </cell>
          <cell r="V419">
            <v>0</v>
          </cell>
          <cell r="W419">
            <v>0</v>
          </cell>
          <cell r="Y419" t="str">
            <v>⑤</v>
          </cell>
          <cell r="AJ419" t="str">
            <v>追</v>
          </cell>
        </row>
        <row r="420">
          <cell r="B420">
            <v>2301</v>
          </cell>
          <cell r="C420">
            <v>23</v>
          </cell>
          <cell r="D420">
            <v>1</v>
          </cell>
          <cell r="F420" t="str">
            <v>土浦</v>
          </cell>
          <cell r="G420" t="str">
            <v>昇降機設備保守</v>
          </cell>
          <cell r="H420" t="str">
            <v>三菱電機ﾋﾞﾙﾃｸﾉｻｰﾋﾞｽ</v>
          </cell>
          <cell r="I420">
            <v>71500</v>
          </cell>
          <cell r="J420">
            <v>72930</v>
          </cell>
          <cell r="K420">
            <v>12</v>
          </cell>
          <cell r="L420">
            <v>72930</v>
          </cell>
          <cell r="M420">
            <v>72930</v>
          </cell>
          <cell r="N420">
            <v>72930</v>
          </cell>
          <cell r="O420">
            <v>72930</v>
          </cell>
          <cell r="P420">
            <v>72930</v>
          </cell>
          <cell r="Q420">
            <v>72930</v>
          </cell>
          <cell r="R420">
            <v>72930</v>
          </cell>
          <cell r="S420">
            <v>72930</v>
          </cell>
          <cell r="T420">
            <v>72930</v>
          </cell>
          <cell r="U420">
            <v>72930</v>
          </cell>
          <cell r="V420">
            <v>72930</v>
          </cell>
          <cell r="W420">
            <v>72930</v>
          </cell>
          <cell r="X420" t="str">
            <v>④</v>
          </cell>
          <cell r="Y420" t="str">
            <v>⑤</v>
          </cell>
          <cell r="Z420" t="str">
            <v>⑥</v>
          </cell>
          <cell r="AA420" t="str">
            <v>⑦</v>
          </cell>
          <cell r="AB420" t="str">
            <v>⑧</v>
          </cell>
          <cell r="AC420" t="str">
            <v>⑨</v>
          </cell>
          <cell r="AD420" t="str">
            <v>⑩</v>
          </cell>
          <cell r="AE420" t="str">
            <v>⑪</v>
          </cell>
          <cell r="AF420" t="str">
            <v>⑫</v>
          </cell>
          <cell r="AG420" t="str">
            <v>①</v>
          </cell>
          <cell r="AH420" t="str">
            <v>②</v>
          </cell>
          <cell r="AI420" t="str">
            <v>③</v>
          </cell>
        </row>
        <row r="421">
          <cell r="B421">
            <v>2302</v>
          </cell>
          <cell r="C421">
            <v>23</v>
          </cell>
          <cell r="D421">
            <v>2</v>
          </cell>
          <cell r="F421" t="str">
            <v>土浦</v>
          </cell>
          <cell r="G421" t="str">
            <v>消火器(外観)</v>
          </cell>
          <cell r="H421" t="str">
            <v>ホーチキ</v>
          </cell>
          <cell r="I421">
            <v>12000</v>
          </cell>
          <cell r="J421">
            <v>12240</v>
          </cell>
          <cell r="K421">
            <v>2</v>
          </cell>
          <cell r="L421">
            <v>0</v>
          </cell>
          <cell r="M421">
            <v>0</v>
          </cell>
          <cell r="N421">
            <v>0</v>
          </cell>
          <cell r="O421">
            <v>0</v>
          </cell>
          <cell r="P421">
            <v>12240</v>
          </cell>
          <cell r="Q421">
            <v>0</v>
          </cell>
          <cell r="R421">
            <v>0</v>
          </cell>
          <cell r="S421">
            <v>0</v>
          </cell>
          <cell r="T421">
            <v>0</v>
          </cell>
          <cell r="U421">
            <v>0</v>
          </cell>
          <cell r="V421">
            <v>12240</v>
          </cell>
          <cell r="W421">
            <v>0</v>
          </cell>
          <cell r="X421" t="str">
            <v/>
          </cell>
          <cell r="Y421" t="str">
            <v/>
          </cell>
          <cell r="Z421" t="str">
            <v/>
          </cell>
          <cell r="AA421" t="str">
            <v/>
          </cell>
          <cell r="AB421" t="str">
            <v>⑧</v>
          </cell>
          <cell r="AC421" t="str">
            <v/>
          </cell>
          <cell r="AD421" t="str">
            <v/>
          </cell>
          <cell r="AE421" t="str">
            <v/>
          </cell>
          <cell r="AF421" t="str">
            <v/>
          </cell>
          <cell r="AG421" t="str">
            <v/>
          </cell>
          <cell r="AH421" t="str">
            <v>②</v>
          </cell>
          <cell r="AI421" t="str">
            <v/>
          </cell>
        </row>
        <row r="422">
          <cell r="B422">
            <v>2303</v>
          </cell>
          <cell r="C422">
            <v>23</v>
          </cell>
          <cell r="D422">
            <v>3</v>
          </cell>
          <cell r="F422" t="str">
            <v>土浦</v>
          </cell>
          <cell r="G422" t="str">
            <v>屋内消火栓(外観)</v>
          </cell>
          <cell r="H422" t="str">
            <v>ホーチキ</v>
          </cell>
          <cell r="I422">
            <v>28000</v>
          </cell>
          <cell r="J422">
            <v>28560</v>
          </cell>
          <cell r="K422">
            <v>1</v>
          </cell>
          <cell r="L422">
            <v>0</v>
          </cell>
          <cell r="M422">
            <v>0</v>
          </cell>
          <cell r="N422">
            <v>0</v>
          </cell>
          <cell r="O422">
            <v>0</v>
          </cell>
          <cell r="P422">
            <v>0</v>
          </cell>
          <cell r="Q422">
            <v>0</v>
          </cell>
          <cell r="R422">
            <v>0</v>
          </cell>
          <cell r="S422">
            <v>0</v>
          </cell>
          <cell r="T422">
            <v>0</v>
          </cell>
          <cell r="U422">
            <v>0</v>
          </cell>
          <cell r="V422">
            <v>28560</v>
          </cell>
          <cell r="W422">
            <v>0</v>
          </cell>
          <cell r="X422" t="str">
            <v/>
          </cell>
          <cell r="Y422" t="str">
            <v/>
          </cell>
          <cell r="Z422" t="str">
            <v/>
          </cell>
          <cell r="AA422" t="str">
            <v/>
          </cell>
          <cell r="AB422" t="str">
            <v/>
          </cell>
          <cell r="AC422" t="str">
            <v/>
          </cell>
          <cell r="AD422" t="str">
            <v/>
          </cell>
          <cell r="AE422" t="str">
            <v/>
          </cell>
          <cell r="AF422" t="str">
            <v/>
          </cell>
          <cell r="AG422" t="str">
            <v/>
          </cell>
          <cell r="AH422" t="str">
            <v>②</v>
          </cell>
          <cell r="AI422" t="str">
            <v/>
          </cell>
        </row>
        <row r="423">
          <cell r="B423">
            <v>2304</v>
          </cell>
          <cell r="C423">
            <v>23</v>
          </cell>
          <cell r="D423">
            <v>4</v>
          </cell>
          <cell r="F423" t="str">
            <v>土浦</v>
          </cell>
          <cell r="G423" t="str">
            <v>屋内消火栓(総合)</v>
          </cell>
          <cell r="H423" t="str">
            <v>ホーチキ</v>
          </cell>
          <cell r="I423">
            <v>46000</v>
          </cell>
          <cell r="J423">
            <v>46920</v>
          </cell>
          <cell r="K423">
            <v>1</v>
          </cell>
          <cell r="L423">
            <v>0</v>
          </cell>
          <cell r="M423">
            <v>0</v>
          </cell>
          <cell r="N423">
            <v>0</v>
          </cell>
          <cell r="O423">
            <v>0</v>
          </cell>
          <cell r="P423">
            <v>46920</v>
          </cell>
          <cell r="Q423">
            <v>0</v>
          </cell>
          <cell r="R423">
            <v>0</v>
          </cell>
          <cell r="S423">
            <v>0</v>
          </cell>
          <cell r="T423">
            <v>0</v>
          </cell>
          <cell r="U423">
            <v>0</v>
          </cell>
          <cell r="V423">
            <v>0</v>
          </cell>
          <cell r="W423">
            <v>0</v>
          </cell>
          <cell r="X423" t="str">
            <v/>
          </cell>
          <cell r="Y423" t="str">
            <v/>
          </cell>
          <cell r="Z423" t="str">
            <v/>
          </cell>
          <cell r="AA423" t="str">
            <v/>
          </cell>
          <cell r="AB423" t="str">
            <v>⑧</v>
          </cell>
          <cell r="AC423" t="str">
            <v/>
          </cell>
          <cell r="AD423" t="str">
            <v/>
          </cell>
          <cell r="AE423" t="str">
            <v/>
          </cell>
          <cell r="AF423" t="str">
            <v/>
          </cell>
          <cell r="AG423" t="str">
            <v/>
          </cell>
          <cell r="AH423" t="str">
            <v/>
          </cell>
          <cell r="AI423" t="str">
            <v/>
          </cell>
        </row>
        <row r="424">
          <cell r="B424">
            <v>2305</v>
          </cell>
          <cell r="C424">
            <v>23</v>
          </cell>
          <cell r="D424">
            <v>5</v>
          </cell>
          <cell r="F424" t="str">
            <v>土浦</v>
          </cell>
          <cell r="G424" t="str">
            <v>自動火災報知設備(外観)</v>
          </cell>
          <cell r="H424" t="str">
            <v>ホーチキ</v>
          </cell>
          <cell r="I424">
            <v>26000</v>
          </cell>
          <cell r="J424">
            <v>26520</v>
          </cell>
          <cell r="K424">
            <v>1</v>
          </cell>
          <cell r="L424">
            <v>0</v>
          </cell>
          <cell r="M424">
            <v>0</v>
          </cell>
          <cell r="N424">
            <v>0</v>
          </cell>
          <cell r="O424">
            <v>0</v>
          </cell>
          <cell r="P424">
            <v>0</v>
          </cell>
          <cell r="Q424">
            <v>0</v>
          </cell>
          <cell r="R424">
            <v>0</v>
          </cell>
          <cell r="S424">
            <v>0</v>
          </cell>
          <cell r="T424">
            <v>0</v>
          </cell>
          <cell r="U424">
            <v>0</v>
          </cell>
          <cell r="V424">
            <v>26520</v>
          </cell>
          <cell r="W424">
            <v>0</v>
          </cell>
          <cell r="X424" t="str">
            <v/>
          </cell>
          <cell r="Y424" t="str">
            <v/>
          </cell>
          <cell r="Z424" t="str">
            <v/>
          </cell>
          <cell r="AA424" t="str">
            <v/>
          </cell>
          <cell r="AB424" t="str">
            <v/>
          </cell>
          <cell r="AC424" t="str">
            <v/>
          </cell>
          <cell r="AD424" t="str">
            <v/>
          </cell>
          <cell r="AE424" t="str">
            <v/>
          </cell>
          <cell r="AF424" t="str">
            <v/>
          </cell>
          <cell r="AG424" t="str">
            <v/>
          </cell>
          <cell r="AH424" t="str">
            <v>②</v>
          </cell>
          <cell r="AI424" t="str">
            <v/>
          </cell>
        </row>
        <row r="425">
          <cell r="B425">
            <v>2306</v>
          </cell>
          <cell r="C425">
            <v>23</v>
          </cell>
          <cell r="D425">
            <v>6</v>
          </cell>
          <cell r="F425" t="str">
            <v>土浦</v>
          </cell>
          <cell r="G425" t="str">
            <v>自動火災報知設備(総合)</v>
          </cell>
          <cell r="H425" t="str">
            <v>ホーチキ</v>
          </cell>
          <cell r="I425">
            <v>64000</v>
          </cell>
          <cell r="J425">
            <v>65280</v>
          </cell>
          <cell r="K425">
            <v>1</v>
          </cell>
          <cell r="L425">
            <v>0</v>
          </cell>
          <cell r="M425">
            <v>0</v>
          </cell>
          <cell r="N425">
            <v>0</v>
          </cell>
          <cell r="O425">
            <v>0</v>
          </cell>
          <cell r="P425">
            <v>65280</v>
          </cell>
          <cell r="Q425">
            <v>0</v>
          </cell>
          <cell r="R425">
            <v>0</v>
          </cell>
          <cell r="S425">
            <v>0</v>
          </cell>
          <cell r="T425">
            <v>0</v>
          </cell>
          <cell r="U425">
            <v>0</v>
          </cell>
          <cell r="V425">
            <v>0</v>
          </cell>
          <cell r="W425">
            <v>0</v>
          </cell>
          <cell r="X425" t="str">
            <v/>
          </cell>
          <cell r="Y425" t="str">
            <v/>
          </cell>
          <cell r="Z425" t="str">
            <v/>
          </cell>
          <cell r="AA425" t="str">
            <v/>
          </cell>
          <cell r="AB425" t="str">
            <v>⑧</v>
          </cell>
          <cell r="AC425" t="str">
            <v/>
          </cell>
          <cell r="AD425" t="str">
            <v/>
          </cell>
          <cell r="AE425" t="str">
            <v/>
          </cell>
          <cell r="AF425" t="str">
            <v/>
          </cell>
          <cell r="AG425" t="str">
            <v/>
          </cell>
          <cell r="AH425" t="str">
            <v/>
          </cell>
          <cell r="AI425" t="str">
            <v/>
          </cell>
        </row>
        <row r="426">
          <cell r="B426">
            <v>2307</v>
          </cell>
          <cell r="C426">
            <v>23</v>
          </cell>
          <cell r="D426">
            <v>7</v>
          </cell>
          <cell r="F426" t="str">
            <v>土浦</v>
          </cell>
          <cell r="G426" t="str">
            <v>非常放送(外観)</v>
          </cell>
          <cell r="H426" t="str">
            <v>ホーチキ</v>
          </cell>
          <cell r="I426">
            <v>40000</v>
          </cell>
          <cell r="J426">
            <v>40800</v>
          </cell>
          <cell r="K426">
            <v>1</v>
          </cell>
          <cell r="L426">
            <v>0</v>
          </cell>
          <cell r="M426">
            <v>0</v>
          </cell>
          <cell r="N426">
            <v>0</v>
          </cell>
          <cell r="O426">
            <v>0</v>
          </cell>
          <cell r="P426">
            <v>0</v>
          </cell>
          <cell r="Q426">
            <v>0</v>
          </cell>
          <cell r="R426">
            <v>0</v>
          </cell>
          <cell r="S426">
            <v>0</v>
          </cell>
          <cell r="T426">
            <v>0</v>
          </cell>
          <cell r="U426">
            <v>0</v>
          </cell>
          <cell r="V426">
            <v>40800</v>
          </cell>
          <cell r="W426">
            <v>0</v>
          </cell>
          <cell r="X426" t="str">
            <v/>
          </cell>
          <cell r="Y426" t="str">
            <v/>
          </cell>
          <cell r="Z426" t="str">
            <v/>
          </cell>
          <cell r="AA426" t="str">
            <v/>
          </cell>
          <cell r="AB426" t="str">
            <v/>
          </cell>
          <cell r="AC426" t="str">
            <v/>
          </cell>
          <cell r="AD426" t="str">
            <v/>
          </cell>
          <cell r="AE426" t="str">
            <v/>
          </cell>
          <cell r="AF426" t="str">
            <v/>
          </cell>
          <cell r="AG426" t="str">
            <v/>
          </cell>
          <cell r="AH426" t="str">
            <v>②</v>
          </cell>
          <cell r="AI426" t="str">
            <v/>
          </cell>
        </row>
        <row r="427">
          <cell r="B427">
            <v>2308</v>
          </cell>
          <cell r="C427">
            <v>23</v>
          </cell>
          <cell r="D427">
            <v>8</v>
          </cell>
          <cell r="F427" t="str">
            <v>土浦</v>
          </cell>
          <cell r="G427" t="str">
            <v>非常放送(総合)</v>
          </cell>
          <cell r="H427" t="str">
            <v>ホーチキ</v>
          </cell>
          <cell r="I427">
            <v>44000</v>
          </cell>
          <cell r="J427">
            <v>44880</v>
          </cell>
          <cell r="K427">
            <v>1</v>
          </cell>
          <cell r="L427">
            <v>0</v>
          </cell>
          <cell r="M427">
            <v>0</v>
          </cell>
          <cell r="N427">
            <v>0</v>
          </cell>
          <cell r="O427">
            <v>0</v>
          </cell>
          <cell r="P427">
            <v>44880</v>
          </cell>
          <cell r="Q427">
            <v>0</v>
          </cell>
          <cell r="R427">
            <v>0</v>
          </cell>
          <cell r="S427">
            <v>0</v>
          </cell>
          <cell r="T427">
            <v>0</v>
          </cell>
          <cell r="U427">
            <v>0</v>
          </cell>
          <cell r="V427">
            <v>0</v>
          </cell>
          <cell r="W427">
            <v>0</v>
          </cell>
          <cell r="X427" t="str">
            <v/>
          </cell>
          <cell r="Y427" t="str">
            <v/>
          </cell>
          <cell r="Z427" t="str">
            <v/>
          </cell>
          <cell r="AA427" t="str">
            <v/>
          </cell>
          <cell r="AB427" t="str">
            <v>⑧</v>
          </cell>
          <cell r="AC427" t="str">
            <v/>
          </cell>
          <cell r="AD427" t="str">
            <v/>
          </cell>
          <cell r="AE427" t="str">
            <v/>
          </cell>
          <cell r="AF427" t="str">
            <v/>
          </cell>
          <cell r="AG427" t="str">
            <v/>
          </cell>
          <cell r="AH427" t="str">
            <v/>
          </cell>
          <cell r="AI427" t="str">
            <v/>
          </cell>
        </row>
        <row r="428">
          <cell r="B428">
            <v>2309</v>
          </cell>
          <cell r="C428">
            <v>23</v>
          </cell>
          <cell r="D428">
            <v>9</v>
          </cell>
          <cell r="F428" t="str">
            <v>土浦</v>
          </cell>
          <cell r="G428" t="str">
            <v>誘導灯(外観)</v>
          </cell>
          <cell r="H428" t="str">
            <v>ホーチキ</v>
          </cell>
          <cell r="I428">
            <v>11000</v>
          </cell>
          <cell r="J428">
            <v>11220</v>
          </cell>
          <cell r="K428">
            <v>2</v>
          </cell>
          <cell r="L428">
            <v>0</v>
          </cell>
          <cell r="M428">
            <v>0</v>
          </cell>
          <cell r="N428">
            <v>0</v>
          </cell>
          <cell r="O428">
            <v>0</v>
          </cell>
          <cell r="P428">
            <v>11220</v>
          </cell>
          <cell r="Q428">
            <v>0</v>
          </cell>
          <cell r="R428">
            <v>0</v>
          </cell>
          <cell r="S428">
            <v>0</v>
          </cell>
          <cell r="T428">
            <v>0</v>
          </cell>
          <cell r="U428">
            <v>0</v>
          </cell>
          <cell r="V428">
            <v>11220</v>
          </cell>
          <cell r="W428">
            <v>0</v>
          </cell>
          <cell r="X428" t="str">
            <v/>
          </cell>
          <cell r="Y428" t="str">
            <v/>
          </cell>
          <cell r="Z428" t="str">
            <v/>
          </cell>
          <cell r="AA428" t="str">
            <v/>
          </cell>
          <cell r="AB428" t="str">
            <v>⑧</v>
          </cell>
          <cell r="AC428" t="str">
            <v/>
          </cell>
          <cell r="AD428" t="str">
            <v/>
          </cell>
          <cell r="AE428" t="str">
            <v/>
          </cell>
          <cell r="AF428" t="str">
            <v/>
          </cell>
          <cell r="AG428" t="str">
            <v/>
          </cell>
          <cell r="AH428" t="str">
            <v>②</v>
          </cell>
          <cell r="AI428" t="str">
            <v/>
          </cell>
        </row>
        <row r="429">
          <cell r="B429">
            <v>2310</v>
          </cell>
          <cell r="C429">
            <v>23</v>
          </cell>
          <cell r="D429">
            <v>10</v>
          </cell>
          <cell r="F429" t="str">
            <v>土浦</v>
          </cell>
          <cell r="G429" t="str">
            <v>防排煙制御(外観)</v>
          </cell>
          <cell r="H429" t="str">
            <v>ホーチキ</v>
          </cell>
          <cell r="I429">
            <v>63000</v>
          </cell>
          <cell r="J429">
            <v>64260</v>
          </cell>
          <cell r="K429">
            <v>1</v>
          </cell>
          <cell r="L429">
            <v>0</v>
          </cell>
          <cell r="M429">
            <v>0</v>
          </cell>
          <cell r="N429">
            <v>0</v>
          </cell>
          <cell r="O429">
            <v>0</v>
          </cell>
          <cell r="P429">
            <v>0</v>
          </cell>
          <cell r="Q429">
            <v>0</v>
          </cell>
          <cell r="R429">
            <v>0</v>
          </cell>
          <cell r="S429">
            <v>0</v>
          </cell>
          <cell r="T429">
            <v>0</v>
          </cell>
          <cell r="U429">
            <v>0</v>
          </cell>
          <cell r="V429">
            <v>64260</v>
          </cell>
          <cell r="W429">
            <v>0</v>
          </cell>
          <cell r="X429" t="str">
            <v/>
          </cell>
          <cell r="Y429" t="str">
            <v/>
          </cell>
          <cell r="Z429" t="str">
            <v/>
          </cell>
          <cell r="AA429" t="str">
            <v/>
          </cell>
          <cell r="AB429" t="str">
            <v/>
          </cell>
          <cell r="AC429" t="str">
            <v/>
          </cell>
          <cell r="AD429" t="str">
            <v/>
          </cell>
          <cell r="AE429" t="str">
            <v/>
          </cell>
          <cell r="AF429" t="str">
            <v/>
          </cell>
          <cell r="AG429" t="str">
            <v/>
          </cell>
          <cell r="AH429" t="str">
            <v>②</v>
          </cell>
          <cell r="AI429" t="str">
            <v/>
          </cell>
        </row>
        <row r="430">
          <cell r="B430">
            <v>2311</v>
          </cell>
          <cell r="C430">
            <v>23</v>
          </cell>
          <cell r="D430">
            <v>11</v>
          </cell>
          <cell r="F430" t="str">
            <v>土浦</v>
          </cell>
          <cell r="G430" t="str">
            <v>防排煙制御(総合)</v>
          </cell>
          <cell r="H430" t="str">
            <v>ホーチキ</v>
          </cell>
          <cell r="I430">
            <v>99600</v>
          </cell>
          <cell r="J430">
            <v>101592</v>
          </cell>
          <cell r="K430">
            <v>1</v>
          </cell>
          <cell r="L430">
            <v>0</v>
          </cell>
          <cell r="M430">
            <v>0</v>
          </cell>
          <cell r="N430">
            <v>0</v>
          </cell>
          <cell r="O430">
            <v>0</v>
          </cell>
          <cell r="P430">
            <v>101592</v>
          </cell>
          <cell r="Q430">
            <v>0</v>
          </cell>
          <cell r="R430">
            <v>0</v>
          </cell>
          <cell r="S430">
            <v>0</v>
          </cell>
          <cell r="T430">
            <v>0</v>
          </cell>
          <cell r="U430">
            <v>0</v>
          </cell>
          <cell r="V430">
            <v>0</v>
          </cell>
          <cell r="W430">
            <v>0</v>
          </cell>
          <cell r="X430" t="str">
            <v/>
          </cell>
          <cell r="Y430" t="str">
            <v/>
          </cell>
          <cell r="Z430" t="str">
            <v/>
          </cell>
          <cell r="AA430" t="str">
            <v/>
          </cell>
          <cell r="AB430" t="str">
            <v>⑧</v>
          </cell>
          <cell r="AC430" t="str">
            <v/>
          </cell>
          <cell r="AD430" t="str">
            <v/>
          </cell>
          <cell r="AE430" t="str">
            <v/>
          </cell>
          <cell r="AF430" t="str">
            <v/>
          </cell>
          <cell r="AG430" t="str">
            <v/>
          </cell>
          <cell r="AH430" t="str">
            <v/>
          </cell>
          <cell r="AI430" t="str">
            <v/>
          </cell>
        </row>
        <row r="431">
          <cell r="B431">
            <v>2312</v>
          </cell>
          <cell r="C431">
            <v>23</v>
          </cell>
          <cell r="D431">
            <v>12</v>
          </cell>
          <cell r="F431" t="str">
            <v>土浦</v>
          </cell>
          <cell r="G431" t="str">
            <v>連結送水管(外観)</v>
          </cell>
          <cell r="H431" t="str">
            <v>ホーチキ</v>
          </cell>
          <cell r="I431">
            <v>12000</v>
          </cell>
          <cell r="J431">
            <v>12240</v>
          </cell>
          <cell r="K431">
            <v>1</v>
          </cell>
          <cell r="L431">
            <v>0</v>
          </cell>
          <cell r="M431">
            <v>0</v>
          </cell>
          <cell r="N431">
            <v>0</v>
          </cell>
          <cell r="O431">
            <v>0</v>
          </cell>
          <cell r="P431">
            <v>0</v>
          </cell>
          <cell r="Q431">
            <v>0</v>
          </cell>
          <cell r="R431">
            <v>0</v>
          </cell>
          <cell r="S431">
            <v>0</v>
          </cell>
          <cell r="T431">
            <v>0</v>
          </cell>
          <cell r="U431">
            <v>0</v>
          </cell>
          <cell r="V431">
            <v>12240</v>
          </cell>
          <cell r="W431">
            <v>0</v>
          </cell>
          <cell r="X431" t="str">
            <v/>
          </cell>
          <cell r="Y431" t="str">
            <v/>
          </cell>
          <cell r="Z431" t="str">
            <v/>
          </cell>
          <cell r="AA431" t="str">
            <v/>
          </cell>
          <cell r="AB431" t="str">
            <v/>
          </cell>
          <cell r="AC431" t="str">
            <v/>
          </cell>
          <cell r="AD431" t="str">
            <v/>
          </cell>
          <cell r="AE431" t="str">
            <v/>
          </cell>
          <cell r="AF431" t="str">
            <v/>
          </cell>
          <cell r="AG431" t="str">
            <v/>
          </cell>
          <cell r="AH431" t="str">
            <v>②</v>
          </cell>
          <cell r="AI431" t="str">
            <v/>
          </cell>
        </row>
        <row r="432">
          <cell r="B432">
            <v>2313</v>
          </cell>
          <cell r="C432">
            <v>23</v>
          </cell>
          <cell r="D432">
            <v>13</v>
          </cell>
          <cell r="F432" t="str">
            <v>土浦</v>
          </cell>
          <cell r="G432" t="str">
            <v>連結送水管(総合)</v>
          </cell>
          <cell r="H432" t="str">
            <v>ホーチキ</v>
          </cell>
          <cell r="I432">
            <v>12000</v>
          </cell>
          <cell r="J432">
            <v>12240</v>
          </cell>
          <cell r="K432">
            <v>1</v>
          </cell>
          <cell r="L432">
            <v>0</v>
          </cell>
          <cell r="M432">
            <v>0</v>
          </cell>
          <cell r="N432">
            <v>0</v>
          </cell>
          <cell r="O432">
            <v>0</v>
          </cell>
          <cell r="P432">
            <v>12240</v>
          </cell>
          <cell r="Q432">
            <v>0</v>
          </cell>
          <cell r="R432">
            <v>0</v>
          </cell>
          <cell r="S432">
            <v>0</v>
          </cell>
          <cell r="T432">
            <v>0</v>
          </cell>
          <cell r="U432">
            <v>0</v>
          </cell>
          <cell r="V432">
            <v>0</v>
          </cell>
          <cell r="W432">
            <v>0</v>
          </cell>
          <cell r="X432" t="str">
            <v/>
          </cell>
          <cell r="Y432" t="str">
            <v/>
          </cell>
          <cell r="Z432" t="str">
            <v/>
          </cell>
          <cell r="AA432" t="str">
            <v/>
          </cell>
          <cell r="AB432" t="str">
            <v>⑧</v>
          </cell>
          <cell r="AC432" t="str">
            <v/>
          </cell>
          <cell r="AD432" t="str">
            <v/>
          </cell>
          <cell r="AE432" t="str">
            <v/>
          </cell>
          <cell r="AF432" t="str">
            <v/>
          </cell>
          <cell r="AG432" t="str">
            <v/>
          </cell>
          <cell r="AH432" t="str">
            <v/>
          </cell>
          <cell r="AI432" t="str">
            <v/>
          </cell>
        </row>
        <row r="433">
          <cell r="B433">
            <v>2314</v>
          </cell>
          <cell r="C433">
            <v>23</v>
          </cell>
          <cell r="D433">
            <v>14</v>
          </cell>
          <cell r="F433" t="str">
            <v>土浦</v>
          </cell>
          <cell r="G433" t="str">
            <v>立体駐車場装置保守</v>
          </cell>
          <cell r="H433" t="str">
            <v>三菱重工ﾊﾟｰｷﾝｸﾞ建設</v>
          </cell>
          <cell r="I433">
            <v>111000</v>
          </cell>
          <cell r="J433">
            <v>113220</v>
          </cell>
          <cell r="K433">
            <v>12</v>
          </cell>
          <cell r="L433">
            <v>113220</v>
          </cell>
          <cell r="M433">
            <v>113220</v>
          </cell>
          <cell r="N433">
            <v>113220</v>
          </cell>
          <cell r="O433">
            <v>113220</v>
          </cell>
          <cell r="P433">
            <v>113220</v>
          </cell>
          <cell r="Q433">
            <v>113220</v>
          </cell>
          <cell r="R433">
            <v>113220</v>
          </cell>
          <cell r="S433">
            <v>113220</v>
          </cell>
          <cell r="T433">
            <v>113220</v>
          </cell>
          <cell r="U433">
            <v>113220</v>
          </cell>
          <cell r="V433">
            <v>113220</v>
          </cell>
          <cell r="W433">
            <v>113220</v>
          </cell>
          <cell r="X433" t="str">
            <v>④</v>
          </cell>
          <cell r="Y433" t="str">
            <v>⑤</v>
          </cell>
          <cell r="Z433" t="str">
            <v>⑥</v>
          </cell>
          <cell r="AA433" t="str">
            <v>⑦</v>
          </cell>
          <cell r="AB433" t="str">
            <v>⑧</v>
          </cell>
          <cell r="AC433" t="str">
            <v>⑨</v>
          </cell>
          <cell r="AD433" t="str">
            <v>⑩</v>
          </cell>
          <cell r="AE433" t="str">
            <v>⑪</v>
          </cell>
          <cell r="AF433" t="str">
            <v>⑫</v>
          </cell>
          <cell r="AG433" t="str">
            <v>①</v>
          </cell>
          <cell r="AH433" t="str">
            <v>②</v>
          </cell>
          <cell r="AI433" t="str">
            <v>③</v>
          </cell>
        </row>
        <row r="434">
          <cell r="B434">
            <v>2315</v>
          </cell>
          <cell r="C434">
            <v>23</v>
          </cell>
          <cell r="D434">
            <v>15</v>
          </cell>
          <cell r="F434" t="str">
            <v>土浦</v>
          </cell>
          <cell r="G434" t="str">
            <v>ﾊﾛｹﾞﾝ化物設備(外観)駐車場</v>
          </cell>
          <cell r="H434" t="str">
            <v>初田製作所</v>
          </cell>
          <cell r="I434">
            <v>90000</v>
          </cell>
          <cell r="J434">
            <v>91800</v>
          </cell>
          <cell r="K434">
            <v>1</v>
          </cell>
          <cell r="L434">
            <v>0</v>
          </cell>
          <cell r="M434">
            <v>0</v>
          </cell>
          <cell r="N434">
            <v>0</v>
          </cell>
          <cell r="O434">
            <v>0</v>
          </cell>
          <cell r="P434">
            <v>0</v>
          </cell>
          <cell r="Q434">
            <v>0</v>
          </cell>
          <cell r="R434">
            <v>0</v>
          </cell>
          <cell r="S434">
            <v>0</v>
          </cell>
          <cell r="T434">
            <v>0</v>
          </cell>
          <cell r="U434">
            <v>0</v>
          </cell>
          <cell r="V434">
            <v>91800</v>
          </cell>
          <cell r="W434">
            <v>0</v>
          </cell>
          <cell r="X434" t="str">
            <v/>
          </cell>
          <cell r="Y434" t="str">
            <v/>
          </cell>
          <cell r="Z434" t="str">
            <v/>
          </cell>
          <cell r="AA434" t="str">
            <v/>
          </cell>
          <cell r="AB434" t="str">
            <v/>
          </cell>
          <cell r="AC434" t="str">
            <v/>
          </cell>
          <cell r="AD434" t="str">
            <v/>
          </cell>
          <cell r="AE434" t="str">
            <v/>
          </cell>
          <cell r="AF434" t="str">
            <v/>
          </cell>
          <cell r="AG434" t="str">
            <v/>
          </cell>
          <cell r="AH434" t="str">
            <v>②</v>
          </cell>
          <cell r="AI434" t="str">
            <v/>
          </cell>
        </row>
        <row r="435">
          <cell r="B435">
            <v>2316</v>
          </cell>
          <cell r="C435">
            <v>23</v>
          </cell>
          <cell r="D435">
            <v>16</v>
          </cell>
          <cell r="F435" t="str">
            <v>土浦</v>
          </cell>
          <cell r="G435" t="str">
            <v>ﾊﾛｹﾞﾝ化物設備(総合)駐車場</v>
          </cell>
          <cell r="H435" t="str">
            <v>初田製作所</v>
          </cell>
          <cell r="I435">
            <v>155000</v>
          </cell>
          <cell r="J435">
            <v>158100</v>
          </cell>
          <cell r="K435">
            <v>1</v>
          </cell>
          <cell r="L435">
            <v>0</v>
          </cell>
          <cell r="M435">
            <v>0</v>
          </cell>
          <cell r="N435">
            <v>0</v>
          </cell>
          <cell r="O435">
            <v>0</v>
          </cell>
          <cell r="P435">
            <v>158100</v>
          </cell>
          <cell r="Q435">
            <v>0</v>
          </cell>
          <cell r="R435">
            <v>0</v>
          </cell>
          <cell r="S435">
            <v>0</v>
          </cell>
          <cell r="T435">
            <v>0</v>
          </cell>
          <cell r="U435">
            <v>0</v>
          </cell>
          <cell r="V435">
            <v>0</v>
          </cell>
          <cell r="W435">
            <v>0</v>
          </cell>
          <cell r="X435" t="str">
            <v/>
          </cell>
          <cell r="Y435" t="str">
            <v/>
          </cell>
          <cell r="Z435" t="str">
            <v/>
          </cell>
          <cell r="AA435" t="str">
            <v/>
          </cell>
          <cell r="AB435" t="str">
            <v>⑧</v>
          </cell>
          <cell r="AC435" t="str">
            <v/>
          </cell>
          <cell r="AD435" t="str">
            <v/>
          </cell>
          <cell r="AE435" t="str">
            <v/>
          </cell>
          <cell r="AF435" t="str">
            <v/>
          </cell>
          <cell r="AG435" t="str">
            <v/>
          </cell>
          <cell r="AH435" t="str">
            <v/>
          </cell>
          <cell r="AI435" t="str">
            <v/>
          </cell>
        </row>
        <row r="436">
          <cell r="B436">
            <v>2317</v>
          </cell>
          <cell r="C436">
            <v>23</v>
          </cell>
          <cell r="D436">
            <v>17</v>
          </cell>
          <cell r="F436" t="str">
            <v>土浦</v>
          </cell>
          <cell r="G436" t="str">
            <v>害虫駆除</v>
          </cell>
          <cell r="H436" t="str">
            <v>イカリ消毒</v>
          </cell>
          <cell r="I436">
            <v>120000</v>
          </cell>
          <cell r="J436">
            <v>132000</v>
          </cell>
          <cell r="K436">
            <v>2</v>
          </cell>
          <cell r="L436">
            <v>0</v>
          </cell>
          <cell r="M436">
            <v>0</v>
          </cell>
          <cell r="N436">
            <v>0</v>
          </cell>
          <cell r="O436">
            <v>132000</v>
          </cell>
          <cell r="P436">
            <v>0</v>
          </cell>
          <cell r="Q436">
            <v>0</v>
          </cell>
          <cell r="R436">
            <v>0</v>
          </cell>
          <cell r="S436">
            <v>0</v>
          </cell>
          <cell r="T436">
            <v>0</v>
          </cell>
          <cell r="U436">
            <v>132000</v>
          </cell>
          <cell r="V436">
            <v>0</v>
          </cell>
          <cell r="W436">
            <v>0</v>
          </cell>
          <cell r="X436" t="str">
            <v/>
          </cell>
          <cell r="Y436" t="str">
            <v/>
          </cell>
          <cell r="Z436" t="str">
            <v/>
          </cell>
          <cell r="AA436" t="str">
            <v>⑦</v>
          </cell>
          <cell r="AB436" t="str">
            <v/>
          </cell>
          <cell r="AC436" t="str">
            <v/>
          </cell>
          <cell r="AD436" t="str">
            <v/>
          </cell>
          <cell r="AE436" t="str">
            <v/>
          </cell>
          <cell r="AF436" t="str">
            <v/>
          </cell>
          <cell r="AG436" t="str">
            <v>①</v>
          </cell>
          <cell r="AH436" t="str">
            <v/>
          </cell>
          <cell r="AI436" t="str">
            <v/>
          </cell>
        </row>
        <row r="437">
          <cell r="B437">
            <v>2318</v>
          </cell>
          <cell r="C437">
            <v>23</v>
          </cell>
          <cell r="D437">
            <v>18</v>
          </cell>
          <cell r="F437" t="str">
            <v>土浦</v>
          </cell>
          <cell r="G437" t="str">
            <v>貯水槽清掃</v>
          </cell>
          <cell r="H437" t="str">
            <v>杉田商工</v>
          </cell>
          <cell r="I437">
            <v>124000</v>
          </cell>
          <cell r="J437">
            <v>140120</v>
          </cell>
          <cell r="K437">
            <v>1</v>
          </cell>
          <cell r="L437">
            <v>0</v>
          </cell>
          <cell r="M437">
            <v>0</v>
          </cell>
          <cell r="N437">
            <v>0</v>
          </cell>
          <cell r="O437">
            <v>140120</v>
          </cell>
          <cell r="P437">
            <v>0</v>
          </cell>
          <cell r="Q437">
            <v>0</v>
          </cell>
          <cell r="R437">
            <v>0</v>
          </cell>
          <cell r="S437">
            <v>0</v>
          </cell>
          <cell r="T437">
            <v>0</v>
          </cell>
          <cell r="U437">
            <v>0</v>
          </cell>
          <cell r="V437">
            <v>0</v>
          </cell>
          <cell r="W437">
            <v>0</v>
          </cell>
          <cell r="X437" t="str">
            <v/>
          </cell>
          <cell r="Y437" t="str">
            <v/>
          </cell>
          <cell r="Z437" t="str">
            <v/>
          </cell>
          <cell r="AA437" t="str">
            <v>⑦</v>
          </cell>
          <cell r="AB437" t="str">
            <v/>
          </cell>
          <cell r="AC437" t="str">
            <v/>
          </cell>
          <cell r="AD437" t="str">
            <v/>
          </cell>
          <cell r="AE437" t="str">
            <v/>
          </cell>
          <cell r="AF437" t="str">
            <v/>
          </cell>
          <cell r="AG437" t="str">
            <v/>
          </cell>
          <cell r="AH437" t="str">
            <v/>
          </cell>
          <cell r="AI437" t="str">
            <v/>
          </cell>
        </row>
        <row r="438">
          <cell r="B438">
            <v>2319</v>
          </cell>
          <cell r="C438">
            <v>23</v>
          </cell>
          <cell r="D438">
            <v>19</v>
          </cell>
          <cell r="F438" t="str">
            <v>土浦</v>
          </cell>
          <cell r="G438" t="str">
            <v>チラー冷凍機設備保守</v>
          </cell>
          <cell r="H438" t="str">
            <v>三菱電機ﾋﾞﾙﾃｸﾉｻｰﾋﾞｽ</v>
          </cell>
          <cell r="I438">
            <v>23850</v>
          </cell>
          <cell r="J438">
            <v>24327</v>
          </cell>
          <cell r="K438">
            <v>4</v>
          </cell>
          <cell r="L438">
            <v>0</v>
          </cell>
          <cell r="M438">
            <v>24327</v>
          </cell>
          <cell r="N438">
            <v>0</v>
          </cell>
          <cell r="O438">
            <v>0</v>
          </cell>
          <cell r="P438">
            <v>24327</v>
          </cell>
          <cell r="Q438">
            <v>0</v>
          </cell>
          <cell r="R438">
            <v>0</v>
          </cell>
          <cell r="S438">
            <v>24327</v>
          </cell>
          <cell r="T438">
            <v>0</v>
          </cell>
          <cell r="U438">
            <v>0</v>
          </cell>
          <cell r="V438">
            <v>24327</v>
          </cell>
          <cell r="W438">
            <v>0</v>
          </cell>
          <cell r="X438" t="str">
            <v/>
          </cell>
          <cell r="Y438" t="str">
            <v>⑤</v>
          </cell>
          <cell r="Z438" t="str">
            <v/>
          </cell>
          <cell r="AA438" t="str">
            <v/>
          </cell>
          <cell r="AB438" t="str">
            <v>⑧</v>
          </cell>
          <cell r="AC438" t="str">
            <v/>
          </cell>
          <cell r="AD438" t="str">
            <v/>
          </cell>
          <cell r="AE438" t="str">
            <v>⑪</v>
          </cell>
          <cell r="AF438" t="str">
            <v/>
          </cell>
          <cell r="AG438" t="str">
            <v/>
          </cell>
          <cell r="AH438" t="str">
            <v>②</v>
          </cell>
          <cell r="AI438" t="str">
            <v/>
          </cell>
        </row>
        <row r="439">
          <cell r="B439">
            <v>2320</v>
          </cell>
          <cell r="C439">
            <v>23</v>
          </cell>
          <cell r="D439">
            <v>20</v>
          </cell>
          <cell r="F439" t="str">
            <v>土浦</v>
          </cell>
          <cell r="G439" t="str">
            <v>空冷ﾊﾟｯｹｰｼﾞ設備保守</v>
          </cell>
          <cell r="H439" t="str">
            <v>三菱電機ﾋﾞﾙﾃｸﾉｻｰﾋﾞｽ</v>
          </cell>
          <cell r="I439">
            <v>155250</v>
          </cell>
          <cell r="J439">
            <v>158355</v>
          </cell>
          <cell r="K439">
            <v>4</v>
          </cell>
          <cell r="L439">
            <v>0</v>
          </cell>
          <cell r="M439">
            <v>158355</v>
          </cell>
          <cell r="N439">
            <v>0</v>
          </cell>
          <cell r="O439">
            <v>0</v>
          </cell>
          <cell r="P439">
            <v>158355</v>
          </cell>
          <cell r="Q439">
            <v>0</v>
          </cell>
          <cell r="R439">
            <v>0</v>
          </cell>
          <cell r="S439">
            <v>158355</v>
          </cell>
          <cell r="T439">
            <v>0</v>
          </cell>
          <cell r="U439">
            <v>0</v>
          </cell>
          <cell r="V439">
            <v>158355</v>
          </cell>
          <cell r="W439">
            <v>0</v>
          </cell>
          <cell r="X439" t="str">
            <v/>
          </cell>
          <cell r="Y439" t="str">
            <v>⑤</v>
          </cell>
          <cell r="Z439" t="str">
            <v/>
          </cell>
          <cell r="AA439" t="str">
            <v/>
          </cell>
          <cell r="AB439" t="str">
            <v>⑧</v>
          </cell>
          <cell r="AC439" t="str">
            <v/>
          </cell>
          <cell r="AD439" t="str">
            <v/>
          </cell>
          <cell r="AE439" t="str">
            <v>⑪</v>
          </cell>
          <cell r="AF439" t="str">
            <v/>
          </cell>
          <cell r="AG439" t="str">
            <v/>
          </cell>
          <cell r="AH439" t="str">
            <v>②</v>
          </cell>
          <cell r="AI439" t="str">
            <v/>
          </cell>
        </row>
        <row r="440">
          <cell r="B440">
            <v>2321</v>
          </cell>
          <cell r="C440">
            <v>23</v>
          </cell>
          <cell r="D440">
            <v>21</v>
          </cell>
          <cell r="F440" t="str">
            <v>土浦</v>
          </cell>
          <cell r="G440" t="str">
            <v>氷蓄熱設備保守</v>
          </cell>
          <cell r="H440" t="str">
            <v>三菱電機ﾋﾞﾙﾃｸﾉｻｰﾋﾞｽ</v>
          </cell>
          <cell r="I440">
            <v>48600</v>
          </cell>
          <cell r="J440">
            <v>49572</v>
          </cell>
          <cell r="K440">
            <v>4</v>
          </cell>
          <cell r="L440">
            <v>0</v>
          </cell>
          <cell r="M440">
            <v>49572</v>
          </cell>
          <cell r="N440">
            <v>0</v>
          </cell>
          <cell r="O440">
            <v>0</v>
          </cell>
          <cell r="P440">
            <v>49572</v>
          </cell>
          <cell r="Q440">
            <v>0</v>
          </cell>
          <cell r="R440">
            <v>0</v>
          </cell>
          <cell r="S440">
            <v>49572</v>
          </cell>
          <cell r="T440">
            <v>0</v>
          </cell>
          <cell r="U440">
            <v>0</v>
          </cell>
          <cell r="V440">
            <v>49572</v>
          </cell>
          <cell r="W440">
            <v>0</v>
          </cell>
          <cell r="X440" t="str">
            <v/>
          </cell>
          <cell r="Y440" t="str">
            <v>⑤</v>
          </cell>
          <cell r="Z440" t="str">
            <v/>
          </cell>
          <cell r="AA440" t="str">
            <v/>
          </cell>
          <cell r="AB440" t="str">
            <v>⑧</v>
          </cell>
          <cell r="AC440" t="str">
            <v/>
          </cell>
          <cell r="AD440" t="str">
            <v/>
          </cell>
          <cell r="AE440" t="str">
            <v>⑪</v>
          </cell>
          <cell r="AF440" t="str">
            <v/>
          </cell>
          <cell r="AG440" t="str">
            <v/>
          </cell>
          <cell r="AH440" t="str">
            <v>②</v>
          </cell>
          <cell r="AI440" t="str">
            <v/>
          </cell>
        </row>
        <row r="441">
          <cell r="B441">
            <v>2322</v>
          </cell>
          <cell r="C441">
            <v>23</v>
          </cell>
          <cell r="D441">
            <v>22</v>
          </cell>
          <cell r="F441" t="str">
            <v>土浦</v>
          </cell>
          <cell r="G441" t="str">
            <v>自動ドアー保守</v>
          </cell>
          <cell r="H441" t="str">
            <v>ナブコシステム</v>
          </cell>
          <cell r="I441">
            <v>11250</v>
          </cell>
          <cell r="J441">
            <v>11475</v>
          </cell>
          <cell r="K441">
            <v>2</v>
          </cell>
          <cell r="L441">
            <v>0</v>
          </cell>
          <cell r="M441">
            <v>0</v>
          </cell>
          <cell r="N441">
            <v>0</v>
          </cell>
          <cell r="O441">
            <v>0</v>
          </cell>
          <cell r="P441">
            <v>0</v>
          </cell>
          <cell r="Q441">
            <v>11475</v>
          </cell>
          <cell r="R441">
            <v>0</v>
          </cell>
          <cell r="S441">
            <v>0</v>
          </cell>
          <cell r="T441">
            <v>0</v>
          </cell>
          <cell r="U441">
            <v>0</v>
          </cell>
          <cell r="V441">
            <v>0</v>
          </cell>
          <cell r="W441">
            <v>11475</v>
          </cell>
          <cell r="X441" t="str">
            <v/>
          </cell>
          <cell r="Y441" t="str">
            <v/>
          </cell>
          <cell r="Z441" t="str">
            <v/>
          </cell>
          <cell r="AA441" t="str">
            <v/>
          </cell>
          <cell r="AB441" t="str">
            <v/>
          </cell>
          <cell r="AC441" t="str">
            <v>⑨</v>
          </cell>
          <cell r="AD441" t="str">
            <v/>
          </cell>
          <cell r="AE441" t="str">
            <v/>
          </cell>
          <cell r="AF441" t="str">
            <v/>
          </cell>
          <cell r="AG441" t="str">
            <v/>
          </cell>
          <cell r="AH441" t="str">
            <v/>
          </cell>
          <cell r="AI441" t="str">
            <v>③</v>
          </cell>
        </row>
        <row r="442">
          <cell r="B442">
            <v>2323</v>
          </cell>
          <cell r="C442">
            <v>23</v>
          </cell>
          <cell r="D442">
            <v>23</v>
          </cell>
          <cell r="F442" t="str">
            <v>土浦</v>
          </cell>
          <cell r="G442" t="str">
            <v>自動ドアー保守</v>
          </cell>
          <cell r="H442" t="str">
            <v>ナブコシステム</v>
          </cell>
          <cell r="I442">
            <v>11250</v>
          </cell>
          <cell r="J442">
            <v>11475</v>
          </cell>
          <cell r="K442">
            <v>2</v>
          </cell>
          <cell r="L442">
            <v>0</v>
          </cell>
          <cell r="M442">
            <v>0</v>
          </cell>
          <cell r="N442">
            <v>11475</v>
          </cell>
          <cell r="O442">
            <v>0</v>
          </cell>
          <cell r="P442">
            <v>0</v>
          </cell>
          <cell r="Q442">
            <v>0</v>
          </cell>
          <cell r="R442">
            <v>0</v>
          </cell>
          <cell r="S442">
            <v>0</v>
          </cell>
          <cell r="T442">
            <v>11475</v>
          </cell>
          <cell r="U442">
            <v>0</v>
          </cell>
          <cell r="V442">
            <v>0</v>
          </cell>
          <cell r="W442">
            <v>0</v>
          </cell>
          <cell r="X442" t="str">
            <v/>
          </cell>
          <cell r="Y442" t="str">
            <v/>
          </cell>
          <cell r="Z442" t="str">
            <v>⑥</v>
          </cell>
          <cell r="AA442" t="str">
            <v/>
          </cell>
          <cell r="AB442" t="str">
            <v/>
          </cell>
          <cell r="AC442" t="str">
            <v/>
          </cell>
          <cell r="AD442" t="str">
            <v/>
          </cell>
          <cell r="AE442" t="str">
            <v/>
          </cell>
          <cell r="AF442" t="str">
            <v>⑫</v>
          </cell>
          <cell r="AG442" t="str">
            <v/>
          </cell>
          <cell r="AH442" t="str">
            <v/>
          </cell>
          <cell r="AI442" t="str">
            <v/>
          </cell>
        </row>
        <row r="443">
          <cell r="B443">
            <v>2324</v>
          </cell>
          <cell r="C443">
            <v>23</v>
          </cell>
          <cell r="D443">
            <v>24</v>
          </cell>
          <cell r="F443" t="str">
            <v>土浦</v>
          </cell>
          <cell r="G443" t="str">
            <v>植栽管理</v>
          </cell>
          <cell r="H443" t="str">
            <v>梶間造園</v>
          </cell>
          <cell r="I443">
            <v>28000</v>
          </cell>
          <cell r="J443">
            <v>28560</v>
          </cell>
          <cell r="K443">
            <v>2</v>
          </cell>
          <cell r="L443">
            <v>0</v>
          </cell>
          <cell r="M443">
            <v>0</v>
          </cell>
          <cell r="N443">
            <v>28560</v>
          </cell>
          <cell r="O443">
            <v>0</v>
          </cell>
          <cell r="P443">
            <v>0</v>
          </cell>
          <cell r="Q443">
            <v>0</v>
          </cell>
          <cell r="R443">
            <v>28560</v>
          </cell>
          <cell r="S443">
            <v>0</v>
          </cell>
          <cell r="T443">
            <v>0</v>
          </cell>
          <cell r="U443">
            <v>0</v>
          </cell>
          <cell r="V443">
            <v>0</v>
          </cell>
          <cell r="W443">
            <v>0</v>
          </cell>
          <cell r="X443" t="str">
            <v/>
          </cell>
          <cell r="Y443" t="str">
            <v/>
          </cell>
          <cell r="Z443" t="str">
            <v>⑥</v>
          </cell>
          <cell r="AA443" t="str">
            <v/>
          </cell>
          <cell r="AB443" t="str">
            <v/>
          </cell>
          <cell r="AC443" t="str">
            <v/>
          </cell>
          <cell r="AD443" t="str">
            <v>⑩</v>
          </cell>
          <cell r="AE443" t="str">
            <v/>
          </cell>
          <cell r="AF443" t="str">
            <v/>
          </cell>
          <cell r="AG443" t="str">
            <v/>
          </cell>
          <cell r="AH443" t="str">
            <v/>
          </cell>
          <cell r="AI443" t="str">
            <v/>
          </cell>
        </row>
        <row r="444">
          <cell r="B444">
            <v>2401</v>
          </cell>
          <cell r="C444">
            <v>24</v>
          </cell>
          <cell r="D444">
            <v>1</v>
          </cell>
          <cell r="F444" t="str">
            <v>宇都宮</v>
          </cell>
          <cell r="G444" t="str">
            <v>昇降機設備保守</v>
          </cell>
          <cell r="H444" t="str">
            <v>三菱電機ﾋﾞﾙﾃｸﾉｻｰﾋﾞｽ</v>
          </cell>
          <cell r="I444">
            <v>69600</v>
          </cell>
          <cell r="J444">
            <v>70992</v>
          </cell>
          <cell r="K444">
            <v>12</v>
          </cell>
          <cell r="L444">
            <v>70992</v>
          </cell>
          <cell r="M444">
            <v>70992</v>
          </cell>
          <cell r="N444">
            <v>70992</v>
          </cell>
          <cell r="O444">
            <v>70992</v>
          </cell>
          <cell r="P444">
            <v>70992</v>
          </cell>
          <cell r="Q444">
            <v>70992</v>
          </cell>
          <cell r="R444">
            <v>70992</v>
          </cell>
          <cell r="S444">
            <v>70992</v>
          </cell>
          <cell r="T444">
            <v>70992</v>
          </cell>
          <cell r="U444">
            <v>70992</v>
          </cell>
          <cell r="V444">
            <v>70992</v>
          </cell>
          <cell r="W444">
            <v>70992</v>
          </cell>
          <cell r="X444" t="str">
            <v>④</v>
          </cell>
          <cell r="Y444" t="str">
            <v>⑤</v>
          </cell>
          <cell r="Z444" t="str">
            <v>⑥</v>
          </cell>
          <cell r="AA444" t="str">
            <v>⑦</v>
          </cell>
          <cell r="AB444" t="str">
            <v>⑧</v>
          </cell>
          <cell r="AC444" t="str">
            <v>⑨</v>
          </cell>
          <cell r="AD444" t="str">
            <v>⑩</v>
          </cell>
          <cell r="AE444" t="str">
            <v>⑪</v>
          </cell>
          <cell r="AF444" t="str">
            <v>⑫</v>
          </cell>
          <cell r="AG444" t="str">
            <v>①</v>
          </cell>
          <cell r="AH444" t="str">
            <v>②</v>
          </cell>
          <cell r="AI444" t="str">
            <v>③</v>
          </cell>
        </row>
        <row r="445">
          <cell r="B445">
            <v>2402</v>
          </cell>
          <cell r="C445">
            <v>24</v>
          </cell>
          <cell r="D445">
            <v>2</v>
          </cell>
          <cell r="F445" t="str">
            <v>宇都宮</v>
          </cell>
          <cell r="G445" t="str">
            <v>消火器(外観)</v>
          </cell>
          <cell r="H445" t="str">
            <v>ホーチキ</v>
          </cell>
          <cell r="I445">
            <v>13000</v>
          </cell>
          <cell r="J445">
            <v>13260</v>
          </cell>
          <cell r="K445">
            <v>2</v>
          </cell>
          <cell r="L445">
            <v>0</v>
          </cell>
          <cell r="M445">
            <v>0</v>
          </cell>
          <cell r="N445">
            <v>13260</v>
          </cell>
          <cell r="O445">
            <v>0</v>
          </cell>
          <cell r="P445">
            <v>0</v>
          </cell>
          <cell r="Q445">
            <v>0</v>
          </cell>
          <cell r="R445">
            <v>0</v>
          </cell>
          <cell r="S445">
            <v>0</v>
          </cell>
          <cell r="T445">
            <v>13260</v>
          </cell>
          <cell r="U445">
            <v>0</v>
          </cell>
          <cell r="V445">
            <v>0</v>
          </cell>
          <cell r="W445">
            <v>0</v>
          </cell>
          <cell r="X445" t="str">
            <v/>
          </cell>
          <cell r="Y445" t="str">
            <v/>
          </cell>
          <cell r="Z445" t="str">
            <v>⑥</v>
          </cell>
          <cell r="AA445" t="str">
            <v/>
          </cell>
          <cell r="AB445" t="str">
            <v/>
          </cell>
          <cell r="AC445" t="str">
            <v/>
          </cell>
          <cell r="AD445" t="str">
            <v/>
          </cell>
          <cell r="AE445" t="str">
            <v/>
          </cell>
          <cell r="AF445" t="str">
            <v>⑫</v>
          </cell>
          <cell r="AG445" t="str">
            <v/>
          </cell>
          <cell r="AH445" t="str">
            <v/>
          </cell>
          <cell r="AI445" t="str">
            <v/>
          </cell>
        </row>
        <row r="446">
          <cell r="B446">
            <v>2403</v>
          </cell>
          <cell r="C446">
            <v>24</v>
          </cell>
          <cell r="D446">
            <v>3</v>
          </cell>
          <cell r="F446" t="str">
            <v>宇都宮</v>
          </cell>
          <cell r="G446" t="str">
            <v>屋内消火栓(外観)</v>
          </cell>
          <cell r="H446" t="str">
            <v>ホーチキ</v>
          </cell>
          <cell r="I446">
            <v>18500</v>
          </cell>
          <cell r="J446">
            <v>18870</v>
          </cell>
          <cell r="K446">
            <v>1</v>
          </cell>
          <cell r="L446">
            <v>0</v>
          </cell>
          <cell r="M446">
            <v>0</v>
          </cell>
          <cell r="N446">
            <v>0</v>
          </cell>
          <cell r="O446">
            <v>0</v>
          </cell>
          <cell r="P446">
            <v>0</v>
          </cell>
          <cell r="Q446">
            <v>0</v>
          </cell>
          <cell r="R446">
            <v>0</v>
          </cell>
          <cell r="S446">
            <v>0</v>
          </cell>
          <cell r="T446">
            <v>18870</v>
          </cell>
          <cell r="U446">
            <v>0</v>
          </cell>
          <cell r="V446">
            <v>0</v>
          </cell>
          <cell r="W446">
            <v>0</v>
          </cell>
          <cell r="X446" t="str">
            <v/>
          </cell>
          <cell r="Y446" t="str">
            <v/>
          </cell>
          <cell r="Z446" t="str">
            <v/>
          </cell>
          <cell r="AA446" t="str">
            <v/>
          </cell>
          <cell r="AB446" t="str">
            <v/>
          </cell>
          <cell r="AC446" t="str">
            <v/>
          </cell>
          <cell r="AD446" t="str">
            <v/>
          </cell>
          <cell r="AE446" t="str">
            <v/>
          </cell>
          <cell r="AF446" t="str">
            <v>⑫</v>
          </cell>
          <cell r="AG446" t="str">
            <v/>
          </cell>
          <cell r="AH446" t="str">
            <v/>
          </cell>
          <cell r="AI446" t="str">
            <v/>
          </cell>
        </row>
        <row r="447">
          <cell r="B447">
            <v>2404</v>
          </cell>
          <cell r="C447">
            <v>24</v>
          </cell>
          <cell r="D447">
            <v>4</v>
          </cell>
          <cell r="F447" t="str">
            <v>宇都宮</v>
          </cell>
          <cell r="G447" t="str">
            <v>屋内消火栓(総合)</v>
          </cell>
          <cell r="H447" t="str">
            <v>ホーチキ</v>
          </cell>
          <cell r="I447">
            <v>48000</v>
          </cell>
          <cell r="J447">
            <v>48960</v>
          </cell>
          <cell r="K447">
            <v>1</v>
          </cell>
          <cell r="L447">
            <v>0</v>
          </cell>
          <cell r="M447">
            <v>0</v>
          </cell>
          <cell r="N447">
            <v>48960</v>
          </cell>
          <cell r="O447">
            <v>0</v>
          </cell>
          <cell r="P447">
            <v>0</v>
          </cell>
          <cell r="Q447">
            <v>0</v>
          </cell>
          <cell r="R447">
            <v>0</v>
          </cell>
          <cell r="S447">
            <v>0</v>
          </cell>
          <cell r="T447">
            <v>0</v>
          </cell>
          <cell r="U447">
            <v>0</v>
          </cell>
          <cell r="V447">
            <v>0</v>
          </cell>
          <cell r="W447">
            <v>0</v>
          </cell>
          <cell r="X447" t="str">
            <v/>
          </cell>
          <cell r="Y447" t="str">
            <v/>
          </cell>
          <cell r="Z447" t="str">
            <v>⑥</v>
          </cell>
          <cell r="AA447" t="str">
            <v/>
          </cell>
          <cell r="AB447" t="str">
            <v/>
          </cell>
          <cell r="AC447" t="str">
            <v/>
          </cell>
          <cell r="AD447" t="str">
            <v/>
          </cell>
          <cell r="AE447" t="str">
            <v/>
          </cell>
          <cell r="AF447" t="str">
            <v/>
          </cell>
          <cell r="AG447" t="str">
            <v/>
          </cell>
          <cell r="AH447" t="str">
            <v/>
          </cell>
          <cell r="AI447" t="str">
            <v/>
          </cell>
        </row>
        <row r="448">
          <cell r="B448">
            <v>2405</v>
          </cell>
          <cell r="C448">
            <v>24</v>
          </cell>
          <cell r="D448">
            <v>5</v>
          </cell>
          <cell r="F448" t="str">
            <v>宇都宮</v>
          </cell>
          <cell r="G448" t="str">
            <v>ハロゲン消火(外観)</v>
          </cell>
          <cell r="H448" t="str">
            <v>ホーチキ</v>
          </cell>
          <cell r="I448">
            <v>65000</v>
          </cell>
          <cell r="J448">
            <v>66300</v>
          </cell>
          <cell r="K448">
            <v>1</v>
          </cell>
          <cell r="L448">
            <v>0</v>
          </cell>
          <cell r="M448">
            <v>0</v>
          </cell>
          <cell r="N448">
            <v>0</v>
          </cell>
          <cell r="O448">
            <v>0</v>
          </cell>
          <cell r="P448">
            <v>0</v>
          </cell>
          <cell r="Q448">
            <v>0</v>
          </cell>
          <cell r="R448">
            <v>0</v>
          </cell>
          <cell r="S448">
            <v>0</v>
          </cell>
          <cell r="T448">
            <v>66300</v>
          </cell>
          <cell r="U448">
            <v>0</v>
          </cell>
          <cell r="V448">
            <v>0</v>
          </cell>
          <cell r="W448">
            <v>0</v>
          </cell>
          <cell r="X448" t="str">
            <v/>
          </cell>
          <cell r="Y448" t="str">
            <v/>
          </cell>
          <cell r="Z448" t="str">
            <v/>
          </cell>
          <cell r="AA448" t="str">
            <v/>
          </cell>
          <cell r="AB448" t="str">
            <v/>
          </cell>
          <cell r="AC448" t="str">
            <v/>
          </cell>
          <cell r="AD448" t="str">
            <v/>
          </cell>
          <cell r="AE448" t="str">
            <v/>
          </cell>
          <cell r="AF448" t="str">
            <v>⑫</v>
          </cell>
          <cell r="AG448" t="str">
            <v/>
          </cell>
          <cell r="AH448" t="str">
            <v/>
          </cell>
          <cell r="AI448" t="str">
            <v/>
          </cell>
        </row>
        <row r="449">
          <cell r="B449">
            <v>2406</v>
          </cell>
          <cell r="C449">
            <v>24</v>
          </cell>
          <cell r="D449">
            <v>6</v>
          </cell>
          <cell r="F449" t="str">
            <v>宇都宮</v>
          </cell>
          <cell r="G449" t="str">
            <v>ハロゲン消火(総合)</v>
          </cell>
          <cell r="H449" t="str">
            <v>ホーチキ</v>
          </cell>
          <cell r="I449">
            <v>128000</v>
          </cell>
          <cell r="J449">
            <v>130560</v>
          </cell>
          <cell r="K449">
            <v>1</v>
          </cell>
          <cell r="L449">
            <v>0</v>
          </cell>
          <cell r="M449">
            <v>0</v>
          </cell>
          <cell r="N449">
            <v>130560</v>
          </cell>
          <cell r="O449">
            <v>0</v>
          </cell>
          <cell r="P449">
            <v>0</v>
          </cell>
          <cell r="Q449">
            <v>0</v>
          </cell>
          <cell r="R449">
            <v>0</v>
          </cell>
          <cell r="S449">
            <v>0</v>
          </cell>
          <cell r="T449">
            <v>0</v>
          </cell>
          <cell r="U449">
            <v>0</v>
          </cell>
          <cell r="V449">
            <v>0</v>
          </cell>
          <cell r="W449">
            <v>0</v>
          </cell>
          <cell r="X449" t="str">
            <v/>
          </cell>
          <cell r="Y449" t="str">
            <v/>
          </cell>
          <cell r="Z449" t="str">
            <v>⑥</v>
          </cell>
          <cell r="AA449" t="str">
            <v/>
          </cell>
          <cell r="AB449" t="str">
            <v/>
          </cell>
          <cell r="AC449" t="str">
            <v/>
          </cell>
          <cell r="AD449" t="str">
            <v/>
          </cell>
          <cell r="AE449" t="str">
            <v/>
          </cell>
          <cell r="AF449" t="str">
            <v/>
          </cell>
          <cell r="AG449" t="str">
            <v/>
          </cell>
          <cell r="AH449" t="str">
            <v/>
          </cell>
          <cell r="AI449" t="str">
            <v/>
          </cell>
        </row>
        <row r="450">
          <cell r="B450">
            <v>2407</v>
          </cell>
          <cell r="C450">
            <v>24</v>
          </cell>
          <cell r="D450">
            <v>7</v>
          </cell>
          <cell r="F450" t="str">
            <v>宇都宮</v>
          </cell>
          <cell r="G450" t="str">
            <v>非常放送(外観)</v>
          </cell>
          <cell r="H450" t="str">
            <v>ホーチキ</v>
          </cell>
          <cell r="I450">
            <v>28000</v>
          </cell>
          <cell r="J450">
            <v>28560</v>
          </cell>
          <cell r="K450">
            <v>1</v>
          </cell>
          <cell r="L450">
            <v>0</v>
          </cell>
          <cell r="M450">
            <v>0</v>
          </cell>
          <cell r="N450">
            <v>0</v>
          </cell>
          <cell r="O450">
            <v>0</v>
          </cell>
          <cell r="P450">
            <v>0</v>
          </cell>
          <cell r="Q450">
            <v>0</v>
          </cell>
          <cell r="R450">
            <v>0</v>
          </cell>
          <cell r="S450">
            <v>0</v>
          </cell>
          <cell r="T450">
            <v>28560</v>
          </cell>
          <cell r="U450">
            <v>0</v>
          </cell>
          <cell r="V450">
            <v>0</v>
          </cell>
          <cell r="W450">
            <v>0</v>
          </cell>
          <cell r="X450" t="str">
            <v/>
          </cell>
          <cell r="Y450" t="str">
            <v/>
          </cell>
          <cell r="Z450" t="str">
            <v/>
          </cell>
          <cell r="AA450" t="str">
            <v/>
          </cell>
          <cell r="AB450" t="str">
            <v/>
          </cell>
          <cell r="AC450" t="str">
            <v/>
          </cell>
          <cell r="AD450" t="str">
            <v/>
          </cell>
          <cell r="AE450" t="str">
            <v/>
          </cell>
          <cell r="AF450" t="str">
            <v>⑫</v>
          </cell>
          <cell r="AG450" t="str">
            <v/>
          </cell>
          <cell r="AH450" t="str">
            <v/>
          </cell>
          <cell r="AI450" t="str">
            <v/>
          </cell>
        </row>
        <row r="451">
          <cell r="B451">
            <v>2408</v>
          </cell>
          <cell r="C451">
            <v>24</v>
          </cell>
          <cell r="D451">
            <v>8</v>
          </cell>
          <cell r="F451" t="str">
            <v>宇都宮</v>
          </cell>
          <cell r="G451" t="str">
            <v>非常放送(総合)</v>
          </cell>
          <cell r="H451" t="str">
            <v>ホーチキ</v>
          </cell>
          <cell r="I451">
            <v>45000</v>
          </cell>
          <cell r="J451">
            <v>45900</v>
          </cell>
          <cell r="K451">
            <v>1</v>
          </cell>
          <cell r="L451">
            <v>0</v>
          </cell>
          <cell r="M451">
            <v>0</v>
          </cell>
          <cell r="N451">
            <v>45900</v>
          </cell>
          <cell r="O451">
            <v>0</v>
          </cell>
          <cell r="P451">
            <v>0</v>
          </cell>
          <cell r="Q451">
            <v>0</v>
          </cell>
          <cell r="R451">
            <v>0</v>
          </cell>
          <cell r="S451">
            <v>0</v>
          </cell>
          <cell r="T451">
            <v>0</v>
          </cell>
          <cell r="U451">
            <v>0</v>
          </cell>
          <cell r="V451">
            <v>0</v>
          </cell>
          <cell r="W451">
            <v>0</v>
          </cell>
          <cell r="X451" t="str">
            <v/>
          </cell>
          <cell r="Y451" t="str">
            <v/>
          </cell>
          <cell r="Z451" t="str">
            <v>⑥</v>
          </cell>
          <cell r="AA451" t="str">
            <v/>
          </cell>
          <cell r="AB451" t="str">
            <v/>
          </cell>
          <cell r="AC451" t="str">
            <v/>
          </cell>
          <cell r="AD451" t="str">
            <v/>
          </cell>
          <cell r="AE451" t="str">
            <v/>
          </cell>
          <cell r="AF451" t="str">
            <v/>
          </cell>
          <cell r="AG451" t="str">
            <v/>
          </cell>
          <cell r="AH451" t="str">
            <v/>
          </cell>
          <cell r="AI451" t="str">
            <v/>
          </cell>
        </row>
        <row r="452">
          <cell r="B452">
            <v>2409</v>
          </cell>
          <cell r="C452">
            <v>24</v>
          </cell>
          <cell r="D452">
            <v>9</v>
          </cell>
          <cell r="F452" t="str">
            <v>宇都宮</v>
          </cell>
          <cell r="G452" t="str">
            <v>誘導灯(外観)</v>
          </cell>
          <cell r="H452" t="str">
            <v>ホーチキ</v>
          </cell>
          <cell r="I452">
            <v>18500</v>
          </cell>
          <cell r="J452">
            <v>18870</v>
          </cell>
          <cell r="K452">
            <v>1</v>
          </cell>
          <cell r="L452">
            <v>0</v>
          </cell>
          <cell r="M452">
            <v>0</v>
          </cell>
          <cell r="N452">
            <v>0</v>
          </cell>
          <cell r="O452">
            <v>0</v>
          </cell>
          <cell r="P452">
            <v>0</v>
          </cell>
          <cell r="Q452">
            <v>0</v>
          </cell>
          <cell r="R452">
            <v>0</v>
          </cell>
          <cell r="S452">
            <v>0</v>
          </cell>
          <cell r="T452">
            <v>18870</v>
          </cell>
          <cell r="U452">
            <v>0</v>
          </cell>
          <cell r="V452">
            <v>0</v>
          </cell>
          <cell r="W452">
            <v>0</v>
          </cell>
          <cell r="X452" t="str">
            <v/>
          </cell>
          <cell r="Y452" t="str">
            <v/>
          </cell>
          <cell r="Z452" t="str">
            <v/>
          </cell>
          <cell r="AA452" t="str">
            <v/>
          </cell>
          <cell r="AB452" t="str">
            <v/>
          </cell>
          <cell r="AC452" t="str">
            <v/>
          </cell>
          <cell r="AD452" t="str">
            <v/>
          </cell>
          <cell r="AE452" t="str">
            <v/>
          </cell>
          <cell r="AF452" t="str">
            <v>⑫</v>
          </cell>
          <cell r="AG452" t="str">
            <v/>
          </cell>
          <cell r="AH452" t="str">
            <v/>
          </cell>
          <cell r="AI452" t="str">
            <v/>
          </cell>
        </row>
        <row r="453">
          <cell r="B453">
            <v>2410</v>
          </cell>
          <cell r="C453">
            <v>24</v>
          </cell>
          <cell r="D453">
            <v>10</v>
          </cell>
          <cell r="F453" t="str">
            <v>宇都宮</v>
          </cell>
          <cell r="G453" t="str">
            <v>誘導灯(総合)</v>
          </cell>
          <cell r="H453" t="str">
            <v>ホーチキ</v>
          </cell>
          <cell r="I453">
            <v>19000</v>
          </cell>
          <cell r="J453">
            <v>19380</v>
          </cell>
          <cell r="K453">
            <v>1</v>
          </cell>
          <cell r="L453">
            <v>0</v>
          </cell>
          <cell r="M453">
            <v>0</v>
          </cell>
          <cell r="N453">
            <v>19380</v>
          </cell>
          <cell r="O453">
            <v>0</v>
          </cell>
          <cell r="P453">
            <v>0</v>
          </cell>
          <cell r="Q453">
            <v>0</v>
          </cell>
          <cell r="R453">
            <v>0</v>
          </cell>
          <cell r="S453">
            <v>0</v>
          </cell>
          <cell r="T453">
            <v>0</v>
          </cell>
          <cell r="U453">
            <v>0</v>
          </cell>
          <cell r="V453">
            <v>0</v>
          </cell>
          <cell r="W453">
            <v>0</v>
          </cell>
          <cell r="X453" t="str">
            <v/>
          </cell>
          <cell r="Y453" t="str">
            <v/>
          </cell>
          <cell r="Z453" t="str">
            <v>⑥</v>
          </cell>
          <cell r="AA453" t="str">
            <v/>
          </cell>
          <cell r="AB453" t="str">
            <v/>
          </cell>
          <cell r="AC453" t="str">
            <v/>
          </cell>
          <cell r="AD453" t="str">
            <v/>
          </cell>
          <cell r="AE453" t="str">
            <v/>
          </cell>
          <cell r="AF453" t="str">
            <v/>
          </cell>
          <cell r="AG453" t="str">
            <v/>
          </cell>
          <cell r="AH453" t="str">
            <v/>
          </cell>
          <cell r="AI453" t="str">
            <v/>
          </cell>
        </row>
        <row r="454">
          <cell r="B454">
            <v>2411</v>
          </cell>
          <cell r="C454">
            <v>24</v>
          </cell>
          <cell r="D454">
            <v>11</v>
          </cell>
          <cell r="F454" t="str">
            <v>宇都宮</v>
          </cell>
          <cell r="G454" t="str">
            <v>Ｐ型防排煙制御(外観)</v>
          </cell>
          <cell r="H454" t="str">
            <v>ホーチキ</v>
          </cell>
          <cell r="I454">
            <v>22100</v>
          </cell>
          <cell r="J454">
            <v>22542</v>
          </cell>
          <cell r="K454">
            <v>1</v>
          </cell>
          <cell r="L454">
            <v>0</v>
          </cell>
          <cell r="M454">
            <v>0</v>
          </cell>
          <cell r="N454">
            <v>0</v>
          </cell>
          <cell r="O454">
            <v>0</v>
          </cell>
          <cell r="P454">
            <v>0</v>
          </cell>
          <cell r="Q454">
            <v>0</v>
          </cell>
          <cell r="R454">
            <v>0</v>
          </cell>
          <cell r="S454">
            <v>0</v>
          </cell>
          <cell r="T454">
            <v>22542</v>
          </cell>
          <cell r="U454">
            <v>0</v>
          </cell>
          <cell r="V454">
            <v>0</v>
          </cell>
          <cell r="W454">
            <v>0</v>
          </cell>
          <cell r="X454" t="str">
            <v/>
          </cell>
          <cell r="Y454" t="str">
            <v/>
          </cell>
          <cell r="Z454" t="str">
            <v/>
          </cell>
          <cell r="AA454" t="str">
            <v/>
          </cell>
          <cell r="AB454" t="str">
            <v/>
          </cell>
          <cell r="AC454" t="str">
            <v/>
          </cell>
          <cell r="AD454" t="str">
            <v/>
          </cell>
          <cell r="AE454" t="str">
            <v/>
          </cell>
          <cell r="AF454" t="str">
            <v>⑫</v>
          </cell>
          <cell r="AG454" t="str">
            <v/>
          </cell>
          <cell r="AH454" t="str">
            <v/>
          </cell>
          <cell r="AI454" t="str">
            <v/>
          </cell>
        </row>
        <row r="455">
          <cell r="B455">
            <v>2412</v>
          </cell>
          <cell r="C455">
            <v>24</v>
          </cell>
          <cell r="D455">
            <v>12</v>
          </cell>
          <cell r="F455" t="str">
            <v>宇都宮</v>
          </cell>
          <cell r="G455" t="str">
            <v>Ｐ型防排煙制御(総合)</v>
          </cell>
          <cell r="H455" t="str">
            <v>ホーチキ</v>
          </cell>
          <cell r="I455">
            <v>52700</v>
          </cell>
          <cell r="J455">
            <v>53754</v>
          </cell>
          <cell r="K455">
            <v>1</v>
          </cell>
          <cell r="L455">
            <v>0</v>
          </cell>
          <cell r="M455">
            <v>0</v>
          </cell>
          <cell r="N455">
            <v>53754</v>
          </cell>
          <cell r="O455">
            <v>0</v>
          </cell>
          <cell r="P455">
            <v>0</v>
          </cell>
          <cell r="Q455">
            <v>0</v>
          </cell>
          <cell r="R455">
            <v>0</v>
          </cell>
          <cell r="S455">
            <v>0</v>
          </cell>
          <cell r="T455">
            <v>0</v>
          </cell>
          <cell r="U455">
            <v>0</v>
          </cell>
          <cell r="V455">
            <v>0</v>
          </cell>
          <cell r="W455">
            <v>0</v>
          </cell>
          <cell r="X455" t="str">
            <v/>
          </cell>
          <cell r="Y455" t="str">
            <v/>
          </cell>
          <cell r="Z455" t="str">
            <v>⑥</v>
          </cell>
          <cell r="AA455" t="str">
            <v/>
          </cell>
          <cell r="AB455" t="str">
            <v/>
          </cell>
          <cell r="AC455" t="str">
            <v/>
          </cell>
          <cell r="AD455" t="str">
            <v/>
          </cell>
          <cell r="AE455" t="str">
            <v/>
          </cell>
          <cell r="AF455" t="str">
            <v/>
          </cell>
          <cell r="AG455" t="str">
            <v/>
          </cell>
          <cell r="AH455" t="str">
            <v/>
          </cell>
          <cell r="AI455" t="str">
            <v/>
          </cell>
        </row>
        <row r="456">
          <cell r="B456">
            <v>2413</v>
          </cell>
          <cell r="C456">
            <v>24</v>
          </cell>
          <cell r="D456">
            <v>13</v>
          </cell>
          <cell r="F456" t="str">
            <v>宇都宮</v>
          </cell>
          <cell r="G456" t="str">
            <v>Ｐ型自火報(外観)</v>
          </cell>
          <cell r="H456" t="str">
            <v>ホーチキ</v>
          </cell>
          <cell r="I456">
            <v>23000</v>
          </cell>
          <cell r="J456">
            <v>23460</v>
          </cell>
          <cell r="K456">
            <v>1</v>
          </cell>
          <cell r="L456">
            <v>0</v>
          </cell>
          <cell r="M456">
            <v>0</v>
          </cell>
          <cell r="N456">
            <v>0</v>
          </cell>
          <cell r="O456">
            <v>0</v>
          </cell>
          <cell r="P456">
            <v>0</v>
          </cell>
          <cell r="Q456">
            <v>0</v>
          </cell>
          <cell r="R456">
            <v>0</v>
          </cell>
          <cell r="S456">
            <v>0</v>
          </cell>
          <cell r="T456">
            <v>23460</v>
          </cell>
          <cell r="U456">
            <v>0</v>
          </cell>
          <cell r="V456">
            <v>0</v>
          </cell>
          <cell r="W456">
            <v>0</v>
          </cell>
          <cell r="X456" t="str">
            <v/>
          </cell>
          <cell r="Y456" t="str">
            <v/>
          </cell>
          <cell r="Z456" t="str">
            <v/>
          </cell>
          <cell r="AA456" t="str">
            <v/>
          </cell>
          <cell r="AB456" t="str">
            <v/>
          </cell>
          <cell r="AC456" t="str">
            <v/>
          </cell>
          <cell r="AD456" t="str">
            <v/>
          </cell>
          <cell r="AE456" t="str">
            <v/>
          </cell>
          <cell r="AF456" t="str">
            <v>⑫</v>
          </cell>
          <cell r="AG456" t="str">
            <v/>
          </cell>
          <cell r="AH456" t="str">
            <v/>
          </cell>
          <cell r="AI456" t="str">
            <v/>
          </cell>
        </row>
        <row r="457">
          <cell r="B457">
            <v>2414</v>
          </cell>
          <cell r="C457">
            <v>24</v>
          </cell>
          <cell r="D457">
            <v>14</v>
          </cell>
          <cell r="F457" t="str">
            <v>宇都宮</v>
          </cell>
          <cell r="G457" t="str">
            <v>Ｐ型自火報(総合)</v>
          </cell>
          <cell r="H457" t="str">
            <v>ホーチキ</v>
          </cell>
          <cell r="I457">
            <v>57000</v>
          </cell>
          <cell r="J457">
            <v>58140</v>
          </cell>
          <cell r="K457">
            <v>1</v>
          </cell>
          <cell r="L457">
            <v>0</v>
          </cell>
          <cell r="M457">
            <v>0</v>
          </cell>
          <cell r="N457">
            <v>58140</v>
          </cell>
          <cell r="O457">
            <v>0</v>
          </cell>
          <cell r="P457">
            <v>0</v>
          </cell>
          <cell r="Q457">
            <v>0</v>
          </cell>
          <cell r="R457">
            <v>0</v>
          </cell>
          <cell r="S457">
            <v>0</v>
          </cell>
          <cell r="T457">
            <v>0</v>
          </cell>
          <cell r="U457">
            <v>0</v>
          </cell>
          <cell r="V457">
            <v>0</v>
          </cell>
          <cell r="W457">
            <v>0</v>
          </cell>
          <cell r="X457" t="str">
            <v/>
          </cell>
          <cell r="Y457" t="str">
            <v/>
          </cell>
          <cell r="Z457" t="str">
            <v>⑥</v>
          </cell>
          <cell r="AA457" t="str">
            <v/>
          </cell>
          <cell r="AB457" t="str">
            <v/>
          </cell>
          <cell r="AC457" t="str">
            <v/>
          </cell>
          <cell r="AD457" t="str">
            <v/>
          </cell>
          <cell r="AE457" t="str">
            <v/>
          </cell>
          <cell r="AF457" t="str">
            <v/>
          </cell>
          <cell r="AG457" t="str">
            <v/>
          </cell>
          <cell r="AH457" t="str">
            <v/>
          </cell>
          <cell r="AI457" t="str">
            <v/>
          </cell>
        </row>
        <row r="458">
          <cell r="B458">
            <v>2415</v>
          </cell>
          <cell r="C458">
            <v>24</v>
          </cell>
          <cell r="D458">
            <v>15</v>
          </cell>
          <cell r="F458" t="str">
            <v>宇都宮</v>
          </cell>
          <cell r="G458" t="str">
            <v>立体駐車場装置保守</v>
          </cell>
          <cell r="H458" t="str">
            <v>日精</v>
          </cell>
          <cell r="I458">
            <v>139000</v>
          </cell>
          <cell r="J458">
            <v>141780</v>
          </cell>
          <cell r="K458">
            <v>12</v>
          </cell>
          <cell r="L458">
            <v>141780</v>
          </cell>
          <cell r="M458">
            <v>141780</v>
          </cell>
          <cell r="N458">
            <v>141780</v>
          </cell>
          <cell r="O458">
            <v>141780</v>
          </cell>
          <cell r="P458">
            <v>141780</v>
          </cell>
          <cell r="Q458">
            <v>141780</v>
          </cell>
          <cell r="R458">
            <v>141780</v>
          </cell>
          <cell r="S458">
            <v>141780</v>
          </cell>
          <cell r="T458">
            <v>141780</v>
          </cell>
          <cell r="U458">
            <v>141780</v>
          </cell>
          <cell r="V458">
            <v>141780</v>
          </cell>
          <cell r="W458">
            <v>141780</v>
          </cell>
          <cell r="X458" t="str">
            <v>④</v>
          </cell>
          <cell r="Y458" t="str">
            <v>⑤</v>
          </cell>
          <cell r="Z458" t="str">
            <v>⑥</v>
          </cell>
          <cell r="AA458" t="str">
            <v>⑦</v>
          </cell>
          <cell r="AB458" t="str">
            <v>⑧</v>
          </cell>
          <cell r="AC458" t="str">
            <v>⑨</v>
          </cell>
          <cell r="AD458" t="str">
            <v>⑩</v>
          </cell>
          <cell r="AE458" t="str">
            <v>⑪</v>
          </cell>
          <cell r="AF458" t="str">
            <v>⑫</v>
          </cell>
          <cell r="AG458" t="str">
            <v>①</v>
          </cell>
          <cell r="AH458" t="str">
            <v>②</v>
          </cell>
          <cell r="AI458" t="str">
            <v>③</v>
          </cell>
        </row>
        <row r="459">
          <cell r="B459">
            <v>2416</v>
          </cell>
          <cell r="C459">
            <v>24</v>
          </cell>
          <cell r="D459">
            <v>16</v>
          </cell>
          <cell r="F459" t="str">
            <v>宇都宮</v>
          </cell>
          <cell r="G459" t="str">
            <v>害虫駆除</v>
          </cell>
          <cell r="H459" t="str">
            <v>三峯産業</v>
          </cell>
          <cell r="I459">
            <v>61300</v>
          </cell>
          <cell r="J459">
            <v>78170</v>
          </cell>
          <cell r="K459">
            <v>2</v>
          </cell>
          <cell r="L459">
            <v>0</v>
          </cell>
          <cell r="M459">
            <v>78170</v>
          </cell>
          <cell r="N459">
            <v>0</v>
          </cell>
          <cell r="O459">
            <v>0</v>
          </cell>
          <cell r="P459">
            <v>0</v>
          </cell>
          <cell r="Q459">
            <v>0</v>
          </cell>
          <cell r="R459">
            <v>0</v>
          </cell>
          <cell r="S459">
            <v>78170</v>
          </cell>
          <cell r="T459">
            <v>0</v>
          </cell>
          <cell r="U459">
            <v>0</v>
          </cell>
          <cell r="V459">
            <v>0</v>
          </cell>
          <cell r="W459">
            <v>0</v>
          </cell>
          <cell r="X459" t="str">
            <v/>
          </cell>
          <cell r="Y459" t="str">
            <v>⑤</v>
          </cell>
          <cell r="Z459" t="str">
            <v/>
          </cell>
          <cell r="AA459" t="str">
            <v/>
          </cell>
          <cell r="AB459" t="str">
            <v/>
          </cell>
          <cell r="AC459" t="str">
            <v/>
          </cell>
          <cell r="AD459" t="str">
            <v/>
          </cell>
          <cell r="AE459" t="str">
            <v>⑪</v>
          </cell>
          <cell r="AF459" t="str">
            <v/>
          </cell>
          <cell r="AG459" t="str">
            <v/>
          </cell>
          <cell r="AH459" t="str">
            <v/>
          </cell>
          <cell r="AI459" t="str">
            <v/>
          </cell>
          <cell r="AJ459" t="str">
            <v>変</v>
          </cell>
        </row>
        <row r="460">
          <cell r="B460">
            <v>2417</v>
          </cell>
          <cell r="C460">
            <v>24</v>
          </cell>
          <cell r="D460">
            <v>17</v>
          </cell>
          <cell r="F460" t="str">
            <v>宇都宮</v>
          </cell>
          <cell r="G460" t="str">
            <v>雑排水槽清掃</v>
          </cell>
          <cell r="H460" t="str">
            <v>宇都宮文化センター</v>
          </cell>
          <cell r="I460">
            <v>81000</v>
          </cell>
          <cell r="J460">
            <v>90720</v>
          </cell>
          <cell r="K460">
            <v>2</v>
          </cell>
          <cell r="L460">
            <v>0</v>
          </cell>
          <cell r="M460">
            <v>0</v>
          </cell>
          <cell r="N460">
            <v>90720</v>
          </cell>
          <cell r="O460">
            <v>0</v>
          </cell>
          <cell r="P460">
            <v>0</v>
          </cell>
          <cell r="Q460">
            <v>0</v>
          </cell>
          <cell r="R460">
            <v>0</v>
          </cell>
          <cell r="S460">
            <v>0</v>
          </cell>
          <cell r="T460">
            <v>90720</v>
          </cell>
          <cell r="U460">
            <v>0</v>
          </cell>
          <cell r="V460">
            <v>0</v>
          </cell>
          <cell r="W460">
            <v>0</v>
          </cell>
          <cell r="X460" t="str">
            <v/>
          </cell>
          <cell r="Y460" t="str">
            <v/>
          </cell>
          <cell r="Z460" t="str">
            <v>⑥</v>
          </cell>
          <cell r="AA460" t="str">
            <v/>
          </cell>
          <cell r="AB460" t="str">
            <v/>
          </cell>
          <cell r="AC460" t="str">
            <v/>
          </cell>
          <cell r="AD460" t="str">
            <v/>
          </cell>
          <cell r="AE460" t="str">
            <v/>
          </cell>
          <cell r="AF460" t="str">
            <v>⑫</v>
          </cell>
          <cell r="AG460" t="str">
            <v/>
          </cell>
          <cell r="AH460" t="str">
            <v/>
          </cell>
          <cell r="AI460" t="str">
            <v/>
          </cell>
        </row>
        <row r="461">
          <cell r="B461">
            <v>2418</v>
          </cell>
          <cell r="C461">
            <v>24</v>
          </cell>
          <cell r="D461">
            <v>18</v>
          </cell>
          <cell r="F461" t="str">
            <v>宇都宮</v>
          </cell>
          <cell r="G461" t="str">
            <v>受水槽清掃(含む高架水槽)</v>
          </cell>
          <cell r="H461" t="str">
            <v>宇都宮文化センター</v>
          </cell>
          <cell r="I461">
            <v>147000</v>
          </cell>
          <cell r="J461">
            <v>166110</v>
          </cell>
          <cell r="K461">
            <v>1</v>
          </cell>
          <cell r="L461">
            <v>0</v>
          </cell>
          <cell r="M461">
            <v>0</v>
          </cell>
          <cell r="N461">
            <v>166110</v>
          </cell>
          <cell r="O461">
            <v>0</v>
          </cell>
          <cell r="P461">
            <v>0</v>
          </cell>
          <cell r="Q461">
            <v>0</v>
          </cell>
          <cell r="R461">
            <v>0</v>
          </cell>
          <cell r="S461">
            <v>0</v>
          </cell>
          <cell r="T461">
            <v>0</v>
          </cell>
          <cell r="U461">
            <v>0</v>
          </cell>
          <cell r="V461">
            <v>0</v>
          </cell>
          <cell r="W461">
            <v>0</v>
          </cell>
          <cell r="X461" t="str">
            <v/>
          </cell>
          <cell r="Y461" t="str">
            <v/>
          </cell>
          <cell r="Z461" t="str">
            <v>⑥</v>
          </cell>
          <cell r="AA461" t="str">
            <v/>
          </cell>
          <cell r="AB461" t="str">
            <v/>
          </cell>
          <cell r="AC461" t="str">
            <v/>
          </cell>
          <cell r="AD461" t="str">
            <v/>
          </cell>
          <cell r="AE461" t="str">
            <v/>
          </cell>
          <cell r="AF461" t="str">
            <v/>
          </cell>
          <cell r="AG461" t="str">
            <v/>
          </cell>
          <cell r="AH461" t="str">
            <v/>
          </cell>
          <cell r="AI461" t="str">
            <v/>
          </cell>
        </row>
        <row r="462">
          <cell r="B462">
            <v>2419</v>
          </cell>
          <cell r="C462">
            <v>24</v>
          </cell>
          <cell r="D462">
            <v>19</v>
          </cell>
          <cell r="F462" t="str">
            <v>宇都宮</v>
          </cell>
          <cell r="G462" t="str">
            <v>自動ドアー保守</v>
          </cell>
          <cell r="H462" t="str">
            <v>栃木ナブコ</v>
          </cell>
          <cell r="I462">
            <v>27000</v>
          </cell>
          <cell r="J462">
            <v>29700</v>
          </cell>
          <cell r="K462">
            <v>2</v>
          </cell>
          <cell r="L462">
            <v>0</v>
          </cell>
          <cell r="M462">
            <v>29700</v>
          </cell>
          <cell r="N462">
            <v>0</v>
          </cell>
          <cell r="O462">
            <v>0</v>
          </cell>
          <cell r="P462">
            <v>0</v>
          </cell>
          <cell r="Q462">
            <v>0</v>
          </cell>
          <cell r="R462">
            <v>0</v>
          </cell>
          <cell r="S462">
            <v>29700</v>
          </cell>
          <cell r="T462">
            <v>0</v>
          </cell>
          <cell r="U462">
            <v>0</v>
          </cell>
          <cell r="V462">
            <v>0</v>
          </cell>
          <cell r="W462">
            <v>0</v>
          </cell>
          <cell r="X462" t="str">
            <v/>
          </cell>
          <cell r="Y462" t="str">
            <v>⑤</v>
          </cell>
          <cell r="Z462" t="str">
            <v/>
          </cell>
          <cell r="AA462" t="str">
            <v/>
          </cell>
          <cell r="AC462" t="str">
            <v/>
          </cell>
          <cell r="AD462" t="str">
            <v/>
          </cell>
          <cell r="AE462" t="str">
            <v>⑪</v>
          </cell>
          <cell r="AF462" t="str">
            <v/>
          </cell>
          <cell r="AG462" t="str">
            <v/>
          </cell>
          <cell r="AI462" t="str">
            <v/>
          </cell>
          <cell r="AJ462" t="str">
            <v>変</v>
          </cell>
        </row>
        <row r="463">
          <cell r="B463">
            <v>2420</v>
          </cell>
          <cell r="C463">
            <v>24</v>
          </cell>
          <cell r="D463">
            <v>20</v>
          </cell>
          <cell r="F463" t="str">
            <v>宇都宮</v>
          </cell>
          <cell r="G463" t="str">
            <v>冷却塔洗浄･殺藻剤交換</v>
          </cell>
          <cell r="H463" t="str">
            <v>㈲ダイワフィルター</v>
          </cell>
          <cell r="I463">
            <v>50000</v>
          </cell>
          <cell r="J463">
            <v>57500</v>
          </cell>
          <cell r="K463">
            <v>1</v>
          </cell>
          <cell r="L463">
            <v>0</v>
          </cell>
          <cell r="M463">
            <v>0</v>
          </cell>
          <cell r="N463">
            <v>0</v>
          </cell>
          <cell r="O463">
            <v>57500</v>
          </cell>
          <cell r="P463">
            <v>0</v>
          </cell>
          <cell r="Q463">
            <v>0</v>
          </cell>
          <cell r="R463">
            <v>0</v>
          </cell>
          <cell r="S463">
            <v>0</v>
          </cell>
          <cell r="T463">
            <v>0</v>
          </cell>
          <cell r="U463">
            <v>0</v>
          </cell>
          <cell r="V463">
            <v>0</v>
          </cell>
          <cell r="W463">
            <v>0</v>
          </cell>
          <cell r="X463" t="str">
            <v/>
          </cell>
          <cell r="Y463" t="str">
            <v/>
          </cell>
          <cell r="Z463" t="str">
            <v/>
          </cell>
          <cell r="AA463" t="str">
            <v>⑦</v>
          </cell>
          <cell r="AB463" t="str">
            <v/>
          </cell>
          <cell r="AC463" t="str">
            <v/>
          </cell>
          <cell r="AD463" t="str">
            <v/>
          </cell>
          <cell r="AE463" t="str">
            <v/>
          </cell>
          <cell r="AF463" t="str">
            <v/>
          </cell>
          <cell r="AG463" t="str">
            <v/>
          </cell>
          <cell r="AH463" t="str">
            <v/>
          </cell>
          <cell r="AI463" t="str">
            <v/>
          </cell>
          <cell r="AJ463" t="str">
            <v>追</v>
          </cell>
        </row>
        <row r="464">
          <cell r="B464">
            <v>2421</v>
          </cell>
          <cell r="C464">
            <v>24</v>
          </cell>
          <cell r="D464">
            <v>21</v>
          </cell>
          <cell r="F464" t="str">
            <v>宇都宮</v>
          </cell>
          <cell r="G464" t="str">
            <v>ﾊﾟｯｹｰｼﾞプレﾌｨﾙﾀｰ交換</v>
          </cell>
          <cell r="H464" t="str">
            <v>㈲ダイワフィルター</v>
          </cell>
          <cell r="I464">
            <v>40000</v>
          </cell>
          <cell r="J464">
            <v>46000</v>
          </cell>
          <cell r="K464">
            <v>2</v>
          </cell>
          <cell r="L464">
            <v>0</v>
          </cell>
          <cell r="M464">
            <v>0</v>
          </cell>
          <cell r="N464">
            <v>0</v>
          </cell>
          <cell r="O464">
            <v>0</v>
          </cell>
          <cell r="P464">
            <v>46000</v>
          </cell>
          <cell r="Q464">
            <v>0</v>
          </cell>
          <cell r="R464">
            <v>0</v>
          </cell>
          <cell r="S464">
            <v>0</v>
          </cell>
          <cell r="T464">
            <v>0</v>
          </cell>
          <cell r="U464">
            <v>0</v>
          </cell>
          <cell r="V464">
            <v>46000</v>
          </cell>
          <cell r="W464">
            <v>0</v>
          </cell>
          <cell r="X464" t="str">
            <v/>
          </cell>
          <cell r="Y464" t="str">
            <v/>
          </cell>
          <cell r="Z464" t="str">
            <v/>
          </cell>
          <cell r="AA464" t="str">
            <v/>
          </cell>
          <cell r="AB464" t="str">
            <v>⑧</v>
          </cell>
          <cell r="AC464" t="str">
            <v/>
          </cell>
          <cell r="AD464" t="str">
            <v/>
          </cell>
          <cell r="AE464" t="str">
            <v/>
          </cell>
          <cell r="AF464" t="str">
            <v/>
          </cell>
          <cell r="AG464" t="str">
            <v/>
          </cell>
          <cell r="AH464" t="str">
            <v>②</v>
          </cell>
          <cell r="AI464" t="str">
            <v/>
          </cell>
          <cell r="AJ464" t="str">
            <v>追</v>
          </cell>
        </row>
        <row r="465">
          <cell r="B465">
            <v>2422</v>
          </cell>
          <cell r="C465">
            <v>24</v>
          </cell>
          <cell r="D465">
            <v>22</v>
          </cell>
          <cell r="F465" t="str">
            <v>宇都宮</v>
          </cell>
          <cell r="G465" t="str">
            <v>玄関周辺ｱﾙﾐｻｯｼ特別清掃</v>
          </cell>
          <cell r="H465" t="str">
            <v>三峯産業</v>
          </cell>
          <cell r="I465">
            <v>134000</v>
          </cell>
          <cell r="J465">
            <v>154100</v>
          </cell>
          <cell r="K465">
            <v>1</v>
          </cell>
          <cell r="L465">
            <v>0</v>
          </cell>
          <cell r="M465">
            <v>0</v>
          </cell>
          <cell r="N465">
            <v>0</v>
          </cell>
          <cell r="O465">
            <v>0</v>
          </cell>
          <cell r="P465">
            <v>0</v>
          </cell>
          <cell r="Q465">
            <v>0</v>
          </cell>
          <cell r="R465">
            <v>0</v>
          </cell>
          <cell r="S465">
            <v>0</v>
          </cell>
          <cell r="T465">
            <v>154100</v>
          </cell>
          <cell r="U465">
            <v>0</v>
          </cell>
          <cell r="V465">
            <v>0</v>
          </cell>
          <cell r="W465">
            <v>0</v>
          </cell>
          <cell r="X465" t="str">
            <v/>
          </cell>
          <cell r="Y465" t="str">
            <v/>
          </cell>
          <cell r="Z465" t="str">
            <v/>
          </cell>
          <cell r="AA465" t="str">
            <v/>
          </cell>
          <cell r="AB465" t="str">
            <v/>
          </cell>
          <cell r="AC465" t="str">
            <v/>
          </cell>
          <cell r="AD465" t="str">
            <v/>
          </cell>
          <cell r="AE465" t="str">
            <v/>
          </cell>
          <cell r="AF465" t="str">
            <v>⑫</v>
          </cell>
          <cell r="AG465" t="str">
            <v/>
          </cell>
          <cell r="AH465" t="str">
            <v/>
          </cell>
          <cell r="AI465" t="str">
            <v/>
          </cell>
          <cell r="AJ465" t="str">
            <v>追</v>
          </cell>
        </row>
        <row r="466">
          <cell r="B466">
            <v>2501</v>
          </cell>
          <cell r="C466">
            <v>25</v>
          </cell>
          <cell r="D466">
            <v>1</v>
          </cell>
          <cell r="F466" t="str">
            <v>太田</v>
          </cell>
          <cell r="G466" t="str">
            <v>昇降機設備保守</v>
          </cell>
          <cell r="H466" t="str">
            <v>三菱電機ﾋﾞﾙﾃｸﾉｻｰﾋﾞｽ</v>
          </cell>
          <cell r="I466">
            <v>66600</v>
          </cell>
          <cell r="J466">
            <v>67932</v>
          </cell>
          <cell r="K466">
            <v>12</v>
          </cell>
          <cell r="L466">
            <v>67932</v>
          </cell>
          <cell r="M466">
            <v>67932</v>
          </cell>
          <cell r="N466">
            <v>67932</v>
          </cell>
          <cell r="O466">
            <v>67932</v>
          </cell>
          <cell r="P466">
            <v>67932</v>
          </cell>
          <cell r="Q466">
            <v>67932</v>
          </cell>
          <cell r="R466">
            <v>67932</v>
          </cell>
          <cell r="S466">
            <v>67932</v>
          </cell>
          <cell r="T466">
            <v>67932</v>
          </cell>
          <cell r="U466">
            <v>67932</v>
          </cell>
          <cell r="V466">
            <v>67932</v>
          </cell>
          <cell r="W466">
            <v>67932</v>
          </cell>
          <cell r="X466" t="str">
            <v>④</v>
          </cell>
          <cell r="Y466" t="str">
            <v>⑤</v>
          </cell>
          <cell r="Z466" t="str">
            <v>⑥</v>
          </cell>
          <cell r="AA466" t="str">
            <v>⑦</v>
          </cell>
          <cell r="AB466" t="str">
            <v>⑧</v>
          </cell>
          <cell r="AC466" t="str">
            <v>⑨</v>
          </cell>
          <cell r="AD466" t="str">
            <v>⑩</v>
          </cell>
          <cell r="AE466" t="str">
            <v>⑪</v>
          </cell>
          <cell r="AF466" t="str">
            <v>⑫</v>
          </cell>
          <cell r="AG466" t="str">
            <v>①</v>
          </cell>
          <cell r="AH466" t="str">
            <v>②</v>
          </cell>
          <cell r="AI466" t="str">
            <v>③</v>
          </cell>
        </row>
        <row r="467">
          <cell r="B467">
            <v>2502</v>
          </cell>
          <cell r="C467">
            <v>25</v>
          </cell>
          <cell r="D467">
            <v>2</v>
          </cell>
          <cell r="F467" t="str">
            <v>太田</v>
          </cell>
          <cell r="G467" t="str">
            <v>ﾊﾛｹﾞﾝ化物設備保守(外観)</v>
          </cell>
          <cell r="H467" t="str">
            <v>能美防災</v>
          </cell>
          <cell r="I467">
            <v>70480</v>
          </cell>
          <cell r="J467">
            <v>74004</v>
          </cell>
          <cell r="K467">
            <v>1</v>
          </cell>
          <cell r="L467">
            <v>0</v>
          </cell>
          <cell r="M467">
            <v>0</v>
          </cell>
          <cell r="N467">
            <v>0</v>
          </cell>
          <cell r="O467">
            <v>0</v>
          </cell>
          <cell r="P467">
            <v>0</v>
          </cell>
          <cell r="Q467">
            <v>0</v>
          </cell>
          <cell r="R467">
            <v>74004</v>
          </cell>
          <cell r="S467">
            <v>0</v>
          </cell>
          <cell r="T467">
            <v>0</v>
          </cell>
          <cell r="U467">
            <v>0</v>
          </cell>
          <cell r="V467">
            <v>0</v>
          </cell>
          <cell r="W467">
            <v>0</v>
          </cell>
          <cell r="X467" t="str">
            <v/>
          </cell>
          <cell r="Y467" t="str">
            <v/>
          </cell>
          <cell r="Z467" t="str">
            <v/>
          </cell>
          <cell r="AA467" t="str">
            <v/>
          </cell>
          <cell r="AB467" t="str">
            <v/>
          </cell>
          <cell r="AC467" t="str">
            <v/>
          </cell>
          <cell r="AD467" t="str">
            <v>⑩</v>
          </cell>
          <cell r="AE467" t="str">
            <v/>
          </cell>
          <cell r="AF467" t="str">
            <v/>
          </cell>
          <cell r="AG467" t="str">
            <v/>
          </cell>
          <cell r="AH467" t="str">
            <v/>
          </cell>
          <cell r="AI467" t="str">
            <v/>
          </cell>
          <cell r="AJ467" t="str">
            <v>変</v>
          </cell>
        </row>
        <row r="468">
          <cell r="B468">
            <v>2503</v>
          </cell>
          <cell r="C468">
            <v>25</v>
          </cell>
          <cell r="D468">
            <v>3</v>
          </cell>
          <cell r="F468" t="str">
            <v>太田</v>
          </cell>
          <cell r="G468" t="str">
            <v>ﾊﾛｹﾞﾝ化物設備保守(総合)</v>
          </cell>
          <cell r="H468" t="str">
            <v>能美防災</v>
          </cell>
          <cell r="I468">
            <v>137520</v>
          </cell>
          <cell r="J468">
            <v>144396</v>
          </cell>
          <cell r="K468">
            <v>1</v>
          </cell>
          <cell r="L468">
            <v>144396</v>
          </cell>
          <cell r="M468">
            <v>0</v>
          </cell>
          <cell r="N468">
            <v>0</v>
          </cell>
          <cell r="O468">
            <v>0</v>
          </cell>
          <cell r="P468">
            <v>0</v>
          </cell>
          <cell r="Q468">
            <v>0</v>
          </cell>
          <cell r="R468">
            <v>0</v>
          </cell>
          <cell r="S468">
            <v>0</v>
          </cell>
          <cell r="T468">
            <v>0</v>
          </cell>
          <cell r="U468">
            <v>0</v>
          </cell>
          <cell r="V468">
            <v>0</v>
          </cell>
          <cell r="W468">
            <v>0</v>
          </cell>
          <cell r="X468" t="str">
            <v>④</v>
          </cell>
          <cell r="Y468" t="str">
            <v/>
          </cell>
          <cell r="Z468" t="str">
            <v/>
          </cell>
          <cell r="AA468" t="str">
            <v/>
          </cell>
          <cell r="AB468" t="str">
            <v/>
          </cell>
          <cell r="AC468" t="str">
            <v/>
          </cell>
          <cell r="AD468" t="str">
            <v/>
          </cell>
          <cell r="AE468" t="str">
            <v/>
          </cell>
          <cell r="AF468" t="str">
            <v/>
          </cell>
          <cell r="AG468" t="str">
            <v/>
          </cell>
          <cell r="AH468" t="str">
            <v/>
          </cell>
          <cell r="AI468" t="str">
            <v/>
          </cell>
          <cell r="AJ468" t="str">
            <v>変</v>
          </cell>
        </row>
        <row r="469">
          <cell r="B469">
            <v>2504</v>
          </cell>
          <cell r="C469">
            <v>25</v>
          </cell>
          <cell r="D469">
            <v>4</v>
          </cell>
          <cell r="F469" t="str">
            <v>太田</v>
          </cell>
          <cell r="G469" t="str">
            <v>消火器(外観)</v>
          </cell>
          <cell r="H469" t="str">
            <v>ホーチキ</v>
          </cell>
          <cell r="I469">
            <v>16000</v>
          </cell>
          <cell r="J469">
            <v>16320</v>
          </cell>
          <cell r="K469">
            <v>2</v>
          </cell>
          <cell r="L469">
            <v>0</v>
          </cell>
          <cell r="M469">
            <v>0</v>
          </cell>
          <cell r="N469">
            <v>0</v>
          </cell>
          <cell r="O469">
            <v>16320</v>
          </cell>
          <cell r="P469">
            <v>0</v>
          </cell>
          <cell r="Q469">
            <v>0</v>
          </cell>
          <cell r="R469">
            <v>0</v>
          </cell>
          <cell r="S469">
            <v>0</v>
          </cell>
          <cell r="T469">
            <v>0</v>
          </cell>
          <cell r="U469">
            <v>16320</v>
          </cell>
          <cell r="V469">
            <v>0</v>
          </cell>
          <cell r="W469">
            <v>0</v>
          </cell>
          <cell r="X469" t="str">
            <v/>
          </cell>
          <cell r="Y469" t="str">
            <v/>
          </cell>
          <cell r="Z469" t="str">
            <v/>
          </cell>
          <cell r="AA469" t="str">
            <v>⑦</v>
          </cell>
          <cell r="AB469" t="str">
            <v/>
          </cell>
          <cell r="AC469" t="str">
            <v/>
          </cell>
          <cell r="AD469" t="str">
            <v/>
          </cell>
          <cell r="AE469" t="str">
            <v/>
          </cell>
          <cell r="AF469" t="str">
            <v/>
          </cell>
          <cell r="AG469" t="str">
            <v>①</v>
          </cell>
          <cell r="AH469" t="str">
            <v/>
          </cell>
          <cell r="AI469" t="str">
            <v/>
          </cell>
        </row>
        <row r="470">
          <cell r="B470">
            <v>2505</v>
          </cell>
          <cell r="C470">
            <v>25</v>
          </cell>
          <cell r="D470">
            <v>5</v>
          </cell>
          <cell r="F470" t="str">
            <v>太田</v>
          </cell>
          <cell r="G470" t="str">
            <v>屋内消火栓(外観)</v>
          </cell>
          <cell r="H470" t="str">
            <v>ホーチキ</v>
          </cell>
          <cell r="I470">
            <v>39000</v>
          </cell>
          <cell r="J470">
            <v>39780</v>
          </cell>
          <cell r="K470">
            <v>1</v>
          </cell>
          <cell r="L470">
            <v>0</v>
          </cell>
          <cell r="M470">
            <v>0</v>
          </cell>
          <cell r="N470">
            <v>0</v>
          </cell>
          <cell r="O470">
            <v>39780</v>
          </cell>
          <cell r="P470">
            <v>0</v>
          </cell>
          <cell r="Q470">
            <v>0</v>
          </cell>
          <cell r="R470">
            <v>0</v>
          </cell>
          <cell r="S470">
            <v>0</v>
          </cell>
          <cell r="T470">
            <v>0</v>
          </cell>
          <cell r="U470">
            <v>0</v>
          </cell>
          <cell r="V470">
            <v>0</v>
          </cell>
          <cell r="W470">
            <v>0</v>
          </cell>
          <cell r="X470" t="str">
            <v/>
          </cell>
          <cell r="Y470" t="str">
            <v/>
          </cell>
          <cell r="Z470" t="str">
            <v/>
          </cell>
          <cell r="AA470" t="str">
            <v>⑦</v>
          </cell>
          <cell r="AB470" t="str">
            <v/>
          </cell>
          <cell r="AC470" t="str">
            <v/>
          </cell>
          <cell r="AD470" t="str">
            <v/>
          </cell>
          <cell r="AE470" t="str">
            <v/>
          </cell>
          <cell r="AF470" t="str">
            <v/>
          </cell>
          <cell r="AG470" t="str">
            <v/>
          </cell>
          <cell r="AH470" t="str">
            <v/>
          </cell>
          <cell r="AI470" t="str">
            <v/>
          </cell>
        </row>
        <row r="471">
          <cell r="B471">
            <v>2506</v>
          </cell>
          <cell r="C471">
            <v>25</v>
          </cell>
          <cell r="D471">
            <v>6</v>
          </cell>
          <cell r="F471" t="str">
            <v>太田</v>
          </cell>
          <cell r="G471" t="str">
            <v>屋内消火栓(総合)</v>
          </cell>
          <cell r="H471" t="str">
            <v>ホーチキ</v>
          </cell>
          <cell r="I471">
            <v>59000</v>
          </cell>
          <cell r="J471">
            <v>60180</v>
          </cell>
          <cell r="K471">
            <v>1</v>
          </cell>
          <cell r="L471">
            <v>0</v>
          </cell>
          <cell r="M471">
            <v>0</v>
          </cell>
          <cell r="N471">
            <v>0</v>
          </cell>
          <cell r="O471">
            <v>0</v>
          </cell>
          <cell r="P471">
            <v>0</v>
          </cell>
          <cell r="Q471">
            <v>0</v>
          </cell>
          <cell r="R471">
            <v>0</v>
          </cell>
          <cell r="S471">
            <v>0</v>
          </cell>
          <cell r="T471">
            <v>0</v>
          </cell>
          <cell r="U471">
            <v>60180</v>
          </cell>
          <cell r="V471">
            <v>0</v>
          </cell>
          <cell r="W471">
            <v>0</v>
          </cell>
          <cell r="X471" t="str">
            <v/>
          </cell>
          <cell r="Y471" t="str">
            <v/>
          </cell>
          <cell r="Z471" t="str">
            <v/>
          </cell>
          <cell r="AA471" t="str">
            <v/>
          </cell>
          <cell r="AB471" t="str">
            <v/>
          </cell>
          <cell r="AC471" t="str">
            <v/>
          </cell>
          <cell r="AD471" t="str">
            <v/>
          </cell>
          <cell r="AE471" t="str">
            <v/>
          </cell>
          <cell r="AF471" t="str">
            <v/>
          </cell>
          <cell r="AG471" t="str">
            <v>①</v>
          </cell>
          <cell r="AH471" t="str">
            <v/>
          </cell>
          <cell r="AI471" t="str">
            <v/>
          </cell>
        </row>
        <row r="472">
          <cell r="B472">
            <v>2507</v>
          </cell>
          <cell r="C472">
            <v>25</v>
          </cell>
          <cell r="D472">
            <v>7</v>
          </cell>
          <cell r="F472" t="str">
            <v>太田</v>
          </cell>
          <cell r="G472" t="str">
            <v>Ｐ型自火報(外観)</v>
          </cell>
          <cell r="H472" t="str">
            <v>ホーチキ</v>
          </cell>
          <cell r="I472">
            <v>36000</v>
          </cell>
          <cell r="J472">
            <v>36720</v>
          </cell>
          <cell r="K472">
            <v>1</v>
          </cell>
          <cell r="L472">
            <v>0</v>
          </cell>
          <cell r="M472">
            <v>0</v>
          </cell>
          <cell r="N472">
            <v>0</v>
          </cell>
          <cell r="O472">
            <v>36720</v>
          </cell>
          <cell r="P472">
            <v>0</v>
          </cell>
          <cell r="Q472">
            <v>0</v>
          </cell>
          <cell r="R472">
            <v>0</v>
          </cell>
          <cell r="S472">
            <v>0</v>
          </cell>
          <cell r="T472">
            <v>0</v>
          </cell>
          <cell r="U472">
            <v>0</v>
          </cell>
          <cell r="V472">
            <v>0</v>
          </cell>
          <cell r="W472">
            <v>0</v>
          </cell>
          <cell r="X472" t="str">
            <v/>
          </cell>
          <cell r="Y472" t="str">
            <v/>
          </cell>
          <cell r="Z472" t="str">
            <v/>
          </cell>
          <cell r="AA472" t="str">
            <v>⑦</v>
          </cell>
          <cell r="AB472" t="str">
            <v/>
          </cell>
          <cell r="AC472" t="str">
            <v/>
          </cell>
          <cell r="AD472" t="str">
            <v/>
          </cell>
          <cell r="AE472" t="str">
            <v/>
          </cell>
          <cell r="AF472" t="str">
            <v/>
          </cell>
          <cell r="AG472" t="str">
            <v/>
          </cell>
          <cell r="AH472" t="str">
            <v/>
          </cell>
          <cell r="AI472" t="str">
            <v/>
          </cell>
        </row>
        <row r="473">
          <cell r="B473">
            <v>2508</v>
          </cell>
          <cell r="C473">
            <v>25</v>
          </cell>
          <cell r="D473">
            <v>8</v>
          </cell>
          <cell r="F473" t="str">
            <v>太田</v>
          </cell>
          <cell r="G473" t="str">
            <v>Ｐ型自火報(総合)</v>
          </cell>
          <cell r="H473" t="str">
            <v>ホーチキ</v>
          </cell>
          <cell r="I473">
            <v>75000</v>
          </cell>
          <cell r="J473">
            <v>76500</v>
          </cell>
          <cell r="K473">
            <v>1</v>
          </cell>
          <cell r="L473">
            <v>0</v>
          </cell>
          <cell r="M473">
            <v>0</v>
          </cell>
          <cell r="N473">
            <v>0</v>
          </cell>
          <cell r="O473">
            <v>0</v>
          </cell>
          <cell r="P473">
            <v>0</v>
          </cell>
          <cell r="Q473">
            <v>0</v>
          </cell>
          <cell r="R473">
            <v>0</v>
          </cell>
          <cell r="S473">
            <v>0</v>
          </cell>
          <cell r="T473">
            <v>0</v>
          </cell>
          <cell r="U473">
            <v>76500</v>
          </cell>
          <cell r="V473">
            <v>0</v>
          </cell>
          <cell r="W473">
            <v>0</v>
          </cell>
          <cell r="X473" t="str">
            <v/>
          </cell>
          <cell r="Y473" t="str">
            <v/>
          </cell>
          <cell r="Z473" t="str">
            <v/>
          </cell>
          <cell r="AA473" t="str">
            <v/>
          </cell>
          <cell r="AB473" t="str">
            <v/>
          </cell>
          <cell r="AC473" t="str">
            <v/>
          </cell>
          <cell r="AD473" t="str">
            <v/>
          </cell>
          <cell r="AE473" t="str">
            <v/>
          </cell>
          <cell r="AF473" t="str">
            <v/>
          </cell>
          <cell r="AG473" t="str">
            <v>①</v>
          </cell>
          <cell r="AH473" t="str">
            <v/>
          </cell>
          <cell r="AI473" t="str">
            <v/>
          </cell>
        </row>
        <row r="474">
          <cell r="B474">
            <v>2509</v>
          </cell>
          <cell r="C474">
            <v>25</v>
          </cell>
          <cell r="D474">
            <v>9</v>
          </cell>
          <cell r="F474" t="str">
            <v>太田</v>
          </cell>
          <cell r="G474" t="str">
            <v>非常放送(外観)</v>
          </cell>
          <cell r="H474" t="str">
            <v>ホーチキ</v>
          </cell>
          <cell r="I474">
            <v>23000</v>
          </cell>
          <cell r="J474">
            <v>23460</v>
          </cell>
          <cell r="K474">
            <v>1</v>
          </cell>
          <cell r="L474">
            <v>0</v>
          </cell>
          <cell r="M474">
            <v>0</v>
          </cell>
          <cell r="N474">
            <v>0</v>
          </cell>
          <cell r="O474">
            <v>23460</v>
          </cell>
          <cell r="P474">
            <v>0</v>
          </cell>
          <cell r="Q474">
            <v>0</v>
          </cell>
          <cell r="R474">
            <v>0</v>
          </cell>
          <cell r="S474">
            <v>0</v>
          </cell>
          <cell r="T474">
            <v>0</v>
          </cell>
          <cell r="U474">
            <v>0</v>
          </cell>
          <cell r="V474">
            <v>0</v>
          </cell>
          <cell r="W474">
            <v>0</v>
          </cell>
          <cell r="X474" t="str">
            <v/>
          </cell>
          <cell r="Y474" t="str">
            <v/>
          </cell>
          <cell r="Z474" t="str">
            <v/>
          </cell>
          <cell r="AA474" t="str">
            <v>⑦</v>
          </cell>
          <cell r="AB474" t="str">
            <v/>
          </cell>
          <cell r="AC474" t="str">
            <v/>
          </cell>
          <cell r="AD474" t="str">
            <v/>
          </cell>
          <cell r="AE474" t="str">
            <v/>
          </cell>
          <cell r="AF474" t="str">
            <v/>
          </cell>
          <cell r="AG474" t="str">
            <v/>
          </cell>
          <cell r="AH474" t="str">
            <v/>
          </cell>
          <cell r="AI474" t="str">
            <v/>
          </cell>
        </row>
        <row r="475">
          <cell r="B475">
            <v>2510</v>
          </cell>
          <cell r="C475">
            <v>25</v>
          </cell>
          <cell r="D475">
            <v>10</v>
          </cell>
          <cell r="F475" t="str">
            <v>太田</v>
          </cell>
          <cell r="G475" t="str">
            <v>非常放送(総合)</v>
          </cell>
          <cell r="H475" t="str">
            <v>ホーチキ</v>
          </cell>
          <cell r="I475">
            <v>35000</v>
          </cell>
          <cell r="J475">
            <v>35700</v>
          </cell>
          <cell r="K475">
            <v>1</v>
          </cell>
          <cell r="L475">
            <v>0</v>
          </cell>
          <cell r="M475">
            <v>0</v>
          </cell>
          <cell r="N475">
            <v>0</v>
          </cell>
          <cell r="O475">
            <v>0</v>
          </cell>
          <cell r="P475">
            <v>0</v>
          </cell>
          <cell r="Q475">
            <v>0</v>
          </cell>
          <cell r="R475">
            <v>0</v>
          </cell>
          <cell r="S475">
            <v>0</v>
          </cell>
          <cell r="T475">
            <v>0</v>
          </cell>
          <cell r="U475">
            <v>35700</v>
          </cell>
          <cell r="V475">
            <v>0</v>
          </cell>
          <cell r="W475">
            <v>0</v>
          </cell>
          <cell r="X475" t="str">
            <v/>
          </cell>
          <cell r="Y475" t="str">
            <v/>
          </cell>
          <cell r="Z475" t="str">
            <v/>
          </cell>
          <cell r="AA475" t="str">
            <v/>
          </cell>
          <cell r="AB475" t="str">
            <v/>
          </cell>
          <cell r="AC475" t="str">
            <v/>
          </cell>
          <cell r="AD475" t="str">
            <v/>
          </cell>
          <cell r="AE475" t="str">
            <v/>
          </cell>
          <cell r="AF475" t="str">
            <v/>
          </cell>
          <cell r="AG475" t="str">
            <v>①</v>
          </cell>
          <cell r="AH475" t="str">
            <v/>
          </cell>
          <cell r="AI475" t="str">
            <v/>
          </cell>
        </row>
        <row r="476">
          <cell r="B476">
            <v>2511</v>
          </cell>
          <cell r="C476">
            <v>25</v>
          </cell>
          <cell r="D476">
            <v>11</v>
          </cell>
          <cell r="F476" t="str">
            <v>太田</v>
          </cell>
          <cell r="G476" t="str">
            <v>誘導灯･誘導標識(外観)</v>
          </cell>
          <cell r="H476" t="str">
            <v>ホーチキ</v>
          </cell>
          <cell r="I476">
            <v>30000</v>
          </cell>
          <cell r="J476">
            <v>30600</v>
          </cell>
          <cell r="K476">
            <v>2</v>
          </cell>
          <cell r="L476">
            <v>0</v>
          </cell>
          <cell r="M476">
            <v>0</v>
          </cell>
          <cell r="N476">
            <v>0</v>
          </cell>
          <cell r="O476">
            <v>30600</v>
          </cell>
          <cell r="P476">
            <v>0</v>
          </cell>
          <cell r="Q476">
            <v>0</v>
          </cell>
          <cell r="R476">
            <v>0</v>
          </cell>
          <cell r="S476">
            <v>0</v>
          </cell>
          <cell r="T476">
            <v>0</v>
          </cell>
          <cell r="U476">
            <v>30600</v>
          </cell>
          <cell r="V476">
            <v>0</v>
          </cell>
          <cell r="W476">
            <v>0</v>
          </cell>
          <cell r="X476" t="str">
            <v/>
          </cell>
          <cell r="Y476" t="str">
            <v/>
          </cell>
          <cell r="Z476" t="str">
            <v/>
          </cell>
          <cell r="AA476" t="str">
            <v>⑦</v>
          </cell>
          <cell r="AB476" t="str">
            <v/>
          </cell>
          <cell r="AC476" t="str">
            <v/>
          </cell>
          <cell r="AD476" t="str">
            <v/>
          </cell>
          <cell r="AE476" t="str">
            <v/>
          </cell>
          <cell r="AF476" t="str">
            <v/>
          </cell>
          <cell r="AG476" t="str">
            <v>①</v>
          </cell>
          <cell r="AH476" t="str">
            <v/>
          </cell>
          <cell r="AI476" t="str">
            <v/>
          </cell>
        </row>
        <row r="477">
          <cell r="B477">
            <v>2512</v>
          </cell>
          <cell r="C477">
            <v>25</v>
          </cell>
          <cell r="D477">
            <v>12</v>
          </cell>
          <cell r="F477" t="str">
            <v>太田</v>
          </cell>
          <cell r="G477" t="str">
            <v>Ｐ型防排煙制御(外観)</v>
          </cell>
          <cell r="H477" t="str">
            <v>ホーチキ</v>
          </cell>
          <cell r="I477">
            <v>31000</v>
          </cell>
          <cell r="J477">
            <v>31620</v>
          </cell>
          <cell r="K477">
            <v>1</v>
          </cell>
          <cell r="L477">
            <v>0</v>
          </cell>
          <cell r="M477">
            <v>0</v>
          </cell>
          <cell r="N477">
            <v>0</v>
          </cell>
          <cell r="O477">
            <v>31620</v>
          </cell>
          <cell r="P477">
            <v>0</v>
          </cell>
          <cell r="Q477">
            <v>0</v>
          </cell>
          <cell r="R477">
            <v>0</v>
          </cell>
          <cell r="S477">
            <v>0</v>
          </cell>
          <cell r="T477">
            <v>0</v>
          </cell>
          <cell r="U477">
            <v>0</v>
          </cell>
          <cell r="V477">
            <v>0</v>
          </cell>
          <cell r="W477">
            <v>0</v>
          </cell>
          <cell r="X477" t="str">
            <v/>
          </cell>
          <cell r="Y477" t="str">
            <v/>
          </cell>
          <cell r="Z477" t="str">
            <v/>
          </cell>
          <cell r="AA477" t="str">
            <v>⑦</v>
          </cell>
          <cell r="AB477" t="str">
            <v/>
          </cell>
          <cell r="AC477" t="str">
            <v/>
          </cell>
          <cell r="AD477" t="str">
            <v/>
          </cell>
          <cell r="AE477" t="str">
            <v/>
          </cell>
          <cell r="AF477" t="str">
            <v/>
          </cell>
          <cell r="AG477" t="str">
            <v/>
          </cell>
          <cell r="AH477" t="str">
            <v/>
          </cell>
          <cell r="AI477" t="str">
            <v/>
          </cell>
        </row>
        <row r="478">
          <cell r="B478">
            <v>2513</v>
          </cell>
          <cell r="C478">
            <v>25</v>
          </cell>
          <cell r="D478">
            <v>13</v>
          </cell>
          <cell r="F478" t="str">
            <v>太田</v>
          </cell>
          <cell r="G478" t="str">
            <v>Ｐ型防排煙制御(総合)</v>
          </cell>
          <cell r="H478" t="str">
            <v>ホーチキ</v>
          </cell>
          <cell r="I478">
            <v>33000</v>
          </cell>
          <cell r="J478">
            <v>33660</v>
          </cell>
          <cell r="K478">
            <v>1</v>
          </cell>
          <cell r="L478">
            <v>0</v>
          </cell>
          <cell r="M478">
            <v>0</v>
          </cell>
          <cell r="N478">
            <v>0</v>
          </cell>
          <cell r="O478">
            <v>0</v>
          </cell>
          <cell r="P478">
            <v>0</v>
          </cell>
          <cell r="Q478">
            <v>0</v>
          </cell>
          <cell r="R478">
            <v>0</v>
          </cell>
          <cell r="S478">
            <v>0</v>
          </cell>
          <cell r="T478">
            <v>0</v>
          </cell>
          <cell r="U478">
            <v>33660</v>
          </cell>
          <cell r="V478">
            <v>0</v>
          </cell>
          <cell r="W478">
            <v>0</v>
          </cell>
          <cell r="X478" t="str">
            <v/>
          </cell>
          <cell r="Y478" t="str">
            <v/>
          </cell>
          <cell r="Z478" t="str">
            <v/>
          </cell>
          <cell r="AA478" t="str">
            <v/>
          </cell>
          <cell r="AB478" t="str">
            <v/>
          </cell>
          <cell r="AC478" t="str">
            <v/>
          </cell>
          <cell r="AD478" t="str">
            <v/>
          </cell>
          <cell r="AE478" t="str">
            <v/>
          </cell>
          <cell r="AF478" t="str">
            <v/>
          </cell>
          <cell r="AG478" t="str">
            <v>①</v>
          </cell>
          <cell r="AH478" t="str">
            <v/>
          </cell>
          <cell r="AI478" t="str">
            <v/>
          </cell>
        </row>
        <row r="479">
          <cell r="B479">
            <v>2514</v>
          </cell>
          <cell r="C479">
            <v>25</v>
          </cell>
          <cell r="D479">
            <v>14</v>
          </cell>
          <cell r="F479" t="str">
            <v>太田</v>
          </cell>
          <cell r="G479" t="str">
            <v>Ｐ型ｶﾞｽ漏火災警報(外観)</v>
          </cell>
          <cell r="H479" t="str">
            <v>ホーチキ</v>
          </cell>
          <cell r="I479">
            <v>12000</v>
          </cell>
          <cell r="J479">
            <v>12240</v>
          </cell>
          <cell r="K479">
            <v>1</v>
          </cell>
          <cell r="L479">
            <v>0</v>
          </cell>
          <cell r="M479">
            <v>0</v>
          </cell>
          <cell r="N479">
            <v>0</v>
          </cell>
          <cell r="O479">
            <v>12240</v>
          </cell>
          <cell r="P479">
            <v>0</v>
          </cell>
          <cell r="Q479">
            <v>0</v>
          </cell>
          <cell r="R479">
            <v>0</v>
          </cell>
          <cell r="S479">
            <v>0</v>
          </cell>
          <cell r="T479">
            <v>0</v>
          </cell>
          <cell r="U479">
            <v>0</v>
          </cell>
          <cell r="V479">
            <v>0</v>
          </cell>
          <cell r="W479">
            <v>0</v>
          </cell>
          <cell r="X479" t="str">
            <v/>
          </cell>
          <cell r="Y479" t="str">
            <v/>
          </cell>
          <cell r="Z479" t="str">
            <v/>
          </cell>
          <cell r="AA479" t="str">
            <v>⑦</v>
          </cell>
          <cell r="AB479" t="str">
            <v/>
          </cell>
          <cell r="AC479" t="str">
            <v/>
          </cell>
          <cell r="AD479" t="str">
            <v/>
          </cell>
          <cell r="AE479" t="str">
            <v/>
          </cell>
          <cell r="AF479" t="str">
            <v/>
          </cell>
          <cell r="AG479" t="str">
            <v/>
          </cell>
          <cell r="AH479" t="str">
            <v/>
          </cell>
          <cell r="AI479" t="str">
            <v/>
          </cell>
        </row>
        <row r="480">
          <cell r="B480">
            <v>2515</v>
          </cell>
          <cell r="C480">
            <v>25</v>
          </cell>
          <cell r="D480">
            <v>15</v>
          </cell>
          <cell r="F480" t="str">
            <v>太田</v>
          </cell>
          <cell r="G480" t="str">
            <v>Ｐ型ｶﾞｽ漏火災警報(総合)</v>
          </cell>
          <cell r="H480" t="str">
            <v>ホーチキ</v>
          </cell>
          <cell r="I480">
            <v>26000</v>
          </cell>
          <cell r="J480">
            <v>26520</v>
          </cell>
          <cell r="K480">
            <v>1</v>
          </cell>
          <cell r="L480">
            <v>0</v>
          </cell>
          <cell r="M480">
            <v>0</v>
          </cell>
          <cell r="N480">
            <v>0</v>
          </cell>
          <cell r="O480">
            <v>0</v>
          </cell>
          <cell r="P480">
            <v>0</v>
          </cell>
          <cell r="Q480">
            <v>0</v>
          </cell>
          <cell r="R480">
            <v>0</v>
          </cell>
          <cell r="S480">
            <v>0</v>
          </cell>
          <cell r="T480">
            <v>0</v>
          </cell>
          <cell r="U480">
            <v>26520</v>
          </cell>
          <cell r="V480">
            <v>0</v>
          </cell>
          <cell r="W480">
            <v>0</v>
          </cell>
          <cell r="X480" t="str">
            <v/>
          </cell>
          <cell r="Y480" t="str">
            <v/>
          </cell>
          <cell r="Z480" t="str">
            <v/>
          </cell>
          <cell r="AA480" t="str">
            <v/>
          </cell>
          <cell r="AB480" t="str">
            <v/>
          </cell>
          <cell r="AC480" t="str">
            <v/>
          </cell>
          <cell r="AD480" t="str">
            <v/>
          </cell>
          <cell r="AE480" t="str">
            <v/>
          </cell>
          <cell r="AF480" t="str">
            <v/>
          </cell>
          <cell r="AG480" t="str">
            <v>①</v>
          </cell>
          <cell r="AH480" t="str">
            <v/>
          </cell>
          <cell r="AI480" t="str">
            <v/>
          </cell>
        </row>
        <row r="481">
          <cell r="B481">
            <v>2516</v>
          </cell>
          <cell r="C481">
            <v>25</v>
          </cell>
          <cell r="D481">
            <v>16</v>
          </cell>
          <cell r="F481" t="str">
            <v>太田</v>
          </cell>
          <cell r="G481" t="str">
            <v>立体駐車場装置保守</v>
          </cell>
          <cell r="H481" t="str">
            <v>三菱重工ﾊﾟｰｷﾝｸﾞ建設</v>
          </cell>
          <cell r="I481">
            <v>193000</v>
          </cell>
          <cell r="J481">
            <v>196860</v>
          </cell>
          <cell r="K481">
            <v>12</v>
          </cell>
          <cell r="L481">
            <v>196860</v>
          </cell>
          <cell r="M481">
            <v>196860</v>
          </cell>
          <cell r="N481">
            <v>196860</v>
          </cell>
          <cell r="O481">
            <v>196860</v>
          </cell>
          <cell r="P481">
            <v>196860</v>
          </cell>
          <cell r="Q481">
            <v>196860</v>
          </cell>
          <cell r="R481">
            <v>196860</v>
          </cell>
          <cell r="S481">
            <v>196860</v>
          </cell>
          <cell r="T481">
            <v>196860</v>
          </cell>
          <cell r="U481">
            <v>196860</v>
          </cell>
          <cell r="V481">
            <v>196860</v>
          </cell>
          <cell r="W481">
            <v>196860</v>
          </cell>
          <cell r="X481" t="str">
            <v>④</v>
          </cell>
          <cell r="Y481" t="str">
            <v>⑤</v>
          </cell>
          <cell r="Z481" t="str">
            <v>⑥</v>
          </cell>
          <cell r="AA481" t="str">
            <v>⑦</v>
          </cell>
          <cell r="AB481" t="str">
            <v>⑧</v>
          </cell>
          <cell r="AC481" t="str">
            <v>⑨</v>
          </cell>
          <cell r="AD481" t="str">
            <v>⑩</v>
          </cell>
          <cell r="AE481" t="str">
            <v>⑪</v>
          </cell>
          <cell r="AF481" t="str">
            <v>⑫</v>
          </cell>
          <cell r="AG481" t="str">
            <v>①</v>
          </cell>
          <cell r="AH481" t="str">
            <v>②</v>
          </cell>
          <cell r="AI481" t="str">
            <v>③</v>
          </cell>
        </row>
        <row r="482">
          <cell r="B482">
            <v>2517</v>
          </cell>
          <cell r="C482">
            <v>25</v>
          </cell>
          <cell r="D482">
            <v>17</v>
          </cell>
          <cell r="F482" t="str">
            <v>太田</v>
          </cell>
          <cell r="G482" t="str">
            <v>害虫駆除</v>
          </cell>
          <cell r="H482" t="str">
            <v>三共消毒</v>
          </cell>
          <cell r="I482">
            <v>103425</v>
          </cell>
          <cell r="J482">
            <v>113767</v>
          </cell>
          <cell r="K482">
            <v>2</v>
          </cell>
          <cell r="L482">
            <v>113767</v>
          </cell>
          <cell r="M482">
            <v>0</v>
          </cell>
          <cell r="N482">
            <v>0</v>
          </cell>
          <cell r="O482">
            <v>0</v>
          </cell>
          <cell r="P482">
            <v>0</v>
          </cell>
          <cell r="Q482">
            <v>0</v>
          </cell>
          <cell r="R482">
            <v>113767</v>
          </cell>
          <cell r="S482">
            <v>0</v>
          </cell>
          <cell r="T482">
            <v>0</v>
          </cell>
          <cell r="U482">
            <v>0</v>
          </cell>
          <cell r="V482">
            <v>0</v>
          </cell>
          <cell r="W482">
            <v>0</v>
          </cell>
          <cell r="X482" t="str">
            <v>④</v>
          </cell>
          <cell r="Y482" t="str">
            <v/>
          </cell>
          <cell r="Z482" t="str">
            <v/>
          </cell>
          <cell r="AA482" t="str">
            <v/>
          </cell>
          <cell r="AB482" t="str">
            <v/>
          </cell>
          <cell r="AC482" t="str">
            <v/>
          </cell>
          <cell r="AD482" t="str">
            <v>⑩</v>
          </cell>
          <cell r="AE482" t="str">
            <v/>
          </cell>
          <cell r="AF482" t="str">
            <v/>
          </cell>
          <cell r="AG482" t="str">
            <v/>
          </cell>
          <cell r="AH482" t="str">
            <v/>
          </cell>
          <cell r="AI482" t="str">
            <v/>
          </cell>
        </row>
        <row r="483">
          <cell r="B483">
            <v>2518</v>
          </cell>
          <cell r="C483">
            <v>25</v>
          </cell>
          <cell r="D483">
            <v>18</v>
          </cell>
          <cell r="F483" t="str">
            <v>太田</v>
          </cell>
          <cell r="G483" t="str">
            <v>汚水･雑排水槽清掃</v>
          </cell>
          <cell r="H483" t="str">
            <v>プレスト</v>
          </cell>
          <cell r="I483">
            <v>250000</v>
          </cell>
          <cell r="J483">
            <v>280000</v>
          </cell>
          <cell r="K483">
            <v>2</v>
          </cell>
          <cell r="L483">
            <v>0</v>
          </cell>
          <cell r="M483">
            <v>0</v>
          </cell>
          <cell r="N483">
            <v>0</v>
          </cell>
          <cell r="O483">
            <v>0</v>
          </cell>
          <cell r="P483">
            <v>280000</v>
          </cell>
          <cell r="Q483">
            <v>0</v>
          </cell>
          <cell r="R483">
            <v>0</v>
          </cell>
          <cell r="S483">
            <v>0</v>
          </cell>
          <cell r="T483">
            <v>0</v>
          </cell>
          <cell r="U483">
            <v>0</v>
          </cell>
          <cell r="V483">
            <v>280000</v>
          </cell>
          <cell r="W483">
            <v>0</v>
          </cell>
          <cell r="X483" t="str">
            <v/>
          </cell>
          <cell r="Y483" t="str">
            <v/>
          </cell>
          <cell r="Z483" t="str">
            <v/>
          </cell>
          <cell r="AA483" t="str">
            <v/>
          </cell>
          <cell r="AB483" t="str">
            <v>⑧</v>
          </cell>
          <cell r="AC483" t="str">
            <v/>
          </cell>
          <cell r="AD483" t="str">
            <v/>
          </cell>
          <cell r="AE483" t="str">
            <v/>
          </cell>
          <cell r="AF483" t="str">
            <v/>
          </cell>
          <cell r="AG483" t="str">
            <v/>
          </cell>
          <cell r="AH483" t="str">
            <v>②</v>
          </cell>
          <cell r="AI483" t="str">
            <v/>
          </cell>
        </row>
        <row r="484">
          <cell r="B484">
            <v>2519</v>
          </cell>
          <cell r="C484">
            <v>25</v>
          </cell>
          <cell r="D484">
            <v>19</v>
          </cell>
          <cell r="F484" t="str">
            <v>太田</v>
          </cell>
          <cell r="G484" t="str">
            <v>受水槽清掃(含む高架水槽)</v>
          </cell>
          <cell r="H484" t="str">
            <v>ケービックス</v>
          </cell>
          <cell r="I484">
            <v>58000</v>
          </cell>
          <cell r="J484">
            <v>65540</v>
          </cell>
          <cell r="K484">
            <v>1</v>
          </cell>
          <cell r="L484">
            <v>65540</v>
          </cell>
          <cell r="M484">
            <v>0</v>
          </cell>
          <cell r="N484">
            <v>0</v>
          </cell>
          <cell r="O484">
            <v>0</v>
          </cell>
          <cell r="P484">
            <v>0</v>
          </cell>
          <cell r="Q484">
            <v>0</v>
          </cell>
          <cell r="R484">
            <v>0</v>
          </cell>
          <cell r="S484">
            <v>0</v>
          </cell>
          <cell r="T484">
            <v>0</v>
          </cell>
          <cell r="U484">
            <v>0</v>
          </cell>
          <cell r="V484">
            <v>0</v>
          </cell>
          <cell r="W484">
            <v>0</v>
          </cell>
          <cell r="X484" t="str">
            <v>④</v>
          </cell>
          <cell r="Y484" t="str">
            <v/>
          </cell>
          <cell r="Z484" t="str">
            <v/>
          </cell>
          <cell r="AA484" t="str">
            <v/>
          </cell>
          <cell r="AB484" t="str">
            <v/>
          </cell>
          <cell r="AC484" t="str">
            <v/>
          </cell>
          <cell r="AD484" t="str">
            <v/>
          </cell>
          <cell r="AE484" t="str">
            <v/>
          </cell>
          <cell r="AF484" t="str">
            <v/>
          </cell>
          <cell r="AG484" t="str">
            <v/>
          </cell>
          <cell r="AH484" t="str">
            <v/>
          </cell>
          <cell r="AI484" t="str">
            <v/>
          </cell>
        </row>
        <row r="485">
          <cell r="B485">
            <v>2520</v>
          </cell>
          <cell r="C485">
            <v>25</v>
          </cell>
          <cell r="D485">
            <v>20</v>
          </cell>
          <cell r="F485" t="str">
            <v>太田</v>
          </cell>
          <cell r="G485" t="str">
            <v>冷温水発生機設備保守</v>
          </cell>
          <cell r="H485" t="str">
            <v>三洋関東設備機器</v>
          </cell>
          <cell r="I485">
            <v>249750</v>
          </cell>
          <cell r="J485">
            <v>258075</v>
          </cell>
          <cell r="K485">
            <v>2</v>
          </cell>
          <cell r="L485">
            <v>258075</v>
          </cell>
          <cell r="M485">
            <v>0</v>
          </cell>
          <cell r="N485">
            <v>0</v>
          </cell>
          <cell r="O485">
            <v>0</v>
          </cell>
          <cell r="P485">
            <v>0</v>
          </cell>
          <cell r="Q485">
            <v>0</v>
          </cell>
          <cell r="R485">
            <v>258075</v>
          </cell>
          <cell r="S485">
            <v>0</v>
          </cell>
          <cell r="T485">
            <v>0</v>
          </cell>
          <cell r="U485">
            <v>0</v>
          </cell>
          <cell r="V485">
            <v>0</v>
          </cell>
          <cell r="W485">
            <v>0</v>
          </cell>
          <cell r="X485" t="str">
            <v>④</v>
          </cell>
          <cell r="Y485" t="str">
            <v/>
          </cell>
          <cell r="Z485" t="str">
            <v/>
          </cell>
          <cell r="AA485" t="str">
            <v/>
          </cell>
          <cell r="AB485" t="str">
            <v/>
          </cell>
          <cell r="AC485" t="str">
            <v/>
          </cell>
          <cell r="AD485" t="str">
            <v>⑩</v>
          </cell>
          <cell r="AE485" t="str">
            <v/>
          </cell>
          <cell r="AF485" t="str">
            <v/>
          </cell>
          <cell r="AG485" t="str">
            <v/>
          </cell>
          <cell r="AH485" t="str">
            <v/>
          </cell>
          <cell r="AI485" t="str">
            <v/>
          </cell>
          <cell r="AJ485" t="str">
            <v>変</v>
          </cell>
        </row>
        <row r="486">
          <cell r="B486">
            <v>2521</v>
          </cell>
          <cell r="C486">
            <v>25</v>
          </cell>
          <cell r="D486">
            <v>21</v>
          </cell>
          <cell r="F486" t="str">
            <v>太田</v>
          </cell>
          <cell r="G486" t="str">
            <v>空冷ﾊﾟｯｹｰｼﾞ設備保守</v>
          </cell>
          <cell r="H486" t="str">
            <v>三洋関東設備機器</v>
          </cell>
          <cell r="I486">
            <v>15750</v>
          </cell>
          <cell r="J486">
            <v>16275</v>
          </cell>
          <cell r="K486">
            <v>2</v>
          </cell>
          <cell r="L486">
            <v>16275</v>
          </cell>
          <cell r="M486">
            <v>0</v>
          </cell>
          <cell r="N486">
            <v>0</v>
          </cell>
          <cell r="O486">
            <v>0</v>
          </cell>
          <cell r="P486">
            <v>0</v>
          </cell>
          <cell r="Q486">
            <v>0</v>
          </cell>
          <cell r="R486">
            <v>16275</v>
          </cell>
          <cell r="S486">
            <v>0</v>
          </cell>
          <cell r="T486">
            <v>0</v>
          </cell>
          <cell r="U486">
            <v>0</v>
          </cell>
          <cell r="V486">
            <v>0</v>
          </cell>
          <cell r="W486">
            <v>0</v>
          </cell>
          <cell r="X486" t="str">
            <v>④</v>
          </cell>
          <cell r="Y486" t="str">
            <v/>
          </cell>
          <cell r="Z486" t="str">
            <v/>
          </cell>
          <cell r="AA486" t="str">
            <v/>
          </cell>
          <cell r="AB486" t="str">
            <v/>
          </cell>
          <cell r="AC486" t="str">
            <v/>
          </cell>
          <cell r="AD486" t="str">
            <v>⑩</v>
          </cell>
          <cell r="AE486" t="str">
            <v/>
          </cell>
          <cell r="AF486" t="str">
            <v/>
          </cell>
          <cell r="AG486" t="str">
            <v/>
          </cell>
          <cell r="AH486" t="str">
            <v/>
          </cell>
          <cell r="AI486" t="str">
            <v/>
          </cell>
          <cell r="AJ486" t="str">
            <v>変</v>
          </cell>
        </row>
        <row r="487">
          <cell r="B487">
            <v>2522</v>
          </cell>
          <cell r="C487">
            <v>25</v>
          </cell>
          <cell r="D487">
            <v>22</v>
          </cell>
          <cell r="F487" t="str">
            <v>太田</v>
          </cell>
          <cell r="G487" t="str">
            <v>空調機設備保守</v>
          </cell>
          <cell r="H487" t="str">
            <v>三洋関東設備機器</v>
          </cell>
          <cell r="I487">
            <v>48150</v>
          </cell>
          <cell r="J487">
            <v>49755</v>
          </cell>
          <cell r="K487">
            <v>2</v>
          </cell>
          <cell r="L487">
            <v>49755</v>
          </cell>
          <cell r="M487">
            <v>0</v>
          </cell>
          <cell r="N487">
            <v>0</v>
          </cell>
          <cell r="O487">
            <v>0</v>
          </cell>
          <cell r="P487">
            <v>0</v>
          </cell>
          <cell r="Q487">
            <v>0</v>
          </cell>
          <cell r="R487">
            <v>49755</v>
          </cell>
          <cell r="S487">
            <v>0</v>
          </cell>
          <cell r="T487">
            <v>0</v>
          </cell>
          <cell r="U487">
            <v>0</v>
          </cell>
          <cell r="V487">
            <v>0</v>
          </cell>
          <cell r="W487">
            <v>0</v>
          </cell>
          <cell r="X487" t="str">
            <v>④</v>
          </cell>
          <cell r="Y487" t="str">
            <v/>
          </cell>
          <cell r="Z487" t="str">
            <v/>
          </cell>
          <cell r="AA487" t="str">
            <v/>
          </cell>
          <cell r="AB487" t="str">
            <v/>
          </cell>
          <cell r="AC487" t="str">
            <v/>
          </cell>
          <cell r="AD487" t="str">
            <v>⑩</v>
          </cell>
          <cell r="AE487" t="str">
            <v/>
          </cell>
          <cell r="AF487" t="str">
            <v/>
          </cell>
          <cell r="AG487" t="str">
            <v/>
          </cell>
          <cell r="AH487" t="str">
            <v/>
          </cell>
          <cell r="AI487" t="str">
            <v/>
          </cell>
          <cell r="AJ487" t="str">
            <v>変</v>
          </cell>
        </row>
        <row r="488">
          <cell r="B488">
            <v>2523</v>
          </cell>
          <cell r="C488">
            <v>25</v>
          </cell>
          <cell r="D488">
            <v>23</v>
          </cell>
          <cell r="F488" t="str">
            <v>太田</v>
          </cell>
          <cell r="G488" t="str">
            <v>冷却塔設備保守</v>
          </cell>
          <cell r="H488" t="str">
            <v>三洋関東設備機器</v>
          </cell>
          <cell r="I488">
            <v>20250</v>
          </cell>
          <cell r="J488">
            <v>20925</v>
          </cell>
          <cell r="K488">
            <v>2</v>
          </cell>
          <cell r="L488">
            <v>20925</v>
          </cell>
          <cell r="M488">
            <v>0</v>
          </cell>
          <cell r="N488">
            <v>0</v>
          </cell>
          <cell r="O488">
            <v>0</v>
          </cell>
          <cell r="P488">
            <v>0</v>
          </cell>
          <cell r="Q488">
            <v>0</v>
          </cell>
          <cell r="R488">
            <v>20925</v>
          </cell>
          <cell r="S488">
            <v>0</v>
          </cell>
          <cell r="T488">
            <v>0</v>
          </cell>
          <cell r="U488">
            <v>0</v>
          </cell>
          <cell r="V488">
            <v>0</v>
          </cell>
          <cell r="W488">
            <v>0</v>
          </cell>
          <cell r="X488" t="str">
            <v>④</v>
          </cell>
          <cell r="Y488" t="str">
            <v/>
          </cell>
          <cell r="Z488" t="str">
            <v/>
          </cell>
          <cell r="AA488" t="str">
            <v/>
          </cell>
          <cell r="AB488" t="str">
            <v/>
          </cell>
          <cell r="AC488" t="str">
            <v/>
          </cell>
          <cell r="AD488" t="str">
            <v>⑩</v>
          </cell>
          <cell r="AE488" t="str">
            <v/>
          </cell>
          <cell r="AF488" t="str">
            <v/>
          </cell>
          <cell r="AG488" t="str">
            <v/>
          </cell>
          <cell r="AH488" t="str">
            <v/>
          </cell>
          <cell r="AI488" t="str">
            <v/>
          </cell>
          <cell r="AJ488" t="str">
            <v>変</v>
          </cell>
        </row>
        <row r="489">
          <cell r="B489">
            <v>2524</v>
          </cell>
          <cell r="C489">
            <v>25</v>
          </cell>
          <cell r="D489">
            <v>24</v>
          </cell>
          <cell r="F489" t="str">
            <v>太田</v>
          </cell>
          <cell r="G489" t="str">
            <v>空調用ポンプ設備保守</v>
          </cell>
          <cell r="H489" t="str">
            <v>三洋関東設備機器</v>
          </cell>
          <cell r="I489">
            <v>7650</v>
          </cell>
          <cell r="J489">
            <v>7905</v>
          </cell>
          <cell r="K489">
            <v>2</v>
          </cell>
          <cell r="L489">
            <v>7905</v>
          </cell>
          <cell r="M489">
            <v>0</v>
          </cell>
          <cell r="N489">
            <v>0</v>
          </cell>
          <cell r="O489">
            <v>0</v>
          </cell>
          <cell r="P489">
            <v>0</v>
          </cell>
          <cell r="Q489">
            <v>0</v>
          </cell>
          <cell r="R489">
            <v>7905</v>
          </cell>
          <cell r="S489">
            <v>0</v>
          </cell>
          <cell r="T489">
            <v>0</v>
          </cell>
          <cell r="U489">
            <v>0</v>
          </cell>
          <cell r="V489">
            <v>0</v>
          </cell>
          <cell r="W489">
            <v>0</v>
          </cell>
          <cell r="X489" t="str">
            <v>④</v>
          </cell>
          <cell r="Y489" t="str">
            <v/>
          </cell>
          <cell r="Z489" t="str">
            <v/>
          </cell>
          <cell r="AA489" t="str">
            <v/>
          </cell>
          <cell r="AB489" t="str">
            <v/>
          </cell>
          <cell r="AC489" t="str">
            <v/>
          </cell>
          <cell r="AD489" t="str">
            <v>⑩</v>
          </cell>
          <cell r="AE489" t="str">
            <v/>
          </cell>
          <cell r="AF489" t="str">
            <v/>
          </cell>
          <cell r="AG489" t="str">
            <v/>
          </cell>
          <cell r="AH489" t="str">
            <v/>
          </cell>
          <cell r="AI489" t="str">
            <v/>
          </cell>
          <cell r="AJ489" t="str">
            <v>変</v>
          </cell>
        </row>
        <row r="490">
          <cell r="B490">
            <v>2525</v>
          </cell>
          <cell r="C490">
            <v>25</v>
          </cell>
          <cell r="D490">
            <v>25</v>
          </cell>
          <cell r="F490" t="str">
            <v>太田</v>
          </cell>
          <cell r="G490" t="str">
            <v>エアコンドレイン清掃</v>
          </cell>
          <cell r="H490" t="str">
            <v>三洋関東設備機器</v>
          </cell>
          <cell r="I490">
            <v>15750</v>
          </cell>
          <cell r="J490">
            <v>16275</v>
          </cell>
          <cell r="K490">
            <v>2</v>
          </cell>
          <cell r="L490">
            <v>16275</v>
          </cell>
          <cell r="M490">
            <v>0</v>
          </cell>
          <cell r="N490">
            <v>0</v>
          </cell>
          <cell r="O490">
            <v>0</v>
          </cell>
          <cell r="P490">
            <v>0</v>
          </cell>
          <cell r="Q490">
            <v>0</v>
          </cell>
          <cell r="R490">
            <v>16275</v>
          </cell>
          <cell r="S490">
            <v>0</v>
          </cell>
          <cell r="T490">
            <v>0</v>
          </cell>
          <cell r="U490">
            <v>0</v>
          </cell>
          <cell r="V490">
            <v>0</v>
          </cell>
          <cell r="W490">
            <v>0</v>
          </cell>
          <cell r="X490" t="str">
            <v>④</v>
          </cell>
          <cell r="Y490" t="str">
            <v/>
          </cell>
          <cell r="Z490" t="str">
            <v/>
          </cell>
          <cell r="AA490" t="str">
            <v/>
          </cell>
          <cell r="AB490" t="str">
            <v/>
          </cell>
          <cell r="AC490" t="str">
            <v/>
          </cell>
          <cell r="AD490" t="str">
            <v>⑩</v>
          </cell>
          <cell r="AE490" t="str">
            <v/>
          </cell>
          <cell r="AF490" t="str">
            <v/>
          </cell>
          <cell r="AG490" t="str">
            <v/>
          </cell>
          <cell r="AH490" t="str">
            <v/>
          </cell>
          <cell r="AI490" t="str">
            <v/>
          </cell>
          <cell r="AJ490" t="str">
            <v>変</v>
          </cell>
        </row>
        <row r="491">
          <cell r="B491">
            <v>2526</v>
          </cell>
          <cell r="C491">
            <v>25</v>
          </cell>
          <cell r="D491">
            <v>26</v>
          </cell>
          <cell r="F491" t="str">
            <v>太田</v>
          </cell>
          <cell r="G491" t="str">
            <v>自動ドアー保守</v>
          </cell>
          <cell r="H491" t="str">
            <v>群馬ナブコ</v>
          </cell>
          <cell r="I491">
            <v>22500</v>
          </cell>
          <cell r="J491">
            <v>25650</v>
          </cell>
          <cell r="K491">
            <v>2</v>
          </cell>
          <cell r="L491">
            <v>0</v>
          </cell>
          <cell r="M491">
            <v>25650</v>
          </cell>
          <cell r="N491">
            <v>0</v>
          </cell>
          <cell r="O491">
            <v>0</v>
          </cell>
          <cell r="P491">
            <v>0</v>
          </cell>
          <cell r="Q491">
            <v>0</v>
          </cell>
          <cell r="R491">
            <v>0</v>
          </cell>
          <cell r="S491">
            <v>25650</v>
          </cell>
          <cell r="T491">
            <v>0</v>
          </cell>
          <cell r="U491">
            <v>0</v>
          </cell>
          <cell r="V491">
            <v>0</v>
          </cell>
          <cell r="W491">
            <v>0</v>
          </cell>
          <cell r="X491" t="str">
            <v/>
          </cell>
          <cell r="Y491" t="str">
            <v>⑤</v>
          </cell>
          <cell r="Z491" t="str">
            <v/>
          </cell>
          <cell r="AA491" t="str">
            <v/>
          </cell>
          <cell r="AC491" t="str">
            <v/>
          </cell>
          <cell r="AD491" t="str">
            <v/>
          </cell>
          <cell r="AE491" t="str">
            <v>⑪</v>
          </cell>
          <cell r="AF491" t="str">
            <v/>
          </cell>
          <cell r="AG491" t="str">
            <v/>
          </cell>
          <cell r="AI491" t="str">
            <v/>
          </cell>
          <cell r="AJ491" t="str">
            <v>変</v>
          </cell>
        </row>
        <row r="492">
          <cell r="B492">
            <v>2527</v>
          </cell>
          <cell r="C492">
            <v>25</v>
          </cell>
          <cell r="D492">
            <v>27</v>
          </cell>
          <cell r="F492" t="str">
            <v>太田</v>
          </cell>
          <cell r="G492" t="str">
            <v>植裁管理</v>
          </cell>
          <cell r="H492" t="str">
            <v>松屋興業</v>
          </cell>
          <cell r="I492">
            <v>67900</v>
          </cell>
          <cell r="J492">
            <v>72750</v>
          </cell>
          <cell r="K492">
            <v>1</v>
          </cell>
          <cell r="L492">
            <v>0</v>
          </cell>
          <cell r="M492">
            <v>0</v>
          </cell>
          <cell r="N492">
            <v>0</v>
          </cell>
          <cell r="O492">
            <v>0</v>
          </cell>
          <cell r="P492">
            <v>0</v>
          </cell>
          <cell r="Q492">
            <v>0</v>
          </cell>
          <cell r="R492">
            <v>0</v>
          </cell>
          <cell r="S492">
            <v>0</v>
          </cell>
          <cell r="T492">
            <v>0</v>
          </cell>
          <cell r="U492">
            <v>0</v>
          </cell>
          <cell r="V492">
            <v>0</v>
          </cell>
          <cell r="W492">
            <v>72750</v>
          </cell>
          <cell r="X492" t="str">
            <v/>
          </cell>
          <cell r="Y492" t="str">
            <v/>
          </cell>
          <cell r="Z492" t="str">
            <v/>
          </cell>
          <cell r="AA492" t="str">
            <v/>
          </cell>
          <cell r="AB492" t="str">
            <v/>
          </cell>
          <cell r="AC492" t="str">
            <v/>
          </cell>
          <cell r="AD492" t="str">
            <v/>
          </cell>
          <cell r="AE492" t="str">
            <v/>
          </cell>
          <cell r="AF492" t="str">
            <v/>
          </cell>
          <cell r="AG492" t="str">
            <v/>
          </cell>
          <cell r="AH492" t="str">
            <v/>
          </cell>
          <cell r="AI492" t="str">
            <v>③</v>
          </cell>
          <cell r="AJ492" t="str">
            <v>変</v>
          </cell>
        </row>
        <row r="493">
          <cell r="B493">
            <v>2528</v>
          </cell>
          <cell r="C493">
            <v>25</v>
          </cell>
          <cell r="D493">
            <v>28</v>
          </cell>
          <cell r="F493" t="str">
            <v>太田</v>
          </cell>
          <cell r="G493" t="str">
            <v>全熱交換器点検整備</v>
          </cell>
          <cell r="H493" t="str">
            <v>東洋製作所</v>
          </cell>
          <cell r="I493">
            <v>148000</v>
          </cell>
          <cell r="J493">
            <v>170200</v>
          </cell>
          <cell r="K493">
            <v>1</v>
          </cell>
          <cell r="L493">
            <v>0</v>
          </cell>
          <cell r="M493">
            <v>0</v>
          </cell>
          <cell r="N493">
            <v>0</v>
          </cell>
          <cell r="O493">
            <v>0</v>
          </cell>
          <cell r="P493">
            <v>0</v>
          </cell>
          <cell r="Q493">
            <v>0</v>
          </cell>
          <cell r="R493">
            <v>170200</v>
          </cell>
          <cell r="S493">
            <v>0</v>
          </cell>
          <cell r="T493">
            <v>0</v>
          </cell>
          <cell r="U493">
            <v>0</v>
          </cell>
          <cell r="V493">
            <v>0</v>
          </cell>
          <cell r="W493">
            <v>0</v>
          </cell>
          <cell r="X493" t="str">
            <v/>
          </cell>
          <cell r="Y493" t="str">
            <v/>
          </cell>
          <cell r="Z493" t="str">
            <v/>
          </cell>
          <cell r="AA493" t="str">
            <v/>
          </cell>
          <cell r="AB493" t="str">
            <v/>
          </cell>
          <cell r="AC493" t="str">
            <v/>
          </cell>
          <cell r="AD493" t="str">
            <v>⑩</v>
          </cell>
          <cell r="AE493" t="str">
            <v/>
          </cell>
          <cell r="AF493" t="str">
            <v/>
          </cell>
          <cell r="AG493" t="str">
            <v/>
          </cell>
          <cell r="AH493" t="str">
            <v/>
          </cell>
          <cell r="AI493" t="str">
            <v/>
          </cell>
          <cell r="AJ493" t="str">
            <v>追</v>
          </cell>
        </row>
        <row r="494">
          <cell r="B494">
            <v>2601</v>
          </cell>
          <cell r="C494">
            <v>26</v>
          </cell>
          <cell r="D494">
            <v>1</v>
          </cell>
          <cell r="F494" t="str">
            <v>浦和</v>
          </cell>
          <cell r="G494" t="str">
            <v>昇降機設備保守</v>
          </cell>
          <cell r="H494" t="str">
            <v>三菱電機ﾋﾞﾙﾃｸﾉｻｰﾋﾞｽ</v>
          </cell>
          <cell r="I494">
            <v>68200</v>
          </cell>
          <cell r="J494">
            <v>69564</v>
          </cell>
          <cell r="K494">
            <v>12</v>
          </cell>
          <cell r="L494">
            <v>69564</v>
          </cell>
          <cell r="M494">
            <v>69564</v>
          </cell>
          <cell r="N494">
            <v>69564</v>
          </cell>
          <cell r="O494">
            <v>69564</v>
          </cell>
          <cell r="P494">
            <v>69564</v>
          </cell>
          <cell r="Q494">
            <v>69564</v>
          </cell>
          <cell r="R494">
            <v>69564</v>
          </cell>
          <cell r="S494">
            <v>69564</v>
          </cell>
          <cell r="T494">
            <v>69564</v>
          </cell>
          <cell r="U494">
            <v>69564</v>
          </cell>
          <cell r="V494">
            <v>69564</v>
          </cell>
          <cell r="W494">
            <v>69564</v>
          </cell>
          <cell r="X494" t="str">
            <v>④</v>
          </cell>
          <cell r="Y494" t="str">
            <v>⑤</v>
          </cell>
          <cell r="Z494" t="str">
            <v>⑥</v>
          </cell>
          <cell r="AA494" t="str">
            <v>⑦</v>
          </cell>
          <cell r="AB494" t="str">
            <v>⑧</v>
          </cell>
          <cell r="AC494" t="str">
            <v>⑨</v>
          </cell>
          <cell r="AD494" t="str">
            <v>⑩</v>
          </cell>
          <cell r="AE494" t="str">
            <v>⑪</v>
          </cell>
          <cell r="AF494" t="str">
            <v>⑫</v>
          </cell>
          <cell r="AG494" t="str">
            <v>①</v>
          </cell>
          <cell r="AH494" t="str">
            <v>②</v>
          </cell>
          <cell r="AI494" t="str">
            <v>③</v>
          </cell>
        </row>
        <row r="495">
          <cell r="B495">
            <v>2602</v>
          </cell>
          <cell r="C495">
            <v>26</v>
          </cell>
          <cell r="D495">
            <v>2</v>
          </cell>
          <cell r="F495" t="str">
            <v>浦和</v>
          </cell>
          <cell r="G495" t="str">
            <v>機械式駐車場設備保守</v>
          </cell>
          <cell r="H495" t="str">
            <v>日精</v>
          </cell>
          <cell r="I495">
            <v>140000</v>
          </cell>
          <cell r="J495">
            <v>142800</v>
          </cell>
          <cell r="K495">
            <v>12</v>
          </cell>
          <cell r="L495">
            <v>142800</v>
          </cell>
          <cell r="M495">
            <v>142800</v>
          </cell>
          <cell r="N495">
            <v>142800</v>
          </cell>
          <cell r="O495">
            <v>142800</v>
          </cell>
          <cell r="P495">
            <v>142800</v>
          </cell>
          <cell r="Q495">
            <v>142800</v>
          </cell>
          <cell r="R495">
            <v>142800</v>
          </cell>
          <cell r="S495">
            <v>142800</v>
          </cell>
          <cell r="T495">
            <v>142800</v>
          </cell>
          <cell r="U495">
            <v>142800</v>
          </cell>
          <cell r="V495">
            <v>142800</v>
          </cell>
          <cell r="W495">
            <v>142800</v>
          </cell>
          <cell r="X495" t="str">
            <v>④</v>
          </cell>
          <cell r="Y495" t="str">
            <v>⑤</v>
          </cell>
          <cell r="Z495" t="str">
            <v>⑥</v>
          </cell>
          <cell r="AA495" t="str">
            <v>⑦</v>
          </cell>
          <cell r="AB495" t="str">
            <v>⑧</v>
          </cell>
          <cell r="AC495" t="str">
            <v>⑨</v>
          </cell>
          <cell r="AD495" t="str">
            <v>⑩</v>
          </cell>
          <cell r="AE495" t="str">
            <v>⑪</v>
          </cell>
          <cell r="AF495" t="str">
            <v>⑫</v>
          </cell>
          <cell r="AG495" t="str">
            <v>①</v>
          </cell>
          <cell r="AH495" t="str">
            <v>②</v>
          </cell>
          <cell r="AI495" t="str">
            <v>③</v>
          </cell>
        </row>
        <row r="496">
          <cell r="B496">
            <v>2603</v>
          </cell>
          <cell r="C496">
            <v>26</v>
          </cell>
          <cell r="D496">
            <v>3</v>
          </cell>
          <cell r="F496" t="str">
            <v>浦和</v>
          </cell>
          <cell r="G496" t="str">
            <v>空調設備保守</v>
          </cell>
          <cell r="H496" t="str">
            <v>三菱電機ﾋﾞﾙﾃｸﾉｻｰﾋﾞｽ</v>
          </cell>
          <cell r="I496">
            <v>374750</v>
          </cell>
          <cell r="J496">
            <v>420000</v>
          </cell>
          <cell r="K496">
            <v>2</v>
          </cell>
          <cell r="L496">
            <v>420000</v>
          </cell>
          <cell r="M496">
            <v>0</v>
          </cell>
          <cell r="N496">
            <v>0</v>
          </cell>
          <cell r="O496">
            <v>0</v>
          </cell>
          <cell r="P496">
            <v>0</v>
          </cell>
          <cell r="Q496">
            <v>0</v>
          </cell>
          <cell r="R496">
            <v>0</v>
          </cell>
          <cell r="S496">
            <v>420000</v>
          </cell>
          <cell r="T496">
            <v>0</v>
          </cell>
          <cell r="U496">
            <v>0</v>
          </cell>
          <cell r="V496">
            <v>0</v>
          </cell>
          <cell r="W496">
            <v>0</v>
          </cell>
          <cell r="X496" t="str">
            <v>④</v>
          </cell>
          <cell r="AE496" t="str">
            <v>⑪</v>
          </cell>
        </row>
        <row r="497">
          <cell r="B497">
            <v>2604</v>
          </cell>
          <cell r="C497">
            <v>26</v>
          </cell>
          <cell r="D497">
            <v>4</v>
          </cell>
          <cell r="F497" t="str">
            <v>浦和</v>
          </cell>
          <cell r="G497" t="str">
            <v>害虫駆除</v>
          </cell>
          <cell r="H497" t="str">
            <v>シェル商事</v>
          </cell>
          <cell r="I497">
            <v>84495</v>
          </cell>
          <cell r="J497">
            <v>92945</v>
          </cell>
          <cell r="K497">
            <v>2</v>
          </cell>
          <cell r="L497">
            <v>0</v>
          </cell>
          <cell r="M497">
            <v>92945</v>
          </cell>
          <cell r="N497">
            <v>0</v>
          </cell>
          <cell r="O497">
            <v>0</v>
          </cell>
          <cell r="P497">
            <v>0</v>
          </cell>
          <cell r="Q497">
            <v>0</v>
          </cell>
          <cell r="R497">
            <v>0</v>
          </cell>
          <cell r="S497">
            <v>92945</v>
          </cell>
          <cell r="T497">
            <v>0</v>
          </cell>
          <cell r="U497">
            <v>0</v>
          </cell>
          <cell r="V497">
            <v>0</v>
          </cell>
          <cell r="W497">
            <v>0</v>
          </cell>
          <cell r="Y497" t="str">
            <v>⑤</v>
          </cell>
          <cell r="AE497" t="str">
            <v>⑪</v>
          </cell>
        </row>
        <row r="498">
          <cell r="B498">
            <v>2605</v>
          </cell>
          <cell r="C498">
            <v>26</v>
          </cell>
          <cell r="D498">
            <v>5</v>
          </cell>
          <cell r="F498" t="str">
            <v>浦和</v>
          </cell>
          <cell r="G498" t="str">
            <v>貯水槽清掃</v>
          </cell>
          <cell r="H498" t="str">
            <v>杉田商工</v>
          </cell>
          <cell r="I498">
            <v>96200</v>
          </cell>
          <cell r="J498">
            <v>105820</v>
          </cell>
          <cell r="K498">
            <v>1</v>
          </cell>
          <cell r="L498">
            <v>0</v>
          </cell>
          <cell r="M498">
            <v>0</v>
          </cell>
          <cell r="N498">
            <v>0</v>
          </cell>
          <cell r="O498">
            <v>0</v>
          </cell>
          <cell r="P498">
            <v>0</v>
          </cell>
          <cell r="Q498">
            <v>0</v>
          </cell>
          <cell r="R498">
            <v>105820</v>
          </cell>
          <cell r="S498">
            <v>0</v>
          </cell>
          <cell r="T498">
            <v>0</v>
          </cell>
          <cell r="U498">
            <v>0</v>
          </cell>
          <cell r="V498">
            <v>0</v>
          </cell>
          <cell r="W498">
            <v>0</v>
          </cell>
          <cell r="AD498" t="str">
            <v>⑩</v>
          </cell>
        </row>
        <row r="499">
          <cell r="B499">
            <v>2606</v>
          </cell>
          <cell r="C499">
            <v>26</v>
          </cell>
          <cell r="D499">
            <v>6</v>
          </cell>
          <cell r="F499" t="str">
            <v>浦和</v>
          </cell>
          <cell r="G499" t="str">
            <v>植栽管理</v>
          </cell>
          <cell r="H499" t="str">
            <v>昭立造園</v>
          </cell>
          <cell r="I499">
            <v>22000</v>
          </cell>
          <cell r="J499">
            <v>24200</v>
          </cell>
          <cell r="K499">
            <v>1</v>
          </cell>
          <cell r="L499">
            <v>0</v>
          </cell>
          <cell r="M499">
            <v>0</v>
          </cell>
          <cell r="N499">
            <v>0</v>
          </cell>
          <cell r="O499">
            <v>0</v>
          </cell>
          <cell r="P499">
            <v>0</v>
          </cell>
          <cell r="Q499">
            <v>0</v>
          </cell>
          <cell r="R499">
            <v>0</v>
          </cell>
          <cell r="S499">
            <v>24200</v>
          </cell>
          <cell r="T499">
            <v>0</v>
          </cell>
          <cell r="U499">
            <v>0</v>
          </cell>
          <cell r="V499">
            <v>0</v>
          </cell>
          <cell r="W499">
            <v>0</v>
          </cell>
          <cell r="AE499" t="str">
            <v>⑪</v>
          </cell>
        </row>
        <row r="500">
          <cell r="B500">
            <v>2607</v>
          </cell>
          <cell r="C500">
            <v>26</v>
          </cell>
          <cell r="D500">
            <v>7</v>
          </cell>
          <cell r="F500" t="str">
            <v>浦和</v>
          </cell>
          <cell r="G500" t="str">
            <v>自動火災報知設備(外観)</v>
          </cell>
          <cell r="H500" t="str">
            <v>ホーチキ</v>
          </cell>
          <cell r="I500">
            <v>22000</v>
          </cell>
          <cell r="J500">
            <v>24200</v>
          </cell>
          <cell r="K500">
            <v>1</v>
          </cell>
          <cell r="L500">
            <v>0</v>
          </cell>
          <cell r="M500">
            <v>0</v>
          </cell>
          <cell r="N500">
            <v>24200</v>
          </cell>
          <cell r="O500">
            <v>0</v>
          </cell>
          <cell r="P500">
            <v>0</v>
          </cell>
          <cell r="Q500">
            <v>0</v>
          </cell>
          <cell r="R500">
            <v>0</v>
          </cell>
          <cell r="S500">
            <v>0</v>
          </cell>
          <cell r="T500">
            <v>0</v>
          </cell>
          <cell r="U500">
            <v>0</v>
          </cell>
          <cell r="V500">
            <v>0</v>
          </cell>
          <cell r="W500">
            <v>0</v>
          </cell>
          <cell r="Z500" t="str">
            <v>⑥</v>
          </cell>
        </row>
        <row r="501">
          <cell r="B501">
            <v>2608</v>
          </cell>
          <cell r="C501">
            <v>26</v>
          </cell>
          <cell r="D501">
            <v>8</v>
          </cell>
          <cell r="F501" t="str">
            <v>浦和</v>
          </cell>
          <cell r="G501" t="str">
            <v>自動火災報知設備(総合)</v>
          </cell>
          <cell r="H501" t="str">
            <v>ホーチキ</v>
          </cell>
          <cell r="I501">
            <v>39000</v>
          </cell>
          <cell r="J501">
            <v>42900</v>
          </cell>
          <cell r="K501">
            <v>1</v>
          </cell>
          <cell r="L501">
            <v>0</v>
          </cell>
          <cell r="M501">
            <v>0</v>
          </cell>
          <cell r="N501">
            <v>0</v>
          </cell>
          <cell r="O501">
            <v>0</v>
          </cell>
          <cell r="P501">
            <v>0</v>
          </cell>
          <cell r="Q501">
            <v>0</v>
          </cell>
          <cell r="R501">
            <v>0</v>
          </cell>
          <cell r="S501">
            <v>0</v>
          </cell>
          <cell r="T501">
            <v>42900</v>
          </cell>
          <cell r="U501">
            <v>0</v>
          </cell>
          <cell r="V501">
            <v>0</v>
          </cell>
          <cell r="W501">
            <v>0</v>
          </cell>
          <cell r="AF501" t="str">
            <v>⑫</v>
          </cell>
        </row>
        <row r="502">
          <cell r="B502">
            <v>2609</v>
          </cell>
          <cell r="C502">
            <v>26</v>
          </cell>
          <cell r="D502">
            <v>9</v>
          </cell>
          <cell r="F502" t="str">
            <v>浦和</v>
          </cell>
          <cell r="G502" t="str">
            <v>防排煙設備(外観)</v>
          </cell>
          <cell r="H502" t="str">
            <v>ホーチキ</v>
          </cell>
          <cell r="I502">
            <v>56000</v>
          </cell>
          <cell r="J502">
            <v>61600</v>
          </cell>
          <cell r="K502">
            <v>1</v>
          </cell>
          <cell r="L502">
            <v>0</v>
          </cell>
          <cell r="M502">
            <v>0</v>
          </cell>
          <cell r="N502">
            <v>61600</v>
          </cell>
          <cell r="O502">
            <v>0</v>
          </cell>
          <cell r="P502">
            <v>0</v>
          </cell>
          <cell r="Q502">
            <v>0</v>
          </cell>
          <cell r="R502">
            <v>0</v>
          </cell>
          <cell r="S502">
            <v>0</v>
          </cell>
          <cell r="T502">
            <v>0</v>
          </cell>
          <cell r="U502">
            <v>0</v>
          </cell>
          <cell r="V502">
            <v>0</v>
          </cell>
          <cell r="W502">
            <v>0</v>
          </cell>
          <cell r="Z502" t="str">
            <v>⑥</v>
          </cell>
        </row>
        <row r="503">
          <cell r="B503">
            <v>2610</v>
          </cell>
          <cell r="C503">
            <v>26</v>
          </cell>
          <cell r="D503">
            <v>10</v>
          </cell>
          <cell r="F503" t="str">
            <v>浦和</v>
          </cell>
          <cell r="G503" t="str">
            <v>防排煙設備(総合)</v>
          </cell>
          <cell r="H503" t="str">
            <v>ホーチキ</v>
          </cell>
          <cell r="I503">
            <v>93000</v>
          </cell>
          <cell r="J503">
            <v>102300</v>
          </cell>
          <cell r="K503">
            <v>1</v>
          </cell>
          <cell r="L503">
            <v>0</v>
          </cell>
          <cell r="M503">
            <v>0</v>
          </cell>
          <cell r="N503">
            <v>0</v>
          </cell>
          <cell r="O503">
            <v>0</v>
          </cell>
          <cell r="P503">
            <v>0</v>
          </cell>
          <cell r="Q503">
            <v>0</v>
          </cell>
          <cell r="R503">
            <v>0</v>
          </cell>
          <cell r="S503">
            <v>0</v>
          </cell>
          <cell r="T503">
            <v>102300</v>
          </cell>
          <cell r="U503">
            <v>0</v>
          </cell>
          <cell r="V503">
            <v>0</v>
          </cell>
          <cell r="W503">
            <v>0</v>
          </cell>
          <cell r="AF503" t="str">
            <v>⑫</v>
          </cell>
        </row>
        <row r="504">
          <cell r="B504">
            <v>2611</v>
          </cell>
          <cell r="C504">
            <v>26</v>
          </cell>
          <cell r="D504">
            <v>11</v>
          </cell>
          <cell r="F504" t="str">
            <v>浦和</v>
          </cell>
          <cell r="G504" t="str">
            <v>非常放送設備(外観)</v>
          </cell>
          <cell r="H504" t="str">
            <v>ホーチキ</v>
          </cell>
          <cell r="I504">
            <v>26000</v>
          </cell>
          <cell r="J504">
            <v>28600</v>
          </cell>
          <cell r="K504">
            <v>1</v>
          </cell>
          <cell r="L504">
            <v>0</v>
          </cell>
          <cell r="M504">
            <v>0</v>
          </cell>
          <cell r="N504">
            <v>28600</v>
          </cell>
          <cell r="O504">
            <v>0</v>
          </cell>
          <cell r="P504">
            <v>0</v>
          </cell>
          <cell r="Q504">
            <v>0</v>
          </cell>
          <cell r="R504">
            <v>0</v>
          </cell>
          <cell r="S504">
            <v>0</v>
          </cell>
          <cell r="T504">
            <v>0</v>
          </cell>
          <cell r="U504">
            <v>0</v>
          </cell>
          <cell r="V504">
            <v>0</v>
          </cell>
          <cell r="W504">
            <v>0</v>
          </cell>
          <cell r="Z504" t="str">
            <v>⑥</v>
          </cell>
        </row>
        <row r="505">
          <cell r="B505">
            <v>2612</v>
          </cell>
          <cell r="C505">
            <v>26</v>
          </cell>
          <cell r="D505">
            <v>12</v>
          </cell>
          <cell r="F505" t="str">
            <v>浦和</v>
          </cell>
          <cell r="G505" t="str">
            <v>非常放送設備(総合)</v>
          </cell>
          <cell r="H505" t="str">
            <v>ホーチキ</v>
          </cell>
          <cell r="I505">
            <v>29000</v>
          </cell>
          <cell r="J505">
            <v>31900</v>
          </cell>
          <cell r="K505">
            <v>1</v>
          </cell>
          <cell r="L505">
            <v>0</v>
          </cell>
          <cell r="M505">
            <v>0</v>
          </cell>
          <cell r="N505">
            <v>0</v>
          </cell>
          <cell r="O505">
            <v>0</v>
          </cell>
          <cell r="P505">
            <v>0</v>
          </cell>
          <cell r="Q505">
            <v>0</v>
          </cell>
          <cell r="R505">
            <v>0</v>
          </cell>
          <cell r="S505">
            <v>0</v>
          </cell>
          <cell r="T505">
            <v>31900</v>
          </cell>
          <cell r="U505">
            <v>0</v>
          </cell>
          <cell r="V505">
            <v>0</v>
          </cell>
          <cell r="W505">
            <v>0</v>
          </cell>
          <cell r="AF505" t="str">
            <v>⑫</v>
          </cell>
        </row>
        <row r="506">
          <cell r="B506">
            <v>2613</v>
          </cell>
          <cell r="C506">
            <v>26</v>
          </cell>
          <cell r="D506">
            <v>13</v>
          </cell>
          <cell r="F506" t="str">
            <v>浦和</v>
          </cell>
          <cell r="G506" t="str">
            <v>ハロゲン化物設備(外観)</v>
          </cell>
          <cell r="H506" t="str">
            <v>ホーチキ</v>
          </cell>
          <cell r="I506">
            <v>47000</v>
          </cell>
          <cell r="J506">
            <v>51700</v>
          </cell>
          <cell r="K506">
            <v>1</v>
          </cell>
          <cell r="L506">
            <v>0</v>
          </cell>
          <cell r="M506">
            <v>0</v>
          </cell>
          <cell r="N506">
            <v>51700</v>
          </cell>
          <cell r="O506">
            <v>0</v>
          </cell>
          <cell r="P506">
            <v>0</v>
          </cell>
          <cell r="Q506">
            <v>0</v>
          </cell>
          <cell r="R506">
            <v>0</v>
          </cell>
          <cell r="S506">
            <v>0</v>
          </cell>
          <cell r="T506">
            <v>0</v>
          </cell>
          <cell r="U506">
            <v>0</v>
          </cell>
          <cell r="V506">
            <v>0</v>
          </cell>
          <cell r="W506">
            <v>0</v>
          </cell>
          <cell r="Z506" t="str">
            <v>⑥</v>
          </cell>
        </row>
        <row r="507">
          <cell r="B507">
            <v>2614</v>
          </cell>
          <cell r="C507">
            <v>26</v>
          </cell>
          <cell r="D507">
            <v>14</v>
          </cell>
          <cell r="F507" t="str">
            <v>浦和</v>
          </cell>
          <cell r="G507" t="str">
            <v>ハロゲン化物設備(総合)</v>
          </cell>
          <cell r="H507" t="str">
            <v>ホーチキ</v>
          </cell>
          <cell r="I507">
            <v>120000</v>
          </cell>
          <cell r="J507">
            <v>132000</v>
          </cell>
          <cell r="K507">
            <v>1</v>
          </cell>
          <cell r="L507">
            <v>0</v>
          </cell>
          <cell r="M507">
            <v>0</v>
          </cell>
          <cell r="N507">
            <v>0</v>
          </cell>
          <cell r="O507">
            <v>0</v>
          </cell>
          <cell r="P507">
            <v>0</v>
          </cell>
          <cell r="Q507">
            <v>0</v>
          </cell>
          <cell r="R507">
            <v>0</v>
          </cell>
          <cell r="S507">
            <v>0</v>
          </cell>
          <cell r="T507">
            <v>132000</v>
          </cell>
          <cell r="U507">
            <v>0</v>
          </cell>
          <cell r="V507">
            <v>0</v>
          </cell>
          <cell r="W507">
            <v>0</v>
          </cell>
          <cell r="AF507" t="str">
            <v>⑫</v>
          </cell>
        </row>
        <row r="508">
          <cell r="B508">
            <v>2615</v>
          </cell>
          <cell r="C508">
            <v>26</v>
          </cell>
          <cell r="D508">
            <v>15</v>
          </cell>
          <cell r="F508" t="str">
            <v>浦和</v>
          </cell>
          <cell r="G508" t="str">
            <v>消火器点検(外観)</v>
          </cell>
          <cell r="H508" t="str">
            <v>東管ビルサポート</v>
          </cell>
          <cell r="I508">
            <v>50450</v>
          </cell>
          <cell r="J508">
            <v>55495</v>
          </cell>
          <cell r="K508">
            <v>2</v>
          </cell>
          <cell r="L508">
            <v>0</v>
          </cell>
          <cell r="M508">
            <v>0</v>
          </cell>
          <cell r="N508">
            <v>55495</v>
          </cell>
          <cell r="O508">
            <v>0</v>
          </cell>
          <cell r="P508">
            <v>0</v>
          </cell>
          <cell r="Q508">
            <v>0</v>
          </cell>
          <cell r="R508">
            <v>0</v>
          </cell>
          <cell r="S508">
            <v>0</v>
          </cell>
          <cell r="T508">
            <v>55495</v>
          </cell>
          <cell r="U508">
            <v>0</v>
          </cell>
          <cell r="V508">
            <v>0</v>
          </cell>
          <cell r="W508">
            <v>0</v>
          </cell>
          <cell r="Z508" t="str">
            <v>⑥</v>
          </cell>
          <cell r="AF508" t="str">
            <v>⑫</v>
          </cell>
        </row>
        <row r="509">
          <cell r="B509">
            <v>2701</v>
          </cell>
          <cell r="C509">
            <v>27</v>
          </cell>
          <cell r="D509">
            <v>1</v>
          </cell>
          <cell r="F509" t="str">
            <v>越谷</v>
          </cell>
          <cell r="G509" t="str">
            <v>昇降機設備保守</v>
          </cell>
          <cell r="H509" t="str">
            <v>三菱電機ﾋﾞﾙﾃｸﾉｻｰﾋﾞｽ</v>
          </cell>
          <cell r="I509">
            <v>67300</v>
          </cell>
          <cell r="J509">
            <v>68646</v>
          </cell>
          <cell r="K509">
            <v>12</v>
          </cell>
          <cell r="L509">
            <v>68646</v>
          </cell>
          <cell r="M509">
            <v>68646</v>
          </cell>
          <cell r="N509">
            <v>68646</v>
          </cell>
          <cell r="O509">
            <v>68646</v>
          </cell>
          <cell r="P509">
            <v>68646</v>
          </cell>
          <cell r="Q509">
            <v>68646</v>
          </cell>
          <cell r="R509">
            <v>68646</v>
          </cell>
          <cell r="S509">
            <v>68646</v>
          </cell>
          <cell r="T509">
            <v>68646</v>
          </cell>
          <cell r="U509">
            <v>68646</v>
          </cell>
          <cell r="V509">
            <v>68646</v>
          </cell>
          <cell r="W509">
            <v>68646</v>
          </cell>
          <cell r="X509" t="str">
            <v>④</v>
          </cell>
          <cell r="Y509" t="str">
            <v>⑤</v>
          </cell>
          <cell r="Z509" t="str">
            <v>⑥</v>
          </cell>
          <cell r="AA509" t="str">
            <v>⑦</v>
          </cell>
          <cell r="AB509" t="str">
            <v>⑧</v>
          </cell>
          <cell r="AC509" t="str">
            <v>⑨</v>
          </cell>
          <cell r="AD509" t="str">
            <v>⑩</v>
          </cell>
          <cell r="AE509" t="str">
            <v>⑪</v>
          </cell>
          <cell r="AF509" t="str">
            <v>⑫</v>
          </cell>
          <cell r="AG509" t="str">
            <v>①</v>
          </cell>
          <cell r="AH509" t="str">
            <v>②</v>
          </cell>
          <cell r="AI509" t="str">
            <v>③</v>
          </cell>
        </row>
        <row r="510">
          <cell r="B510">
            <v>2702</v>
          </cell>
          <cell r="C510">
            <v>27</v>
          </cell>
          <cell r="D510">
            <v>2</v>
          </cell>
          <cell r="F510" t="str">
            <v>越谷</v>
          </cell>
          <cell r="G510" t="str">
            <v>立体駐車場装置保守</v>
          </cell>
          <cell r="H510" t="str">
            <v>三菱重工ﾊﾟｰｷﾝｸﾞ建設</v>
          </cell>
          <cell r="I510">
            <v>79000</v>
          </cell>
          <cell r="J510">
            <v>80580</v>
          </cell>
          <cell r="K510">
            <v>12</v>
          </cell>
          <cell r="L510">
            <v>80580</v>
          </cell>
          <cell r="M510">
            <v>80580</v>
          </cell>
          <cell r="N510">
            <v>80580</v>
          </cell>
          <cell r="O510">
            <v>80580</v>
          </cell>
          <cell r="P510">
            <v>80580</v>
          </cell>
          <cell r="Q510">
            <v>80580</v>
          </cell>
          <cell r="R510">
            <v>80580</v>
          </cell>
          <cell r="S510">
            <v>80580</v>
          </cell>
          <cell r="T510">
            <v>80580</v>
          </cell>
          <cell r="U510">
            <v>80580</v>
          </cell>
          <cell r="V510">
            <v>80580</v>
          </cell>
          <cell r="W510">
            <v>80580</v>
          </cell>
          <cell r="X510" t="str">
            <v>④</v>
          </cell>
          <cell r="Y510" t="str">
            <v>⑤</v>
          </cell>
          <cell r="Z510" t="str">
            <v>⑥</v>
          </cell>
          <cell r="AA510" t="str">
            <v>⑦</v>
          </cell>
          <cell r="AB510" t="str">
            <v>⑧</v>
          </cell>
          <cell r="AC510" t="str">
            <v>⑨</v>
          </cell>
          <cell r="AD510" t="str">
            <v>⑩</v>
          </cell>
          <cell r="AE510" t="str">
            <v>⑪</v>
          </cell>
          <cell r="AF510" t="str">
            <v>⑫</v>
          </cell>
          <cell r="AG510" t="str">
            <v>①</v>
          </cell>
          <cell r="AH510" t="str">
            <v>②</v>
          </cell>
          <cell r="AI510" t="str">
            <v>③</v>
          </cell>
        </row>
        <row r="511">
          <cell r="B511">
            <v>2703</v>
          </cell>
          <cell r="C511">
            <v>27</v>
          </cell>
          <cell r="D511">
            <v>3</v>
          </cell>
          <cell r="F511" t="str">
            <v>越谷</v>
          </cell>
          <cell r="G511" t="str">
            <v>害虫駆除</v>
          </cell>
          <cell r="H511" t="str">
            <v>シェル商事</v>
          </cell>
          <cell r="I511">
            <v>60400</v>
          </cell>
          <cell r="J511">
            <v>66440</v>
          </cell>
          <cell r="K511">
            <v>2</v>
          </cell>
          <cell r="L511">
            <v>0</v>
          </cell>
          <cell r="M511">
            <v>66440</v>
          </cell>
          <cell r="N511">
            <v>0</v>
          </cell>
          <cell r="O511">
            <v>0</v>
          </cell>
          <cell r="P511">
            <v>0</v>
          </cell>
          <cell r="Q511">
            <v>0</v>
          </cell>
          <cell r="R511">
            <v>0</v>
          </cell>
          <cell r="S511">
            <v>66440</v>
          </cell>
          <cell r="T511">
            <v>0</v>
          </cell>
          <cell r="U511">
            <v>0</v>
          </cell>
          <cell r="V511">
            <v>0</v>
          </cell>
          <cell r="W511">
            <v>0</v>
          </cell>
          <cell r="Y511" t="str">
            <v>⑤</v>
          </cell>
          <cell r="AE511" t="str">
            <v>⑪</v>
          </cell>
        </row>
        <row r="512">
          <cell r="B512">
            <v>2704</v>
          </cell>
          <cell r="C512">
            <v>27</v>
          </cell>
          <cell r="D512">
            <v>4</v>
          </cell>
          <cell r="F512" t="str">
            <v>越谷</v>
          </cell>
          <cell r="G512" t="str">
            <v>貯水槽清掃</v>
          </cell>
          <cell r="H512" t="str">
            <v>杉田商工</v>
          </cell>
          <cell r="I512">
            <v>87800</v>
          </cell>
          <cell r="J512">
            <v>96580</v>
          </cell>
          <cell r="K512">
            <v>1</v>
          </cell>
          <cell r="L512">
            <v>0</v>
          </cell>
          <cell r="M512">
            <v>0</v>
          </cell>
          <cell r="N512">
            <v>0</v>
          </cell>
          <cell r="O512">
            <v>0</v>
          </cell>
          <cell r="P512">
            <v>0</v>
          </cell>
          <cell r="Q512">
            <v>0</v>
          </cell>
          <cell r="R512">
            <v>0</v>
          </cell>
          <cell r="S512">
            <v>0</v>
          </cell>
          <cell r="T512">
            <v>96580</v>
          </cell>
          <cell r="U512">
            <v>0</v>
          </cell>
          <cell r="V512">
            <v>0</v>
          </cell>
          <cell r="W512">
            <v>0</v>
          </cell>
          <cell r="AF512" t="str">
            <v>⑫</v>
          </cell>
        </row>
        <row r="513">
          <cell r="B513">
            <v>2705</v>
          </cell>
          <cell r="C513">
            <v>27</v>
          </cell>
          <cell r="D513">
            <v>5</v>
          </cell>
          <cell r="F513" t="str">
            <v>越谷</v>
          </cell>
          <cell r="G513" t="str">
            <v>植栽管理</v>
          </cell>
          <cell r="H513" t="str">
            <v>昭立造園</v>
          </cell>
          <cell r="I513">
            <v>30000</v>
          </cell>
          <cell r="J513">
            <v>33000</v>
          </cell>
          <cell r="K513">
            <v>1</v>
          </cell>
          <cell r="L513">
            <v>0</v>
          </cell>
          <cell r="M513">
            <v>0</v>
          </cell>
          <cell r="N513">
            <v>0</v>
          </cell>
          <cell r="O513">
            <v>0</v>
          </cell>
          <cell r="P513">
            <v>0</v>
          </cell>
          <cell r="Q513">
            <v>0</v>
          </cell>
          <cell r="R513">
            <v>33000</v>
          </cell>
          <cell r="S513">
            <v>0</v>
          </cell>
          <cell r="T513">
            <v>0</v>
          </cell>
          <cell r="U513">
            <v>0</v>
          </cell>
          <cell r="V513">
            <v>0</v>
          </cell>
          <cell r="W513">
            <v>0</v>
          </cell>
          <cell r="AD513" t="str">
            <v>⑩</v>
          </cell>
        </row>
        <row r="514">
          <cell r="B514">
            <v>2706</v>
          </cell>
          <cell r="C514">
            <v>27</v>
          </cell>
          <cell r="D514">
            <v>6</v>
          </cell>
          <cell r="F514" t="str">
            <v>越谷</v>
          </cell>
          <cell r="G514" t="str">
            <v>自動火災報知設備(外観)</v>
          </cell>
          <cell r="H514" t="str">
            <v>ホーチキ</v>
          </cell>
          <cell r="I514">
            <v>25000</v>
          </cell>
          <cell r="J514">
            <v>27500</v>
          </cell>
          <cell r="K514">
            <v>1</v>
          </cell>
          <cell r="L514">
            <v>0</v>
          </cell>
          <cell r="M514">
            <v>0</v>
          </cell>
          <cell r="N514">
            <v>0</v>
          </cell>
          <cell r="O514">
            <v>0</v>
          </cell>
          <cell r="P514">
            <v>27500</v>
          </cell>
          <cell r="Q514">
            <v>0</v>
          </cell>
          <cell r="R514">
            <v>0</v>
          </cell>
          <cell r="S514">
            <v>0</v>
          </cell>
          <cell r="T514">
            <v>0</v>
          </cell>
          <cell r="U514">
            <v>0</v>
          </cell>
          <cell r="V514">
            <v>0</v>
          </cell>
          <cell r="W514">
            <v>0</v>
          </cell>
          <cell r="AB514" t="str">
            <v>⑧</v>
          </cell>
        </row>
        <row r="515">
          <cell r="B515">
            <v>2707</v>
          </cell>
          <cell r="C515">
            <v>27</v>
          </cell>
          <cell r="D515">
            <v>7</v>
          </cell>
          <cell r="F515" t="str">
            <v>越谷</v>
          </cell>
          <cell r="G515" t="str">
            <v>自動火災報知設備(総合)</v>
          </cell>
          <cell r="H515" t="str">
            <v>ホーチキ</v>
          </cell>
          <cell r="I515">
            <v>74000</v>
          </cell>
          <cell r="J515">
            <v>81400</v>
          </cell>
          <cell r="K515">
            <v>1</v>
          </cell>
          <cell r="L515">
            <v>0</v>
          </cell>
          <cell r="M515">
            <v>0</v>
          </cell>
          <cell r="N515">
            <v>0</v>
          </cell>
          <cell r="O515">
            <v>0</v>
          </cell>
          <cell r="P515">
            <v>0</v>
          </cell>
          <cell r="Q515">
            <v>0</v>
          </cell>
          <cell r="R515">
            <v>0</v>
          </cell>
          <cell r="S515">
            <v>0</v>
          </cell>
          <cell r="T515">
            <v>0</v>
          </cell>
          <cell r="U515">
            <v>0</v>
          </cell>
          <cell r="V515">
            <v>81400</v>
          </cell>
          <cell r="W515">
            <v>0</v>
          </cell>
          <cell r="AH515" t="str">
            <v>②</v>
          </cell>
        </row>
        <row r="516">
          <cell r="B516">
            <v>2708</v>
          </cell>
          <cell r="C516">
            <v>27</v>
          </cell>
          <cell r="D516">
            <v>8</v>
          </cell>
          <cell r="F516" t="str">
            <v>越谷</v>
          </cell>
          <cell r="G516" t="str">
            <v>防排煙設備(外観)</v>
          </cell>
          <cell r="H516" t="str">
            <v>ホーチキ</v>
          </cell>
          <cell r="I516">
            <v>18000</v>
          </cell>
          <cell r="J516">
            <v>19800</v>
          </cell>
          <cell r="K516">
            <v>1</v>
          </cell>
          <cell r="L516">
            <v>0</v>
          </cell>
          <cell r="M516">
            <v>0</v>
          </cell>
          <cell r="N516">
            <v>0</v>
          </cell>
          <cell r="O516">
            <v>0</v>
          </cell>
          <cell r="P516">
            <v>19800</v>
          </cell>
          <cell r="Q516">
            <v>0</v>
          </cell>
          <cell r="R516">
            <v>0</v>
          </cell>
          <cell r="S516">
            <v>0</v>
          </cell>
          <cell r="T516">
            <v>0</v>
          </cell>
          <cell r="U516">
            <v>0</v>
          </cell>
          <cell r="V516">
            <v>0</v>
          </cell>
          <cell r="W516">
            <v>0</v>
          </cell>
          <cell r="AB516" t="str">
            <v>⑧</v>
          </cell>
        </row>
        <row r="517">
          <cell r="B517">
            <v>2709</v>
          </cell>
          <cell r="C517">
            <v>27</v>
          </cell>
          <cell r="D517">
            <v>9</v>
          </cell>
          <cell r="F517" t="str">
            <v>越谷</v>
          </cell>
          <cell r="G517" t="str">
            <v>防排煙設備(総合)</v>
          </cell>
          <cell r="H517" t="str">
            <v>ホーチキ</v>
          </cell>
          <cell r="I517">
            <v>24000</v>
          </cell>
          <cell r="J517">
            <v>26400</v>
          </cell>
          <cell r="K517">
            <v>1</v>
          </cell>
          <cell r="L517">
            <v>0</v>
          </cell>
          <cell r="M517">
            <v>0</v>
          </cell>
          <cell r="N517">
            <v>0</v>
          </cell>
          <cell r="O517">
            <v>0</v>
          </cell>
          <cell r="P517">
            <v>0</v>
          </cell>
          <cell r="Q517">
            <v>0</v>
          </cell>
          <cell r="R517">
            <v>0</v>
          </cell>
          <cell r="S517">
            <v>0</v>
          </cell>
          <cell r="T517">
            <v>0</v>
          </cell>
          <cell r="U517">
            <v>0</v>
          </cell>
          <cell r="V517">
            <v>26400</v>
          </cell>
          <cell r="W517">
            <v>0</v>
          </cell>
          <cell r="AH517" t="str">
            <v>②</v>
          </cell>
        </row>
        <row r="518">
          <cell r="B518">
            <v>2710</v>
          </cell>
          <cell r="C518">
            <v>27</v>
          </cell>
          <cell r="D518">
            <v>10</v>
          </cell>
          <cell r="F518" t="str">
            <v>越谷</v>
          </cell>
          <cell r="G518" t="str">
            <v>ハロゲン化物設備(外観)</v>
          </cell>
          <cell r="H518" t="str">
            <v>ホーチキ</v>
          </cell>
          <cell r="I518">
            <v>43000</v>
          </cell>
          <cell r="J518">
            <v>47300</v>
          </cell>
          <cell r="K518">
            <v>1</v>
          </cell>
          <cell r="L518">
            <v>0</v>
          </cell>
          <cell r="M518">
            <v>0</v>
          </cell>
          <cell r="N518">
            <v>0</v>
          </cell>
          <cell r="O518">
            <v>0</v>
          </cell>
          <cell r="P518">
            <v>47300</v>
          </cell>
          <cell r="Q518">
            <v>0</v>
          </cell>
          <cell r="R518">
            <v>0</v>
          </cell>
          <cell r="S518">
            <v>0</v>
          </cell>
          <cell r="T518">
            <v>0</v>
          </cell>
          <cell r="U518">
            <v>0</v>
          </cell>
          <cell r="V518">
            <v>0</v>
          </cell>
          <cell r="W518">
            <v>0</v>
          </cell>
          <cell r="AB518" t="str">
            <v>⑧</v>
          </cell>
        </row>
        <row r="519">
          <cell r="B519">
            <v>2711</v>
          </cell>
          <cell r="C519">
            <v>27</v>
          </cell>
          <cell r="D519">
            <v>11</v>
          </cell>
          <cell r="F519" t="str">
            <v>越谷</v>
          </cell>
          <cell r="G519" t="str">
            <v>ハロゲン化物設備(総合)</v>
          </cell>
          <cell r="H519" t="str">
            <v>ホーチキ</v>
          </cell>
          <cell r="I519">
            <v>136000</v>
          </cell>
          <cell r="J519">
            <v>149600</v>
          </cell>
          <cell r="K519">
            <v>1</v>
          </cell>
          <cell r="L519">
            <v>0</v>
          </cell>
          <cell r="M519">
            <v>0</v>
          </cell>
          <cell r="N519">
            <v>0</v>
          </cell>
          <cell r="O519">
            <v>0</v>
          </cell>
          <cell r="P519">
            <v>0</v>
          </cell>
          <cell r="Q519">
            <v>0</v>
          </cell>
          <cell r="R519">
            <v>0</v>
          </cell>
          <cell r="S519">
            <v>0</v>
          </cell>
          <cell r="T519">
            <v>0</v>
          </cell>
          <cell r="U519">
            <v>0</v>
          </cell>
          <cell r="V519">
            <v>149600</v>
          </cell>
          <cell r="W519">
            <v>0</v>
          </cell>
          <cell r="AH519" t="str">
            <v>②</v>
          </cell>
        </row>
        <row r="520">
          <cell r="B520">
            <v>2712</v>
          </cell>
          <cell r="C520">
            <v>27</v>
          </cell>
          <cell r="D520">
            <v>12</v>
          </cell>
          <cell r="F520" t="str">
            <v>越谷</v>
          </cell>
          <cell r="G520" t="str">
            <v>消火器点検(外観)</v>
          </cell>
          <cell r="H520" t="str">
            <v>東管ビルサポート</v>
          </cell>
          <cell r="I520">
            <v>38450</v>
          </cell>
          <cell r="J520">
            <v>42295</v>
          </cell>
          <cell r="K520">
            <v>2</v>
          </cell>
          <cell r="L520">
            <v>0</v>
          </cell>
          <cell r="M520">
            <v>0</v>
          </cell>
          <cell r="N520">
            <v>0</v>
          </cell>
          <cell r="O520">
            <v>0</v>
          </cell>
          <cell r="P520">
            <v>42295</v>
          </cell>
          <cell r="Q520">
            <v>0</v>
          </cell>
          <cell r="R520">
            <v>0</v>
          </cell>
          <cell r="S520">
            <v>0</v>
          </cell>
          <cell r="T520">
            <v>0</v>
          </cell>
          <cell r="U520">
            <v>0</v>
          </cell>
          <cell r="V520">
            <v>42295</v>
          </cell>
          <cell r="W520">
            <v>0</v>
          </cell>
          <cell r="AB520" t="str">
            <v>⑧</v>
          </cell>
          <cell r="AH520" t="str">
            <v>②</v>
          </cell>
        </row>
        <row r="521">
          <cell r="B521">
            <v>2801</v>
          </cell>
          <cell r="C521">
            <v>28</v>
          </cell>
          <cell r="D521">
            <v>1</v>
          </cell>
          <cell r="F521" t="str">
            <v>小岩</v>
          </cell>
          <cell r="G521" t="str">
            <v>エレベーター保守</v>
          </cell>
          <cell r="H521" t="str">
            <v>三菱電機ﾋﾞﾙﾃｸﾉｻｰﾋﾞｽ</v>
          </cell>
          <cell r="I521">
            <v>62200</v>
          </cell>
          <cell r="J521">
            <v>63444</v>
          </cell>
          <cell r="K521">
            <v>12</v>
          </cell>
          <cell r="L521">
            <v>63444</v>
          </cell>
          <cell r="M521">
            <v>63444</v>
          </cell>
          <cell r="N521">
            <v>63444</v>
          </cell>
          <cell r="O521">
            <v>63444</v>
          </cell>
          <cell r="P521">
            <v>63444</v>
          </cell>
          <cell r="Q521">
            <v>63444</v>
          </cell>
          <cell r="R521">
            <v>63444</v>
          </cell>
          <cell r="S521">
            <v>63444</v>
          </cell>
          <cell r="T521">
            <v>63444</v>
          </cell>
          <cell r="U521">
            <v>63444</v>
          </cell>
          <cell r="V521">
            <v>63444</v>
          </cell>
          <cell r="W521">
            <v>63444</v>
          </cell>
          <cell r="X521" t="str">
            <v>④</v>
          </cell>
          <cell r="Y521" t="str">
            <v>⑤</v>
          </cell>
          <cell r="Z521" t="str">
            <v>⑥</v>
          </cell>
          <cell r="AA521" t="str">
            <v>⑦</v>
          </cell>
          <cell r="AB521" t="str">
            <v>⑧</v>
          </cell>
          <cell r="AC521" t="str">
            <v>⑨</v>
          </cell>
          <cell r="AD521" t="str">
            <v>⑩</v>
          </cell>
          <cell r="AE521" t="str">
            <v>⑪</v>
          </cell>
          <cell r="AF521" t="str">
            <v>⑫</v>
          </cell>
          <cell r="AG521" t="str">
            <v>①</v>
          </cell>
          <cell r="AH521" t="str">
            <v>②</v>
          </cell>
          <cell r="AI521" t="str">
            <v>③</v>
          </cell>
        </row>
        <row r="522">
          <cell r="B522">
            <v>3001</v>
          </cell>
          <cell r="C522">
            <v>30</v>
          </cell>
          <cell r="D522">
            <v>1</v>
          </cell>
          <cell r="F522" t="str">
            <v>桐生</v>
          </cell>
          <cell r="G522" t="str">
            <v>エレベーター保守</v>
          </cell>
          <cell r="H522" t="str">
            <v>三菱電機ﾋﾞﾙﾃｸﾉｻｰﾋﾞｽ</v>
          </cell>
          <cell r="I522">
            <v>64900</v>
          </cell>
          <cell r="J522">
            <v>66198</v>
          </cell>
          <cell r="K522">
            <v>12</v>
          </cell>
          <cell r="L522">
            <v>66198</v>
          </cell>
          <cell r="M522">
            <v>66198</v>
          </cell>
          <cell r="N522">
            <v>66198</v>
          </cell>
          <cell r="O522">
            <v>66198</v>
          </cell>
          <cell r="P522">
            <v>66198</v>
          </cell>
          <cell r="Q522">
            <v>66198</v>
          </cell>
          <cell r="R522">
            <v>66198</v>
          </cell>
          <cell r="S522">
            <v>66198</v>
          </cell>
          <cell r="T522">
            <v>66198</v>
          </cell>
          <cell r="U522">
            <v>66198</v>
          </cell>
          <cell r="V522">
            <v>66198</v>
          </cell>
          <cell r="W522">
            <v>66198</v>
          </cell>
          <cell r="X522" t="str">
            <v>④</v>
          </cell>
          <cell r="Y522" t="str">
            <v>⑤</v>
          </cell>
          <cell r="Z522" t="str">
            <v>⑥</v>
          </cell>
          <cell r="AA522" t="str">
            <v>⑦</v>
          </cell>
          <cell r="AB522" t="str">
            <v>⑧</v>
          </cell>
          <cell r="AC522" t="str">
            <v>⑨</v>
          </cell>
          <cell r="AD522" t="str">
            <v>⑩</v>
          </cell>
          <cell r="AE522" t="str">
            <v>⑪</v>
          </cell>
          <cell r="AF522" t="str">
            <v>⑫</v>
          </cell>
          <cell r="AG522" t="str">
            <v>①</v>
          </cell>
          <cell r="AH522" t="str">
            <v>②</v>
          </cell>
          <cell r="AI522" t="str">
            <v>③</v>
          </cell>
        </row>
        <row r="523">
          <cell r="B523">
            <v>3002</v>
          </cell>
          <cell r="C523">
            <v>30</v>
          </cell>
          <cell r="D523">
            <v>2</v>
          </cell>
          <cell r="F523" t="str">
            <v>桐生</v>
          </cell>
          <cell r="G523" t="str">
            <v>立体駐車場装置保守</v>
          </cell>
          <cell r="H523" t="str">
            <v>新明和ｴﾝｼﾞﾆｱﾘﾝｸﾞ</v>
          </cell>
          <cell r="I523">
            <v>73000</v>
          </cell>
          <cell r="J523">
            <v>74460</v>
          </cell>
          <cell r="K523">
            <v>12</v>
          </cell>
          <cell r="L523">
            <v>74460</v>
          </cell>
          <cell r="M523">
            <v>74460</v>
          </cell>
          <cell r="N523">
            <v>74460</v>
          </cell>
          <cell r="O523">
            <v>74460</v>
          </cell>
          <cell r="P523">
            <v>74460</v>
          </cell>
          <cell r="Q523">
            <v>74460</v>
          </cell>
          <cell r="R523">
            <v>74460</v>
          </cell>
          <cell r="S523">
            <v>74460</v>
          </cell>
          <cell r="T523">
            <v>74460</v>
          </cell>
          <cell r="U523">
            <v>74460</v>
          </cell>
          <cell r="V523">
            <v>74460</v>
          </cell>
          <cell r="W523">
            <v>74460</v>
          </cell>
          <cell r="X523" t="str">
            <v>④</v>
          </cell>
          <cell r="Y523" t="str">
            <v>⑤</v>
          </cell>
          <cell r="Z523" t="str">
            <v>⑥</v>
          </cell>
          <cell r="AA523" t="str">
            <v>⑦</v>
          </cell>
          <cell r="AB523" t="str">
            <v>⑧</v>
          </cell>
          <cell r="AC523" t="str">
            <v>⑨</v>
          </cell>
          <cell r="AD523" t="str">
            <v>⑩</v>
          </cell>
          <cell r="AE523" t="str">
            <v>⑪</v>
          </cell>
          <cell r="AF523" t="str">
            <v>⑫</v>
          </cell>
          <cell r="AG523" t="str">
            <v>①</v>
          </cell>
          <cell r="AH523" t="str">
            <v>②</v>
          </cell>
          <cell r="AI523" t="str">
            <v>③</v>
          </cell>
        </row>
        <row r="524">
          <cell r="B524">
            <v>3101</v>
          </cell>
          <cell r="C524">
            <v>31</v>
          </cell>
          <cell r="D524">
            <v>1</v>
          </cell>
          <cell r="F524" t="str">
            <v>千葉</v>
          </cell>
          <cell r="G524" t="str">
            <v>エレベーター保守</v>
          </cell>
          <cell r="H524" t="str">
            <v>三菱電機ﾋﾞﾙﾃｸﾉｻｰﾋﾞｽ</v>
          </cell>
          <cell r="I524">
            <v>61900</v>
          </cell>
          <cell r="J524">
            <v>63138</v>
          </cell>
          <cell r="K524">
            <v>12</v>
          </cell>
          <cell r="L524">
            <v>63138</v>
          </cell>
          <cell r="M524">
            <v>63138</v>
          </cell>
          <cell r="N524">
            <v>63138</v>
          </cell>
          <cell r="O524">
            <v>63138</v>
          </cell>
          <cell r="P524">
            <v>63138</v>
          </cell>
          <cell r="Q524">
            <v>63138</v>
          </cell>
          <cell r="R524">
            <v>63138</v>
          </cell>
          <cell r="S524">
            <v>63138</v>
          </cell>
          <cell r="T524">
            <v>63138</v>
          </cell>
          <cell r="U524">
            <v>63138</v>
          </cell>
          <cell r="V524">
            <v>63138</v>
          </cell>
          <cell r="W524">
            <v>63138</v>
          </cell>
          <cell r="X524" t="str">
            <v>④</v>
          </cell>
          <cell r="Y524" t="str">
            <v>⑤</v>
          </cell>
          <cell r="Z524" t="str">
            <v>⑥</v>
          </cell>
          <cell r="AA524" t="str">
            <v>⑦</v>
          </cell>
          <cell r="AB524" t="str">
            <v>⑧</v>
          </cell>
          <cell r="AC524" t="str">
            <v>⑨</v>
          </cell>
          <cell r="AD524" t="str">
            <v>⑩</v>
          </cell>
          <cell r="AE524" t="str">
            <v>⑪</v>
          </cell>
          <cell r="AF524" t="str">
            <v>⑫</v>
          </cell>
          <cell r="AG524" t="str">
            <v>①</v>
          </cell>
          <cell r="AH524" t="str">
            <v>②</v>
          </cell>
          <cell r="AI524" t="str">
            <v>③</v>
          </cell>
        </row>
        <row r="525">
          <cell r="B525">
            <v>3201</v>
          </cell>
          <cell r="C525">
            <v>32</v>
          </cell>
          <cell r="D525">
            <v>1</v>
          </cell>
          <cell r="F525" t="str">
            <v>木更津</v>
          </cell>
          <cell r="G525" t="str">
            <v>エレベーター保守</v>
          </cell>
          <cell r="H525" t="str">
            <v>三菱電機ﾋﾞﾙﾃｸﾉｻｰﾋﾞｽ</v>
          </cell>
          <cell r="I525">
            <v>56600</v>
          </cell>
          <cell r="J525">
            <v>57732</v>
          </cell>
          <cell r="K525">
            <v>12</v>
          </cell>
          <cell r="L525">
            <v>57732</v>
          </cell>
          <cell r="M525">
            <v>57732</v>
          </cell>
          <cell r="N525">
            <v>57732</v>
          </cell>
          <cell r="O525">
            <v>57732</v>
          </cell>
          <cell r="P525">
            <v>57732</v>
          </cell>
          <cell r="Q525">
            <v>57732</v>
          </cell>
          <cell r="R525">
            <v>57732</v>
          </cell>
          <cell r="S525">
            <v>57732</v>
          </cell>
          <cell r="T525">
            <v>57732</v>
          </cell>
          <cell r="U525">
            <v>57732</v>
          </cell>
          <cell r="V525">
            <v>57732</v>
          </cell>
          <cell r="W525">
            <v>57732</v>
          </cell>
          <cell r="X525" t="str">
            <v>④</v>
          </cell>
          <cell r="Y525" t="str">
            <v>⑤</v>
          </cell>
          <cell r="Z525" t="str">
            <v>⑥</v>
          </cell>
          <cell r="AA525" t="str">
            <v>⑦</v>
          </cell>
          <cell r="AB525" t="str">
            <v>⑧</v>
          </cell>
          <cell r="AC525" t="str">
            <v>⑨</v>
          </cell>
          <cell r="AD525" t="str">
            <v>⑩</v>
          </cell>
          <cell r="AE525" t="str">
            <v>⑪</v>
          </cell>
          <cell r="AF525" t="str">
            <v>⑫</v>
          </cell>
          <cell r="AG525" t="str">
            <v>①</v>
          </cell>
          <cell r="AH525" t="str">
            <v>②</v>
          </cell>
          <cell r="AI525" t="str">
            <v>③</v>
          </cell>
        </row>
        <row r="526">
          <cell r="B526">
            <v>3202</v>
          </cell>
          <cell r="C526">
            <v>32</v>
          </cell>
          <cell r="D526">
            <v>2</v>
          </cell>
          <cell r="F526" t="str">
            <v>木更津</v>
          </cell>
          <cell r="G526" t="str">
            <v>立体駐車場装置保守</v>
          </cell>
          <cell r="H526" t="str">
            <v>石川島運搬機械</v>
          </cell>
          <cell r="I526">
            <v>42059</v>
          </cell>
          <cell r="J526">
            <v>42900</v>
          </cell>
          <cell r="K526">
            <v>12</v>
          </cell>
          <cell r="L526">
            <v>42900</v>
          </cell>
          <cell r="M526">
            <v>42900</v>
          </cell>
          <cell r="N526">
            <v>42900</v>
          </cell>
          <cell r="O526">
            <v>42900</v>
          </cell>
          <cell r="P526">
            <v>42900</v>
          </cell>
          <cell r="Q526">
            <v>42900</v>
          </cell>
          <cell r="R526">
            <v>42900</v>
          </cell>
          <cell r="S526">
            <v>42900</v>
          </cell>
          <cell r="T526">
            <v>42900</v>
          </cell>
          <cell r="U526">
            <v>42900</v>
          </cell>
          <cell r="V526">
            <v>42900</v>
          </cell>
          <cell r="W526">
            <v>42900</v>
          </cell>
          <cell r="X526" t="str">
            <v>④</v>
          </cell>
          <cell r="Y526" t="str">
            <v>⑤</v>
          </cell>
          <cell r="Z526" t="str">
            <v>⑥</v>
          </cell>
          <cell r="AA526" t="str">
            <v>⑦</v>
          </cell>
          <cell r="AB526" t="str">
            <v>⑧</v>
          </cell>
          <cell r="AC526" t="str">
            <v>⑨</v>
          </cell>
          <cell r="AD526" t="str">
            <v>⑩</v>
          </cell>
          <cell r="AE526" t="str">
            <v>⑪</v>
          </cell>
          <cell r="AF526" t="str">
            <v>⑫</v>
          </cell>
          <cell r="AG526" t="str">
            <v>①</v>
          </cell>
          <cell r="AH526" t="str">
            <v>②</v>
          </cell>
          <cell r="AI526" t="str">
            <v>③</v>
          </cell>
        </row>
        <row r="527">
          <cell r="B527">
            <v>3301</v>
          </cell>
          <cell r="C527">
            <v>33</v>
          </cell>
          <cell r="D527">
            <v>1</v>
          </cell>
          <cell r="F527" t="str">
            <v>所沢</v>
          </cell>
          <cell r="G527" t="str">
            <v>エレベーター保守</v>
          </cell>
          <cell r="H527" t="str">
            <v>三菱電機ﾋﾞﾙﾃｸﾉｻｰﾋﾞｽ</v>
          </cell>
          <cell r="I527">
            <v>67300</v>
          </cell>
          <cell r="J527">
            <v>68646</v>
          </cell>
          <cell r="K527">
            <v>12</v>
          </cell>
          <cell r="L527">
            <v>68646</v>
          </cell>
          <cell r="M527">
            <v>68646</v>
          </cell>
          <cell r="N527">
            <v>68646</v>
          </cell>
          <cell r="O527">
            <v>68646</v>
          </cell>
          <cell r="P527">
            <v>68646</v>
          </cell>
          <cell r="Q527">
            <v>68646</v>
          </cell>
          <cell r="R527">
            <v>68646</v>
          </cell>
          <cell r="S527">
            <v>68646</v>
          </cell>
          <cell r="T527">
            <v>68646</v>
          </cell>
          <cell r="U527">
            <v>68646</v>
          </cell>
          <cell r="V527">
            <v>68646</v>
          </cell>
          <cell r="W527">
            <v>68646</v>
          </cell>
          <cell r="X527" t="str">
            <v>④</v>
          </cell>
          <cell r="Y527" t="str">
            <v>⑤</v>
          </cell>
          <cell r="Z527" t="str">
            <v>⑥</v>
          </cell>
          <cell r="AA527" t="str">
            <v>⑦</v>
          </cell>
          <cell r="AB527" t="str">
            <v>⑧</v>
          </cell>
          <cell r="AC527" t="str">
            <v>⑨</v>
          </cell>
          <cell r="AD527" t="str">
            <v>⑩</v>
          </cell>
          <cell r="AE527" t="str">
            <v>⑪</v>
          </cell>
          <cell r="AF527" t="str">
            <v>⑫</v>
          </cell>
          <cell r="AG527" t="str">
            <v>①</v>
          </cell>
          <cell r="AH527" t="str">
            <v>②</v>
          </cell>
          <cell r="AI527" t="str">
            <v>③</v>
          </cell>
        </row>
        <row r="528">
          <cell r="B528">
            <v>3401</v>
          </cell>
          <cell r="C528">
            <v>34</v>
          </cell>
          <cell r="D528">
            <v>1</v>
          </cell>
          <cell r="F528" t="str">
            <v>厚木</v>
          </cell>
          <cell r="G528" t="str">
            <v>エレベーター保守</v>
          </cell>
          <cell r="H528" t="str">
            <v>三菱電機ﾋﾞﾙﾃｸﾉｻｰﾋﾞｽ</v>
          </cell>
          <cell r="I528">
            <v>66400</v>
          </cell>
          <cell r="J528">
            <v>67728</v>
          </cell>
          <cell r="K528">
            <v>12</v>
          </cell>
          <cell r="L528">
            <v>67728</v>
          </cell>
          <cell r="M528">
            <v>67728</v>
          </cell>
          <cell r="N528">
            <v>67728</v>
          </cell>
          <cell r="O528">
            <v>67728</v>
          </cell>
          <cell r="P528">
            <v>67728</v>
          </cell>
          <cell r="Q528">
            <v>67728</v>
          </cell>
          <cell r="R528">
            <v>67728</v>
          </cell>
          <cell r="S528">
            <v>67728</v>
          </cell>
          <cell r="T528">
            <v>67728</v>
          </cell>
          <cell r="U528">
            <v>67728</v>
          </cell>
          <cell r="V528">
            <v>67728</v>
          </cell>
          <cell r="W528">
            <v>67728</v>
          </cell>
          <cell r="X528" t="str">
            <v>④</v>
          </cell>
          <cell r="Y528" t="str">
            <v>⑤</v>
          </cell>
          <cell r="Z528" t="str">
            <v>⑥</v>
          </cell>
          <cell r="AA528" t="str">
            <v>⑦</v>
          </cell>
          <cell r="AB528" t="str">
            <v>⑧</v>
          </cell>
          <cell r="AC528" t="str">
            <v>⑨</v>
          </cell>
          <cell r="AD528" t="str">
            <v>⑩</v>
          </cell>
          <cell r="AE528" t="str">
            <v>⑪</v>
          </cell>
          <cell r="AF528" t="str">
            <v>⑫</v>
          </cell>
          <cell r="AG528" t="str">
            <v>①</v>
          </cell>
          <cell r="AH528" t="str">
            <v>②</v>
          </cell>
          <cell r="AI528" t="str">
            <v>③</v>
          </cell>
        </row>
        <row r="529">
          <cell r="B529">
            <v>3501</v>
          </cell>
          <cell r="C529">
            <v>35</v>
          </cell>
          <cell r="D529">
            <v>1</v>
          </cell>
          <cell r="F529" t="str">
            <v>藤沢</v>
          </cell>
          <cell r="G529" t="str">
            <v>エレベーター保守</v>
          </cell>
          <cell r="H529" t="str">
            <v>三菱電機ﾋﾞﾙﾃｸﾉｻｰﾋﾞｽ</v>
          </cell>
          <cell r="I529">
            <v>63100</v>
          </cell>
          <cell r="J529">
            <v>64362</v>
          </cell>
          <cell r="K529">
            <v>12</v>
          </cell>
          <cell r="L529">
            <v>64362</v>
          </cell>
          <cell r="M529">
            <v>64362</v>
          </cell>
          <cell r="N529">
            <v>64362</v>
          </cell>
          <cell r="O529">
            <v>64362</v>
          </cell>
          <cell r="P529">
            <v>64362</v>
          </cell>
          <cell r="Q529">
            <v>64362</v>
          </cell>
          <cell r="R529">
            <v>64362</v>
          </cell>
          <cell r="S529">
            <v>64362</v>
          </cell>
          <cell r="T529">
            <v>64362</v>
          </cell>
          <cell r="U529">
            <v>64362</v>
          </cell>
          <cell r="V529">
            <v>64362</v>
          </cell>
          <cell r="W529">
            <v>64362</v>
          </cell>
          <cell r="X529" t="str">
            <v>④</v>
          </cell>
          <cell r="Y529" t="str">
            <v>⑤</v>
          </cell>
          <cell r="Z529" t="str">
            <v>⑥</v>
          </cell>
          <cell r="AA529" t="str">
            <v>⑦</v>
          </cell>
          <cell r="AB529" t="str">
            <v>⑧</v>
          </cell>
          <cell r="AC529" t="str">
            <v>⑨</v>
          </cell>
          <cell r="AD529" t="str">
            <v>⑩</v>
          </cell>
          <cell r="AE529" t="str">
            <v>⑪</v>
          </cell>
          <cell r="AF529" t="str">
            <v>⑫</v>
          </cell>
          <cell r="AG529" t="str">
            <v>①</v>
          </cell>
          <cell r="AH529" t="str">
            <v>②</v>
          </cell>
          <cell r="AI529" t="str">
            <v>③</v>
          </cell>
        </row>
        <row r="530">
          <cell r="B530">
            <v>3502</v>
          </cell>
          <cell r="C530">
            <v>35</v>
          </cell>
          <cell r="D530">
            <v>2</v>
          </cell>
          <cell r="F530" t="str">
            <v>藤沢</v>
          </cell>
          <cell r="G530" t="str">
            <v>機械式駐車場設備保守</v>
          </cell>
          <cell r="H530" t="str">
            <v>日精</v>
          </cell>
          <cell r="I530">
            <v>140000</v>
          </cell>
          <cell r="J530">
            <v>142800</v>
          </cell>
          <cell r="K530">
            <v>12</v>
          </cell>
          <cell r="L530">
            <v>142800</v>
          </cell>
          <cell r="M530">
            <v>142800</v>
          </cell>
          <cell r="N530">
            <v>142800</v>
          </cell>
          <cell r="O530">
            <v>142800</v>
          </cell>
          <cell r="P530">
            <v>142800</v>
          </cell>
          <cell r="Q530">
            <v>142800</v>
          </cell>
          <cell r="R530">
            <v>142800</v>
          </cell>
          <cell r="S530">
            <v>142800</v>
          </cell>
          <cell r="T530">
            <v>142800</v>
          </cell>
          <cell r="U530">
            <v>142800</v>
          </cell>
          <cell r="V530">
            <v>142800</v>
          </cell>
          <cell r="W530">
            <v>142800</v>
          </cell>
          <cell r="X530" t="str">
            <v>④</v>
          </cell>
          <cell r="Y530" t="str">
            <v>⑤</v>
          </cell>
          <cell r="Z530" t="str">
            <v>⑥</v>
          </cell>
          <cell r="AA530" t="str">
            <v>⑦</v>
          </cell>
          <cell r="AB530" t="str">
            <v>⑧</v>
          </cell>
          <cell r="AC530" t="str">
            <v>⑨</v>
          </cell>
          <cell r="AD530" t="str">
            <v>⑩</v>
          </cell>
          <cell r="AE530" t="str">
            <v>⑪</v>
          </cell>
          <cell r="AF530" t="str">
            <v>⑫</v>
          </cell>
          <cell r="AG530" t="str">
            <v>①</v>
          </cell>
          <cell r="AH530" t="str">
            <v>②</v>
          </cell>
          <cell r="AI530" t="str">
            <v>③</v>
          </cell>
        </row>
        <row r="531">
          <cell r="B531">
            <v>3601</v>
          </cell>
          <cell r="C531">
            <v>36</v>
          </cell>
          <cell r="D531">
            <v>1</v>
          </cell>
          <cell r="F531" t="str">
            <v>平塚</v>
          </cell>
          <cell r="G531" t="str">
            <v>エレベーター保守</v>
          </cell>
          <cell r="H531" t="str">
            <v>三菱電機ﾋﾞﾙﾃｸﾉｻｰﾋﾞｽ</v>
          </cell>
          <cell r="I531">
            <v>57500</v>
          </cell>
          <cell r="J531">
            <v>58650</v>
          </cell>
          <cell r="K531">
            <v>12</v>
          </cell>
          <cell r="L531">
            <v>58650</v>
          </cell>
          <cell r="M531">
            <v>58650</v>
          </cell>
          <cell r="N531">
            <v>58650</v>
          </cell>
          <cell r="O531">
            <v>58650</v>
          </cell>
          <cell r="P531">
            <v>58650</v>
          </cell>
          <cell r="Q531">
            <v>58650</v>
          </cell>
          <cell r="R531">
            <v>58650</v>
          </cell>
          <cell r="S531">
            <v>58650</v>
          </cell>
          <cell r="T531">
            <v>58650</v>
          </cell>
          <cell r="U531">
            <v>58650</v>
          </cell>
          <cell r="V531">
            <v>58650</v>
          </cell>
          <cell r="W531">
            <v>58650</v>
          </cell>
          <cell r="X531" t="str">
            <v>④</v>
          </cell>
          <cell r="Y531" t="str">
            <v>⑤</v>
          </cell>
          <cell r="Z531" t="str">
            <v>⑥</v>
          </cell>
          <cell r="AA531" t="str">
            <v>⑦</v>
          </cell>
          <cell r="AB531" t="str">
            <v>⑧</v>
          </cell>
          <cell r="AC531" t="str">
            <v>⑨</v>
          </cell>
          <cell r="AD531" t="str">
            <v>⑩</v>
          </cell>
          <cell r="AE531" t="str">
            <v>⑪</v>
          </cell>
          <cell r="AF531" t="str">
            <v>⑫</v>
          </cell>
          <cell r="AG531" t="str">
            <v>①</v>
          </cell>
          <cell r="AH531" t="str">
            <v>②</v>
          </cell>
          <cell r="AI531" t="str">
            <v>③</v>
          </cell>
        </row>
        <row r="532">
          <cell r="B532">
            <v>3602</v>
          </cell>
          <cell r="C532">
            <v>36</v>
          </cell>
          <cell r="D532">
            <v>2</v>
          </cell>
          <cell r="F532" t="str">
            <v>平塚</v>
          </cell>
          <cell r="G532" t="str">
            <v>機械式駐車場設備保守</v>
          </cell>
          <cell r="H532" t="str">
            <v>石川島運搬機械</v>
          </cell>
          <cell r="I532">
            <v>51471</v>
          </cell>
          <cell r="J532">
            <v>52500</v>
          </cell>
          <cell r="K532">
            <v>12</v>
          </cell>
          <cell r="L532">
            <v>52500</v>
          </cell>
          <cell r="M532">
            <v>52500</v>
          </cell>
          <cell r="N532">
            <v>52500</v>
          </cell>
          <cell r="O532">
            <v>52500</v>
          </cell>
          <cell r="P532">
            <v>52500</v>
          </cell>
          <cell r="Q532">
            <v>52500</v>
          </cell>
          <cell r="R532">
            <v>52500</v>
          </cell>
          <cell r="S532">
            <v>52500</v>
          </cell>
          <cell r="T532">
            <v>52500</v>
          </cell>
          <cell r="U532">
            <v>52500</v>
          </cell>
          <cell r="V532">
            <v>52500</v>
          </cell>
          <cell r="W532">
            <v>52500</v>
          </cell>
          <cell r="X532" t="str">
            <v>④</v>
          </cell>
          <cell r="Y532" t="str">
            <v>⑤</v>
          </cell>
          <cell r="Z532" t="str">
            <v>⑥</v>
          </cell>
          <cell r="AA532" t="str">
            <v>⑦</v>
          </cell>
          <cell r="AB532" t="str">
            <v>⑧</v>
          </cell>
          <cell r="AC532" t="str">
            <v>⑨</v>
          </cell>
          <cell r="AD532" t="str">
            <v>⑩</v>
          </cell>
          <cell r="AE532" t="str">
            <v>⑪</v>
          </cell>
          <cell r="AF532" t="str">
            <v>⑫</v>
          </cell>
          <cell r="AG532" t="str">
            <v>①</v>
          </cell>
          <cell r="AH532" t="str">
            <v>②</v>
          </cell>
          <cell r="AI532" t="str">
            <v>③</v>
          </cell>
        </row>
        <row r="533">
          <cell r="B533">
            <v>3701</v>
          </cell>
          <cell r="C533">
            <v>37</v>
          </cell>
          <cell r="D533">
            <v>1</v>
          </cell>
          <cell r="F533" t="str">
            <v>熊谷</v>
          </cell>
          <cell r="G533" t="str">
            <v>エレベーター保守</v>
          </cell>
          <cell r="H533" t="str">
            <v>三菱電機ﾋﾞﾙﾃｸﾉｻｰﾋﾞｽ</v>
          </cell>
          <cell r="I533">
            <v>58200</v>
          </cell>
          <cell r="J533">
            <v>59364</v>
          </cell>
          <cell r="K533">
            <v>12</v>
          </cell>
          <cell r="L533">
            <v>59364</v>
          </cell>
          <cell r="M533">
            <v>59364</v>
          </cell>
          <cell r="N533">
            <v>59364</v>
          </cell>
          <cell r="O533">
            <v>59364</v>
          </cell>
          <cell r="P533">
            <v>59364</v>
          </cell>
          <cell r="Q533">
            <v>59364</v>
          </cell>
          <cell r="R533">
            <v>59364</v>
          </cell>
          <cell r="S533">
            <v>59364</v>
          </cell>
          <cell r="T533">
            <v>59364</v>
          </cell>
          <cell r="U533">
            <v>59364</v>
          </cell>
          <cell r="V533">
            <v>59364</v>
          </cell>
          <cell r="W533">
            <v>59364</v>
          </cell>
          <cell r="X533" t="str">
            <v>④</v>
          </cell>
          <cell r="Y533" t="str">
            <v>⑤</v>
          </cell>
          <cell r="Z533" t="str">
            <v>⑥</v>
          </cell>
          <cell r="AA533" t="str">
            <v>⑦</v>
          </cell>
          <cell r="AB533" t="str">
            <v>⑧</v>
          </cell>
          <cell r="AC533" t="str">
            <v>⑨</v>
          </cell>
          <cell r="AD533" t="str">
            <v>⑩</v>
          </cell>
          <cell r="AE533" t="str">
            <v>⑪</v>
          </cell>
          <cell r="AF533" t="str">
            <v>⑫</v>
          </cell>
          <cell r="AG533" t="str">
            <v>①</v>
          </cell>
          <cell r="AH533" t="str">
            <v>②</v>
          </cell>
          <cell r="AI533" t="str">
            <v>③</v>
          </cell>
        </row>
        <row r="534">
          <cell r="B534">
            <v>3801</v>
          </cell>
          <cell r="C534">
            <v>38</v>
          </cell>
          <cell r="D534">
            <v>1</v>
          </cell>
          <cell r="F534" t="str">
            <v>三条</v>
          </cell>
          <cell r="G534" t="str">
            <v>機械式駐車場設備保守</v>
          </cell>
          <cell r="H534" t="str">
            <v>日精</v>
          </cell>
          <cell r="I534">
            <v>82000</v>
          </cell>
          <cell r="J534">
            <v>83640</v>
          </cell>
          <cell r="K534">
            <v>12</v>
          </cell>
          <cell r="L534">
            <v>83640</v>
          </cell>
          <cell r="M534">
            <v>83640</v>
          </cell>
          <cell r="N534">
            <v>83640</v>
          </cell>
          <cell r="O534">
            <v>83640</v>
          </cell>
          <cell r="P534">
            <v>83640</v>
          </cell>
          <cell r="Q534">
            <v>83640</v>
          </cell>
          <cell r="R534">
            <v>83640</v>
          </cell>
          <cell r="S534">
            <v>83640</v>
          </cell>
          <cell r="T534">
            <v>83640</v>
          </cell>
          <cell r="U534">
            <v>83640</v>
          </cell>
          <cell r="V534">
            <v>83640</v>
          </cell>
          <cell r="W534">
            <v>83640</v>
          </cell>
          <cell r="X534" t="str">
            <v>④</v>
          </cell>
          <cell r="Y534" t="str">
            <v>⑤</v>
          </cell>
          <cell r="Z534" t="str">
            <v>⑥</v>
          </cell>
          <cell r="AA534" t="str">
            <v>⑦</v>
          </cell>
          <cell r="AB534" t="str">
            <v>⑧</v>
          </cell>
          <cell r="AC534" t="str">
            <v>⑨</v>
          </cell>
          <cell r="AD534" t="str">
            <v>⑩</v>
          </cell>
          <cell r="AE534" t="str">
            <v>⑪</v>
          </cell>
          <cell r="AF534" t="str">
            <v>⑫</v>
          </cell>
          <cell r="AG534" t="str">
            <v>①</v>
          </cell>
          <cell r="AH534" t="str">
            <v>②</v>
          </cell>
          <cell r="AI534" t="str">
            <v>③</v>
          </cell>
        </row>
        <row r="535">
          <cell r="B535">
            <v>3901</v>
          </cell>
          <cell r="C535">
            <v>39</v>
          </cell>
          <cell r="D535">
            <v>1</v>
          </cell>
          <cell r="F535" t="str">
            <v>上越</v>
          </cell>
          <cell r="G535" t="str">
            <v>機械式駐車場設備保守</v>
          </cell>
          <cell r="H535" t="str">
            <v>新明和ｴﾝｼﾞﾆｱﾘﾝｸﾞ</v>
          </cell>
          <cell r="I535">
            <v>42500</v>
          </cell>
          <cell r="J535">
            <v>45450</v>
          </cell>
          <cell r="K535">
            <v>12</v>
          </cell>
          <cell r="L535">
            <v>45450</v>
          </cell>
          <cell r="M535">
            <v>45450</v>
          </cell>
          <cell r="N535">
            <v>45450</v>
          </cell>
          <cell r="O535">
            <v>45450</v>
          </cell>
          <cell r="P535">
            <v>45450</v>
          </cell>
          <cell r="Q535">
            <v>45450</v>
          </cell>
          <cell r="R535">
            <v>45450</v>
          </cell>
          <cell r="S535">
            <v>45450</v>
          </cell>
          <cell r="T535">
            <v>45450</v>
          </cell>
          <cell r="U535">
            <v>45450</v>
          </cell>
          <cell r="V535">
            <v>45450</v>
          </cell>
          <cell r="W535">
            <v>45450</v>
          </cell>
          <cell r="X535" t="str">
            <v>④</v>
          </cell>
          <cell r="Y535" t="str">
            <v>⑤</v>
          </cell>
          <cell r="Z535" t="str">
            <v>⑥</v>
          </cell>
          <cell r="AA535" t="str">
            <v>⑦</v>
          </cell>
          <cell r="AB535" t="str">
            <v>⑧</v>
          </cell>
          <cell r="AC535" t="str">
            <v>⑨</v>
          </cell>
          <cell r="AD535" t="str">
            <v>⑩</v>
          </cell>
          <cell r="AE535" t="str">
            <v>⑪</v>
          </cell>
          <cell r="AF535" t="str">
            <v>⑫</v>
          </cell>
          <cell r="AG535" t="str">
            <v>①</v>
          </cell>
          <cell r="AH535" t="str">
            <v>②</v>
          </cell>
          <cell r="AI535" t="str">
            <v>③</v>
          </cell>
          <cell r="AJ535" t="str">
            <v>変</v>
          </cell>
        </row>
        <row r="536">
          <cell r="B536">
            <v>4001</v>
          </cell>
          <cell r="C536">
            <v>40</v>
          </cell>
          <cell r="D536">
            <v>1</v>
          </cell>
          <cell r="F536" t="str">
            <v>上田</v>
          </cell>
          <cell r="G536" t="str">
            <v>機械式駐車場設備保守</v>
          </cell>
          <cell r="H536" t="str">
            <v>二宮産業</v>
          </cell>
          <cell r="I536">
            <v>46000</v>
          </cell>
          <cell r="J536">
            <v>46920</v>
          </cell>
          <cell r="K536">
            <v>12</v>
          </cell>
          <cell r="L536">
            <v>46920</v>
          </cell>
          <cell r="M536">
            <v>46920</v>
          </cell>
          <cell r="N536">
            <v>46920</v>
          </cell>
          <cell r="O536">
            <v>46920</v>
          </cell>
          <cell r="P536">
            <v>46920</v>
          </cell>
          <cell r="Q536">
            <v>46920</v>
          </cell>
          <cell r="R536">
            <v>46920</v>
          </cell>
          <cell r="S536">
            <v>46920</v>
          </cell>
          <cell r="T536">
            <v>46920</v>
          </cell>
          <cell r="U536">
            <v>46920</v>
          </cell>
          <cell r="V536">
            <v>46920</v>
          </cell>
          <cell r="W536">
            <v>46920</v>
          </cell>
          <cell r="X536" t="str">
            <v>④</v>
          </cell>
          <cell r="Y536" t="str">
            <v>⑤</v>
          </cell>
          <cell r="Z536" t="str">
            <v>⑥</v>
          </cell>
          <cell r="AA536" t="str">
            <v>⑦</v>
          </cell>
          <cell r="AB536" t="str">
            <v>⑧</v>
          </cell>
          <cell r="AC536" t="str">
            <v>⑨</v>
          </cell>
          <cell r="AD536" t="str">
            <v>⑩</v>
          </cell>
          <cell r="AE536" t="str">
            <v>⑪</v>
          </cell>
          <cell r="AF536" t="str">
            <v>⑫</v>
          </cell>
          <cell r="AG536" t="str">
            <v>①</v>
          </cell>
          <cell r="AH536" t="str">
            <v>②</v>
          </cell>
          <cell r="AI536" t="str">
            <v>③</v>
          </cell>
        </row>
        <row r="537">
          <cell r="B537">
            <v>4101</v>
          </cell>
          <cell r="C537">
            <v>41</v>
          </cell>
          <cell r="D537">
            <v>1</v>
          </cell>
          <cell r="F537" t="str">
            <v>自研</v>
          </cell>
          <cell r="G537" t="str">
            <v>植栽管理</v>
          </cell>
          <cell r="H537" t="str">
            <v>昭立造園</v>
          </cell>
          <cell r="I537">
            <v>375000</v>
          </cell>
          <cell r="J537">
            <v>382500</v>
          </cell>
          <cell r="K537">
            <v>2</v>
          </cell>
          <cell r="L537">
            <v>0</v>
          </cell>
          <cell r="M537">
            <v>0</v>
          </cell>
          <cell r="N537">
            <v>0</v>
          </cell>
          <cell r="O537">
            <v>382500</v>
          </cell>
          <cell r="P537">
            <v>0</v>
          </cell>
          <cell r="Q537">
            <v>0</v>
          </cell>
          <cell r="R537">
            <v>0</v>
          </cell>
          <cell r="S537">
            <v>0</v>
          </cell>
          <cell r="T537">
            <v>0</v>
          </cell>
          <cell r="U537">
            <v>0</v>
          </cell>
          <cell r="V537">
            <v>382500</v>
          </cell>
          <cell r="W537">
            <v>0</v>
          </cell>
          <cell r="X537" t="str">
            <v/>
          </cell>
          <cell r="Y537" t="str">
            <v/>
          </cell>
          <cell r="Z537" t="str">
            <v/>
          </cell>
          <cell r="AA537" t="str">
            <v>⑦</v>
          </cell>
          <cell r="AB537" t="str">
            <v/>
          </cell>
          <cell r="AC537" t="str">
            <v/>
          </cell>
          <cell r="AD537" t="str">
            <v/>
          </cell>
          <cell r="AE537" t="str">
            <v/>
          </cell>
          <cell r="AF537" t="str">
            <v/>
          </cell>
          <cell r="AG537" t="str">
            <v/>
          </cell>
          <cell r="AH537" t="str">
            <v>②</v>
          </cell>
          <cell r="AI537" t="str">
            <v/>
          </cell>
        </row>
        <row r="538">
          <cell r="B538">
            <v>4201</v>
          </cell>
          <cell r="C538">
            <v>42</v>
          </cell>
          <cell r="D538">
            <v>1</v>
          </cell>
          <cell r="F538" t="str">
            <v>本館</v>
          </cell>
          <cell r="G538" t="str">
            <v>昇降機設備保守</v>
          </cell>
          <cell r="H538" t="str">
            <v>三菱電機ﾋﾞﾙﾃｸﾉｻｰﾋﾞｽ</v>
          </cell>
          <cell r="I538">
            <v>2990100</v>
          </cell>
          <cell r="J538">
            <v>3049902</v>
          </cell>
          <cell r="K538">
            <v>12</v>
          </cell>
          <cell r="L538">
            <v>3049902</v>
          </cell>
          <cell r="M538">
            <v>3049902</v>
          </cell>
          <cell r="N538">
            <v>3049902</v>
          </cell>
          <cell r="O538">
            <v>3049902</v>
          </cell>
          <cell r="P538">
            <v>3049902</v>
          </cell>
          <cell r="Q538">
            <v>3049902</v>
          </cell>
          <cell r="R538">
            <v>3049902</v>
          </cell>
          <cell r="S538">
            <v>3049902</v>
          </cell>
          <cell r="T538">
            <v>3049902</v>
          </cell>
          <cell r="U538">
            <v>3049902</v>
          </cell>
          <cell r="V538">
            <v>3049902</v>
          </cell>
          <cell r="W538">
            <v>3049902</v>
          </cell>
          <cell r="X538" t="str">
            <v>④</v>
          </cell>
          <cell r="Y538" t="str">
            <v>⑤</v>
          </cell>
          <cell r="Z538" t="str">
            <v>⑥</v>
          </cell>
          <cell r="AA538" t="str">
            <v>⑦</v>
          </cell>
          <cell r="AB538" t="str">
            <v>⑧</v>
          </cell>
          <cell r="AC538" t="str">
            <v>⑨</v>
          </cell>
          <cell r="AD538" t="str">
            <v>⑩</v>
          </cell>
          <cell r="AE538" t="str">
            <v>⑪</v>
          </cell>
          <cell r="AF538" t="str">
            <v>⑫</v>
          </cell>
          <cell r="AG538" t="str">
            <v>①</v>
          </cell>
          <cell r="AH538" t="str">
            <v>②</v>
          </cell>
          <cell r="AI538" t="str">
            <v>③</v>
          </cell>
        </row>
        <row r="539">
          <cell r="B539">
            <v>4202</v>
          </cell>
          <cell r="C539">
            <v>42</v>
          </cell>
          <cell r="D539">
            <v>2</v>
          </cell>
          <cell r="F539" t="str">
            <v>本館</v>
          </cell>
          <cell r="G539" t="str">
            <v>ゴンドラ設備保守</v>
          </cell>
          <cell r="H539" t="str">
            <v>日本ビソー</v>
          </cell>
          <cell r="I539">
            <v>110000</v>
          </cell>
          <cell r="J539">
            <v>114600</v>
          </cell>
          <cell r="K539">
            <v>12</v>
          </cell>
          <cell r="L539">
            <v>114600</v>
          </cell>
          <cell r="M539">
            <v>114600</v>
          </cell>
          <cell r="N539">
            <v>114600</v>
          </cell>
          <cell r="O539">
            <v>114600</v>
          </cell>
          <cell r="P539">
            <v>114600</v>
          </cell>
          <cell r="Q539">
            <v>114600</v>
          </cell>
          <cell r="R539">
            <v>114600</v>
          </cell>
          <cell r="S539">
            <v>114600</v>
          </cell>
          <cell r="T539">
            <v>114600</v>
          </cell>
          <cell r="U539">
            <v>114600</v>
          </cell>
          <cell r="V539">
            <v>114600</v>
          </cell>
          <cell r="W539">
            <v>114600</v>
          </cell>
          <cell r="X539" t="str">
            <v>④</v>
          </cell>
          <cell r="Y539" t="str">
            <v>⑤</v>
          </cell>
          <cell r="Z539" t="str">
            <v>⑥</v>
          </cell>
          <cell r="AA539" t="str">
            <v>⑦</v>
          </cell>
          <cell r="AB539" t="str">
            <v>⑧</v>
          </cell>
          <cell r="AC539" t="str">
            <v>⑨</v>
          </cell>
          <cell r="AD539" t="str">
            <v>⑩</v>
          </cell>
          <cell r="AE539" t="str">
            <v>⑪</v>
          </cell>
          <cell r="AF539" t="str">
            <v>⑫</v>
          </cell>
          <cell r="AG539" t="str">
            <v>①</v>
          </cell>
          <cell r="AH539" t="str">
            <v>②</v>
          </cell>
          <cell r="AI539" t="str">
            <v>③</v>
          </cell>
          <cell r="AJ539" t="str">
            <v>変</v>
          </cell>
        </row>
        <row r="540">
          <cell r="B540">
            <v>4203</v>
          </cell>
          <cell r="C540">
            <v>42</v>
          </cell>
          <cell r="D540">
            <v>3</v>
          </cell>
          <cell r="F540" t="str">
            <v>本館</v>
          </cell>
          <cell r="G540" t="str">
            <v>ゴンドラ設備保守</v>
          </cell>
          <cell r="H540" t="str">
            <v>日本ビソー</v>
          </cell>
          <cell r="I540">
            <v>120000</v>
          </cell>
          <cell r="J540">
            <v>122400</v>
          </cell>
          <cell r="K540">
            <v>1</v>
          </cell>
          <cell r="L540">
            <v>0</v>
          </cell>
          <cell r="M540">
            <v>0</v>
          </cell>
          <cell r="N540">
            <v>0</v>
          </cell>
          <cell r="O540">
            <v>0</v>
          </cell>
          <cell r="P540">
            <v>122400</v>
          </cell>
          <cell r="Q540">
            <v>0</v>
          </cell>
          <cell r="R540">
            <v>0</v>
          </cell>
          <cell r="S540">
            <v>0</v>
          </cell>
          <cell r="T540">
            <v>0</v>
          </cell>
          <cell r="U540">
            <v>0</v>
          </cell>
          <cell r="V540">
            <v>0</v>
          </cell>
          <cell r="W540">
            <v>0</v>
          </cell>
          <cell r="X540" t="str">
            <v/>
          </cell>
          <cell r="Y540" t="str">
            <v/>
          </cell>
          <cell r="Z540" t="str">
            <v/>
          </cell>
          <cell r="AA540" t="str">
            <v/>
          </cell>
          <cell r="AB540" t="str">
            <v>⑧</v>
          </cell>
          <cell r="AC540" t="str">
            <v/>
          </cell>
          <cell r="AD540" t="str">
            <v/>
          </cell>
          <cell r="AE540" t="str">
            <v/>
          </cell>
          <cell r="AF540" t="str">
            <v/>
          </cell>
          <cell r="AG540" t="str">
            <v/>
          </cell>
          <cell r="AH540" t="str">
            <v/>
          </cell>
          <cell r="AI540" t="str">
            <v/>
          </cell>
        </row>
        <row r="541">
          <cell r="B541">
            <v>4204</v>
          </cell>
          <cell r="C541">
            <v>42</v>
          </cell>
          <cell r="D541">
            <v>4</v>
          </cell>
          <cell r="F541" t="str">
            <v>本館</v>
          </cell>
          <cell r="G541" t="str">
            <v>シャッター設備保守(外観)</v>
          </cell>
          <cell r="H541" t="str">
            <v>小俣シャッター工業</v>
          </cell>
          <cell r="I541">
            <v>104000</v>
          </cell>
          <cell r="J541">
            <v>107208</v>
          </cell>
          <cell r="K541">
            <v>1</v>
          </cell>
          <cell r="L541">
            <v>0</v>
          </cell>
          <cell r="M541">
            <v>107208</v>
          </cell>
          <cell r="N541">
            <v>0</v>
          </cell>
          <cell r="O541">
            <v>0</v>
          </cell>
          <cell r="P541">
            <v>0</v>
          </cell>
          <cell r="Q541">
            <v>0</v>
          </cell>
          <cell r="R541">
            <v>0</v>
          </cell>
          <cell r="S541">
            <v>0</v>
          </cell>
          <cell r="T541">
            <v>0</v>
          </cell>
          <cell r="U541">
            <v>0</v>
          </cell>
          <cell r="V541">
            <v>0</v>
          </cell>
          <cell r="W541">
            <v>0</v>
          </cell>
          <cell r="X541" t="str">
            <v/>
          </cell>
          <cell r="Y541" t="str">
            <v>⑤</v>
          </cell>
          <cell r="Z541" t="str">
            <v/>
          </cell>
          <cell r="AA541" t="str">
            <v/>
          </cell>
          <cell r="AB541" t="str">
            <v/>
          </cell>
          <cell r="AC541" t="str">
            <v/>
          </cell>
          <cell r="AD541" t="str">
            <v/>
          </cell>
          <cell r="AE541" t="str">
            <v/>
          </cell>
          <cell r="AF541" t="str">
            <v/>
          </cell>
          <cell r="AG541" t="str">
            <v/>
          </cell>
          <cell r="AH541" t="str">
            <v/>
          </cell>
          <cell r="AI541" t="str">
            <v/>
          </cell>
          <cell r="AJ541" t="str">
            <v>変</v>
          </cell>
        </row>
        <row r="542">
          <cell r="B542">
            <v>4205</v>
          </cell>
          <cell r="C542">
            <v>42</v>
          </cell>
          <cell r="D542">
            <v>5</v>
          </cell>
          <cell r="F542" t="str">
            <v>本館</v>
          </cell>
          <cell r="G542" t="str">
            <v>シャッター設備保守(総合)</v>
          </cell>
          <cell r="H542" t="str">
            <v>小俣シャッター工業</v>
          </cell>
          <cell r="I542">
            <v>104000</v>
          </cell>
          <cell r="J542">
            <v>107208</v>
          </cell>
          <cell r="K542">
            <v>1</v>
          </cell>
          <cell r="L542">
            <v>0</v>
          </cell>
          <cell r="M542">
            <v>0</v>
          </cell>
          <cell r="N542">
            <v>0</v>
          </cell>
          <cell r="O542">
            <v>0</v>
          </cell>
          <cell r="P542">
            <v>0</v>
          </cell>
          <cell r="Q542">
            <v>0</v>
          </cell>
          <cell r="R542">
            <v>0</v>
          </cell>
          <cell r="S542">
            <v>107208</v>
          </cell>
          <cell r="T542">
            <v>0</v>
          </cell>
          <cell r="U542">
            <v>0</v>
          </cell>
          <cell r="V542">
            <v>0</v>
          </cell>
          <cell r="W542">
            <v>0</v>
          </cell>
          <cell r="X542" t="str">
            <v/>
          </cell>
          <cell r="Y542" t="str">
            <v/>
          </cell>
          <cell r="Z542" t="str">
            <v/>
          </cell>
          <cell r="AA542" t="str">
            <v/>
          </cell>
          <cell r="AB542" t="str">
            <v/>
          </cell>
          <cell r="AC542" t="str">
            <v/>
          </cell>
          <cell r="AD542" t="str">
            <v/>
          </cell>
          <cell r="AE542" t="str">
            <v>⑪</v>
          </cell>
          <cell r="AF542" t="str">
            <v/>
          </cell>
          <cell r="AG542" t="str">
            <v/>
          </cell>
          <cell r="AH542" t="str">
            <v/>
          </cell>
          <cell r="AI542" t="str">
            <v/>
          </cell>
          <cell r="AJ542" t="str">
            <v>変</v>
          </cell>
        </row>
        <row r="543">
          <cell r="B543">
            <v>4206</v>
          </cell>
          <cell r="C543">
            <v>42</v>
          </cell>
          <cell r="D543">
            <v>6</v>
          </cell>
          <cell r="F543" t="str">
            <v>本館</v>
          </cell>
          <cell r="G543" t="str">
            <v>シャッター設備保守(外観)</v>
          </cell>
          <cell r="H543" t="str">
            <v>共栄シャッター</v>
          </cell>
          <cell r="I543">
            <v>68500</v>
          </cell>
          <cell r="J543">
            <v>70770</v>
          </cell>
          <cell r="K543">
            <v>1</v>
          </cell>
          <cell r="L543">
            <v>0</v>
          </cell>
          <cell r="M543">
            <v>70770</v>
          </cell>
          <cell r="N543">
            <v>0</v>
          </cell>
          <cell r="O543">
            <v>0</v>
          </cell>
          <cell r="P543">
            <v>0</v>
          </cell>
          <cell r="Q543">
            <v>0</v>
          </cell>
          <cell r="R543">
            <v>0</v>
          </cell>
          <cell r="S543">
            <v>0</v>
          </cell>
          <cell r="T543">
            <v>0</v>
          </cell>
          <cell r="U543">
            <v>0</v>
          </cell>
          <cell r="V543">
            <v>0</v>
          </cell>
          <cell r="W543">
            <v>0</v>
          </cell>
          <cell r="X543" t="str">
            <v/>
          </cell>
          <cell r="Y543" t="str">
            <v>⑤</v>
          </cell>
          <cell r="Z543" t="str">
            <v/>
          </cell>
          <cell r="AA543" t="str">
            <v/>
          </cell>
          <cell r="AB543" t="str">
            <v/>
          </cell>
          <cell r="AC543" t="str">
            <v/>
          </cell>
          <cell r="AD543" t="str">
            <v/>
          </cell>
          <cell r="AE543" t="str">
            <v/>
          </cell>
          <cell r="AF543" t="str">
            <v/>
          </cell>
          <cell r="AG543" t="str">
            <v/>
          </cell>
          <cell r="AH543" t="str">
            <v/>
          </cell>
          <cell r="AI543" t="str">
            <v/>
          </cell>
          <cell r="AJ543" t="str">
            <v>変</v>
          </cell>
        </row>
        <row r="544">
          <cell r="B544">
            <v>4207</v>
          </cell>
          <cell r="C544">
            <v>42</v>
          </cell>
          <cell r="D544">
            <v>7</v>
          </cell>
          <cell r="F544" t="str">
            <v>本館</v>
          </cell>
          <cell r="G544" t="str">
            <v>シャッター設備保守(総合)</v>
          </cell>
          <cell r="H544" t="str">
            <v>共栄シャッター</v>
          </cell>
          <cell r="I544">
            <v>68500</v>
          </cell>
          <cell r="J544">
            <v>70770</v>
          </cell>
          <cell r="K544">
            <v>1</v>
          </cell>
          <cell r="L544">
            <v>0</v>
          </cell>
          <cell r="M544">
            <v>0</v>
          </cell>
          <cell r="N544">
            <v>0</v>
          </cell>
          <cell r="O544">
            <v>0</v>
          </cell>
          <cell r="P544">
            <v>0</v>
          </cell>
          <cell r="Q544">
            <v>0</v>
          </cell>
          <cell r="R544">
            <v>0</v>
          </cell>
          <cell r="S544">
            <v>70770</v>
          </cell>
          <cell r="T544">
            <v>0</v>
          </cell>
          <cell r="U544">
            <v>0</v>
          </cell>
          <cell r="V544">
            <v>0</v>
          </cell>
          <cell r="W544">
            <v>0</v>
          </cell>
          <cell r="X544" t="str">
            <v/>
          </cell>
          <cell r="Y544" t="str">
            <v/>
          </cell>
          <cell r="Z544" t="str">
            <v/>
          </cell>
          <cell r="AA544" t="str">
            <v/>
          </cell>
          <cell r="AB544" t="str">
            <v/>
          </cell>
          <cell r="AC544" t="str">
            <v/>
          </cell>
          <cell r="AD544" t="str">
            <v/>
          </cell>
          <cell r="AE544" t="str">
            <v>⑪</v>
          </cell>
          <cell r="AF544" t="str">
            <v/>
          </cell>
          <cell r="AG544" t="str">
            <v/>
          </cell>
          <cell r="AH544" t="str">
            <v/>
          </cell>
          <cell r="AI544" t="str">
            <v/>
          </cell>
          <cell r="AJ544" t="str">
            <v>変</v>
          </cell>
        </row>
        <row r="545">
          <cell r="B545">
            <v>4208</v>
          </cell>
          <cell r="C545">
            <v>42</v>
          </cell>
          <cell r="D545">
            <v>8</v>
          </cell>
          <cell r="F545" t="str">
            <v>本館</v>
          </cell>
          <cell r="G545" t="str">
            <v>塵芥処理室ｼｬｯﾀｰ設備保守</v>
          </cell>
          <cell r="H545" t="str">
            <v>金剛産業</v>
          </cell>
          <cell r="I545">
            <v>28000</v>
          </cell>
          <cell r="J545">
            <v>28560</v>
          </cell>
          <cell r="K545">
            <v>1</v>
          </cell>
          <cell r="L545">
            <v>0</v>
          </cell>
          <cell r="M545">
            <v>0</v>
          </cell>
          <cell r="N545">
            <v>0</v>
          </cell>
          <cell r="O545">
            <v>0</v>
          </cell>
          <cell r="P545">
            <v>0</v>
          </cell>
          <cell r="Q545">
            <v>0</v>
          </cell>
          <cell r="R545">
            <v>0</v>
          </cell>
          <cell r="S545">
            <v>0</v>
          </cell>
          <cell r="T545">
            <v>28560</v>
          </cell>
          <cell r="U545">
            <v>0</v>
          </cell>
          <cell r="V545">
            <v>0</v>
          </cell>
          <cell r="W545">
            <v>0</v>
          </cell>
          <cell r="X545" t="str">
            <v/>
          </cell>
          <cell r="Y545" t="str">
            <v/>
          </cell>
          <cell r="Z545" t="str">
            <v/>
          </cell>
          <cell r="AA545" t="str">
            <v/>
          </cell>
          <cell r="AB545" t="str">
            <v/>
          </cell>
          <cell r="AC545" t="str">
            <v/>
          </cell>
          <cell r="AD545" t="str">
            <v/>
          </cell>
          <cell r="AE545" t="str">
            <v/>
          </cell>
          <cell r="AF545" t="str">
            <v>⑫</v>
          </cell>
          <cell r="AG545" t="str">
            <v/>
          </cell>
          <cell r="AH545" t="str">
            <v/>
          </cell>
          <cell r="AI545" t="str">
            <v/>
          </cell>
        </row>
        <row r="546">
          <cell r="B546">
            <v>4209</v>
          </cell>
          <cell r="C546">
            <v>42</v>
          </cell>
          <cell r="D546">
            <v>9</v>
          </cell>
          <cell r="F546" t="str">
            <v>本館</v>
          </cell>
          <cell r="G546" t="str">
            <v>ガス漏火災警報(外観)</v>
          </cell>
          <cell r="H546" t="str">
            <v>三工サービス</v>
          </cell>
          <cell r="I546">
            <v>30000</v>
          </cell>
          <cell r="J546">
            <v>30600</v>
          </cell>
          <cell r="K546">
            <v>4</v>
          </cell>
          <cell r="L546">
            <v>30600</v>
          </cell>
          <cell r="M546">
            <v>0</v>
          </cell>
          <cell r="N546">
            <v>0</v>
          </cell>
          <cell r="O546">
            <v>30600</v>
          </cell>
          <cell r="P546">
            <v>0</v>
          </cell>
          <cell r="Q546">
            <v>0</v>
          </cell>
          <cell r="R546">
            <v>30600</v>
          </cell>
          <cell r="S546">
            <v>0</v>
          </cell>
          <cell r="T546">
            <v>0</v>
          </cell>
          <cell r="U546">
            <v>30600</v>
          </cell>
          <cell r="V546">
            <v>0</v>
          </cell>
          <cell r="W546">
            <v>0</v>
          </cell>
          <cell r="X546" t="str">
            <v>④</v>
          </cell>
          <cell r="Y546" t="str">
            <v/>
          </cell>
          <cell r="Z546" t="str">
            <v/>
          </cell>
          <cell r="AA546" t="str">
            <v>⑦</v>
          </cell>
          <cell r="AB546" t="str">
            <v/>
          </cell>
          <cell r="AC546" t="str">
            <v/>
          </cell>
          <cell r="AD546" t="str">
            <v>⑩</v>
          </cell>
          <cell r="AE546" t="str">
            <v/>
          </cell>
          <cell r="AF546" t="str">
            <v/>
          </cell>
          <cell r="AG546" t="str">
            <v>①</v>
          </cell>
          <cell r="AH546" t="str">
            <v/>
          </cell>
          <cell r="AI546" t="str">
            <v/>
          </cell>
        </row>
        <row r="547">
          <cell r="B547">
            <v>4210</v>
          </cell>
          <cell r="C547">
            <v>42</v>
          </cell>
          <cell r="D547">
            <v>10</v>
          </cell>
          <cell r="F547" t="str">
            <v>本館</v>
          </cell>
          <cell r="G547" t="str">
            <v>ｽﾌﾟﾘﾝｸﾗｰ設備(外観)</v>
          </cell>
          <cell r="H547" t="str">
            <v>ユニオンサービス</v>
          </cell>
          <cell r="I547">
            <v>581000</v>
          </cell>
          <cell r="J547">
            <v>604740</v>
          </cell>
          <cell r="K547">
            <v>1</v>
          </cell>
          <cell r="L547">
            <v>0</v>
          </cell>
          <cell r="M547">
            <v>0</v>
          </cell>
          <cell r="N547">
            <v>0</v>
          </cell>
          <cell r="O547">
            <v>604740</v>
          </cell>
          <cell r="P547">
            <v>0</v>
          </cell>
          <cell r="Q547">
            <v>0</v>
          </cell>
          <cell r="R547">
            <v>0</v>
          </cell>
          <cell r="S547">
            <v>0</v>
          </cell>
          <cell r="T547">
            <v>0</v>
          </cell>
          <cell r="U547">
            <v>0</v>
          </cell>
          <cell r="V547">
            <v>0</v>
          </cell>
          <cell r="W547">
            <v>0</v>
          </cell>
          <cell r="X547" t="str">
            <v/>
          </cell>
          <cell r="Y547" t="str">
            <v/>
          </cell>
          <cell r="Z547" t="str">
            <v/>
          </cell>
          <cell r="AA547" t="str">
            <v>⑦</v>
          </cell>
          <cell r="AB547" t="str">
            <v/>
          </cell>
          <cell r="AC547" t="str">
            <v/>
          </cell>
          <cell r="AD547" t="str">
            <v/>
          </cell>
          <cell r="AE547" t="str">
            <v/>
          </cell>
          <cell r="AF547" t="str">
            <v/>
          </cell>
          <cell r="AG547" t="str">
            <v/>
          </cell>
          <cell r="AH547" t="str">
            <v/>
          </cell>
          <cell r="AI547" t="str">
            <v/>
          </cell>
          <cell r="AJ547" t="str">
            <v>変</v>
          </cell>
        </row>
        <row r="548">
          <cell r="B548">
            <v>4211</v>
          </cell>
          <cell r="C548">
            <v>42</v>
          </cell>
          <cell r="D548">
            <v>11</v>
          </cell>
          <cell r="F548" t="str">
            <v>本館</v>
          </cell>
          <cell r="G548" t="str">
            <v>ｽﾌﾟﾘﾝｸﾗｰ設備(総合)</v>
          </cell>
          <cell r="H548" t="str">
            <v>ユニオンサービス</v>
          </cell>
          <cell r="I548">
            <v>592000</v>
          </cell>
          <cell r="J548">
            <v>615480</v>
          </cell>
          <cell r="K548">
            <v>1</v>
          </cell>
          <cell r="L548">
            <v>0</v>
          </cell>
          <cell r="M548">
            <v>0</v>
          </cell>
          <cell r="N548">
            <v>0</v>
          </cell>
          <cell r="O548">
            <v>0</v>
          </cell>
          <cell r="P548">
            <v>0</v>
          </cell>
          <cell r="Q548">
            <v>0</v>
          </cell>
          <cell r="R548">
            <v>0</v>
          </cell>
          <cell r="S548">
            <v>0</v>
          </cell>
          <cell r="T548">
            <v>0</v>
          </cell>
          <cell r="U548">
            <v>615480</v>
          </cell>
          <cell r="V548">
            <v>0</v>
          </cell>
          <cell r="W548">
            <v>0</v>
          </cell>
          <cell r="X548" t="str">
            <v/>
          </cell>
          <cell r="Y548" t="str">
            <v/>
          </cell>
          <cell r="Z548" t="str">
            <v/>
          </cell>
          <cell r="AA548" t="str">
            <v/>
          </cell>
          <cell r="AB548" t="str">
            <v/>
          </cell>
          <cell r="AC548" t="str">
            <v/>
          </cell>
          <cell r="AD548" t="str">
            <v/>
          </cell>
          <cell r="AE548" t="str">
            <v/>
          </cell>
          <cell r="AF548" t="str">
            <v/>
          </cell>
          <cell r="AG548" t="str">
            <v>①</v>
          </cell>
          <cell r="AH548" t="str">
            <v/>
          </cell>
          <cell r="AI548" t="str">
            <v/>
          </cell>
          <cell r="AJ548" t="str">
            <v>変</v>
          </cell>
        </row>
        <row r="549">
          <cell r="B549">
            <v>4212</v>
          </cell>
          <cell r="C549">
            <v>42</v>
          </cell>
          <cell r="D549">
            <v>12</v>
          </cell>
          <cell r="F549" t="str">
            <v>本館</v>
          </cell>
          <cell r="G549" t="str">
            <v>消火栓設備保守(外観)</v>
          </cell>
          <cell r="H549" t="str">
            <v>ユニオンサービス</v>
          </cell>
          <cell r="I549">
            <v>99000</v>
          </cell>
          <cell r="J549">
            <v>105900</v>
          </cell>
          <cell r="K549">
            <v>1</v>
          </cell>
          <cell r="L549">
            <v>0</v>
          </cell>
          <cell r="M549">
            <v>0</v>
          </cell>
          <cell r="N549">
            <v>0</v>
          </cell>
          <cell r="O549">
            <v>105900</v>
          </cell>
          <cell r="P549">
            <v>0</v>
          </cell>
          <cell r="Q549">
            <v>0</v>
          </cell>
          <cell r="R549">
            <v>0</v>
          </cell>
          <cell r="S549">
            <v>0</v>
          </cell>
          <cell r="T549">
            <v>0</v>
          </cell>
          <cell r="U549">
            <v>0</v>
          </cell>
          <cell r="V549">
            <v>0</v>
          </cell>
          <cell r="W549">
            <v>0</v>
          </cell>
          <cell r="X549" t="str">
            <v/>
          </cell>
          <cell r="Y549" t="str">
            <v/>
          </cell>
          <cell r="Z549" t="str">
            <v/>
          </cell>
          <cell r="AA549" t="str">
            <v>⑦</v>
          </cell>
          <cell r="AB549" t="str">
            <v/>
          </cell>
          <cell r="AC549" t="str">
            <v/>
          </cell>
          <cell r="AD549" t="str">
            <v/>
          </cell>
          <cell r="AE549" t="str">
            <v/>
          </cell>
          <cell r="AF549" t="str">
            <v/>
          </cell>
          <cell r="AG549" t="str">
            <v/>
          </cell>
          <cell r="AH549" t="str">
            <v/>
          </cell>
          <cell r="AI549" t="str">
            <v/>
          </cell>
          <cell r="AJ549" t="str">
            <v>変</v>
          </cell>
        </row>
        <row r="550">
          <cell r="B550">
            <v>4213</v>
          </cell>
          <cell r="C550">
            <v>42</v>
          </cell>
          <cell r="D550">
            <v>13</v>
          </cell>
          <cell r="F550" t="str">
            <v>本館</v>
          </cell>
          <cell r="G550" t="str">
            <v>消火栓設備保守(総合)</v>
          </cell>
          <cell r="H550" t="str">
            <v>ユニオンサービス</v>
          </cell>
          <cell r="I550">
            <v>138000</v>
          </cell>
          <cell r="J550">
            <v>143280</v>
          </cell>
          <cell r="K550">
            <v>1</v>
          </cell>
          <cell r="L550">
            <v>0</v>
          </cell>
          <cell r="M550">
            <v>0</v>
          </cell>
          <cell r="N550">
            <v>0</v>
          </cell>
          <cell r="O550">
            <v>0</v>
          </cell>
          <cell r="P550">
            <v>0</v>
          </cell>
          <cell r="Q550">
            <v>0</v>
          </cell>
          <cell r="R550">
            <v>0</v>
          </cell>
          <cell r="S550">
            <v>0</v>
          </cell>
          <cell r="T550">
            <v>0</v>
          </cell>
          <cell r="U550">
            <v>143280</v>
          </cell>
          <cell r="V550">
            <v>0</v>
          </cell>
          <cell r="W550">
            <v>0</v>
          </cell>
          <cell r="X550" t="str">
            <v/>
          </cell>
          <cell r="Y550" t="str">
            <v/>
          </cell>
          <cell r="Z550" t="str">
            <v/>
          </cell>
          <cell r="AA550" t="str">
            <v/>
          </cell>
          <cell r="AB550" t="str">
            <v/>
          </cell>
          <cell r="AC550" t="str">
            <v/>
          </cell>
          <cell r="AD550" t="str">
            <v/>
          </cell>
          <cell r="AE550" t="str">
            <v/>
          </cell>
          <cell r="AF550" t="str">
            <v/>
          </cell>
          <cell r="AG550" t="str">
            <v>①</v>
          </cell>
          <cell r="AH550" t="str">
            <v/>
          </cell>
          <cell r="AI550" t="str">
            <v/>
          </cell>
          <cell r="AJ550" t="str">
            <v>変</v>
          </cell>
        </row>
        <row r="551">
          <cell r="B551">
            <v>4214</v>
          </cell>
          <cell r="C551">
            <v>42</v>
          </cell>
          <cell r="D551">
            <v>14</v>
          </cell>
          <cell r="F551" t="str">
            <v>本館</v>
          </cell>
          <cell r="G551" t="str">
            <v>消防用水(外観)</v>
          </cell>
          <cell r="H551" t="str">
            <v>ユニオンサービス</v>
          </cell>
          <cell r="I551">
            <v>15000</v>
          </cell>
          <cell r="J551">
            <v>15300</v>
          </cell>
          <cell r="K551">
            <v>1</v>
          </cell>
          <cell r="L551">
            <v>0</v>
          </cell>
          <cell r="M551">
            <v>0</v>
          </cell>
          <cell r="N551">
            <v>0</v>
          </cell>
          <cell r="O551">
            <v>15300</v>
          </cell>
          <cell r="P551">
            <v>0</v>
          </cell>
          <cell r="Q551">
            <v>0</v>
          </cell>
          <cell r="R551">
            <v>0</v>
          </cell>
          <cell r="S551">
            <v>0</v>
          </cell>
          <cell r="T551">
            <v>0</v>
          </cell>
          <cell r="U551">
            <v>0</v>
          </cell>
          <cell r="V551">
            <v>0</v>
          </cell>
          <cell r="W551">
            <v>0</v>
          </cell>
          <cell r="X551" t="str">
            <v/>
          </cell>
          <cell r="Y551" t="str">
            <v/>
          </cell>
          <cell r="Z551" t="str">
            <v/>
          </cell>
          <cell r="AA551" t="str">
            <v>⑦</v>
          </cell>
          <cell r="AB551" t="str">
            <v/>
          </cell>
          <cell r="AC551" t="str">
            <v/>
          </cell>
          <cell r="AD551" t="str">
            <v/>
          </cell>
          <cell r="AE551" t="str">
            <v/>
          </cell>
          <cell r="AF551" t="str">
            <v/>
          </cell>
          <cell r="AG551" t="str">
            <v/>
          </cell>
          <cell r="AH551" t="str">
            <v/>
          </cell>
          <cell r="AI551" t="str">
            <v/>
          </cell>
          <cell r="AJ551" t="str">
            <v>変</v>
          </cell>
        </row>
        <row r="552">
          <cell r="B552">
            <v>4215</v>
          </cell>
          <cell r="C552">
            <v>42</v>
          </cell>
          <cell r="D552">
            <v>15</v>
          </cell>
          <cell r="F552" t="str">
            <v>本館</v>
          </cell>
          <cell r="G552" t="str">
            <v>消防用水(総合)</v>
          </cell>
          <cell r="H552" t="str">
            <v>ユニオンサービス</v>
          </cell>
          <cell r="I552">
            <v>15000</v>
          </cell>
          <cell r="J552">
            <v>15300</v>
          </cell>
          <cell r="K552">
            <v>1</v>
          </cell>
          <cell r="L552">
            <v>0</v>
          </cell>
          <cell r="M552">
            <v>0</v>
          </cell>
          <cell r="N552">
            <v>0</v>
          </cell>
          <cell r="O552">
            <v>0</v>
          </cell>
          <cell r="P552">
            <v>0</v>
          </cell>
          <cell r="Q552">
            <v>0</v>
          </cell>
          <cell r="R552">
            <v>0</v>
          </cell>
          <cell r="S552">
            <v>0</v>
          </cell>
          <cell r="T552">
            <v>0</v>
          </cell>
          <cell r="U552">
            <v>15300</v>
          </cell>
          <cell r="V552">
            <v>0</v>
          </cell>
          <cell r="W552">
            <v>0</v>
          </cell>
          <cell r="X552" t="str">
            <v/>
          </cell>
          <cell r="Y552" t="str">
            <v/>
          </cell>
          <cell r="Z552" t="str">
            <v/>
          </cell>
          <cell r="AA552" t="str">
            <v/>
          </cell>
          <cell r="AB552" t="str">
            <v/>
          </cell>
          <cell r="AC552" t="str">
            <v/>
          </cell>
          <cell r="AD552" t="str">
            <v/>
          </cell>
          <cell r="AE552" t="str">
            <v/>
          </cell>
          <cell r="AF552" t="str">
            <v/>
          </cell>
          <cell r="AG552" t="str">
            <v>①</v>
          </cell>
          <cell r="AH552" t="str">
            <v/>
          </cell>
          <cell r="AI552" t="str">
            <v/>
          </cell>
          <cell r="AJ552" t="str">
            <v>変</v>
          </cell>
        </row>
        <row r="553">
          <cell r="B553">
            <v>4216</v>
          </cell>
          <cell r="C553">
            <v>42</v>
          </cell>
          <cell r="D553">
            <v>16</v>
          </cell>
          <cell r="F553" t="str">
            <v>本館</v>
          </cell>
          <cell r="G553" t="str">
            <v>自動火災報知設備(外観)</v>
          </cell>
          <cell r="H553" t="str">
            <v>ホーチキ</v>
          </cell>
          <cell r="I553">
            <v>1270800</v>
          </cell>
          <cell r="J553">
            <v>1296216</v>
          </cell>
          <cell r="K553">
            <v>1</v>
          </cell>
          <cell r="L553">
            <v>0</v>
          </cell>
          <cell r="M553">
            <v>0</v>
          </cell>
          <cell r="N553">
            <v>0</v>
          </cell>
          <cell r="O553">
            <v>0</v>
          </cell>
          <cell r="P553">
            <v>0</v>
          </cell>
          <cell r="Q553">
            <v>0</v>
          </cell>
          <cell r="R553">
            <v>0</v>
          </cell>
          <cell r="S553">
            <v>1296216</v>
          </cell>
          <cell r="T553">
            <v>0</v>
          </cell>
          <cell r="U553">
            <v>0</v>
          </cell>
          <cell r="V553">
            <v>0</v>
          </cell>
          <cell r="W553">
            <v>0</v>
          </cell>
          <cell r="X553" t="str">
            <v/>
          </cell>
          <cell r="Y553" t="str">
            <v/>
          </cell>
          <cell r="Z553" t="str">
            <v/>
          </cell>
          <cell r="AA553" t="str">
            <v/>
          </cell>
          <cell r="AB553" t="str">
            <v/>
          </cell>
          <cell r="AC553" t="str">
            <v/>
          </cell>
          <cell r="AD553" t="str">
            <v/>
          </cell>
          <cell r="AE553" t="str">
            <v>⑪</v>
          </cell>
          <cell r="AF553" t="str">
            <v/>
          </cell>
          <cell r="AG553" t="str">
            <v/>
          </cell>
          <cell r="AH553" t="str">
            <v/>
          </cell>
          <cell r="AI553" t="str">
            <v/>
          </cell>
        </row>
        <row r="554">
          <cell r="B554">
            <v>4217</v>
          </cell>
          <cell r="C554">
            <v>42</v>
          </cell>
          <cell r="D554">
            <v>17</v>
          </cell>
          <cell r="F554" t="str">
            <v>本館</v>
          </cell>
          <cell r="G554" t="str">
            <v>自動火災報知設備(総合)</v>
          </cell>
          <cell r="H554" t="str">
            <v>ホーチキ</v>
          </cell>
          <cell r="I554">
            <v>1703700</v>
          </cell>
          <cell r="J554">
            <v>1737774</v>
          </cell>
          <cell r="K554">
            <v>1</v>
          </cell>
          <cell r="L554">
            <v>0</v>
          </cell>
          <cell r="M554">
            <v>1737774</v>
          </cell>
          <cell r="N554">
            <v>0</v>
          </cell>
          <cell r="O554">
            <v>0</v>
          </cell>
          <cell r="P554">
            <v>0</v>
          </cell>
          <cell r="Q554">
            <v>0</v>
          </cell>
          <cell r="R554">
            <v>0</v>
          </cell>
          <cell r="S554">
            <v>0</v>
          </cell>
          <cell r="T554">
            <v>0</v>
          </cell>
          <cell r="U554">
            <v>0</v>
          </cell>
          <cell r="V554">
            <v>0</v>
          </cell>
          <cell r="W554">
            <v>0</v>
          </cell>
          <cell r="X554" t="str">
            <v/>
          </cell>
          <cell r="Y554" t="str">
            <v>⑤</v>
          </cell>
          <cell r="Z554" t="str">
            <v/>
          </cell>
          <cell r="AA554" t="str">
            <v/>
          </cell>
          <cell r="AB554" t="str">
            <v/>
          </cell>
          <cell r="AC554" t="str">
            <v/>
          </cell>
          <cell r="AD554" t="str">
            <v/>
          </cell>
          <cell r="AE554" t="str">
            <v/>
          </cell>
          <cell r="AF554" t="str">
            <v/>
          </cell>
          <cell r="AG554" t="str">
            <v/>
          </cell>
          <cell r="AH554" t="str">
            <v/>
          </cell>
          <cell r="AI554" t="str">
            <v/>
          </cell>
        </row>
        <row r="555">
          <cell r="B555">
            <v>4218</v>
          </cell>
          <cell r="C555">
            <v>42</v>
          </cell>
          <cell r="D555">
            <v>18</v>
          </cell>
          <cell r="F555" t="str">
            <v>本館</v>
          </cell>
          <cell r="G555" t="str">
            <v>防排煙制御(外観)</v>
          </cell>
          <cell r="H555" t="str">
            <v>ホーチキ</v>
          </cell>
          <cell r="I555">
            <v>1170300</v>
          </cell>
          <cell r="J555">
            <v>1193706</v>
          </cell>
          <cell r="K555">
            <v>1</v>
          </cell>
          <cell r="L555">
            <v>0</v>
          </cell>
          <cell r="M555">
            <v>0</v>
          </cell>
          <cell r="N555">
            <v>0</v>
          </cell>
          <cell r="O555">
            <v>0</v>
          </cell>
          <cell r="P555">
            <v>0</v>
          </cell>
          <cell r="Q555">
            <v>0</v>
          </cell>
          <cell r="R555">
            <v>0</v>
          </cell>
          <cell r="S555">
            <v>1193706</v>
          </cell>
          <cell r="T555">
            <v>0</v>
          </cell>
          <cell r="U555">
            <v>0</v>
          </cell>
          <cell r="V555">
            <v>0</v>
          </cell>
          <cell r="W555">
            <v>0</v>
          </cell>
          <cell r="X555" t="str">
            <v/>
          </cell>
          <cell r="Y555" t="str">
            <v/>
          </cell>
          <cell r="Z555" t="str">
            <v/>
          </cell>
          <cell r="AA555" t="str">
            <v/>
          </cell>
          <cell r="AB555" t="str">
            <v/>
          </cell>
          <cell r="AC555" t="str">
            <v/>
          </cell>
          <cell r="AD555" t="str">
            <v/>
          </cell>
          <cell r="AE555" t="str">
            <v>⑪</v>
          </cell>
          <cell r="AF555" t="str">
            <v/>
          </cell>
          <cell r="AG555" t="str">
            <v/>
          </cell>
          <cell r="AH555" t="str">
            <v/>
          </cell>
          <cell r="AI555" t="str">
            <v/>
          </cell>
        </row>
        <row r="556">
          <cell r="B556">
            <v>4219</v>
          </cell>
          <cell r="C556">
            <v>42</v>
          </cell>
          <cell r="D556">
            <v>19</v>
          </cell>
          <cell r="F556" t="str">
            <v>本館</v>
          </cell>
          <cell r="G556" t="str">
            <v>防排煙制御(総合)</v>
          </cell>
          <cell r="H556" t="str">
            <v>ホーチキ</v>
          </cell>
          <cell r="I556">
            <v>1239000</v>
          </cell>
          <cell r="J556">
            <v>1263780</v>
          </cell>
          <cell r="K556">
            <v>1</v>
          </cell>
          <cell r="L556">
            <v>0</v>
          </cell>
          <cell r="M556">
            <v>1263780</v>
          </cell>
          <cell r="N556">
            <v>0</v>
          </cell>
          <cell r="O556">
            <v>0</v>
          </cell>
          <cell r="P556">
            <v>0</v>
          </cell>
          <cell r="Q556">
            <v>0</v>
          </cell>
          <cell r="R556">
            <v>0</v>
          </cell>
          <cell r="S556">
            <v>0</v>
          </cell>
          <cell r="T556">
            <v>0</v>
          </cell>
          <cell r="U556">
            <v>0</v>
          </cell>
          <cell r="V556">
            <v>0</v>
          </cell>
          <cell r="W556">
            <v>0</v>
          </cell>
          <cell r="X556" t="str">
            <v/>
          </cell>
          <cell r="Y556" t="str">
            <v>⑤</v>
          </cell>
          <cell r="Z556" t="str">
            <v/>
          </cell>
          <cell r="AA556" t="str">
            <v/>
          </cell>
          <cell r="AB556" t="str">
            <v/>
          </cell>
          <cell r="AC556" t="str">
            <v/>
          </cell>
          <cell r="AD556" t="str">
            <v/>
          </cell>
          <cell r="AE556" t="str">
            <v/>
          </cell>
          <cell r="AF556" t="str">
            <v/>
          </cell>
          <cell r="AG556" t="str">
            <v/>
          </cell>
          <cell r="AH556" t="str">
            <v/>
          </cell>
          <cell r="AI556" t="str">
            <v/>
          </cell>
        </row>
        <row r="557">
          <cell r="B557">
            <v>4220</v>
          </cell>
          <cell r="C557">
            <v>42</v>
          </cell>
          <cell r="D557">
            <v>20</v>
          </cell>
          <cell r="F557" t="str">
            <v>本館</v>
          </cell>
          <cell r="G557" t="str">
            <v>ＣＲＴ設備(外観)</v>
          </cell>
          <cell r="H557" t="str">
            <v>ホーチキ</v>
          </cell>
          <cell r="I557">
            <v>487800</v>
          </cell>
          <cell r="J557">
            <v>497556</v>
          </cell>
          <cell r="K557">
            <v>1</v>
          </cell>
          <cell r="L557">
            <v>0</v>
          </cell>
          <cell r="M557">
            <v>0</v>
          </cell>
          <cell r="N557">
            <v>0</v>
          </cell>
          <cell r="O557">
            <v>0</v>
          </cell>
          <cell r="P557">
            <v>0</v>
          </cell>
          <cell r="Q557">
            <v>0</v>
          </cell>
          <cell r="R557">
            <v>0</v>
          </cell>
          <cell r="S557">
            <v>497556</v>
          </cell>
          <cell r="T557">
            <v>0</v>
          </cell>
          <cell r="U557">
            <v>0</v>
          </cell>
          <cell r="V557">
            <v>0</v>
          </cell>
          <cell r="W557">
            <v>0</v>
          </cell>
          <cell r="X557" t="str">
            <v/>
          </cell>
          <cell r="Y557" t="str">
            <v/>
          </cell>
          <cell r="Z557" t="str">
            <v/>
          </cell>
          <cell r="AA557" t="str">
            <v/>
          </cell>
          <cell r="AB557" t="str">
            <v/>
          </cell>
          <cell r="AC557" t="str">
            <v/>
          </cell>
          <cell r="AD557" t="str">
            <v/>
          </cell>
          <cell r="AE557" t="str">
            <v>⑪</v>
          </cell>
          <cell r="AF557" t="str">
            <v/>
          </cell>
          <cell r="AG557" t="str">
            <v/>
          </cell>
          <cell r="AH557" t="str">
            <v/>
          </cell>
          <cell r="AI557" t="str">
            <v/>
          </cell>
        </row>
        <row r="558">
          <cell r="B558">
            <v>4221</v>
          </cell>
          <cell r="C558">
            <v>42</v>
          </cell>
          <cell r="D558">
            <v>21</v>
          </cell>
          <cell r="F558" t="str">
            <v>本館</v>
          </cell>
          <cell r="G558" t="str">
            <v>ＣＲＴ設備(総合)</v>
          </cell>
          <cell r="H558" t="str">
            <v>ホーチキ</v>
          </cell>
          <cell r="I558">
            <v>796500</v>
          </cell>
          <cell r="J558">
            <v>812430</v>
          </cell>
          <cell r="K558">
            <v>1</v>
          </cell>
          <cell r="L558">
            <v>0</v>
          </cell>
          <cell r="M558">
            <v>812430</v>
          </cell>
          <cell r="N558">
            <v>0</v>
          </cell>
          <cell r="O558">
            <v>0</v>
          </cell>
          <cell r="P558">
            <v>0</v>
          </cell>
          <cell r="Q558">
            <v>0</v>
          </cell>
          <cell r="R558">
            <v>0</v>
          </cell>
          <cell r="S558">
            <v>0</v>
          </cell>
          <cell r="T558">
            <v>0</v>
          </cell>
          <cell r="U558">
            <v>0</v>
          </cell>
          <cell r="V558">
            <v>0</v>
          </cell>
          <cell r="W558">
            <v>0</v>
          </cell>
          <cell r="X558" t="str">
            <v/>
          </cell>
          <cell r="Y558" t="str">
            <v>⑤</v>
          </cell>
          <cell r="Z558" t="str">
            <v/>
          </cell>
          <cell r="AA558" t="str">
            <v/>
          </cell>
          <cell r="AB558" t="str">
            <v/>
          </cell>
          <cell r="AC558" t="str">
            <v/>
          </cell>
          <cell r="AD558" t="str">
            <v/>
          </cell>
          <cell r="AE558" t="str">
            <v/>
          </cell>
          <cell r="AF558" t="str">
            <v/>
          </cell>
          <cell r="AG558" t="str">
            <v/>
          </cell>
          <cell r="AH558" t="str">
            <v/>
          </cell>
          <cell r="AI558" t="str">
            <v/>
          </cell>
        </row>
        <row r="559">
          <cell r="B559">
            <v>4222</v>
          </cell>
          <cell r="C559">
            <v>42</v>
          </cell>
          <cell r="D559">
            <v>22</v>
          </cell>
          <cell r="F559" t="str">
            <v>本館</v>
          </cell>
          <cell r="G559" t="str">
            <v>ガス漏火災警報(外観)</v>
          </cell>
          <cell r="H559" t="str">
            <v>ホーチキ</v>
          </cell>
          <cell r="I559">
            <v>35100</v>
          </cell>
          <cell r="J559">
            <v>35802</v>
          </cell>
          <cell r="K559">
            <v>1</v>
          </cell>
          <cell r="L559">
            <v>0</v>
          </cell>
          <cell r="M559">
            <v>0</v>
          </cell>
          <cell r="N559">
            <v>0</v>
          </cell>
          <cell r="O559">
            <v>0</v>
          </cell>
          <cell r="P559">
            <v>0</v>
          </cell>
          <cell r="Q559">
            <v>0</v>
          </cell>
          <cell r="R559">
            <v>0</v>
          </cell>
          <cell r="S559">
            <v>35802</v>
          </cell>
          <cell r="T559">
            <v>0</v>
          </cell>
          <cell r="U559">
            <v>0</v>
          </cell>
          <cell r="V559">
            <v>0</v>
          </cell>
          <cell r="W559">
            <v>0</v>
          </cell>
          <cell r="X559" t="str">
            <v/>
          </cell>
          <cell r="Y559" t="str">
            <v/>
          </cell>
          <cell r="Z559" t="str">
            <v/>
          </cell>
          <cell r="AA559" t="str">
            <v/>
          </cell>
          <cell r="AB559" t="str">
            <v/>
          </cell>
          <cell r="AC559" t="str">
            <v/>
          </cell>
          <cell r="AD559" t="str">
            <v/>
          </cell>
          <cell r="AE559" t="str">
            <v>⑪</v>
          </cell>
          <cell r="AF559" t="str">
            <v/>
          </cell>
          <cell r="AG559" t="str">
            <v/>
          </cell>
          <cell r="AH559" t="str">
            <v/>
          </cell>
          <cell r="AI559" t="str">
            <v/>
          </cell>
        </row>
        <row r="560">
          <cell r="B560">
            <v>4223</v>
          </cell>
          <cell r="C560">
            <v>42</v>
          </cell>
          <cell r="D560">
            <v>23</v>
          </cell>
          <cell r="F560" t="str">
            <v>本館</v>
          </cell>
          <cell r="G560" t="str">
            <v>ガス漏火災警報(総合)</v>
          </cell>
          <cell r="H560" t="str">
            <v>ホーチキ</v>
          </cell>
          <cell r="I560">
            <v>51300</v>
          </cell>
          <cell r="J560">
            <v>52326</v>
          </cell>
          <cell r="K560">
            <v>1</v>
          </cell>
          <cell r="L560">
            <v>0</v>
          </cell>
          <cell r="M560">
            <v>52326</v>
          </cell>
          <cell r="N560">
            <v>0</v>
          </cell>
          <cell r="O560">
            <v>0</v>
          </cell>
          <cell r="P560">
            <v>0</v>
          </cell>
          <cell r="Q560">
            <v>0</v>
          </cell>
          <cell r="R560">
            <v>0</v>
          </cell>
          <cell r="S560">
            <v>0</v>
          </cell>
          <cell r="T560">
            <v>0</v>
          </cell>
          <cell r="U560">
            <v>0</v>
          </cell>
          <cell r="V560">
            <v>0</v>
          </cell>
          <cell r="W560">
            <v>0</v>
          </cell>
          <cell r="X560" t="str">
            <v/>
          </cell>
          <cell r="Y560" t="str">
            <v>⑤</v>
          </cell>
          <cell r="Z560" t="str">
            <v/>
          </cell>
          <cell r="AA560" t="str">
            <v/>
          </cell>
          <cell r="AB560" t="str">
            <v/>
          </cell>
          <cell r="AC560" t="str">
            <v/>
          </cell>
          <cell r="AD560" t="str">
            <v/>
          </cell>
          <cell r="AE560" t="str">
            <v/>
          </cell>
          <cell r="AF560" t="str">
            <v/>
          </cell>
          <cell r="AG560" t="str">
            <v/>
          </cell>
          <cell r="AH560" t="str">
            <v/>
          </cell>
          <cell r="AI560" t="str">
            <v/>
          </cell>
        </row>
        <row r="561">
          <cell r="B561">
            <v>4224</v>
          </cell>
          <cell r="C561">
            <v>42</v>
          </cell>
          <cell r="D561">
            <v>24</v>
          </cell>
          <cell r="F561" t="str">
            <v>本館</v>
          </cell>
          <cell r="G561" t="str">
            <v>消火器設備保守(外観)</v>
          </cell>
          <cell r="H561" t="str">
            <v>防災サービスセンター</v>
          </cell>
          <cell r="I561">
            <v>169000</v>
          </cell>
          <cell r="J561">
            <v>174300</v>
          </cell>
          <cell r="K561">
            <v>2</v>
          </cell>
          <cell r="L561">
            <v>0</v>
          </cell>
          <cell r="M561">
            <v>0</v>
          </cell>
          <cell r="N561">
            <v>0</v>
          </cell>
          <cell r="O561">
            <v>0</v>
          </cell>
          <cell r="P561">
            <v>174300</v>
          </cell>
          <cell r="Q561">
            <v>0</v>
          </cell>
          <cell r="R561">
            <v>0</v>
          </cell>
          <cell r="S561">
            <v>0</v>
          </cell>
          <cell r="T561">
            <v>0</v>
          </cell>
          <cell r="U561">
            <v>0</v>
          </cell>
          <cell r="V561">
            <v>174300</v>
          </cell>
          <cell r="W561">
            <v>0</v>
          </cell>
          <cell r="X561" t="str">
            <v/>
          </cell>
          <cell r="Y561" t="str">
            <v/>
          </cell>
          <cell r="Z561" t="str">
            <v/>
          </cell>
          <cell r="AA561" t="str">
            <v/>
          </cell>
          <cell r="AB561" t="str">
            <v>⑧</v>
          </cell>
          <cell r="AC561" t="str">
            <v/>
          </cell>
          <cell r="AD561" t="str">
            <v/>
          </cell>
          <cell r="AE561" t="str">
            <v/>
          </cell>
          <cell r="AF561" t="str">
            <v/>
          </cell>
          <cell r="AG561" t="str">
            <v/>
          </cell>
          <cell r="AH561" t="str">
            <v>②</v>
          </cell>
          <cell r="AI561" t="str">
            <v/>
          </cell>
          <cell r="AJ561" t="str">
            <v>変</v>
          </cell>
        </row>
        <row r="562">
          <cell r="B562">
            <v>4225</v>
          </cell>
          <cell r="C562">
            <v>42</v>
          </cell>
          <cell r="D562">
            <v>25</v>
          </cell>
          <cell r="F562" t="str">
            <v>本館</v>
          </cell>
          <cell r="G562" t="str">
            <v>炭酸ガス消火設備保守(外観)</v>
          </cell>
          <cell r="H562" t="str">
            <v>日本ドライケミカル</v>
          </cell>
          <cell r="I562">
            <v>432500</v>
          </cell>
          <cell r="J562">
            <v>450570</v>
          </cell>
          <cell r="K562">
            <v>1</v>
          </cell>
          <cell r="L562">
            <v>0</v>
          </cell>
          <cell r="M562">
            <v>0</v>
          </cell>
          <cell r="N562">
            <v>0</v>
          </cell>
          <cell r="O562">
            <v>0</v>
          </cell>
          <cell r="P562">
            <v>450570</v>
          </cell>
          <cell r="Q562">
            <v>0</v>
          </cell>
          <cell r="R562">
            <v>0</v>
          </cell>
          <cell r="S562">
            <v>0</v>
          </cell>
          <cell r="T562">
            <v>0</v>
          </cell>
          <cell r="U562">
            <v>0</v>
          </cell>
          <cell r="V562">
            <v>0</v>
          </cell>
          <cell r="W562">
            <v>0</v>
          </cell>
          <cell r="X562" t="str">
            <v/>
          </cell>
          <cell r="Y562" t="str">
            <v/>
          </cell>
          <cell r="Z562" t="str">
            <v/>
          </cell>
          <cell r="AA562" t="str">
            <v/>
          </cell>
          <cell r="AB562" t="str">
            <v>⑧</v>
          </cell>
          <cell r="AC562" t="str">
            <v/>
          </cell>
          <cell r="AD562" t="str">
            <v/>
          </cell>
          <cell r="AE562" t="str">
            <v/>
          </cell>
          <cell r="AF562" t="str">
            <v/>
          </cell>
          <cell r="AG562" t="str">
            <v/>
          </cell>
          <cell r="AH562" t="str">
            <v/>
          </cell>
          <cell r="AI562" t="str">
            <v/>
          </cell>
          <cell r="AJ562" t="str">
            <v>変</v>
          </cell>
        </row>
        <row r="563">
          <cell r="B563">
            <v>4226</v>
          </cell>
          <cell r="C563">
            <v>42</v>
          </cell>
          <cell r="D563">
            <v>26</v>
          </cell>
          <cell r="F563" t="str">
            <v>本館</v>
          </cell>
          <cell r="G563" t="str">
            <v>炭酸ガス消火設備保守(総合)</v>
          </cell>
          <cell r="H563" t="str">
            <v>日本ドライケミカル</v>
          </cell>
          <cell r="I563">
            <v>630000</v>
          </cell>
          <cell r="J563">
            <v>655680</v>
          </cell>
          <cell r="K563">
            <v>1</v>
          </cell>
          <cell r="L563">
            <v>0</v>
          </cell>
          <cell r="M563">
            <v>0</v>
          </cell>
          <cell r="N563">
            <v>0</v>
          </cell>
          <cell r="O563">
            <v>0</v>
          </cell>
          <cell r="P563">
            <v>0</v>
          </cell>
          <cell r="Q563">
            <v>0</v>
          </cell>
          <cell r="R563">
            <v>0</v>
          </cell>
          <cell r="S563">
            <v>0</v>
          </cell>
          <cell r="T563">
            <v>0</v>
          </cell>
          <cell r="U563">
            <v>0</v>
          </cell>
          <cell r="V563">
            <v>655680</v>
          </cell>
          <cell r="W563">
            <v>0</v>
          </cell>
          <cell r="X563" t="str">
            <v/>
          </cell>
          <cell r="Y563" t="str">
            <v/>
          </cell>
          <cell r="Z563" t="str">
            <v/>
          </cell>
          <cell r="AA563" t="str">
            <v/>
          </cell>
          <cell r="AB563" t="str">
            <v/>
          </cell>
          <cell r="AC563" t="str">
            <v/>
          </cell>
          <cell r="AD563" t="str">
            <v/>
          </cell>
          <cell r="AE563" t="str">
            <v/>
          </cell>
          <cell r="AF563" t="str">
            <v/>
          </cell>
          <cell r="AG563" t="str">
            <v/>
          </cell>
          <cell r="AH563" t="str">
            <v>②</v>
          </cell>
          <cell r="AI563" t="str">
            <v/>
          </cell>
          <cell r="AJ563" t="str">
            <v>変</v>
          </cell>
        </row>
        <row r="564">
          <cell r="B564">
            <v>4227</v>
          </cell>
          <cell r="C564">
            <v>42</v>
          </cell>
          <cell r="D564">
            <v>27</v>
          </cell>
          <cell r="F564" t="str">
            <v>本館</v>
          </cell>
          <cell r="G564" t="str">
            <v>非常放送設備保守(外観)</v>
          </cell>
          <cell r="H564" t="str">
            <v>東京通信電設</v>
          </cell>
          <cell r="I564">
            <v>693000</v>
          </cell>
          <cell r="J564">
            <v>716100</v>
          </cell>
          <cell r="K564">
            <v>1</v>
          </cell>
          <cell r="L564">
            <v>0</v>
          </cell>
          <cell r="M564">
            <v>0</v>
          </cell>
          <cell r="N564">
            <v>0</v>
          </cell>
          <cell r="O564">
            <v>0</v>
          </cell>
          <cell r="P564">
            <v>0</v>
          </cell>
          <cell r="Q564">
            <v>0</v>
          </cell>
          <cell r="R564">
            <v>0</v>
          </cell>
          <cell r="S564">
            <v>716100</v>
          </cell>
          <cell r="T564">
            <v>0</v>
          </cell>
          <cell r="U564">
            <v>0</v>
          </cell>
          <cell r="V564">
            <v>0</v>
          </cell>
          <cell r="W564">
            <v>0</v>
          </cell>
          <cell r="X564" t="str">
            <v/>
          </cell>
          <cell r="Y564" t="str">
            <v/>
          </cell>
          <cell r="Z564" t="str">
            <v/>
          </cell>
          <cell r="AA564" t="str">
            <v/>
          </cell>
          <cell r="AB564" t="str">
            <v/>
          </cell>
          <cell r="AC564" t="str">
            <v/>
          </cell>
          <cell r="AD564" t="str">
            <v/>
          </cell>
          <cell r="AE564" t="str">
            <v>⑪</v>
          </cell>
          <cell r="AF564" t="str">
            <v/>
          </cell>
          <cell r="AG564" t="str">
            <v/>
          </cell>
          <cell r="AH564" t="str">
            <v/>
          </cell>
          <cell r="AI564" t="str">
            <v/>
          </cell>
        </row>
        <row r="565">
          <cell r="B565">
            <v>4228</v>
          </cell>
          <cell r="C565">
            <v>42</v>
          </cell>
          <cell r="D565">
            <v>28</v>
          </cell>
          <cell r="F565" t="str">
            <v>本館</v>
          </cell>
          <cell r="G565" t="str">
            <v>非常放送設備保守(総合)</v>
          </cell>
          <cell r="H565" t="str">
            <v>東京通信電設</v>
          </cell>
          <cell r="I565">
            <v>837000</v>
          </cell>
          <cell r="J565">
            <v>864900</v>
          </cell>
          <cell r="K565">
            <v>1</v>
          </cell>
          <cell r="L565">
            <v>0</v>
          </cell>
          <cell r="M565">
            <v>864900</v>
          </cell>
          <cell r="N565">
            <v>0</v>
          </cell>
          <cell r="O565">
            <v>0</v>
          </cell>
          <cell r="P565">
            <v>0</v>
          </cell>
          <cell r="Q565">
            <v>0</v>
          </cell>
          <cell r="R565">
            <v>0</v>
          </cell>
          <cell r="S565">
            <v>0</v>
          </cell>
          <cell r="T565">
            <v>0</v>
          </cell>
          <cell r="U565">
            <v>0</v>
          </cell>
          <cell r="V565">
            <v>0</v>
          </cell>
          <cell r="W565">
            <v>0</v>
          </cell>
          <cell r="X565" t="str">
            <v/>
          </cell>
          <cell r="Y565" t="str">
            <v>⑤</v>
          </cell>
          <cell r="Z565" t="str">
            <v/>
          </cell>
          <cell r="AA565" t="str">
            <v/>
          </cell>
          <cell r="AB565" t="str">
            <v/>
          </cell>
          <cell r="AC565" t="str">
            <v/>
          </cell>
          <cell r="AD565" t="str">
            <v/>
          </cell>
          <cell r="AE565" t="str">
            <v/>
          </cell>
          <cell r="AF565" t="str">
            <v/>
          </cell>
          <cell r="AG565" t="str">
            <v/>
          </cell>
          <cell r="AH565" t="str">
            <v/>
          </cell>
          <cell r="AI565" t="str">
            <v/>
          </cell>
          <cell r="AJ565" t="str">
            <v>？</v>
          </cell>
        </row>
        <row r="566">
          <cell r="B566">
            <v>4229</v>
          </cell>
          <cell r="C566">
            <v>42</v>
          </cell>
          <cell r="D566">
            <v>29</v>
          </cell>
          <cell r="F566" t="str">
            <v>本館</v>
          </cell>
          <cell r="G566" t="str">
            <v>避難器具保守(外観)</v>
          </cell>
          <cell r="H566" t="str">
            <v>防災サービスセンター</v>
          </cell>
          <cell r="I566">
            <v>155000</v>
          </cell>
          <cell r="J566">
            <v>160644</v>
          </cell>
          <cell r="K566">
            <v>1</v>
          </cell>
          <cell r="L566">
            <v>0</v>
          </cell>
          <cell r="M566">
            <v>0</v>
          </cell>
          <cell r="N566">
            <v>0</v>
          </cell>
          <cell r="O566">
            <v>0</v>
          </cell>
          <cell r="P566">
            <v>160644</v>
          </cell>
          <cell r="Q566">
            <v>0</v>
          </cell>
          <cell r="R566">
            <v>0</v>
          </cell>
          <cell r="S566">
            <v>0</v>
          </cell>
          <cell r="T566">
            <v>0</v>
          </cell>
          <cell r="U566">
            <v>0</v>
          </cell>
          <cell r="V566">
            <v>0</v>
          </cell>
          <cell r="W566">
            <v>0</v>
          </cell>
          <cell r="X566" t="str">
            <v/>
          </cell>
          <cell r="Y566" t="str">
            <v/>
          </cell>
          <cell r="Z566" t="str">
            <v/>
          </cell>
          <cell r="AA566" t="str">
            <v/>
          </cell>
          <cell r="AB566" t="str">
            <v>⑧</v>
          </cell>
          <cell r="AC566" t="str">
            <v/>
          </cell>
          <cell r="AD566" t="str">
            <v/>
          </cell>
          <cell r="AE566" t="str">
            <v/>
          </cell>
          <cell r="AF566" t="str">
            <v/>
          </cell>
          <cell r="AG566" t="str">
            <v/>
          </cell>
          <cell r="AH566" t="str">
            <v/>
          </cell>
          <cell r="AI566" t="str">
            <v/>
          </cell>
          <cell r="AJ566" t="str">
            <v>変</v>
          </cell>
        </row>
        <row r="567">
          <cell r="B567">
            <v>4230</v>
          </cell>
          <cell r="C567">
            <v>42</v>
          </cell>
          <cell r="D567">
            <v>30</v>
          </cell>
          <cell r="F567" t="str">
            <v>本館</v>
          </cell>
          <cell r="G567" t="str">
            <v>避難器具保守(総合)</v>
          </cell>
          <cell r="H567" t="str">
            <v>防災サービスセンター</v>
          </cell>
          <cell r="I567">
            <v>157000</v>
          </cell>
          <cell r="J567">
            <v>162672</v>
          </cell>
          <cell r="K567">
            <v>1</v>
          </cell>
          <cell r="L567">
            <v>0</v>
          </cell>
          <cell r="M567">
            <v>0</v>
          </cell>
          <cell r="N567">
            <v>0</v>
          </cell>
          <cell r="O567">
            <v>0</v>
          </cell>
          <cell r="P567">
            <v>0</v>
          </cell>
          <cell r="Q567">
            <v>0</v>
          </cell>
          <cell r="R567">
            <v>0</v>
          </cell>
          <cell r="S567">
            <v>0</v>
          </cell>
          <cell r="T567">
            <v>0</v>
          </cell>
          <cell r="U567">
            <v>0</v>
          </cell>
          <cell r="V567">
            <v>162672</v>
          </cell>
          <cell r="W567">
            <v>0</v>
          </cell>
          <cell r="X567" t="str">
            <v/>
          </cell>
          <cell r="Y567" t="str">
            <v/>
          </cell>
          <cell r="Z567" t="str">
            <v/>
          </cell>
          <cell r="AA567" t="str">
            <v/>
          </cell>
          <cell r="AB567" t="str">
            <v/>
          </cell>
          <cell r="AC567" t="str">
            <v/>
          </cell>
          <cell r="AD567" t="str">
            <v/>
          </cell>
          <cell r="AE567" t="str">
            <v/>
          </cell>
          <cell r="AF567" t="str">
            <v/>
          </cell>
          <cell r="AG567" t="str">
            <v/>
          </cell>
          <cell r="AH567" t="str">
            <v>②</v>
          </cell>
          <cell r="AI567" t="str">
            <v/>
          </cell>
          <cell r="AJ567" t="str">
            <v>変</v>
          </cell>
        </row>
        <row r="568">
          <cell r="B568">
            <v>4231</v>
          </cell>
          <cell r="C568">
            <v>42</v>
          </cell>
          <cell r="D568">
            <v>31</v>
          </cell>
          <cell r="F568" t="str">
            <v>本館</v>
          </cell>
          <cell r="G568" t="str">
            <v>駐車場消防設備保守(外観)</v>
          </cell>
          <cell r="H568" t="str">
            <v>能美防災</v>
          </cell>
          <cell r="I568">
            <v>324000</v>
          </cell>
          <cell r="J568">
            <v>334800</v>
          </cell>
          <cell r="K568">
            <v>1</v>
          </cell>
          <cell r="L568">
            <v>334800</v>
          </cell>
          <cell r="M568">
            <v>0</v>
          </cell>
          <cell r="N568">
            <v>0</v>
          </cell>
          <cell r="O568">
            <v>0</v>
          </cell>
          <cell r="P568">
            <v>0</v>
          </cell>
          <cell r="Q568">
            <v>0</v>
          </cell>
          <cell r="R568">
            <v>0</v>
          </cell>
          <cell r="S568">
            <v>0</v>
          </cell>
          <cell r="T568">
            <v>0</v>
          </cell>
          <cell r="U568">
            <v>0</v>
          </cell>
          <cell r="V568">
            <v>0</v>
          </cell>
          <cell r="W568">
            <v>0</v>
          </cell>
          <cell r="X568" t="str">
            <v>④</v>
          </cell>
          <cell r="Y568" t="str">
            <v/>
          </cell>
          <cell r="Z568" t="str">
            <v/>
          </cell>
          <cell r="AA568" t="str">
            <v/>
          </cell>
          <cell r="AB568" t="str">
            <v/>
          </cell>
          <cell r="AC568" t="str">
            <v/>
          </cell>
          <cell r="AD568" t="str">
            <v/>
          </cell>
          <cell r="AE568" t="str">
            <v/>
          </cell>
          <cell r="AF568" t="str">
            <v/>
          </cell>
          <cell r="AG568" t="str">
            <v/>
          </cell>
          <cell r="AH568" t="str">
            <v/>
          </cell>
          <cell r="AI568" t="str">
            <v/>
          </cell>
          <cell r="AJ568" t="str">
            <v>変</v>
          </cell>
        </row>
        <row r="569">
          <cell r="B569">
            <v>4232</v>
          </cell>
          <cell r="C569">
            <v>42</v>
          </cell>
          <cell r="D569">
            <v>32</v>
          </cell>
          <cell r="F569" t="str">
            <v>本館</v>
          </cell>
          <cell r="G569" t="str">
            <v>駐車場消防設備保守(総合)</v>
          </cell>
          <cell r="H569" t="str">
            <v>能美防災</v>
          </cell>
          <cell r="I569">
            <v>801000</v>
          </cell>
          <cell r="J569">
            <v>827700</v>
          </cell>
          <cell r="K569">
            <v>1</v>
          </cell>
          <cell r="L569">
            <v>0</v>
          </cell>
          <cell r="M569">
            <v>0</v>
          </cell>
          <cell r="N569">
            <v>0</v>
          </cell>
          <cell r="O569">
            <v>0</v>
          </cell>
          <cell r="P569">
            <v>0</v>
          </cell>
          <cell r="Q569">
            <v>0</v>
          </cell>
          <cell r="R569">
            <v>827700</v>
          </cell>
          <cell r="S569">
            <v>0</v>
          </cell>
          <cell r="T569">
            <v>0</v>
          </cell>
          <cell r="U569">
            <v>0</v>
          </cell>
          <cell r="V569">
            <v>0</v>
          </cell>
          <cell r="W569">
            <v>0</v>
          </cell>
          <cell r="X569" t="str">
            <v/>
          </cell>
          <cell r="Y569" t="str">
            <v/>
          </cell>
          <cell r="Z569" t="str">
            <v/>
          </cell>
          <cell r="AA569" t="str">
            <v/>
          </cell>
          <cell r="AB569" t="str">
            <v/>
          </cell>
          <cell r="AC569" t="str">
            <v/>
          </cell>
          <cell r="AD569" t="str">
            <v>⑩</v>
          </cell>
          <cell r="AE569" t="str">
            <v/>
          </cell>
          <cell r="AF569" t="str">
            <v/>
          </cell>
          <cell r="AG569" t="str">
            <v/>
          </cell>
          <cell r="AH569" t="str">
            <v/>
          </cell>
          <cell r="AI569" t="str">
            <v/>
          </cell>
          <cell r="AJ569" t="str">
            <v>変</v>
          </cell>
        </row>
        <row r="570">
          <cell r="B570">
            <v>4233</v>
          </cell>
          <cell r="C570">
            <v>42</v>
          </cell>
          <cell r="D570">
            <v>33</v>
          </cell>
          <cell r="F570" t="str">
            <v>本館</v>
          </cell>
          <cell r="G570" t="str">
            <v>害虫駆除</v>
          </cell>
          <cell r="H570" t="str">
            <v>シェル商事</v>
          </cell>
          <cell r="I570">
            <v>1118486</v>
          </cell>
          <cell r="J570">
            <v>1230334</v>
          </cell>
          <cell r="K570">
            <v>2</v>
          </cell>
          <cell r="L570">
            <v>0</v>
          </cell>
          <cell r="M570">
            <v>1230334</v>
          </cell>
          <cell r="N570">
            <v>0</v>
          </cell>
          <cell r="O570">
            <v>0</v>
          </cell>
          <cell r="P570">
            <v>0</v>
          </cell>
          <cell r="Q570">
            <v>0</v>
          </cell>
          <cell r="R570">
            <v>0</v>
          </cell>
          <cell r="S570">
            <v>1230334</v>
          </cell>
          <cell r="T570">
            <v>0</v>
          </cell>
          <cell r="U570">
            <v>0</v>
          </cell>
          <cell r="V570">
            <v>0</v>
          </cell>
          <cell r="W570">
            <v>0</v>
          </cell>
          <cell r="X570" t="str">
            <v/>
          </cell>
          <cell r="Y570" t="str">
            <v>⑤</v>
          </cell>
          <cell r="Z570" t="str">
            <v/>
          </cell>
          <cell r="AA570" t="str">
            <v/>
          </cell>
          <cell r="AB570" t="str">
            <v/>
          </cell>
          <cell r="AC570" t="str">
            <v/>
          </cell>
          <cell r="AD570" t="str">
            <v/>
          </cell>
          <cell r="AE570" t="str">
            <v>⑪</v>
          </cell>
          <cell r="AF570" t="str">
            <v/>
          </cell>
          <cell r="AG570" t="str">
            <v/>
          </cell>
          <cell r="AH570" t="str">
            <v/>
          </cell>
          <cell r="AI570" t="str">
            <v/>
          </cell>
        </row>
        <row r="571">
          <cell r="B571">
            <v>4234</v>
          </cell>
          <cell r="C571">
            <v>42</v>
          </cell>
          <cell r="D571">
            <v>34</v>
          </cell>
          <cell r="F571" t="str">
            <v>本館</v>
          </cell>
          <cell r="G571" t="str">
            <v>機械式駐車場装置点検整備</v>
          </cell>
          <cell r="H571" t="str">
            <v>石川島運搬機械</v>
          </cell>
          <cell r="I571">
            <v>27500</v>
          </cell>
          <cell r="J571">
            <v>31625</v>
          </cell>
          <cell r="K571">
            <v>1</v>
          </cell>
          <cell r="L571">
            <v>0</v>
          </cell>
          <cell r="M571">
            <v>0</v>
          </cell>
          <cell r="N571">
            <v>0</v>
          </cell>
          <cell r="O571">
            <v>0</v>
          </cell>
          <cell r="P571">
            <v>0</v>
          </cell>
          <cell r="Q571">
            <v>0</v>
          </cell>
          <cell r="R571">
            <v>0</v>
          </cell>
          <cell r="S571">
            <v>0</v>
          </cell>
          <cell r="T571">
            <v>0</v>
          </cell>
          <cell r="U571">
            <v>0</v>
          </cell>
          <cell r="V571">
            <v>31625</v>
          </cell>
          <cell r="W571">
            <v>0</v>
          </cell>
          <cell r="X571" t="str">
            <v/>
          </cell>
          <cell r="Y571" t="str">
            <v/>
          </cell>
          <cell r="Z571" t="str">
            <v/>
          </cell>
          <cell r="AA571" t="str">
            <v/>
          </cell>
          <cell r="AB571" t="str">
            <v/>
          </cell>
          <cell r="AC571" t="str">
            <v/>
          </cell>
          <cell r="AD571" t="str">
            <v/>
          </cell>
          <cell r="AE571" t="str">
            <v/>
          </cell>
          <cell r="AF571" t="str">
            <v/>
          </cell>
          <cell r="AG571" t="str">
            <v/>
          </cell>
          <cell r="AH571" t="str">
            <v>②</v>
          </cell>
          <cell r="AI571" t="str">
            <v/>
          </cell>
        </row>
        <row r="572">
          <cell r="B572">
            <v>4235</v>
          </cell>
          <cell r="C572">
            <v>42</v>
          </cell>
          <cell r="D572">
            <v>35</v>
          </cell>
          <cell r="F572" t="str">
            <v>本館</v>
          </cell>
          <cell r="G572" t="str">
            <v>汚水槽清掃</v>
          </cell>
          <cell r="H572" t="str">
            <v>第一清運</v>
          </cell>
          <cell r="I572">
            <v>148200</v>
          </cell>
          <cell r="J572">
            <v>171440</v>
          </cell>
          <cell r="K572">
            <v>3</v>
          </cell>
          <cell r="L572">
            <v>0</v>
          </cell>
          <cell r="M572">
            <v>171440</v>
          </cell>
          <cell r="N572">
            <v>0</v>
          </cell>
          <cell r="O572">
            <v>0</v>
          </cell>
          <cell r="P572">
            <v>0</v>
          </cell>
          <cell r="Q572">
            <v>171440</v>
          </cell>
          <cell r="R572">
            <v>0</v>
          </cell>
          <cell r="S572">
            <v>0</v>
          </cell>
          <cell r="T572">
            <v>0</v>
          </cell>
          <cell r="U572">
            <v>171440</v>
          </cell>
          <cell r="V572">
            <v>0</v>
          </cell>
          <cell r="W572">
            <v>0</v>
          </cell>
          <cell r="X572" t="str">
            <v/>
          </cell>
          <cell r="Y572" t="str">
            <v>⑤</v>
          </cell>
          <cell r="Z572" t="str">
            <v/>
          </cell>
          <cell r="AA572" t="str">
            <v/>
          </cell>
          <cell r="AB572" t="str">
            <v/>
          </cell>
          <cell r="AC572" t="str">
            <v>⑨</v>
          </cell>
          <cell r="AD572" t="str">
            <v/>
          </cell>
          <cell r="AE572" t="str">
            <v/>
          </cell>
          <cell r="AF572" t="str">
            <v/>
          </cell>
          <cell r="AG572" t="str">
            <v>①</v>
          </cell>
          <cell r="AH572" t="str">
            <v/>
          </cell>
          <cell r="AI572" t="str">
            <v/>
          </cell>
          <cell r="AJ572" t="str">
            <v>変</v>
          </cell>
        </row>
        <row r="573">
          <cell r="B573">
            <v>4236</v>
          </cell>
          <cell r="C573">
            <v>42</v>
          </cell>
          <cell r="D573">
            <v>36</v>
          </cell>
          <cell r="F573" t="str">
            <v>本館</v>
          </cell>
          <cell r="G573" t="str">
            <v>受水槽清掃(含む高架水槽)</v>
          </cell>
          <cell r="H573" t="str">
            <v>日本清管</v>
          </cell>
          <cell r="I573">
            <v>650000</v>
          </cell>
          <cell r="J573">
            <v>748530</v>
          </cell>
          <cell r="K573">
            <v>1</v>
          </cell>
          <cell r="L573">
            <v>0</v>
          </cell>
          <cell r="M573">
            <v>0</v>
          </cell>
          <cell r="N573">
            <v>0</v>
          </cell>
          <cell r="O573">
            <v>0</v>
          </cell>
          <cell r="P573">
            <v>0</v>
          </cell>
          <cell r="Q573">
            <v>0</v>
          </cell>
          <cell r="R573">
            <v>0</v>
          </cell>
          <cell r="S573">
            <v>748530</v>
          </cell>
          <cell r="T573">
            <v>0</v>
          </cell>
          <cell r="U573">
            <v>0</v>
          </cell>
          <cell r="V573">
            <v>0</v>
          </cell>
          <cell r="W573">
            <v>0</v>
          </cell>
          <cell r="X573" t="str">
            <v/>
          </cell>
          <cell r="Y573" t="str">
            <v/>
          </cell>
          <cell r="Z573" t="str">
            <v/>
          </cell>
          <cell r="AA573" t="str">
            <v/>
          </cell>
          <cell r="AB573" t="str">
            <v/>
          </cell>
          <cell r="AC573" t="str">
            <v/>
          </cell>
          <cell r="AD573" t="str">
            <v/>
          </cell>
          <cell r="AE573" t="str">
            <v>⑪</v>
          </cell>
          <cell r="AF573" t="str">
            <v/>
          </cell>
          <cell r="AG573" t="str">
            <v/>
          </cell>
          <cell r="AH573" t="str">
            <v/>
          </cell>
          <cell r="AI573" t="str">
            <v/>
          </cell>
          <cell r="AJ573" t="str">
            <v>変</v>
          </cell>
        </row>
        <row r="574">
          <cell r="B574">
            <v>4237</v>
          </cell>
          <cell r="C574">
            <v>42</v>
          </cell>
          <cell r="D574">
            <v>37</v>
          </cell>
          <cell r="F574" t="str">
            <v>本館</v>
          </cell>
          <cell r="G574" t="str">
            <v>ＩＴＶ設備保守</v>
          </cell>
          <cell r="H574" t="str">
            <v>東京通信電設</v>
          </cell>
          <cell r="I574">
            <v>351000</v>
          </cell>
          <cell r="J574">
            <v>362700</v>
          </cell>
          <cell r="K574">
            <v>2</v>
          </cell>
          <cell r="L574">
            <v>0</v>
          </cell>
          <cell r="M574">
            <v>0</v>
          </cell>
          <cell r="N574">
            <v>0</v>
          </cell>
          <cell r="O574">
            <v>362700</v>
          </cell>
          <cell r="P574">
            <v>0</v>
          </cell>
          <cell r="Q574">
            <v>0</v>
          </cell>
          <cell r="R574">
            <v>0</v>
          </cell>
          <cell r="S574">
            <v>0</v>
          </cell>
          <cell r="T574">
            <v>0</v>
          </cell>
          <cell r="U574">
            <v>362700</v>
          </cell>
          <cell r="V574">
            <v>0</v>
          </cell>
          <cell r="W574">
            <v>0</v>
          </cell>
          <cell r="X574" t="str">
            <v/>
          </cell>
          <cell r="Y574" t="str">
            <v/>
          </cell>
          <cell r="Z574" t="str">
            <v/>
          </cell>
          <cell r="AA574" t="str">
            <v>⑦</v>
          </cell>
          <cell r="AB574" t="str">
            <v/>
          </cell>
          <cell r="AC574" t="str">
            <v/>
          </cell>
          <cell r="AD574" t="str">
            <v/>
          </cell>
          <cell r="AF574" t="str">
            <v/>
          </cell>
          <cell r="AG574" t="str">
            <v>①</v>
          </cell>
          <cell r="AH574" t="str">
            <v/>
          </cell>
          <cell r="AI574" t="str">
            <v/>
          </cell>
          <cell r="AJ574" t="str">
            <v>変</v>
          </cell>
        </row>
        <row r="575">
          <cell r="B575">
            <v>4238</v>
          </cell>
          <cell r="C575">
            <v>42</v>
          </cell>
          <cell r="D575">
            <v>38</v>
          </cell>
          <cell r="F575" t="str">
            <v>本館</v>
          </cell>
          <cell r="G575" t="str">
            <v>中央監視装置保守(電気)</v>
          </cell>
          <cell r="H575" t="str">
            <v>関電工</v>
          </cell>
          <cell r="I575">
            <v>355000</v>
          </cell>
          <cell r="J575">
            <v>367500</v>
          </cell>
          <cell r="K575">
            <v>2</v>
          </cell>
          <cell r="L575">
            <v>367500</v>
          </cell>
          <cell r="M575">
            <v>0</v>
          </cell>
          <cell r="N575">
            <v>0</v>
          </cell>
          <cell r="O575">
            <v>0</v>
          </cell>
          <cell r="P575">
            <v>0</v>
          </cell>
          <cell r="Q575">
            <v>0</v>
          </cell>
          <cell r="R575">
            <v>367500</v>
          </cell>
          <cell r="S575">
            <v>0</v>
          </cell>
          <cell r="T575">
            <v>0</v>
          </cell>
          <cell r="U575">
            <v>0</v>
          </cell>
          <cell r="V575">
            <v>0</v>
          </cell>
          <cell r="W575">
            <v>0</v>
          </cell>
          <cell r="X575" t="str">
            <v>④</v>
          </cell>
          <cell r="Y575" t="str">
            <v/>
          </cell>
          <cell r="Z575" t="str">
            <v/>
          </cell>
          <cell r="AA575" t="str">
            <v/>
          </cell>
          <cell r="AB575" t="str">
            <v/>
          </cell>
          <cell r="AC575" t="str">
            <v/>
          </cell>
          <cell r="AD575" t="str">
            <v>⑩</v>
          </cell>
          <cell r="AE575" t="str">
            <v/>
          </cell>
          <cell r="AF575" t="str">
            <v/>
          </cell>
          <cell r="AG575" t="str">
            <v/>
          </cell>
          <cell r="AH575" t="str">
            <v/>
          </cell>
          <cell r="AI575" t="str">
            <v/>
          </cell>
          <cell r="AJ575" t="str">
            <v>変</v>
          </cell>
        </row>
        <row r="576">
          <cell r="B576">
            <v>4239</v>
          </cell>
          <cell r="C576">
            <v>42</v>
          </cell>
          <cell r="D576">
            <v>39</v>
          </cell>
          <cell r="F576" t="str">
            <v>本館</v>
          </cell>
          <cell r="G576" t="str">
            <v>ﾀｰﾎﾞ式冷凍機(R-5)</v>
          </cell>
          <cell r="H576" t="str">
            <v>荏原テクノサーブ</v>
          </cell>
          <cell r="I576">
            <v>280000</v>
          </cell>
          <cell r="J576">
            <v>286200</v>
          </cell>
          <cell r="K576">
            <v>2</v>
          </cell>
          <cell r="L576">
            <v>0</v>
          </cell>
          <cell r="M576">
            <v>0</v>
          </cell>
          <cell r="N576">
            <v>286200</v>
          </cell>
          <cell r="O576">
            <v>0</v>
          </cell>
          <cell r="P576">
            <v>0</v>
          </cell>
          <cell r="Q576">
            <v>0</v>
          </cell>
          <cell r="R576">
            <v>0</v>
          </cell>
          <cell r="S576">
            <v>0</v>
          </cell>
          <cell r="T576">
            <v>286200</v>
          </cell>
          <cell r="U576">
            <v>0</v>
          </cell>
          <cell r="V576">
            <v>0</v>
          </cell>
          <cell r="W576">
            <v>0</v>
          </cell>
          <cell r="X576" t="str">
            <v/>
          </cell>
          <cell r="Y576" t="str">
            <v/>
          </cell>
          <cell r="Z576" t="str">
            <v>⑥</v>
          </cell>
          <cell r="AA576" t="str">
            <v/>
          </cell>
          <cell r="AB576" t="str">
            <v/>
          </cell>
          <cell r="AC576" t="str">
            <v/>
          </cell>
          <cell r="AD576" t="str">
            <v/>
          </cell>
          <cell r="AE576" t="str">
            <v/>
          </cell>
          <cell r="AF576" t="str">
            <v>⑫</v>
          </cell>
          <cell r="AG576" t="str">
            <v/>
          </cell>
          <cell r="AH576" t="str">
            <v/>
          </cell>
          <cell r="AI576" t="str">
            <v/>
          </cell>
          <cell r="AJ576" t="str">
            <v>変</v>
          </cell>
        </row>
        <row r="577">
          <cell r="B577">
            <v>4240</v>
          </cell>
          <cell r="C577">
            <v>42</v>
          </cell>
          <cell r="D577">
            <v>40</v>
          </cell>
          <cell r="F577" t="str">
            <v>本館</v>
          </cell>
          <cell r="G577" t="str">
            <v>ﾀｰﾎﾞ式冷凍機(R2.3冷房ｲﾝ)</v>
          </cell>
          <cell r="H577" t="str">
            <v>三菱重工冷熱システム</v>
          </cell>
          <cell r="I577">
            <v>668000</v>
          </cell>
          <cell r="J577">
            <v>681360</v>
          </cell>
          <cell r="K577">
            <v>1</v>
          </cell>
          <cell r="L577">
            <v>0</v>
          </cell>
          <cell r="M577">
            <v>681360</v>
          </cell>
          <cell r="N577">
            <v>0</v>
          </cell>
          <cell r="O577">
            <v>0</v>
          </cell>
          <cell r="P577">
            <v>0</v>
          </cell>
          <cell r="Q577">
            <v>0</v>
          </cell>
          <cell r="R577">
            <v>0</v>
          </cell>
          <cell r="S577">
            <v>0</v>
          </cell>
          <cell r="T577">
            <v>0</v>
          </cell>
          <cell r="U577">
            <v>0</v>
          </cell>
          <cell r="V577">
            <v>0</v>
          </cell>
          <cell r="W577">
            <v>0</v>
          </cell>
          <cell r="X577" t="str">
            <v/>
          </cell>
          <cell r="Y577" t="str">
            <v>⑤</v>
          </cell>
          <cell r="Z577" t="str">
            <v/>
          </cell>
          <cell r="AA577" t="str">
            <v/>
          </cell>
          <cell r="AB577" t="str">
            <v/>
          </cell>
          <cell r="AC577" t="str">
            <v/>
          </cell>
          <cell r="AD577" t="str">
            <v/>
          </cell>
          <cell r="AE577" t="str">
            <v/>
          </cell>
          <cell r="AF577" t="str">
            <v/>
          </cell>
          <cell r="AG577" t="str">
            <v/>
          </cell>
          <cell r="AH577" t="str">
            <v/>
          </cell>
          <cell r="AI577" t="str">
            <v/>
          </cell>
        </row>
        <row r="578">
          <cell r="B578">
            <v>4241</v>
          </cell>
          <cell r="C578">
            <v>42</v>
          </cell>
          <cell r="D578">
            <v>41</v>
          </cell>
          <cell r="F578" t="str">
            <v>本館</v>
          </cell>
          <cell r="G578" t="str">
            <v>ﾀｰﾎﾞ式冷凍機(R2.3巡回点検)</v>
          </cell>
          <cell r="H578" t="str">
            <v>三菱重工冷熱システム</v>
          </cell>
          <cell r="I578">
            <v>170000</v>
          </cell>
          <cell r="J578">
            <v>173400</v>
          </cell>
          <cell r="K578">
            <v>4</v>
          </cell>
          <cell r="L578">
            <v>0</v>
          </cell>
          <cell r="M578">
            <v>0</v>
          </cell>
          <cell r="N578">
            <v>0</v>
          </cell>
          <cell r="O578">
            <v>173400</v>
          </cell>
          <cell r="P578">
            <v>173400</v>
          </cell>
          <cell r="Q578">
            <v>0</v>
          </cell>
          <cell r="R578">
            <v>0</v>
          </cell>
          <cell r="S578">
            <v>0</v>
          </cell>
          <cell r="T578">
            <v>173400</v>
          </cell>
          <cell r="U578">
            <v>173400</v>
          </cell>
          <cell r="V578">
            <v>0</v>
          </cell>
          <cell r="W578">
            <v>0</v>
          </cell>
          <cell r="X578" t="str">
            <v/>
          </cell>
          <cell r="Y578" t="str">
            <v/>
          </cell>
          <cell r="Z578" t="str">
            <v/>
          </cell>
          <cell r="AA578" t="str">
            <v>⑦</v>
          </cell>
          <cell r="AB578" t="str">
            <v>⑧</v>
          </cell>
          <cell r="AC578" t="str">
            <v/>
          </cell>
          <cell r="AD578" t="str">
            <v/>
          </cell>
          <cell r="AE578" t="str">
            <v/>
          </cell>
          <cell r="AF578" t="str">
            <v>⑫</v>
          </cell>
          <cell r="AG578" t="str">
            <v>①</v>
          </cell>
          <cell r="AH578" t="str">
            <v/>
          </cell>
          <cell r="AI578" t="str">
            <v/>
          </cell>
        </row>
        <row r="579">
          <cell r="B579">
            <v>4242</v>
          </cell>
          <cell r="C579">
            <v>42</v>
          </cell>
          <cell r="D579">
            <v>42</v>
          </cell>
          <cell r="F579" t="str">
            <v>本館</v>
          </cell>
          <cell r="G579" t="str">
            <v>ﾀｰﾎﾞ式冷凍機(R2.3暖房ｲﾝ)</v>
          </cell>
          <cell r="H579" t="str">
            <v>三菱重工冷熱システム</v>
          </cell>
          <cell r="I579">
            <v>1300000</v>
          </cell>
          <cell r="J579">
            <v>1326000</v>
          </cell>
          <cell r="K579">
            <v>1</v>
          </cell>
          <cell r="L579">
            <v>0</v>
          </cell>
          <cell r="M579">
            <v>0</v>
          </cell>
          <cell r="N579">
            <v>0</v>
          </cell>
          <cell r="O579">
            <v>0</v>
          </cell>
          <cell r="P579">
            <v>0</v>
          </cell>
          <cell r="Q579">
            <v>0</v>
          </cell>
          <cell r="R579">
            <v>0</v>
          </cell>
          <cell r="S579">
            <v>1326000</v>
          </cell>
          <cell r="T579">
            <v>0</v>
          </cell>
          <cell r="U579">
            <v>0</v>
          </cell>
          <cell r="V579">
            <v>0</v>
          </cell>
          <cell r="W579">
            <v>0</v>
          </cell>
          <cell r="X579" t="str">
            <v/>
          </cell>
          <cell r="Y579" t="str">
            <v/>
          </cell>
          <cell r="Z579" t="str">
            <v/>
          </cell>
          <cell r="AA579" t="str">
            <v/>
          </cell>
          <cell r="AC579" t="str">
            <v/>
          </cell>
          <cell r="AD579" t="str">
            <v/>
          </cell>
          <cell r="AE579" t="str">
            <v>⑪</v>
          </cell>
          <cell r="AF579" t="str">
            <v/>
          </cell>
          <cell r="AG579" t="str">
            <v/>
          </cell>
          <cell r="AI579" t="str">
            <v/>
          </cell>
        </row>
        <row r="580">
          <cell r="B580">
            <v>4243</v>
          </cell>
          <cell r="C580">
            <v>42</v>
          </cell>
          <cell r="D580">
            <v>43</v>
          </cell>
          <cell r="F580" t="str">
            <v>本館</v>
          </cell>
          <cell r="G580" t="str">
            <v>ﾀｰﾎﾞ式冷凍機(R4冷房ｲﾝ)</v>
          </cell>
          <cell r="H580" t="str">
            <v>三菱重工冷熱システム</v>
          </cell>
          <cell r="I580">
            <v>977000</v>
          </cell>
          <cell r="J580">
            <v>996540</v>
          </cell>
          <cell r="K580">
            <v>1</v>
          </cell>
          <cell r="L580">
            <v>0</v>
          </cell>
          <cell r="M580">
            <v>996540</v>
          </cell>
          <cell r="N580">
            <v>0</v>
          </cell>
          <cell r="O580">
            <v>0</v>
          </cell>
          <cell r="P580">
            <v>0</v>
          </cell>
          <cell r="Q580">
            <v>0</v>
          </cell>
          <cell r="R580">
            <v>0</v>
          </cell>
          <cell r="S580">
            <v>0</v>
          </cell>
          <cell r="T580">
            <v>0</v>
          </cell>
          <cell r="U580">
            <v>0</v>
          </cell>
          <cell r="V580">
            <v>0</v>
          </cell>
          <cell r="W580">
            <v>0</v>
          </cell>
          <cell r="X580" t="str">
            <v/>
          </cell>
          <cell r="Y580" t="str">
            <v>⑤</v>
          </cell>
          <cell r="Z580" t="str">
            <v/>
          </cell>
          <cell r="AA580" t="str">
            <v/>
          </cell>
          <cell r="AB580" t="str">
            <v/>
          </cell>
          <cell r="AC580" t="str">
            <v/>
          </cell>
          <cell r="AD580" t="str">
            <v/>
          </cell>
          <cell r="AF580" t="str">
            <v/>
          </cell>
          <cell r="AG580" t="str">
            <v/>
          </cell>
          <cell r="AH580" t="str">
            <v/>
          </cell>
          <cell r="AI580" t="str">
            <v/>
          </cell>
        </row>
        <row r="581">
          <cell r="B581">
            <v>4244</v>
          </cell>
          <cell r="C581">
            <v>42</v>
          </cell>
          <cell r="D581">
            <v>44</v>
          </cell>
          <cell r="F581" t="str">
            <v>本館</v>
          </cell>
          <cell r="G581" t="str">
            <v>ﾀｰﾎﾞ式冷凍機(R4巡回点検)</v>
          </cell>
          <cell r="H581" t="str">
            <v>三菱重工冷熱システム</v>
          </cell>
          <cell r="I581">
            <v>49500</v>
          </cell>
          <cell r="J581">
            <v>50490</v>
          </cell>
          <cell r="K581">
            <v>2</v>
          </cell>
          <cell r="L581">
            <v>0</v>
          </cell>
          <cell r="M581">
            <v>0</v>
          </cell>
          <cell r="N581">
            <v>0</v>
          </cell>
          <cell r="O581">
            <v>0</v>
          </cell>
          <cell r="P581">
            <v>50490</v>
          </cell>
          <cell r="Q581">
            <v>0</v>
          </cell>
          <cell r="R581">
            <v>0</v>
          </cell>
          <cell r="S581">
            <v>0</v>
          </cell>
          <cell r="T581">
            <v>0</v>
          </cell>
          <cell r="U581">
            <v>0</v>
          </cell>
          <cell r="V581">
            <v>50490</v>
          </cell>
          <cell r="W581">
            <v>0</v>
          </cell>
          <cell r="X581" t="str">
            <v/>
          </cell>
          <cell r="Y581" t="str">
            <v/>
          </cell>
          <cell r="Z581" t="str">
            <v/>
          </cell>
          <cell r="AA581" t="str">
            <v/>
          </cell>
          <cell r="AB581" t="str">
            <v>⑧</v>
          </cell>
          <cell r="AC581" t="str">
            <v/>
          </cell>
          <cell r="AD581" t="str">
            <v/>
          </cell>
          <cell r="AF581" t="str">
            <v/>
          </cell>
          <cell r="AG581" t="str">
            <v/>
          </cell>
          <cell r="AH581" t="str">
            <v>②</v>
          </cell>
          <cell r="AI581" t="str">
            <v/>
          </cell>
        </row>
        <row r="582">
          <cell r="B582">
            <v>4245</v>
          </cell>
          <cell r="C582">
            <v>42</v>
          </cell>
          <cell r="D582">
            <v>45</v>
          </cell>
          <cell r="F582" t="str">
            <v>本館</v>
          </cell>
          <cell r="G582" t="str">
            <v>ﾀｰﾎﾞ式冷凍機(R4暖房ｲﾝ)</v>
          </cell>
          <cell r="H582" t="str">
            <v>三菱重工冷熱システム</v>
          </cell>
          <cell r="I582">
            <v>495000</v>
          </cell>
          <cell r="J582">
            <v>504900</v>
          </cell>
          <cell r="K582">
            <v>1</v>
          </cell>
          <cell r="L582">
            <v>0</v>
          </cell>
          <cell r="M582">
            <v>0</v>
          </cell>
          <cell r="N582">
            <v>0</v>
          </cell>
          <cell r="O582">
            <v>0</v>
          </cell>
          <cell r="P582">
            <v>0</v>
          </cell>
          <cell r="Q582">
            <v>0</v>
          </cell>
          <cell r="R582">
            <v>0</v>
          </cell>
          <cell r="S582">
            <v>504900</v>
          </cell>
          <cell r="T582">
            <v>0</v>
          </cell>
          <cell r="U582">
            <v>0</v>
          </cell>
          <cell r="V582">
            <v>0</v>
          </cell>
          <cell r="W582">
            <v>0</v>
          </cell>
          <cell r="X582" t="str">
            <v/>
          </cell>
          <cell r="Y582" t="str">
            <v/>
          </cell>
          <cell r="Z582" t="str">
            <v/>
          </cell>
          <cell r="AA582" t="str">
            <v/>
          </cell>
          <cell r="AC582" t="str">
            <v/>
          </cell>
          <cell r="AD582" t="str">
            <v/>
          </cell>
          <cell r="AE582" t="str">
            <v>⑪</v>
          </cell>
          <cell r="AF582" t="str">
            <v/>
          </cell>
          <cell r="AG582" t="str">
            <v/>
          </cell>
          <cell r="AI582" t="str">
            <v/>
          </cell>
        </row>
        <row r="583">
          <cell r="B583">
            <v>4246</v>
          </cell>
          <cell r="C583">
            <v>42</v>
          </cell>
          <cell r="D583">
            <v>46</v>
          </cell>
          <cell r="F583" t="str">
            <v>本館</v>
          </cell>
          <cell r="G583" t="str">
            <v>空調用自動制御機器保守</v>
          </cell>
          <cell r="H583" t="str">
            <v>山武ビルシステム</v>
          </cell>
          <cell r="I583">
            <v>203280</v>
          </cell>
          <cell r="J583">
            <v>210500</v>
          </cell>
          <cell r="K583">
            <v>3</v>
          </cell>
          <cell r="L583">
            <v>210500</v>
          </cell>
          <cell r="M583">
            <v>0</v>
          </cell>
          <cell r="N583">
            <v>0</v>
          </cell>
          <cell r="O583">
            <v>0</v>
          </cell>
          <cell r="P583">
            <v>0</v>
          </cell>
          <cell r="Q583">
            <v>0</v>
          </cell>
          <cell r="R583">
            <v>0</v>
          </cell>
          <cell r="S583">
            <v>0</v>
          </cell>
          <cell r="T583">
            <v>210500</v>
          </cell>
          <cell r="U583">
            <v>0</v>
          </cell>
          <cell r="V583">
            <v>0</v>
          </cell>
          <cell r="W583">
            <v>210500</v>
          </cell>
          <cell r="X583" t="str">
            <v>④</v>
          </cell>
          <cell r="Y583" t="str">
            <v/>
          </cell>
          <cell r="Z583" t="str">
            <v/>
          </cell>
          <cell r="AA583" t="str">
            <v/>
          </cell>
          <cell r="AB583" t="str">
            <v/>
          </cell>
          <cell r="AC583" t="str">
            <v/>
          </cell>
          <cell r="AD583" t="str">
            <v/>
          </cell>
          <cell r="AE583" t="str">
            <v/>
          </cell>
          <cell r="AF583" t="str">
            <v>⑫</v>
          </cell>
          <cell r="AG583" t="str">
            <v/>
          </cell>
          <cell r="AH583" t="str">
            <v/>
          </cell>
          <cell r="AI583" t="str">
            <v>③</v>
          </cell>
        </row>
        <row r="584">
          <cell r="B584">
            <v>4247</v>
          </cell>
          <cell r="C584">
            <v>42</v>
          </cell>
          <cell r="D584">
            <v>47</v>
          </cell>
          <cell r="F584" t="str">
            <v>本館</v>
          </cell>
          <cell r="G584" t="str">
            <v>空調用自動制御機器保守</v>
          </cell>
          <cell r="H584" t="str">
            <v>山武ビルシステム</v>
          </cell>
          <cell r="I584">
            <v>911480</v>
          </cell>
          <cell r="J584">
            <v>942500</v>
          </cell>
          <cell r="K584">
            <v>3</v>
          </cell>
          <cell r="L584">
            <v>0</v>
          </cell>
          <cell r="M584">
            <v>942500</v>
          </cell>
          <cell r="N584">
            <v>0</v>
          </cell>
          <cell r="O584">
            <v>0</v>
          </cell>
          <cell r="P584">
            <v>0</v>
          </cell>
          <cell r="Q584">
            <v>0</v>
          </cell>
          <cell r="R584">
            <v>0</v>
          </cell>
          <cell r="S584">
            <v>942500</v>
          </cell>
          <cell r="T584">
            <v>0</v>
          </cell>
          <cell r="U584">
            <v>0</v>
          </cell>
          <cell r="V584">
            <v>942500</v>
          </cell>
          <cell r="W584">
            <v>0</v>
          </cell>
          <cell r="X584" t="str">
            <v/>
          </cell>
          <cell r="Y584" t="str">
            <v>⑤</v>
          </cell>
          <cell r="Z584" t="str">
            <v/>
          </cell>
          <cell r="AA584" t="str">
            <v/>
          </cell>
          <cell r="AB584" t="str">
            <v/>
          </cell>
          <cell r="AC584" t="str">
            <v/>
          </cell>
          <cell r="AD584" t="str">
            <v/>
          </cell>
          <cell r="AE584" t="str">
            <v>⑪</v>
          </cell>
          <cell r="AF584" t="str">
            <v/>
          </cell>
          <cell r="AG584" t="str">
            <v/>
          </cell>
          <cell r="AH584" t="str">
            <v>②</v>
          </cell>
          <cell r="AI584" t="str">
            <v/>
          </cell>
        </row>
        <row r="585">
          <cell r="B585">
            <v>4248</v>
          </cell>
          <cell r="C585">
            <v>42</v>
          </cell>
          <cell r="D585">
            <v>48</v>
          </cell>
          <cell r="F585" t="str">
            <v>本館</v>
          </cell>
          <cell r="G585" t="str">
            <v>空調用自動制御機器保守</v>
          </cell>
          <cell r="H585" t="str">
            <v>山武ビルシステム</v>
          </cell>
          <cell r="I585">
            <v>2732340</v>
          </cell>
          <cell r="J585">
            <v>2825300</v>
          </cell>
          <cell r="K585">
            <v>4</v>
          </cell>
          <cell r="L585">
            <v>0</v>
          </cell>
          <cell r="M585">
            <v>0</v>
          </cell>
          <cell r="N585">
            <v>2825300</v>
          </cell>
          <cell r="O585">
            <v>0</v>
          </cell>
          <cell r="P585">
            <v>0</v>
          </cell>
          <cell r="Q585">
            <v>2825300</v>
          </cell>
          <cell r="R585">
            <v>2825300</v>
          </cell>
          <cell r="S585">
            <v>0</v>
          </cell>
          <cell r="T585">
            <v>0</v>
          </cell>
          <cell r="U585">
            <v>2825300</v>
          </cell>
          <cell r="V585">
            <v>0</v>
          </cell>
          <cell r="W585">
            <v>0</v>
          </cell>
          <cell r="X585" t="str">
            <v/>
          </cell>
          <cell r="Y585" t="str">
            <v/>
          </cell>
          <cell r="Z585" t="str">
            <v>⑥</v>
          </cell>
          <cell r="AA585" t="str">
            <v/>
          </cell>
          <cell r="AB585" t="str">
            <v/>
          </cell>
          <cell r="AC585" t="str">
            <v>⑨</v>
          </cell>
          <cell r="AD585" t="str">
            <v>⑩</v>
          </cell>
          <cell r="AE585" t="str">
            <v/>
          </cell>
          <cell r="AF585" t="str">
            <v/>
          </cell>
          <cell r="AG585" t="str">
            <v>①</v>
          </cell>
          <cell r="AH585" t="str">
            <v/>
          </cell>
          <cell r="AI585" t="str">
            <v/>
          </cell>
        </row>
        <row r="586">
          <cell r="B586">
            <v>4249</v>
          </cell>
          <cell r="C586">
            <v>42</v>
          </cell>
          <cell r="D586">
            <v>49</v>
          </cell>
          <cell r="F586" t="str">
            <v>本館</v>
          </cell>
          <cell r="G586" t="str">
            <v>空調用自動制御機器保守</v>
          </cell>
          <cell r="H586" t="str">
            <v>山武ビルシステム</v>
          </cell>
          <cell r="I586">
            <v>3585820</v>
          </cell>
          <cell r="J586">
            <v>3708000</v>
          </cell>
          <cell r="K586">
            <v>1</v>
          </cell>
          <cell r="L586">
            <v>0</v>
          </cell>
          <cell r="M586">
            <v>0</v>
          </cell>
          <cell r="N586">
            <v>0</v>
          </cell>
          <cell r="O586">
            <v>3708000</v>
          </cell>
          <cell r="P586">
            <v>0</v>
          </cell>
          <cell r="Q586">
            <v>0</v>
          </cell>
          <cell r="R586">
            <v>0</v>
          </cell>
          <cell r="S586">
            <v>0</v>
          </cell>
          <cell r="T586">
            <v>0</v>
          </cell>
          <cell r="U586">
            <v>0</v>
          </cell>
          <cell r="V586">
            <v>0</v>
          </cell>
          <cell r="W586">
            <v>0</v>
          </cell>
          <cell r="X586" t="str">
            <v/>
          </cell>
          <cell r="Y586" t="str">
            <v/>
          </cell>
          <cell r="Z586" t="str">
            <v/>
          </cell>
          <cell r="AA586" t="str">
            <v>⑦</v>
          </cell>
          <cell r="AB586" t="str">
            <v/>
          </cell>
          <cell r="AC586" t="str">
            <v/>
          </cell>
          <cell r="AD586" t="str">
            <v/>
          </cell>
          <cell r="AE586" t="str">
            <v/>
          </cell>
          <cell r="AF586" t="str">
            <v/>
          </cell>
          <cell r="AG586" t="str">
            <v/>
          </cell>
          <cell r="AH586" t="str">
            <v/>
          </cell>
          <cell r="AI586" t="str">
            <v/>
          </cell>
        </row>
        <row r="587">
          <cell r="B587">
            <v>4250</v>
          </cell>
          <cell r="C587">
            <v>42</v>
          </cell>
          <cell r="D587">
            <v>50</v>
          </cell>
          <cell r="F587" t="str">
            <v>本館</v>
          </cell>
          <cell r="G587" t="str">
            <v>空調用自動制御機器保守</v>
          </cell>
          <cell r="H587" t="str">
            <v>山武ビルシステム</v>
          </cell>
          <cell r="I587">
            <v>3440540</v>
          </cell>
          <cell r="J587">
            <v>3557800</v>
          </cell>
          <cell r="K587">
            <v>1</v>
          </cell>
          <cell r="L587">
            <v>0</v>
          </cell>
          <cell r="M587">
            <v>0</v>
          </cell>
          <cell r="N587">
            <v>0</v>
          </cell>
          <cell r="O587">
            <v>0</v>
          </cell>
          <cell r="P587">
            <v>3557800</v>
          </cell>
          <cell r="Q587">
            <v>0</v>
          </cell>
          <cell r="R587">
            <v>0</v>
          </cell>
          <cell r="S587">
            <v>0</v>
          </cell>
          <cell r="T587">
            <v>0</v>
          </cell>
          <cell r="U587">
            <v>0</v>
          </cell>
          <cell r="V587">
            <v>0</v>
          </cell>
          <cell r="W587">
            <v>0</v>
          </cell>
          <cell r="X587" t="str">
            <v/>
          </cell>
          <cell r="Y587" t="str">
            <v/>
          </cell>
          <cell r="Z587" t="str">
            <v/>
          </cell>
          <cell r="AA587" t="str">
            <v/>
          </cell>
          <cell r="AB587" t="str">
            <v>⑧</v>
          </cell>
          <cell r="AC587" t="str">
            <v/>
          </cell>
          <cell r="AD587" t="str">
            <v/>
          </cell>
          <cell r="AE587" t="str">
            <v/>
          </cell>
          <cell r="AF587" t="str">
            <v/>
          </cell>
          <cell r="AG587" t="str">
            <v/>
          </cell>
          <cell r="AH587" t="str">
            <v/>
          </cell>
          <cell r="AI587" t="str">
            <v/>
          </cell>
        </row>
        <row r="588">
          <cell r="B588">
            <v>4251</v>
          </cell>
          <cell r="C588">
            <v>42</v>
          </cell>
          <cell r="D588">
            <v>51</v>
          </cell>
          <cell r="F588" t="str">
            <v>本館</v>
          </cell>
          <cell r="G588" t="str">
            <v>自動ドアー保守</v>
          </cell>
          <cell r="H588" t="str">
            <v>寺岡ファシリティズ</v>
          </cell>
          <cell r="I588">
            <v>130000</v>
          </cell>
          <cell r="J588">
            <v>132600</v>
          </cell>
          <cell r="K588">
            <v>4</v>
          </cell>
          <cell r="L588">
            <v>0</v>
          </cell>
          <cell r="M588">
            <v>132600</v>
          </cell>
          <cell r="N588">
            <v>0</v>
          </cell>
          <cell r="O588">
            <v>0</v>
          </cell>
          <cell r="P588">
            <v>132600</v>
          </cell>
          <cell r="Q588">
            <v>0</v>
          </cell>
          <cell r="R588">
            <v>0</v>
          </cell>
          <cell r="S588">
            <v>132600</v>
          </cell>
          <cell r="T588">
            <v>0</v>
          </cell>
          <cell r="U588">
            <v>0</v>
          </cell>
          <cell r="V588">
            <v>132600</v>
          </cell>
          <cell r="W588">
            <v>0</v>
          </cell>
          <cell r="X588" t="str">
            <v/>
          </cell>
          <cell r="Y588" t="str">
            <v>⑤</v>
          </cell>
          <cell r="Z588" t="str">
            <v/>
          </cell>
          <cell r="AA588" t="str">
            <v/>
          </cell>
          <cell r="AB588" t="str">
            <v>⑧</v>
          </cell>
          <cell r="AC588" t="str">
            <v/>
          </cell>
          <cell r="AD588" t="str">
            <v/>
          </cell>
          <cell r="AE588" t="str">
            <v>⑪</v>
          </cell>
          <cell r="AF588" t="str">
            <v/>
          </cell>
          <cell r="AG588" t="str">
            <v/>
          </cell>
          <cell r="AH588" t="str">
            <v>②</v>
          </cell>
          <cell r="AI588" t="str">
            <v/>
          </cell>
        </row>
        <row r="589">
          <cell r="B589">
            <v>4252</v>
          </cell>
          <cell r="C589">
            <v>42</v>
          </cell>
          <cell r="D589">
            <v>52</v>
          </cell>
          <cell r="F589" t="str">
            <v>本館</v>
          </cell>
          <cell r="G589" t="str">
            <v>駐車場管制装置(定期)</v>
          </cell>
          <cell r="H589" t="str">
            <v>富士ダイナミクス</v>
          </cell>
          <cell r="I589">
            <v>256000</v>
          </cell>
          <cell r="J589">
            <v>270014</v>
          </cell>
          <cell r="K589">
            <v>2</v>
          </cell>
          <cell r="L589">
            <v>0</v>
          </cell>
          <cell r="M589">
            <v>0</v>
          </cell>
          <cell r="N589">
            <v>270014</v>
          </cell>
          <cell r="O589">
            <v>0</v>
          </cell>
          <cell r="P589">
            <v>0</v>
          </cell>
          <cell r="Q589">
            <v>0</v>
          </cell>
          <cell r="R589">
            <v>0</v>
          </cell>
          <cell r="S589">
            <v>0</v>
          </cell>
          <cell r="T589">
            <v>0</v>
          </cell>
          <cell r="U589">
            <v>0</v>
          </cell>
          <cell r="V589">
            <v>270014</v>
          </cell>
          <cell r="W589">
            <v>0</v>
          </cell>
          <cell r="X589" t="str">
            <v/>
          </cell>
          <cell r="Y589" t="str">
            <v/>
          </cell>
          <cell r="Z589" t="str">
            <v>⑥</v>
          </cell>
          <cell r="AA589" t="str">
            <v/>
          </cell>
          <cell r="AB589" t="str">
            <v/>
          </cell>
          <cell r="AC589" t="str">
            <v/>
          </cell>
          <cell r="AE589" t="str">
            <v/>
          </cell>
          <cell r="AF589" t="str">
            <v/>
          </cell>
          <cell r="AG589" t="str">
            <v/>
          </cell>
          <cell r="AH589" t="str">
            <v>②</v>
          </cell>
          <cell r="AI589" t="str">
            <v/>
          </cell>
          <cell r="AJ589" t="str">
            <v>変</v>
          </cell>
        </row>
        <row r="590">
          <cell r="B590">
            <v>4253</v>
          </cell>
          <cell r="C590">
            <v>42</v>
          </cell>
          <cell r="D590">
            <v>53</v>
          </cell>
          <cell r="F590" t="str">
            <v>本館</v>
          </cell>
          <cell r="G590" t="str">
            <v>駐車場管制装置(総合)</v>
          </cell>
          <cell r="H590" t="str">
            <v>富士ダイナミクス</v>
          </cell>
          <cell r="I590">
            <v>386000</v>
          </cell>
          <cell r="J590">
            <v>407132</v>
          </cell>
          <cell r="K590">
            <v>1</v>
          </cell>
          <cell r="L590">
            <v>0</v>
          </cell>
          <cell r="M590">
            <v>0</v>
          </cell>
          <cell r="N590">
            <v>0</v>
          </cell>
          <cell r="O590">
            <v>0</v>
          </cell>
          <cell r="P590">
            <v>0</v>
          </cell>
          <cell r="Q590">
            <v>0</v>
          </cell>
          <cell r="R590">
            <v>407132</v>
          </cell>
          <cell r="S590">
            <v>0</v>
          </cell>
          <cell r="T590">
            <v>0</v>
          </cell>
          <cell r="U590">
            <v>0</v>
          </cell>
          <cell r="V590">
            <v>0</v>
          </cell>
          <cell r="W590">
            <v>0</v>
          </cell>
          <cell r="X590" t="str">
            <v/>
          </cell>
          <cell r="Y590" t="str">
            <v/>
          </cell>
          <cell r="Z590" t="str">
            <v/>
          </cell>
          <cell r="AA590" t="str">
            <v/>
          </cell>
          <cell r="AB590" t="str">
            <v/>
          </cell>
          <cell r="AC590" t="str">
            <v/>
          </cell>
          <cell r="AD590" t="str">
            <v>⑩</v>
          </cell>
          <cell r="AE590" t="str">
            <v/>
          </cell>
          <cell r="AF590" t="str">
            <v/>
          </cell>
          <cell r="AG590" t="str">
            <v/>
          </cell>
          <cell r="AH590" t="str">
            <v/>
          </cell>
          <cell r="AI590" t="str">
            <v/>
          </cell>
          <cell r="AJ590" t="str">
            <v>変</v>
          </cell>
        </row>
        <row r="591">
          <cell r="B591">
            <v>4254</v>
          </cell>
          <cell r="C591">
            <v>42</v>
          </cell>
          <cell r="D591">
            <v>54</v>
          </cell>
          <cell r="F591" t="str">
            <v>本館</v>
          </cell>
          <cell r="G591" t="str">
            <v>強震計･地震計設備保守</v>
          </cell>
          <cell r="H591" t="str">
            <v>明豊ｴﾝｼﾞﾆｱﾘﾝｸﾞ</v>
          </cell>
          <cell r="I591">
            <v>80000</v>
          </cell>
          <cell r="J591">
            <v>81600</v>
          </cell>
          <cell r="K591">
            <v>1</v>
          </cell>
          <cell r="L591">
            <v>0</v>
          </cell>
          <cell r="M591">
            <v>0</v>
          </cell>
          <cell r="N591">
            <v>0</v>
          </cell>
          <cell r="O591">
            <v>0</v>
          </cell>
          <cell r="P591">
            <v>0</v>
          </cell>
          <cell r="Q591">
            <v>0</v>
          </cell>
          <cell r="R591">
            <v>81600</v>
          </cell>
          <cell r="S591">
            <v>0</v>
          </cell>
          <cell r="T591">
            <v>0</v>
          </cell>
          <cell r="U591">
            <v>0</v>
          </cell>
          <cell r="V591">
            <v>0</v>
          </cell>
          <cell r="W591">
            <v>0</v>
          </cell>
          <cell r="X591" t="str">
            <v/>
          </cell>
          <cell r="Y591" t="str">
            <v/>
          </cell>
          <cell r="Z591" t="str">
            <v/>
          </cell>
          <cell r="AA591" t="str">
            <v/>
          </cell>
          <cell r="AB591" t="str">
            <v/>
          </cell>
          <cell r="AC591" t="str">
            <v/>
          </cell>
          <cell r="AD591" t="str">
            <v>⑩</v>
          </cell>
          <cell r="AE591" t="str">
            <v/>
          </cell>
          <cell r="AF591" t="str">
            <v/>
          </cell>
          <cell r="AG591" t="str">
            <v/>
          </cell>
          <cell r="AH591" t="str">
            <v/>
          </cell>
          <cell r="AI591" t="str">
            <v/>
          </cell>
        </row>
        <row r="592">
          <cell r="B592">
            <v>4255</v>
          </cell>
          <cell r="C592">
            <v>42</v>
          </cell>
          <cell r="D592">
            <v>55</v>
          </cell>
          <cell r="F592" t="str">
            <v>本館</v>
          </cell>
          <cell r="G592" t="str">
            <v>植栽管理</v>
          </cell>
          <cell r="H592" t="str">
            <v>東光園緑化</v>
          </cell>
          <cell r="I592">
            <v>119000</v>
          </cell>
          <cell r="J592">
            <v>121380</v>
          </cell>
          <cell r="K592">
            <v>3</v>
          </cell>
          <cell r="L592">
            <v>0</v>
          </cell>
          <cell r="M592">
            <v>0</v>
          </cell>
          <cell r="N592">
            <v>121380</v>
          </cell>
          <cell r="O592">
            <v>121380</v>
          </cell>
          <cell r="P592">
            <v>0</v>
          </cell>
          <cell r="Q592">
            <v>121380</v>
          </cell>
          <cell r="R592">
            <v>0</v>
          </cell>
          <cell r="S592">
            <v>0</v>
          </cell>
          <cell r="T592">
            <v>0</v>
          </cell>
          <cell r="U592">
            <v>0</v>
          </cell>
          <cell r="V592">
            <v>0</v>
          </cell>
          <cell r="W592">
            <v>0</v>
          </cell>
          <cell r="X592" t="str">
            <v/>
          </cell>
          <cell r="Y592" t="str">
            <v/>
          </cell>
          <cell r="Z592" t="str">
            <v>⑥</v>
          </cell>
          <cell r="AA592" t="str">
            <v>⑦</v>
          </cell>
          <cell r="AB592" t="str">
            <v/>
          </cell>
          <cell r="AC592" t="str">
            <v>⑨</v>
          </cell>
          <cell r="AD592" t="str">
            <v/>
          </cell>
          <cell r="AE592" t="str">
            <v/>
          </cell>
          <cell r="AF592" t="str">
            <v/>
          </cell>
          <cell r="AG592" t="str">
            <v/>
          </cell>
          <cell r="AH592" t="str">
            <v/>
          </cell>
          <cell r="AI592" t="str">
            <v/>
          </cell>
        </row>
        <row r="593">
          <cell r="B593">
            <v>4256</v>
          </cell>
          <cell r="C593">
            <v>42</v>
          </cell>
          <cell r="D593">
            <v>56</v>
          </cell>
          <cell r="F593" t="str">
            <v>本館</v>
          </cell>
          <cell r="G593" t="str">
            <v>植栽管理</v>
          </cell>
          <cell r="H593" t="str">
            <v>東光園緑化</v>
          </cell>
          <cell r="I593">
            <v>93000</v>
          </cell>
          <cell r="J593">
            <v>94860</v>
          </cell>
          <cell r="K593">
            <v>1</v>
          </cell>
          <cell r="L593">
            <v>0</v>
          </cell>
          <cell r="M593">
            <v>0</v>
          </cell>
          <cell r="N593">
            <v>0</v>
          </cell>
          <cell r="O593">
            <v>0</v>
          </cell>
          <cell r="P593">
            <v>0</v>
          </cell>
          <cell r="Q593">
            <v>0</v>
          </cell>
          <cell r="R593">
            <v>0</v>
          </cell>
          <cell r="S593">
            <v>94860</v>
          </cell>
          <cell r="T593">
            <v>0</v>
          </cell>
          <cell r="U593">
            <v>0</v>
          </cell>
          <cell r="V593">
            <v>0</v>
          </cell>
          <cell r="W593">
            <v>0</v>
          </cell>
          <cell r="X593" t="str">
            <v/>
          </cell>
          <cell r="Y593" t="str">
            <v/>
          </cell>
          <cell r="Z593" t="str">
            <v/>
          </cell>
          <cell r="AA593" t="str">
            <v/>
          </cell>
          <cell r="AB593" t="str">
            <v/>
          </cell>
          <cell r="AC593" t="str">
            <v/>
          </cell>
          <cell r="AD593" t="str">
            <v/>
          </cell>
          <cell r="AE593" t="str">
            <v>⑪</v>
          </cell>
          <cell r="AF593" t="str">
            <v/>
          </cell>
          <cell r="AG593" t="str">
            <v/>
          </cell>
          <cell r="AH593" t="str">
            <v/>
          </cell>
          <cell r="AI593" t="str">
            <v/>
          </cell>
        </row>
        <row r="594">
          <cell r="B594">
            <v>4257</v>
          </cell>
          <cell r="C594">
            <v>42</v>
          </cell>
          <cell r="D594">
            <v>57</v>
          </cell>
          <cell r="F594" t="str">
            <v>本館</v>
          </cell>
          <cell r="G594" t="str">
            <v>植栽管理</v>
          </cell>
          <cell r="H594" t="str">
            <v>東光園緑化</v>
          </cell>
          <cell r="I594">
            <v>56000</v>
          </cell>
          <cell r="J594">
            <v>57120</v>
          </cell>
          <cell r="K594">
            <v>1</v>
          </cell>
          <cell r="L594">
            <v>0</v>
          </cell>
          <cell r="M594">
            <v>0</v>
          </cell>
          <cell r="N594">
            <v>0</v>
          </cell>
          <cell r="O594">
            <v>0</v>
          </cell>
          <cell r="P594">
            <v>0</v>
          </cell>
          <cell r="Q594">
            <v>0</v>
          </cell>
          <cell r="R594">
            <v>0</v>
          </cell>
          <cell r="S594">
            <v>0</v>
          </cell>
          <cell r="T594">
            <v>0</v>
          </cell>
          <cell r="U594">
            <v>0</v>
          </cell>
          <cell r="V594">
            <v>57120</v>
          </cell>
          <cell r="W594">
            <v>0</v>
          </cell>
          <cell r="X594" t="str">
            <v/>
          </cell>
          <cell r="Y594" t="str">
            <v/>
          </cell>
          <cell r="Z594" t="str">
            <v/>
          </cell>
          <cell r="AA594" t="str">
            <v/>
          </cell>
          <cell r="AB594" t="str">
            <v/>
          </cell>
          <cell r="AC594" t="str">
            <v/>
          </cell>
          <cell r="AD594" t="str">
            <v/>
          </cell>
          <cell r="AE594" t="str">
            <v/>
          </cell>
          <cell r="AF594" t="str">
            <v/>
          </cell>
          <cell r="AG594" t="str">
            <v/>
          </cell>
          <cell r="AH594" t="str">
            <v>②</v>
          </cell>
          <cell r="AI594" t="str">
            <v/>
          </cell>
        </row>
        <row r="595">
          <cell r="B595">
            <v>4258</v>
          </cell>
          <cell r="C595">
            <v>42</v>
          </cell>
          <cell r="D595">
            <v>58</v>
          </cell>
          <cell r="F595" t="str">
            <v>本館</v>
          </cell>
          <cell r="G595" t="str">
            <v>貸鉢代(貸植木)</v>
          </cell>
          <cell r="H595" t="str">
            <v>フルール・セージ</v>
          </cell>
          <cell r="I595">
            <v>25000</v>
          </cell>
          <cell r="J595">
            <v>25500</v>
          </cell>
          <cell r="K595">
            <v>12</v>
          </cell>
          <cell r="L595">
            <v>25500</v>
          </cell>
          <cell r="M595">
            <v>25500</v>
          </cell>
          <cell r="N595">
            <v>25500</v>
          </cell>
          <cell r="O595">
            <v>25500</v>
          </cell>
          <cell r="P595">
            <v>25500</v>
          </cell>
          <cell r="Q595">
            <v>25500</v>
          </cell>
          <cell r="R595">
            <v>25500</v>
          </cell>
          <cell r="S595">
            <v>25500</v>
          </cell>
          <cell r="T595">
            <v>25500</v>
          </cell>
          <cell r="U595">
            <v>25500</v>
          </cell>
          <cell r="V595">
            <v>25500</v>
          </cell>
          <cell r="W595">
            <v>25500</v>
          </cell>
          <cell r="X595" t="str">
            <v>④</v>
          </cell>
          <cell r="Y595" t="str">
            <v>⑤</v>
          </cell>
          <cell r="Z595" t="str">
            <v>⑥</v>
          </cell>
          <cell r="AA595" t="str">
            <v>⑦</v>
          </cell>
          <cell r="AB595" t="str">
            <v>⑧</v>
          </cell>
          <cell r="AC595" t="str">
            <v>⑨</v>
          </cell>
          <cell r="AD595" t="str">
            <v>⑩</v>
          </cell>
          <cell r="AE595" t="str">
            <v>⑪</v>
          </cell>
          <cell r="AF595" t="str">
            <v>⑫</v>
          </cell>
          <cell r="AG595" t="str">
            <v>①</v>
          </cell>
          <cell r="AH595" t="str">
            <v>②</v>
          </cell>
          <cell r="AI595" t="str">
            <v>③</v>
          </cell>
        </row>
        <row r="596">
          <cell r="B596">
            <v>4259</v>
          </cell>
          <cell r="C596">
            <v>42</v>
          </cell>
          <cell r="D596">
            <v>59</v>
          </cell>
          <cell r="F596" t="str">
            <v>本館</v>
          </cell>
          <cell r="G596" t="str">
            <v>マットリース</v>
          </cell>
          <cell r="H596" t="str">
            <v>ﾕﾆﾏｯﾄｸﾘｰﾝﾗｲﾌ</v>
          </cell>
          <cell r="I596">
            <v>25200</v>
          </cell>
          <cell r="J596">
            <v>25704</v>
          </cell>
          <cell r="K596">
            <v>12</v>
          </cell>
          <cell r="L596">
            <v>25704</v>
          </cell>
          <cell r="M596">
            <v>25704</v>
          </cell>
          <cell r="N596">
            <v>25704</v>
          </cell>
          <cell r="O596">
            <v>25704</v>
          </cell>
          <cell r="P596">
            <v>25704</v>
          </cell>
          <cell r="Q596">
            <v>25704</v>
          </cell>
          <cell r="R596">
            <v>25704</v>
          </cell>
          <cell r="S596">
            <v>25704</v>
          </cell>
          <cell r="T596">
            <v>25704</v>
          </cell>
          <cell r="U596">
            <v>25704</v>
          </cell>
          <cell r="V596">
            <v>25704</v>
          </cell>
          <cell r="W596">
            <v>25704</v>
          </cell>
          <cell r="X596" t="str">
            <v>④</v>
          </cell>
          <cell r="Y596" t="str">
            <v>⑤</v>
          </cell>
          <cell r="Z596" t="str">
            <v>⑥</v>
          </cell>
          <cell r="AA596" t="str">
            <v>⑦</v>
          </cell>
          <cell r="AB596" t="str">
            <v>⑧</v>
          </cell>
          <cell r="AC596" t="str">
            <v>⑨</v>
          </cell>
          <cell r="AD596" t="str">
            <v>⑩</v>
          </cell>
          <cell r="AE596" t="str">
            <v>⑪</v>
          </cell>
          <cell r="AF596" t="str">
            <v>⑫</v>
          </cell>
          <cell r="AG596" t="str">
            <v>①</v>
          </cell>
          <cell r="AH596" t="str">
            <v>②</v>
          </cell>
          <cell r="AI596" t="str">
            <v>③</v>
          </cell>
        </row>
        <row r="597">
          <cell r="B597">
            <v>4260</v>
          </cell>
          <cell r="C597">
            <v>42</v>
          </cell>
          <cell r="D597">
            <v>60</v>
          </cell>
          <cell r="F597" t="str">
            <v>本館</v>
          </cell>
          <cell r="G597" t="str">
            <v>駐車場換気用ｲﾝﾊﾞｰﾀ装置</v>
          </cell>
          <cell r="H597" t="str">
            <v>山武ビルシステム</v>
          </cell>
          <cell r="I597">
            <v>360000</v>
          </cell>
          <cell r="J597">
            <v>414000</v>
          </cell>
          <cell r="K597">
            <v>1</v>
          </cell>
          <cell r="L597">
            <v>0</v>
          </cell>
          <cell r="M597">
            <v>0</v>
          </cell>
          <cell r="N597">
            <v>414000</v>
          </cell>
          <cell r="O597">
            <v>0</v>
          </cell>
          <cell r="P597">
            <v>0</v>
          </cell>
          <cell r="Q597">
            <v>0</v>
          </cell>
          <cell r="R597">
            <v>0</v>
          </cell>
          <cell r="S597">
            <v>0</v>
          </cell>
          <cell r="T597">
            <v>0</v>
          </cell>
          <cell r="U597">
            <v>0</v>
          </cell>
          <cell r="V597">
            <v>0</v>
          </cell>
          <cell r="W597">
            <v>0</v>
          </cell>
          <cell r="X597" t="str">
            <v/>
          </cell>
          <cell r="Y597" t="str">
            <v/>
          </cell>
          <cell r="Z597" t="str">
            <v>⑥</v>
          </cell>
          <cell r="AA597" t="str">
            <v/>
          </cell>
          <cell r="AB597" t="str">
            <v/>
          </cell>
          <cell r="AC597" t="str">
            <v/>
          </cell>
          <cell r="AD597" t="str">
            <v/>
          </cell>
          <cell r="AE597" t="str">
            <v/>
          </cell>
          <cell r="AF597" t="str">
            <v/>
          </cell>
          <cell r="AG597" t="str">
            <v/>
          </cell>
          <cell r="AH597" t="str">
            <v/>
          </cell>
          <cell r="AI597" t="str">
            <v/>
          </cell>
        </row>
        <row r="598">
          <cell r="B598">
            <v>4261</v>
          </cell>
          <cell r="C598">
            <v>42</v>
          </cell>
          <cell r="D598">
            <v>61</v>
          </cell>
          <cell r="F598" t="str">
            <v>本館</v>
          </cell>
          <cell r="G598" t="str">
            <v>電気集塵機整備</v>
          </cell>
          <cell r="H598" t="str">
            <v>八洲興業</v>
          </cell>
          <cell r="I598">
            <v>90000</v>
          </cell>
          <cell r="J598">
            <v>99000</v>
          </cell>
          <cell r="K598">
            <v>2</v>
          </cell>
          <cell r="L598">
            <v>0</v>
          </cell>
          <cell r="M598">
            <v>0</v>
          </cell>
          <cell r="N598">
            <v>0</v>
          </cell>
          <cell r="O598">
            <v>0</v>
          </cell>
          <cell r="P598">
            <v>99000</v>
          </cell>
          <cell r="Q598">
            <v>0</v>
          </cell>
          <cell r="R598">
            <v>0</v>
          </cell>
          <cell r="S598">
            <v>0</v>
          </cell>
          <cell r="T598">
            <v>0</v>
          </cell>
          <cell r="U598">
            <v>0</v>
          </cell>
          <cell r="V598">
            <v>99000</v>
          </cell>
          <cell r="W598">
            <v>0</v>
          </cell>
          <cell r="X598" t="str">
            <v/>
          </cell>
          <cell r="Y598" t="str">
            <v/>
          </cell>
          <cell r="Z598" t="str">
            <v/>
          </cell>
          <cell r="AA598" t="str">
            <v/>
          </cell>
          <cell r="AB598" t="str">
            <v>⑧</v>
          </cell>
          <cell r="AC598" t="str">
            <v/>
          </cell>
          <cell r="AD598" t="str">
            <v/>
          </cell>
          <cell r="AE598" t="str">
            <v/>
          </cell>
          <cell r="AG598" t="str">
            <v/>
          </cell>
          <cell r="AH598" t="str">
            <v>②</v>
          </cell>
          <cell r="AI598" t="str">
            <v/>
          </cell>
          <cell r="AJ598" t="str">
            <v>追</v>
          </cell>
        </row>
        <row r="599">
          <cell r="B599">
            <v>4262</v>
          </cell>
          <cell r="C599">
            <v>42</v>
          </cell>
          <cell r="D599">
            <v>62</v>
          </cell>
          <cell r="F599" t="str">
            <v>本館</v>
          </cell>
          <cell r="G599" t="str">
            <v>空調機プレﾌｨﾙﾀｰ洗浄</v>
          </cell>
          <cell r="H599" t="str">
            <v>八洲興業</v>
          </cell>
          <cell r="I599">
            <v>203000</v>
          </cell>
          <cell r="J599">
            <v>223300</v>
          </cell>
          <cell r="K599">
            <v>12</v>
          </cell>
          <cell r="L599">
            <v>223300</v>
          </cell>
          <cell r="M599">
            <v>223300</v>
          </cell>
          <cell r="N599">
            <v>223300</v>
          </cell>
          <cell r="O599">
            <v>223300</v>
          </cell>
          <cell r="P599">
            <v>223300</v>
          </cell>
          <cell r="Q599">
            <v>223300</v>
          </cell>
          <cell r="R599">
            <v>223300</v>
          </cell>
          <cell r="S599">
            <v>223300</v>
          </cell>
          <cell r="T599">
            <v>223300</v>
          </cell>
          <cell r="U599">
            <v>223300</v>
          </cell>
          <cell r="V599">
            <v>223300</v>
          </cell>
          <cell r="W599">
            <v>223300</v>
          </cell>
          <cell r="X599" t="str">
            <v>④</v>
          </cell>
          <cell r="Y599" t="str">
            <v>⑤</v>
          </cell>
          <cell r="Z599" t="str">
            <v>⑥</v>
          </cell>
          <cell r="AA599" t="str">
            <v>⑦</v>
          </cell>
          <cell r="AB599" t="str">
            <v>⑧</v>
          </cell>
          <cell r="AC599" t="str">
            <v>⑨</v>
          </cell>
          <cell r="AD599" t="str">
            <v>⑩</v>
          </cell>
          <cell r="AE599" t="str">
            <v>⑪</v>
          </cell>
          <cell r="AF599" t="str">
            <v>⑫</v>
          </cell>
          <cell r="AG599" t="str">
            <v>①</v>
          </cell>
          <cell r="AH599" t="str">
            <v>②</v>
          </cell>
          <cell r="AI599" t="str">
            <v>③</v>
          </cell>
          <cell r="AJ599" t="str">
            <v>追</v>
          </cell>
        </row>
        <row r="600">
          <cell r="B600">
            <v>4263</v>
          </cell>
          <cell r="C600">
            <v>42</v>
          </cell>
          <cell r="D600">
            <v>63</v>
          </cell>
          <cell r="F600" t="str">
            <v>本館</v>
          </cell>
          <cell r="G600" t="str">
            <v>基準階空調機プレﾌｨﾙﾀｰ洗浄</v>
          </cell>
          <cell r="H600" t="str">
            <v>川鉄ライフ</v>
          </cell>
          <cell r="I600">
            <v>137000</v>
          </cell>
          <cell r="J600">
            <v>150700</v>
          </cell>
          <cell r="K600">
            <v>6</v>
          </cell>
          <cell r="L600">
            <v>150700</v>
          </cell>
          <cell r="M600">
            <v>0</v>
          </cell>
          <cell r="N600">
            <v>150700</v>
          </cell>
          <cell r="O600">
            <v>0</v>
          </cell>
          <cell r="P600">
            <v>150700</v>
          </cell>
          <cell r="Q600">
            <v>0</v>
          </cell>
          <cell r="R600">
            <v>150700</v>
          </cell>
          <cell r="S600">
            <v>0</v>
          </cell>
          <cell r="T600">
            <v>150700</v>
          </cell>
          <cell r="U600">
            <v>0</v>
          </cell>
          <cell r="V600">
            <v>150700</v>
          </cell>
          <cell r="W600">
            <v>0</v>
          </cell>
          <cell r="X600" t="str">
            <v>④</v>
          </cell>
          <cell r="Z600" t="str">
            <v>⑥</v>
          </cell>
          <cell r="AB600" t="str">
            <v>⑧</v>
          </cell>
          <cell r="AD600" t="str">
            <v>⑩</v>
          </cell>
          <cell r="AF600" t="str">
            <v>⑫</v>
          </cell>
          <cell r="AH600" t="str">
            <v>②</v>
          </cell>
          <cell r="AJ600" t="str">
            <v>追</v>
          </cell>
        </row>
        <row r="601">
          <cell r="B601">
            <v>4264</v>
          </cell>
          <cell r="C601">
            <v>42</v>
          </cell>
          <cell r="D601">
            <v>64</v>
          </cell>
          <cell r="F601" t="str">
            <v>本館</v>
          </cell>
          <cell r="G601" t="str">
            <v>外調機中性能ﾌｨﾙﾀｰ交換</v>
          </cell>
          <cell r="H601" t="str">
            <v>川鉄ライフ</v>
          </cell>
          <cell r="I601">
            <v>435000</v>
          </cell>
          <cell r="J601">
            <v>478500</v>
          </cell>
          <cell r="K601">
            <v>1</v>
          </cell>
          <cell r="L601">
            <v>478500</v>
          </cell>
          <cell r="M601">
            <v>0</v>
          </cell>
          <cell r="N601">
            <v>0</v>
          </cell>
          <cell r="O601">
            <v>0</v>
          </cell>
          <cell r="P601">
            <v>0</v>
          </cell>
          <cell r="Q601">
            <v>0</v>
          </cell>
          <cell r="R601">
            <v>0</v>
          </cell>
          <cell r="S601">
            <v>0</v>
          </cell>
          <cell r="T601">
            <v>0</v>
          </cell>
          <cell r="U601">
            <v>0</v>
          </cell>
          <cell r="V601">
            <v>0</v>
          </cell>
          <cell r="W601">
            <v>0</v>
          </cell>
          <cell r="X601" t="str">
            <v>④</v>
          </cell>
          <cell r="Y601" t="str">
            <v/>
          </cell>
          <cell r="Z601" t="str">
            <v/>
          </cell>
          <cell r="AA601" t="str">
            <v/>
          </cell>
          <cell r="AB601" t="str">
            <v/>
          </cell>
          <cell r="AC601" t="str">
            <v/>
          </cell>
          <cell r="AE601" t="str">
            <v/>
          </cell>
          <cell r="AF601" t="str">
            <v/>
          </cell>
          <cell r="AG601" t="str">
            <v/>
          </cell>
          <cell r="AH601" t="str">
            <v/>
          </cell>
          <cell r="AI601" t="str">
            <v/>
          </cell>
          <cell r="AJ601" t="str">
            <v>追</v>
          </cell>
        </row>
        <row r="602">
          <cell r="B602">
            <v>4265</v>
          </cell>
          <cell r="C602">
            <v>42</v>
          </cell>
          <cell r="D602">
            <v>65</v>
          </cell>
          <cell r="F602" t="str">
            <v>本館</v>
          </cell>
          <cell r="G602" t="str">
            <v>外調機中性能ﾌｨﾙﾀｰ交換</v>
          </cell>
          <cell r="H602" t="str">
            <v>川鉄ライフ</v>
          </cell>
          <cell r="I602">
            <v>351300</v>
          </cell>
          <cell r="J602">
            <v>386430</v>
          </cell>
          <cell r="K602">
            <v>1</v>
          </cell>
          <cell r="L602">
            <v>0</v>
          </cell>
          <cell r="M602">
            <v>0</v>
          </cell>
          <cell r="N602">
            <v>0</v>
          </cell>
          <cell r="O602">
            <v>0</v>
          </cell>
          <cell r="P602">
            <v>0</v>
          </cell>
          <cell r="Q602">
            <v>0</v>
          </cell>
          <cell r="R602">
            <v>386430</v>
          </cell>
          <cell r="S602">
            <v>0</v>
          </cell>
          <cell r="T602">
            <v>0</v>
          </cell>
          <cell r="U602">
            <v>0</v>
          </cell>
          <cell r="V602">
            <v>0</v>
          </cell>
          <cell r="W602">
            <v>0</v>
          </cell>
          <cell r="Y602" t="str">
            <v/>
          </cell>
          <cell r="Z602" t="str">
            <v/>
          </cell>
          <cell r="AA602" t="str">
            <v/>
          </cell>
          <cell r="AB602" t="str">
            <v/>
          </cell>
          <cell r="AC602" t="str">
            <v/>
          </cell>
          <cell r="AD602" t="str">
            <v>⑩</v>
          </cell>
          <cell r="AE602" t="str">
            <v/>
          </cell>
          <cell r="AF602" t="str">
            <v/>
          </cell>
          <cell r="AG602" t="str">
            <v/>
          </cell>
          <cell r="AH602" t="str">
            <v/>
          </cell>
          <cell r="AI602" t="str">
            <v/>
          </cell>
          <cell r="AJ602" t="str">
            <v>追</v>
          </cell>
        </row>
        <row r="603">
          <cell r="B603">
            <v>4266</v>
          </cell>
          <cell r="C603">
            <v>42</v>
          </cell>
          <cell r="D603">
            <v>66</v>
          </cell>
          <cell r="F603" t="str">
            <v>本館</v>
          </cell>
          <cell r="G603" t="str">
            <v>外調機内部清掃</v>
          </cell>
          <cell r="H603" t="str">
            <v>八洲興業</v>
          </cell>
          <cell r="I603">
            <v>310000</v>
          </cell>
          <cell r="J603">
            <v>341000</v>
          </cell>
          <cell r="K603">
            <v>1</v>
          </cell>
          <cell r="L603">
            <v>0</v>
          </cell>
          <cell r="M603">
            <v>0</v>
          </cell>
          <cell r="N603">
            <v>0</v>
          </cell>
          <cell r="O603">
            <v>0</v>
          </cell>
          <cell r="P603">
            <v>0</v>
          </cell>
          <cell r="Q603">
            <v>0</v>
          </cell>
          <cell r="R603">
            <v>0</v>
          </cell>
          <cell r="S603">
            <v>341000</v>
          </cell>
          <cell r="T603">
            <v>0</v>
          </cell>
          <cell r="U603">
            <v>0</v>
          </cell>
          <cell r="V603">
            <v>0</v>
          </cell>
          <cell r="W603">
            <v>0</v>
          </cell>
          <cell r="X603" t="str">
            <v/>
          </cell>
          <cell r="Y603" t="str">
            <v/>
          </cell>
          <cell r="Z603" t="str">
            <v/>
          </cell>
          <cell r="AA603" t="str">
            <v/>
          </cell>
          <cell r="AB603" t="str">
            <v/>
          </cell>
          <cell r="AC603" t="str">
            <v/>
          </cell>
          <cell r="AD603" t="str">
            <v/>
          </cell>
          <cell r="AE603" t="str">
            <v>⑪</v>
          </cell>
          <cell r="AF603" t="str">
            <v/>
          </cell>
          <cell r="AG603" t="str">
            <v/>
          </cell>
          <cell r="AH603" t="str">
            <v/>
          </cell>
          <cell r="AI603" t="str">
            <v/>
          </cell>
          <cell r="AJ603" t="str">
            <v>追</v>
          </cell>
        </row>
        <row r="604">
          <cell r="B604">
            <v>4267</v>
          </cell>
          <cell r="C604">
            <v>42</v>
          </cell>
          <cell r="D604">
            <v>67</v>
          </cell>
          <cell r="F604" t="str">
            <v>本館</v>
          </cell>
          <cell r="G604" t="str">
            <v>熱回収コイル洗浄整備</v>
          </cell>
          <cell r="H604" t="str">
            <v>八洲興業</v>
          </cell>
          <cell r="I604">
            <v>215000</v>
          </cell>
          <cell r="J604">
            <v>236500</v>
          </cell>
          <cell r="K604">
            <v>1</v>
          </cell>
          <cell r="L604">
            <v>0</v>
          </cell>
          <cell r="M604">
            <v>0</v>
          </cell>
          <cell r="N604">
            <v>0</v>
          </cell>
          <cell r="O604">
            <v>0</v>
          </cell>
          <cell r="P604">
            <v>0</v>
          </cell>
          <cell r="Q604">
            <v>0</v>
          </cell>
          <cell r="R604">
            <v>0</v>
          </cell>
          <cell r="S604">
            <v>236500</v>
          </cell>
          <cell r="T604">
            <v>0</v>
          </cell>
          <cell r="U604">
            <v>0</v>
          </cell>
          <cell r="V604">
            <v>0</v>
          </cell>
          <cell r="W604">
            <v>0</v>
          </cell>
          <cell r="X604" t="str">
            <v/>
          </cell>
          <cell r="Y604" t="str">
            <v/>
          </cell>
          <cell r="Z604" t="str">
            <v/>
          </cell>
          <cell r="AA604" t="str">
            <v/>
          </cell>
          <cell r="AB604" t="str">
            <v/>
          </cell>
          <cell r="AC604" t="str">
            <v/>
          </cell>
          <cell r="AD604" t="str">
            <v/>
          </cell>
          <cell r="AE604" t="str">
            <v>⑪</v>
          </cell>
          <cell r="AF604" t="str">
            <v/>
          </cell>
          <cell r="AG604" t="str">
            <v/>
          </cell>
          <cell r="AH604" t="str">
            <v/>
          </cell>
          <cell r="AI604" t="str">
            <v/>
          </cell>
          <cell r="AJ604" t="str">
            <v>追</v>
          </cell>
        </row>
        <row r="605">
          <cell r="B605">
            <v>4268</v>
          </cell>
          <cell r="C605">
            <v>42</v>
          </cell>
          <cell r="D605">
            <v>68</v>
          </cell>
          <cell r="F605" t="str">
            <v>本館</v>
          </cell>
          <cell r="G605" t="str">
            <v>ファンコイルﾌｨﾙﾀｰ清掃</v>
          </cell>
          <cell r="H605" t="str">
            <v>八洲興業</v>
          </cell>
          <cell r="I605">
            <v>248000</v>
          </cell>
          <cell r="J605">
            <v>272800</v>
          </cell>
          <cell r="K605">
            <v>6</v>
          </cell>
          <cell r="L605">
            <v>0</v>
          </cell>
          <cell r="M605">
            <v>272800</v>
          </cell>
          <cell r="N605">
            <v>0</v>
          </cell>
          <cell r="O605">
            <v>272800</v>
          </cell>
          <cell r="P605">
            <v>0</v>
          </cell>
          <cell r="Q605">
            <v>272800</v>
          </cell>
          <cell r="R605">
            <v>0</v>
          </cell>
          <cell r="S605">
            <v>272800</v>
          </cell>
          <cell r="T605">
            <v>0</v>
          </cell>
          <cell r="U605">
            <v>272800</v>
          </cell>
          <cell r="V605">
            <v>0</v>
          </cell>
          <cell r="W605">
            <v>272800</v>
          </cell>
          <cell r="X605" t="str">
            <v/>
          </cell>
          <cell r="Y605" t="str">
            <v>⑤</v>
          </cell>
          <cell r="Z605" t="str">
            <v/>
          </cell>
          <cell r="AA605" t="str">
            <v>⑦</v>
          </cell>
          <cell r="AB605" t="str">
            <v/>
          </cell>
          <cell r="AC605" t="str">
            <v>⑨</v>
          </cell>
          <cell r="AD605" t="str">
            <v/>
          </cell>
          <cell r="AE605" t="str">
            <v>⑪</v>
          </cell>
          <cell r="AF605" t="str">
            <v/>
          </cell>
          <cell r="AG605" t="str">
            <v>①</v>
          </cell>
          <cell r="AH605" t="str">
            <v/>
          </cell>
          <cell r="AI605" t="str">
            <v>③</v>
          </cell>
          <cell r="AJ605" t="str">
            <v>追</v>
          </cell>
        </row>
        <row r="606">
          <cell r="B606">
            <v>4269</v>
          </cell>
          <cell r="C606">
            <v>42</v>
          </cell>
          <cell r="D606">
            <v>69</v>
          </cell>
          <cell r="F606" t="str">
            <v>本館</v>
          </cell>
          <cell r="G606" t="str">
            <v>蒸気ﾎﾞｲﾗｰ性能検査準備整備</v>
          </cell>
          <cell r="H606" t="str">
            <v>東京制缶</v>
          </cell>
          <cell r="I606">
            <v>778000</v>
          </cell>
          <cell r="J606">
            <v>855800</v>
          </cell>
          <cell r="K606">
            <v>1</v>
          </cell>
          <cell r="L606">
            <v>0</v>
          </cell>
          <cell r="M606">
            <v>0</v>
          </cell>
          <cell r="N606">
            <v>0</v>
          </cell>
          <cell r="O606">
            <v>0</v>
          </cell>
          <cell r="P606">
            <v>0</v>
          </cell>
          <cell r="Q606">
            <v>0</v>
          </cell>
          <cell r="R606">
            <v>0</v>
          </cell>
          <cell r="S606">
            <v>855800</v>
          </cell>
          <cell r="T606">
            <v>0</v>
          </cell>
          <cell r="U606">
            <v>0</v>
          </cell>
          <cell r="V606">
            <v>0</v>
          </cell>
          <cell r="W606">
            <v>0</v>
          </cell>
          <cell r="X606" t="str">
            <v/>
          </cell>
          <cell r="Y606" t="str">
            <v/>
          </cell>
          <cell r="Z606" t="str">
            <v/>
          </cell>
          <cell r="AA606" t="str">
            <v/>
          </cell>
          <cell r="AB606" t="str">
            <v/>
          </cell>
          <cell r="AC606" t="str">
            <v/>
          </cell>
          <cell r="AE606" t="str">
            <v>⑪</v>
          </cell>
          <cell r="AF606" t="str">
            <v/>
          </cell>
          <cell r="AG606" t="str">
            <v/>
          </cell>
          <cell r="AH606" t="str">
            <v/>
          </cell>
          <cell r="AI606" t="str">
            <v/>
          </cell>
          <cell r="AJ606" t="str">
            <v>追</v>
          </cell>
        </row>
        <row r="607">
          <cell r="B607">
            <v>4270</v>
          </cell>
          <cell r="C607">
            <v>42</v>
          </cell>
          <cell r="D607">
            <v>70</v>
          </cell>
          <cell r="F607" t="str">
            <v>本館</v>
          </cell>
          <cell r="G607" t="str">
            <v>第一種圧力容器性能検査準備</v>
          </cell>
          <cell r="H607" t="str">
            <v>東京制缶</v>
          </cell>
          <cell r="I607">
            <v>704700</v>
          </cell>
          <cell r="J607">
            <v>775170</v>
          </cell>
          <cell r="K607">
            <v>1</v>
          </cell>
          <cell r="L607">
            <v>0</v>
          </cell>
          <cell r="M607">
            <v>0</v>
          </cell>
          <cell r="N607">
            <v>0</v>
          </cell>
          <cell r="O607">
            <v>0</v>
          </cell>
          <cell r="P607">
            <v>0</v>
          </cell>
          <cell r="Q607">
            <v>775170</v>
          </cell>
          <cell r="R607">
            <v>0</v>
          </cell>
          <cell r="S607">
            <v>0</v>
          </cell>
          <cell r="T607">
            <v>0</v>
          </cell>
          <cell r="U607">
            <v>0</v>
          </cell>
          <cell r="V607">
            <v>0</v>
          </cell>
          <cell r="W607">
            <v>0</v>
          </cell>
          <cell r="X607" t="str">
            <v/>
          </cell>
          <cell r="Y607" t="str">
            <v/>
          </cell>
          <cell r="Z607" t="str">
            <v/>
          </cell>
          <cell r="AA607" t="str">
            <v/>
          </cell>
          <cell r="AB607" t="str">
            <v/>
          </cell>
          <cell r="AC607" t="str">
            <v>⑨</v>
          </cell>
          <cell r="AE607" t="str">
            <v/>
          </cell>
          <cell r="AF607" t="str">
            <v/>
          </cell>
          <cell r="AG607" t="str">
            <v/>
          </cell>
          <cell r="AH607" t="str">
            <v/>
          </cell>
          <cell r="AI607" t="str">
            <v/>
          </cell>
          <cell r="AJ607" t="str">
            <v>追</v>
          </cell>
        </row>
        <row r="608">
          <cell r="B608">
            <v>4271</v>
          </cell>
          <cell r="C608">
            <v>42</v>
          </cell>
          <cell r="D608">
            <v>71</v>
          </cell>
          <cell r="F608" t="str">
            <v>本館</v>
          </cell>
          <cell r="G608" t="str">
            <v>蒸気ボイラー中間整備</v>
          </cell>
          <cell r="H608" t="str">
            <v>東京制缶</v>
          </cell>
          <cell r="I608">
            <v>420000</v>
          </cell>
          <cell r="J608">
            <v>462000</v>
          </cell>
          <cell r="K608">
            <v>1</v>
          </cell>
          <cell r="L608">
            <v>462000</v>
          </cell>
          <cell r="M608">
            <v>0</v>
          </cell>
          <cell r="N608">
            <v>0</v>
          </cell>
          <cell r="O608">
            <v>0</v>
          </cell>
          <cell r="P608">
            <v>0</v>
          </cell>
          <cell r="Q608">
            <v>0</v>
          </cell>
          <cell r="R608">
            <v>0</v>
          </cell>
          <cell r="S608">
            <v>0</v>
          </cell>
          <cell r="T608">
            <v>0</v>
          </cell>
          <cell r="U608">
            <v>0</v>
          </cell>
          <cell r="V608">
            <v>0</v>
          </cell>
          <cell r="W608">
            <v>0</v>
          </cell>
          <cell r="X608" t="str">
            <v>④</v>
          </cell>
          <cell r="Y608" t="str">
            <v/>
          </cell>
          <cell r="AA608" t="str">
            <v/>
          </cell>
          <cell r="AB608" t="str">
            <v/>
          </cell>
          <cell r="AC608" t="str">
            <v/>
          </cell>
          <cell r="AD608" t="str">
            <v/>
          </cell>
          <cell r="AE608" t="str">
            <v/>
          </cell>
          <cell r="AF608" t="str">
            <v/>
          </cell>
          <cell r="AG608" t="str">
            <v/>
          </cell>
          <cell r="AH608" t="str">
            <v/>
          </cell>
          <cell r="AI608" t="str">
            <v/>
          </cell>
          <cell r="AJ608" t="str">
            <v>追</v>
          </cell>
        </row>
        <row r="609">
          <cell r="B609">
            <v>4272</v>
          </cell>
          <cell r="C609">
            <v>42</v>
          </cell>
          <cell r="D609">
            <v>72</v>
          </cell>
          <cell r="F609" t="str">
            <v>本館</v>
          </cell>
          <cell r="G609" t="str">
            <v>ﾊﾟｯｹｰｼﾞ点検(共用部)</v>
          </cell>
          <cell r="H609" t="str">
            <v>八洲興業</v>
          </cell>
          <cell r="I609">
            <v>414000</v>
          </cell>
          <cell r="J609">
            <v>455400</v>
          </cell>
          <cell r="K609">
            <v>1</v>
          </cell>
          <cell r="L609">
            <v>0</v>
          </cell>
          <cell r="M609">
            <v>0</v>
          </cell>
          <cell r="N609">
            <v>455400</v>
          </cell>
          <cell r="O609">
            <v>0</v>
          </cell>
          <cell r="P609">
            <v>0</v>
          </cell>
          <cell r="Q609">
            <v>0</v>
          </cell>
          <cell r="R609">
            <v>0</v>
          </cell>
          <cell r="S609">
            <v>0</v>
          </cell>
          <cell r="T609">
            <v>0</v>
          </cell>
          <cell r="U609">
            <v>0</v>
          </cell>
          <cell r="V609">
            <v>0</v>
          </cell>
          <cell r="W609">
            <v>0</v>
          </cell>
          <cell r="X609" t="str">
            <v/>
          </cell>
          <cell r="Y609" t="str">
            <v/>
          </cell>
          <cell r="Z609" t="str">
            <v>⑥</v>
          </cell>
          <cell r="AB609" t="str">
            <v/>
          </cell>
          <cell r="AC609" t="str">
            <v/>
          </cell>
          <cell r="AD609" t="str">
            <v/>
          </cell>
          <cell r="AE609" t="str">
            <v/>
          </cell>
          <cell r="AF609" t="str">
            <v/>
          </cell>
          <cell r="AG609" t="str">
            <v/>
          </cell>
          <cell r="AH609" t="str">
            <v/>
          </cell>
          <cell r="AI609" t="str">
            <v/>
          </cell>
          <cell r="AJ609" t="str">
            <v>追</v>
          </cell>
        </row>
        <row r="610">
          <cell r="B610">
            <v>4273</v>
          </cell>
          <cell r="C610">
            <v>42</v>
          </cell>
          <cell r="D610">
            <v>73</v>
          </cell>
          <cell r="F610" t="str">
            <v>本館</v>
          </cell>
          <cell r="G610" t="str">
            <v>防災センター空気清浄器整備</v>
          </cell>
          <cell r="H610" t="str">
            <v>創環</v>
          </cell>
          <cell r="I610">
            <v>4800</v>
          </cell>
          <cell r="J610">
            <v>4896</v>
          </cell>
          <cell r="K610">
            <v>12</v>
          </cell>
          <cell r="L610">
            <v>4896</v>
          </cell>
          <cell r="M610">
            <v>4896</v>
          </cell>
          <cell r="N610">
            <v>4896</v>
          </cell>
          <cell r="O610">
            <v>4896</v>
          </cell>
          <cell r="P610">
            <v>4896</v>
          </cell>
          <cell r="Q610">
            <v>4896</v>
          </cell>
          <cell r="R610">
            <v>4896</v>
          </cell>
          <cell r="S610">
            <v>4896</v>
          </cell>
          <cell r="T610">
            <v>4896</v>
          </cell>
          <cell r="U610">
            <v>4896</v>
          </cell>
          <cell r="V610">
            <v>4896</v>
          </cell>
          <cell r="W610">
            <v>4896</v>
          </cell>
          <cell r="X610" t="str">
            <v>④</v>
          </cell>
          <cell r="Y610" t="str">
            <v>⑤</v>
          </cell>
          <cell r="Z610" t="str">
            <v>⑥</v>
          </cell>
          <cell r="AA610" t="str">
            <v>⑦</v>
          </cell>
          <cell r="AB610" t="str">
            <v>⑧</v>
          </cell>
          <cell r="AC610" t="str">
            <v>⑨</v>
          </cell>
          <cell r="AD610" t="str">
            <v>⑩</v>
          </cell>
          <cell r="AE610" t="str">
            <v>⑪</v>
          </cell>
          <cell r="AF610" t="str">
            <v>⑫</v>
          </cell>
          <cell r="AG610" t="str">
            <v>①</v>
          </cell>
          <cell r="AH610" t="str">
            <v>②</v>
          </cell>
          <cell r="AI610" t="str">
            <v>③</v>
          </cell>
          <cell r="AJ610" t="str">
            <v>追</v>
          </cell>
        </row>
        <row r="611">
          <cell r="B611">
            <v>4274</v>
          </cell>
          <cell r="C611">
            <v>42</v>
          </cell>
          <cell r="D611">
            <v>74</v>
          </cell>
          <cell r="F611" t="str">
            <v>本館</v>
          </cell>
          <cell r="G611" t="str">
            <v>厨房排風機整備</v>
          </cell>
          <cell r="H611" t="str">
            <v>八洲興業</v>
          </cell>
          <cell r="I611">
            <v>116000</v>
          </cell>
          <cell r="J611">
            <v>127600</v>
          </cell>
          <cell r="K611">
            <v>2</v>
          </cell>
          <cell r="L611">
            <v>0</v>
          </cell>
          <cell r="M611">
            <v>0</v>
          </cell>
          <cell r="N611">
            <v>127600</v>
          </cell>
          <cell r="O611">
            <v>0</v>
          </cell>
          <cell r="P611">
            <v>0</v>
          </cell>
          <cell r="Q611">
            <v>0</v>
          </cell>
          <cell r="R611">
            <v>0</v>
          </cell>
          <cell r="S611">
            <v>0</v>
          </cell>
          <cell r="T611">
            <v>127600</v>
          </cell>
          <cell r="U611">
            <v>0</v>
          </cell>
          <cell r="V611">
            <v>0</v>
          </cell>
          <cell r="W611">
            <v>0</v>
          </cell>
          <cell r="X611" t="str">
            <v/>
          </cell>
          <cell r="Y611" t="str">
            <v/>
          </cell>
          <cell r="Z611" t="str">
            <v>⑥</v>
          </cell>
          <cell r="AA611" t="str">
            <v/>
          </cell>
          <cell r="AB611" t="str">
            <v/>
          </cell>
          <cell r="AC611" t="str">
            <v/>
          </cell>
          <cell r="AD611" t="str">
            <v/>
          </cell>
          <cell r="AE611" t="str">
            <v/>
          </cell>
          <cell r="AF611" t="str">
            <v>⑫</v>
          </cell>
          <cell r="AG611" t="str">
            <v/>
          </cell>
          <cell r="AH611" t="str">
            <v/>
          </cell>
          <cell r="AI611" t="str">
            <v/>
          </cell>
          <cell r="AJ611" t="str">
            <v>追</v>
          </cell>
        </row>
        <row r="612">
          <cell r="B612">
            <v>4275</v>
          </cell>
          <cell r="C612">
            <v>42</v>
          </cell>
          <cell r="D612">
            <v>75</v>
          </cell>
          <cell r="F612" t="str">
            <v>本館</v>
          </cell>
          <cell r="G612" t="str">
            <v>厨房排気油ダクト清掃</v>
          </cell>
          <cell r="H612" t="str">
            <v>八洲興業</v>
          </cell>
          <cell r="I612">
            <v>560000</v>
          </cell>
          <cell r="J612">
            <v>616000</v>
          </cell>
          <cell r="K612">
            <v>1</v>
          </cell>
          <cell r="L612">
            <v>0</v>
          </cell>
          <cell r="M612">
            <v>0</v>
          </cell>
          <cell r="N612">
            <v>0</v>
          </cell>
          <cell r="O612">
            <v>0</v>
          </cell>
          <cell r="P612">
            <v>0</v>
          </cell>
          <cell r="Q612">
            <v>0</v>
          </cell>
          <cell r="R612">
            <v>0</v>
          </cell>
          <cell r="S612">
            <v>0</v>
          </cell>
          <cell r="T612">
            <v>616000</v>
          </cell>
          <cell r="U612">
            <v>0</v>
          </cell>
          <cell r="V612">
            <v>0</v>
          </cell>
          <cell r="W612">
            <v>0</v>
          </cell>
          <cell r="X612" t="str">
            <v/>
          </cell>
          <cell r="Y612" t="str">
            <v/>
          </cell>
          <cell r="Z612" t="str">
            <v/>
          </cell>
          <cell r="AA612" t="str">
            <v/>
          </cell>
          <cell r="AB612" t="str">
            <v/>
          </cell>
          <cell r="AC612" t="str">
            <v/>
          </cell>
          <cell r="AD612" t="str">
            <v/>
          </cell>
          <cell r="AE612" t="str">
            <v/>
          </cell>
          <cell r="AF612" t="str">
            <v>⑫</v>
          </cell>
          <cell r="AG612" t="str">
            <v/>
          </cell>
          <cell r="AH612" t="str">
            <v/>
          </cell>
          <cell r="AI612" t="str">
            <v/>
          </cell>
          <cell r="AJ612" t="str">
            <v>追</v>
          </cell>
        </row>
        <row r="613">
          <cell r="B613">
            <v>4276</v>
          </cell>
          <cell r="C613">
            <v>42</v>
          </cell>
          <cell r="D613">
            <v>76</v>
          </cell>
          <cell r="F613" t="str">
            <v>本館</v>
          </cell>
          <cell r="G613" t="str">
            <v>役員階自動扉点検整備</v>
          </cell>
          <cell r="H613" t="str">
            <v>寺岡ファシリティズ</v>
          </cell>
          <cell r="I613">
            <v>150000</v>
          </cell>
          <cell r="J613">
            <v>165000</v>
          </cell>
          <cell r="K613">
            <v>1</v>
          </cell>
          <cell r="L613">
            <v>0</v>
          </cell>
          <cell r="M613">
            <v>0</v>
          </cell>
          <cell r="N613">
            <v>0</v>
          </cell>
          <cell r="O613">
            <v>0</v>
          </cell>
          <cell r="P613">
            <v>165000</v>
          </cell>
          <cell r="Q613">
            <v>0</v>
          </cell>
          <cell r="R613">
            <v>0</v>
          </cell>
          <cell r="S613">
            <v>0</v>
          </cell>
          <cell r="T613">
            <v>0</v>
          </cell>
          <cell r="U613">
            <v>0</v>
          </cell>
          <cell r="V613">
            <v>0</v>
          </cell>
          <cell r="W613">
            <v>0</v>
          </cell>
          <cell r="X613" t="str">
            <v/>
          </cell>
          <cell r="Y613" t="str">
            <v/>
          </cell>
          <cell r="Z613" t="str">
            <v/>
          </cell>
          <cell r="AA613" t="str">
            <v/>
          </cell>
          <cell r="AB613" t="str">
            <v>⑧</v>
          </cell>
          <cell r="AC613" t="str">
            <v/>
          </cell>
          <cell r="AD613" t="str">
            <v/>
          </cell>
          <cell r="AE613" t="str">
            <v/>
          </cell>
          <cell r="AF613" t="str">
            <v/>
          </cell>
          <cell r="AG613" t="str">
            <v/>
          </cell>
          <cell r="AH613" t="str">
            <v/>
          </cell>
          <cell r="AI613" t="str">
            <v/>
          </cell>
          <cell r="AJ613" t="str">
            <v>追</v>
          </cell>
        </row>
        <row r="614">
          <cell r="B614">
            <v>4301</v>
          </cell>
          <cell r="C614">
            <v>43</v>
          </cell>
          <cell r="D614">
            <v>1</v>
          </cell>
          <cell r="F614" t="str">
            <v>新館</v>
          </cell>
          <cell r="G614" t="str">
            <v>昇降機設備保守</v>
          </cell>
          <cell r="H614" t="str">
            <v>三菱電機ﾋﾞﾙﾃｸﾉｻｰﾋﾞｽ</v>
          </cell>
          <cell r="I614">
            <v>1649800</v>
          </cell>
          <cell r="J614">
            <v>1682796</v>
          </cell>
          <cell r="K614">
            <v>12</v>
          </cell>
          <cell r="L614">
            <v>1682796</v>
          </cell>
          <cell r="M614">
            <v>1682796</v>
          </cell>
          <cell r="N614">
            <v>1682796</v>
          </cell>
          <cell r="O614">
            <v>1682796</v>
          </cell>
          <cell r="P614">
            <v>1682796</v>
          </cell>
          <cell r="Q614">
            <v>1682796</v>
          </cell>
          <cell r="R614">
            <v>1682796</v>
          </cell>
          <cell r="S614">
            <v>1682796</v>
          </cell>
          <cell r="T614">
            <v>1682796</v>
          </cell>
          <cell r="U614">
            <v>1682796</v>
          </cell>
          <cell r="V614">
            <v>1682796</v>
          </cell>
          <cell r="W614">
            <v>1682796</v>
          </cell>
          <cell r="X614" t="str">
            <v>④</v>
          </cell>
          <cell r="Y614" t="str">
            <v>⑤</v>
          </cell>
          <cell r="Z614" t="str">
            <v>⑥</v>
          </cell>
          <cell r="AA614" t="str">
            <v>⑦</v>
          </cell>
          <cell r="AB614" t="str">
            <v>⑧</v>
          </cell>
          <cell r="AC614" t="str">
            <v>⑨</v>
          </cell>
          <cell r="AD614" t="str">
            <v>⑩</v>
          </cell>
          <cell r="AE614" t="str">
            <v>⑪</v>
          </cell>
          <cell r="AF614" t="str">
            <v>⑫</v>
          </cell>
          <cell r="AG614" t="str">
            <v>①</v>
          </cell>
          <cell r="AH614" t="str">
            <v>②</v>
          </cell>
          <cell r="AI614" t="str">
            <v>③</v>
          </cell>
        </row>
        <row r="615">
          <cell r="B615">
            <v>4302</v>
          </cell>
          <cell r="C615">
            <v>43</v>
          </cell>
          <cell r="D615">
            <v>2</v>
          </cell>
          <cell r="F615" t="str">
            <v>新館</v>
          </cell>
          <cell r="G615" t="str">
            <v>エスカレーター設備保守</v>
          </cell>
          <cell r="H615" t="str">
            <v>三菱電機ﾋﾞﾙﾃｸﾉｻｰﾋﾞｽ</v>
          </cell>
          <cell r="I615">
            <v>85000</v>
          </cell>
          <cell r="J615">
            <v>86700</v>
          </cell>
          <cell r="K615">
            <v>12</v>
          </cell>
          <cell r="L615">
            <v>86700</v>
          </cell>
          <cell r="M615">
            <v>86700</v>
          </cell>
          <cell r="N615">
            <v>86700</v>
          </cell>
          <cell r="O615">
            <v>86700</v>
          </cell>
          <cell r="P615">
            <v>86700</v>
          </cell>
          <cell r="Q615">
            <v>86700</v>
          </cell>
          <cell r="R615">
            <v>86700</v>
          </cell>
          <cell r="S615">
            <v>86700</v>
          </cell>
          <cell r="T615">
            <v>86700</v>
          </cell>
          <cell r="U615">
            <v>86700</v>
          </cell>
          <cell r="V615">
            <v>86700</v>
          </cell>
          <cell r="W615">
            <v>86700</v>
          </cell>
          <cell r="X615" t="str">
            <v>④</v>
          </cell>
          <cell r="Y615" t="str">
            <v>⑤</v>
          </cell>
          <cell r="Z615" t="str">
            <v>⑥</v>
          </cell>
          <cell r="AA615" t="str">
            <v>⑦</v>
          </cell>
          <cell r="AB615" t="str">
            <v>⑧</v>
          </cell>
          <cell r="AC615" t="str">
            <v>⑨</v>
          </cell>
          <cell r="AD615" t="str">
            <v>⑩</v>
          </cell>
          <cell r="AE615" t="str">
            <v>⑪</v>
          </cell>
          <cell r="AF615" t="str">
            <v>⑫</v>
          </cell>
          <cell r="AG615" t="str">
            <v>①</v>
          </cell>
          <cell r="AH615" t="str">
            <v>②</v>
          </cell>
          <cell r="AI615" t="str">
            <v>③</v>
          </cell>
        </row>
        <row r="616">
          <cell r="B616">
            <v>4303</v>
          </cell>
          <cell r="C616">
            <v>43</v>
          </cell>
          <cell r="D616">
            <v>3</v>
          </cell>
          <cell r="F616" t="str">
            <v>新館</v>
          </cell>
          <cell r="G616" t="str">
            <v>ゴンドラ設備保守</v>
          </cell>
          <cell r="H616" t="str">
            <v>日本ビソー</v>
          </cell>
          <cell r="I616">
            <v>92000</v>
          </cell>
          <cell r="J616">
            <v>95760</v>
          </cell>
          <cell r="K616">
            <v>12</v>
          </cell>
          <cell r="L616">
            <v>95760</v>
          </cell>
          <cell r="M616">
            <v>95760</v>
          </cell>
          <cell r="N616">
            <v>95760</v>
          </cell>
          <cell r="O616">
            <v>95760</v>
          </cell>
          <cell r="P616">
            <v>95760</v>
          </cell>
          <cell r="Q616">
            <v>95760</v>
          </cell>
          <cell r="R616">
            <v>95760</v>
          </cell>
          <cell r="S616">
            <v>95760</v>
          </cell>
          <cell r="T616">
            <v>95760</v>
          </cell>
          <cell r="U616">
            <v>95760</v>
          </cell>
          <cell r="V616">
            <v>95760</v>
          </cell>
          <cell r="W616">
            <v>95760</v>
          </cell>
          <cell r="X616" t="str">
            <v>④</v>
          </cell>
          <cell r="Y616" t="str">
            <v>⑤</v>
          </cell>
          <cell r="Z616" t="str">
            <v>⑥</v>
          </cell>
          <cell r="AA616" t="str">
            <v>⑦</v>
          </cell>
          <cell r="AB616" t="str">
            <v>⑧</v>
          </cell>
          <cell r="AC616" t="str">
            <v>⑨</v>
          </cell>
          <cell r="AD616" t="str">
            <v>⑩</v>
          </cell>
          <cell r="AE616" t="str">
            <v>⑪</v>
          </cell>
          <cell r="AF616" t="str">
            <v>⑫</v>
          </cell>
          <cell r="AG616" t="str">
            <v>①</v>
          </cell>
          <cell r="AH616" t="str">
            <v>②</v>
          </cell>
          <cell r="AI616" t="str">
            <v>③</v>
          </cell>
          <cell r="AJ616" t="str">
            <v>変</v>
          </cell>
        </row>
        <row r="617">
          <cell r="B617">
            <v>4304</v>
          </cell>
          <cell r="C617">
            <v>43</v>
          </cell>
          <cell r="D617">
            <v>4</v>
          </cell>
          <cell r="F617" t="str">
            <v>新館</v>
          </cell>
          <cell r="G617" t="str">
            <v>自動火災報知設備(外観)</v>
          </cell>
          <cell r="H617" t="str">
            <v>ホーチキ</v>
          </cell>
          <cell r="I617">
            <v>1406700</v>
          </cell>
          <cell r="J617">
            <v>1434834</v>
          </cell>
          <cell r="K617">
            <v>1</v>
          </cell>
          <cell r="L617">
            <v>0</v>
          </cell>
          <cell r="M617">
            <v>1434834</v>
          </cell>
          <cell r="N617">
            <v>0</v>
          </cell>
          <cell r="O617">
            <v>0</v>
          </cell>
          <cell r="P617">
            <v>0</v>
          </cell>
          <cell r="Q617">
            <v>0</v>
          </cell>
          <cell r="R617">
            <v>0</v>
          </cell>
          <cell r="S617">
            <v>0</v>
          </cell>
          <cell r="T617">
            <v>0</v>
          </cell>
          <cell r="U617">
            <v>0</v>
          </cell>
          <cell r="V617">
            <v>0</v>
          </cell>
          <cell r="W617">
            <v>0</v>
          </cell>
          <cell r="X617" t="str">
            <v/>
          </cell>
          <cell r="Y617" t="str">
            <v>⑤</v>
          </cell>
          <cell r="Z617" t="str">
            <v/>
          </cell>
          <cell r="AA617" t="str">
            <v/>
          </cell>
          <cell r="AB617" t="str">
            <v/>
          </cell>
          <cell r="AC617" t="str">
            <v/>
          </cell>
          <cell r="AD617" t="str">
            <v/>
          </cell>
          <cell r="AE617" t="str">
            <v/>
          </cell>
          <cell r="AF617" t="str">
            <v/>
          </cell>
          <cell r="AG617" t="str">
            <v/>
          </cell>
          <cell r="AH617" t="str">
            <v/>
          </cell>
          <cell r="AI617" t="str">
            <v/>
          </cell>
        </row>
        <row r="618">
          <cell r="B618">
            <v>4305</v>
          </cell>
          <cell r="C618">
            <v>43</v>
          </cell>
          <cell r="D618">
            <v>5</v>
          </cell>
          <cell r="F618" t="str">
            <v>新館</v>
          </cell>
          <cell r="G618" t="str">
            <v>自動火災報知設備(総合)</v>
          </cell>
          <cell r="H618" t="str">
            <v>ホーチキ</v>
          </cell>
          <cell r="I618">
            <v>2471400</v>
          </cell>
          <cell r="J618">
            <v>2520828</v>
          </cell>
          <cell r="K618">
            <v>1</v>
          </cell>
          <cell r="L618">
            <v>0</v>
          </cell>
          <cell r="M618">
            <v>0</v>
          </cell>
          <cell r="N618">
            <v>0</v>
          </cell>
          <cell r="O618">
            <v>0</v>
          </cell>
          <cell r="P618">
            <v>0</v>
          </cell>
          <cell r="Q618">
            <v>0</v>
          </cell>
          <cell r="R618">
            <v>0</v>
          </cell>
          <cell r="S618">
            <v>2520828</v>
          </cell>
          <cell r="T618">
            <v>0</v>
          </cell>
          <cell r="U618">
            <v>0</v>
          </cell>
          <cell r="V618">
            <v>0</v>
          </cell>
          <cell r="W618">
            <v>0</v>
          </cell>
          <cell r="X618" t="str">
            <v/>
          </cell>
          <cell r="Y618" t="str">
            <v/>
          </cell>
          <cell r="Z618" t="str">
            <v/>
          </cell>
          <cell r="AA618" t="str">
            <v/>
          </cell>
          <cell r="AB618" t="str">
            <v/>
          </cell>
          <cell r="AC618" t="str">
            <v/>
          </cell>
          <cell r="AD618" t="str">
            <v/>
          </cell>
          <cell r="AE618" t="str">
            <v>⑪</v>
          </cell>
          <cell r="AF618" t="str">
            <v/>
          </cell>
          <cell r="AG618" t="str">
            <v/>
          </cell>
          <cell r="AH618" t="str">
            <v/>
          </cell>
          <cell r="AI618" t="str">
            <v/>
          </cell>
        </row>
        <row r="619">
          <cell r="B619">
            <v>4306</v>
          </cell>
          <cell r="C619">
            <v>43</v>
          </cell>
          <cell r="D619">
            <v>6</v>
          </cell>
          <cell r="F619" t="str">
            <v>新館</v>
          </cell>
          <cell r="G619" t="str">
            <v>防排煙制御(外観)</v>
          </cell>
          <cell r="H619" t="str">
            <v>ホーチキ</v>
          </cell>
          <cell r="I619">
            <v>1153600</v>
          </cell>
          <cell r="J619">
            <v>1176672</v>
          </cell>
          <cell r="K619">
            <v>1</v>
          </cell>
          <cell r="L619">
            <v>0</v>
          </cell>
          <cell r="M619">
            <v>1176672</v>
          </cell>
          <cell r="N619">
            <v>0</v>
          </cell>
          <cell r="O619">
            <v>0</v>
          </cell>
          <cell r="P619">
            <v>0</v>
          </cell>
          <cell r="Q619">
            <v>0</v>
          </cell>
          <cell r="R619">
            <v>0</v>
          </cell>
          <cell r="S619">
            <v>0</v>
          </cell>
          <cell r="T619">
            <v>0</v>
          </cell>
          <cell r="U619">
            <v>0</v>
          </cell>
          <cell r="V619">
            <v>0</v>
          </cell>
          <cell r="W619">
            <v>0</v>
          </cell>
          <cell r="X619" t="str">
            <v/>
          </cell>
          <cell r="Y619" t="str">
            <v>⑤</v>
          </cell>
          <cell r="Z619" t="str">
            <v/>
          </cell>
          <cell r="AA619" t="str">
            <v/>
          </cell>
          <cell r="AB619" t="str">
            <v/>
          </cell>
          <cell r="AC619" t="str">
            <v/>
          </cell>
          <cell r="AD619" t="str">
            <v/>
          </cell>
          <cell r="AE619" t="str">
            <v/>
          </cell>
          <cell r="AF619" t="str">
            <v/>
          </cell>
          <cell r="AG619" t="str">
            <v/>
          </cell>
          <cell r="AH619" t="str">
            <v/>
          </cell>
          <cell r="AI619" t="str">
            <v/>
          </cell>
        </row>
        <row r="620">
          <cell r="B620">
            <v>4307</v>
          </cell>
          <cell r="C620">
            <v>43</v>
          </cell>
          <cell r="D620">
            <v>7</v>
          </cell>
          <cell r="F620" t="str">
            <v>新館</v>
          </cell>
          <cell r="G620" t="str">
            <v>防排煙制御(総合)</v>
          </cell>
          <cell r="H620" t="str">
            <v>ホーチキ</v>
          </cell>
          <cell r="I620">
            <v>1308800</v>
          </cell>
          <cell r="J620">
            <v>1334976</v>
          </cell>
          <cell r="K620">
            <v>1</v>
          </cell>
          <cell r="L620">
            <v>0</v>
          </cell>
          <cell r="M620">
            <v>0</v>
          </cell>
          <cell r="N620">
            <v>0</v>
          </cell>
          <cell r="O620">
            <v>0</v>
          </cell>
          <cell r="P620">
            <v>0</v>
          </cell>
          <cell r="Q620">
            <v>0</v>
          </cell>
          <cell r="R620">
            <v>0</v>
          </cell>
          <cell r="S620">
            <v>1334976</v>
          </cell>
          <cell r="T620">
            <v>0</v>
          </cell>
          <cell r="U620">
            <v>0</v>
          </cell>
          <cell r="V620">
            <v>0</v>
          </cell>
          <cell r="W620">
            <v>0</v>
          </cell>
          <cell r="X620" t="str">
            <v/>
          </cell>
          <cell r="Y620" t="str">
            <v/>
          </cell>
          <cell r="Z620" t="str">
            <v/>
          </cell>
          <cell r="AA620" t="str">
            <v/>
          </cell>
          <cell r="AB620" t="str">
            <v/>
          </cell>
          <cell r="AC620" t="str">
            <v/>
          </cell>
          <cell r="AD620" t="str">
            <v/>
          </cell>
          <cell r="AE620" t="str">
            <v>⑪</v>
          </cell>
          <cell r="AF620" t="str">
            <v/>
          </cell>
          <cell r="AG620" t="str">
            <v/>
          </cell>
          <cell r="AH620" t="str">
            <v/>
          </cell>
          <cell r="AI620" t="str">
            <v/>
          </cell>
        </row>
        <row r="621">
          <cell r="B621">
            <v>4308</v>
          </cell>
          <cell r="C621">
            <v>43</v>
          </cell>
          <cell r="D621">
            <v>8</v>
          </cell>
          <cell r="F621" t="str">
            <v>新館</v>
          </cell>
          <cell r="G621" t="str">
            <v>ＣＲＴ設備(外観)</v>
          </cell>
          <cell r="H621" t="str">
            <v>ホーチキ</v>
          </cell>
          <cell r="I621">
            <v>725400</v>
          </cell>
          <cell r="J621">
            <v>739908</v>
          </cell>
          <cell r="K621">
            <v>1</v>
          </cell>
          <cell r="L621">
            <v>0</v>
          </cell>
          <cell r="M621">
            <v>739908</v>
          </cell>
          <cell r="N621">
            <v>0</v>
          </cell>
          <cell r="O621">
            <v>0</v>
          </cell>
          <cell r="P621">
            <v>0</v>
          </cell>
          <cell r="Q621">
            <v>0</v>
          </cell>
          <cell r="R621">
            <v>0</v>
          </cell>
          <cell r="S621">
            <v>0</v>
          </cell>
          <cell r="T621">
            <v>0</v>
          </cell>
          <cell r="U621">
            <v>0</v>
          </cell>
          <cell r="V621">
            <v>0</v>
          </cell>
          <cell r="W621">
            <v>0</v>
          </cell>
          <cell r="X621" t="str">
            <v/>
          </cell>
          <cell r="Y621" t="str">
            <v>⑤</v>
          </cell>
          <cell r="Z621" t="str">
            <v/>
          </cell>
          <cell r="AA621" t="str">
            <v/>
          </cell>
          <cell r="AB621" t="str">
            <v/>
          </cell>
          <cell r="AC621" t="str">
            <v/>
          </cell>
          <cell r="AD621" t="str">
            <v/>
          </cell>
          <cell r="AE621" t="str">
            <v/>
          </cell>
          <cell r="AF621" t="str">
            <v/>
          </cell>
          <cell r="AG621" t="str">
            <v/>
          </cell>
          <cell r="AH621" t="str">
            <v/>
          </cell>
          <cell r="AI621" t="str">
            <v/>
          </cell>
        </row>
        <row r="622">
          <cell r="B622">
            <v>4309</v>
          </cell>
          <cell r="C622">
            <v>43</v>
          </cell>
          <cell r="D622">
            <v>9</v>
          </cell>
          <cell r="F622" t="str">
            <v>新館</v>
          </cell>
          <cell r="G622" t="str">
            <v>ＣＲＴ設備(総合)</v>
          </cell>
          <cell r="H622" t="str">
            <v>ホーチキ</v>
          </cell>
          <cell r="I622">
            <v>1140300</v>
          </cell>
          <cell r="J622">
            <v>1163106</v>
          </cell>
          <cell r="K622">
            <v>1</v>
          </cell>
          <cell r="L622">
            <v>0</v>
          </cell>
          <cell r="M622">
            <v>0</v>
          </cell>
          <cell r="N622">
            <v>0</v>
          </cell>
          <cell r="O622">
            <v>0</v>
          </cell>
          <cell r="P622">
            <v>0</v>
          </cell>
          <cell r="Q622">
            <v>0</v>
          </cell>
          <cell r="R622">
            <v>0</v>
          </cell>
          <cell r="S622">
            <v>1163106</v>
          </cell>
          <cell r="T622">
            <v>0</v>
          </cell>
          <cell r="U622">
            <v>0</v>
          </cell>
          <cell r="V622">
            <v>0</v>
          </cell>
          <cell r="W622">
            <v>0</v>
          </cell>
          <cell r="X622" t="str">
            <v/>
          </cell>
          <cell r="Y622" t="str">
            <v/>
          </cell>
          <cell r="Z622" t="str">
            <v/>
          </cell>
          <cell r="AA622" t="str">
            <v/>
          </cell>
          <cell r="AB622" t="str">
            <v/>
          </cell>
          <cell r="AC622" t="str">
            <v/>
          </cell>
          <cell r="AD622" t="str">
            <v/>
          </cell>
          <cell r="AE622" t="str">
            <v>⑪</v>
          </cell>
          <cell r="AF622" t="str">
            <v/>
          </cell>
          <cell r="AG622" t="str">
            <v/>
          </cell>
          <cell r="AH622" t="str">
            <v/>
          </cell>
          <cell r="AI622" t="str">
            <v/>
          </cell>
        </row>
        <row r="623">
          <cell r="B623">
            <v>4310</v>
          </cell>
          <cell r="C623">
            <v>43</v>
          </cell>
          <cell r="D623">
            <v>10</v>
          </cell>
          <cell r="F623" t="str">
            <v>新館</v>
          </cell>
          <cell r="G623" t="str">
            <v>ガス漏火災警報(外観)</v>
          </cell>
          <cell r="H623" t="str">
            <v>ホーチキ</v>
          </cell>
          <cell r="I623">
            <v>24300</v>
          </cell>
          <cell r="J623">
            <v>24786</v>
          </cell>
          <cell r="K623">
            <v>1</v>
          </cell>
          <cell r="L623">
            <v>0</v>
          </cell>
          <cell r="M623">
            <v>24786</v>
          </cell>
          <cell r="N623">
            <v>0</v>
          </cell>
          <cell r="O623">
            <v>0</v>
          </cell>
          <cell r="P623">
            <v>0</v>
          </cell>
          <cell r="Q623">
            <v>0</v>
          </cell>
          <cell r="R623">
            <v>0</v>
          </cell>
          <cell r="S623">
            <v>0</v>
          </cell>
          <cell r="T623">
            <v>0</v>
          </cell>
          <cell r="U623">
            <v>0</v>
          </cell>
          <cell r="V623">
            <v>0</v>
          </cell>
          <cell r="W623">
            <v>0</v>
          </cell>
          <cell r="X623" t="str">
            <v/>
          </cell>
          <cell r="Y623" t="str">
            <v>⑤</v>
          </cell>
          <cell r="Z623" t="str">
            <v/>
          </cell>
          <cell r="AA623" t="str">
            <v/>
          </cell>
          <cell r="AB623" t="str">
            <v/>
          </cell>
          <cell r="AC623" t="str">
            <v/>
          </cell>
          <cell r="AD623" t="str">
            <v/>
          </cell>
          <cell r="AE623" t="str">
            <v/>
          </cell>
          <cell r="AF623" t="str">
            <v/>
          </cell>
          <cell r="AG623" t="str">
            <v/>
          </cell>
          <cell r="AH623" t="str">
            <v/>
          </cell>
          <cell r="AI623" t="str">
            <v/>
          </cell>
        </row>
        <row r="624">
          <cell r="B624">
            <v>4311</v>
          </cell>
          <cell r="C624">
            <v>43</v>
          </cell>
          <cell r="D624">
            <v>11</v>
          </cell>
          <cell r="F624" t="str">
            <v>新館</v>
          </cell>
          <cell r="G624" t="str">
            <v>ガス漏火災警報(総合)</v>
          </cell>
          <cell r="H624" t="str">
            <v>ホーチキ</v>
          </cell>
          <cell r="I624">
            <v>49500</v>
          </cell>
          <cell r="J624">
            <v>50490</v>
          </cell>
          <cell r="K624">
            <v>1</v>
          </cell>
          <cell r="L624">
            <v>0</v>
          </cell>
          <cell r="M624">
            <v>0</v>
          </cell>
          <cell r="N624">
            <v>0</v>
          </cell>
          <cell r="O624">
            <v>0</v>
          </cell>
          <cell r="P624">
            <v>0</v>
          </cell>
          <cell r="Q624">
            <v>0</v>
          </cell>
          <cell r="R624">
            <v>0</v>
          </cell>
          <cell r="S624">
            <v>50490</v>
          </cell>
          <cell r="T624">
            <v>0</v>
          </cell>
          <cell r="U624">
            <v>0</v>
          </cell>
          <cell r="V624">
            <v>0</v>
          </cell>
          <cell r="W624">
            <v>0</v>
          </cell>
          <cell r="X624" t="str">
            <v/>
          </cell>
          <cell r="Y624" t="str">
            <v/>
          </cell>
          <cell r="Z624" t="str">
            <v/>
          </cell>
          <cell r="AA624" t="str">
            <v/>
          </cell>
          <cell r="AB624" t="str">
            <v/>
          </cell>
          <cell r="AC624" t="str">
            <v/>
          </cell>
          <cell r="AD624" t="str">
            <v/>
          </cell>
          <cell r="AE624" t="str">
            <v>⑪</v>
          </cell>
          <cell r="AF624" t="str">
            <v/>
          </cell>
          <cell r="AG624" t="str">
            <v/>
          </cell>
          <cell r="AH624" t="str">
            <v/>
          </cell>
          <cell r="AI624" t="str">
            <v/>
          </cell>
        </row>
        <row r="625">
          <cell r="B625">
            <v>4312</v>
          </cell>
          <cell r="C625">
            <v>43</v>
          </cell>
          <cell r="D625">
            <v>12</v>
          </cell>
          <cell r="F625" t="str">
            <v>新館</v>
          </cell>
          <cell r="G625" t="str">
            <v>ｽﾌﾟﾘﾝｸﾗｰ設備(外観)</v>
          </cell>
          <cell r="H625" t="str">
            <v>西原衛生工業所</v>
          </cell>
          <cell r="I625">
            <v>320000</v>
          </cell>
          <cell r="J625">
            <v>326400</v>
          </cell>
          <cell r="K625">
            <v>1</v>
          </cell>
          <cell r="L625">
            <v>326400</v>
          </cell>
          <cell r="M625">
            <v>0</v>
          </cell>
          <cell r="N625">
            <v>0</v>
          </cell>
          <cell r="O625">
            <v>0</v>
          </cell>
          <cell r="P625">
            <v>0</v>
          </cell>
          <cell r="Q625">
            <v>0</v>
          </cell>
          <cell r="R625">
            <v>0</v>
          </cell>
          <cell r="S625">
            <v>0</v>
          </cell>
          <cell r="T625">
            <v>0</v>
          </cell>
          <cell r="U625">
            <v>0</v>
          </cell>
          <cell r="V625">
            <v>0</v>
          </cell>
          <cell r="W625">
            <v>0</v>
          </cell>
          <cell r="X625" t="str">
            <v>④</v>
          </cell>
          <cell r="Y625" t="str">
            <v/>
          </cell>
          <cell r="Z625" t="str">
            <v/>
          </cell>
          <cell r="AA625" t="str">
            <v/>
          </cell>
          <cell r="AB625" t="str">
            <v/>
          </cell>
          <cell r="AC625" t="str">
            <v/>
          </cell>
          <cell r="AD625" t="str">
            <v/>
          </cell>
          <cell r="AE625" t="str">
            <v/>
          </cell>
          <cell r="AF625" t="str">
            <v/>
          </cell>
          <cell r="AG625" t="str">
            <v/>
          </cell>
          <cell r="AH625" t="str">
            <v/>
          </cell>
          <cell r="AI625" t="str">
            <v/>
          </cell>
        </row>
        <row r="626">
          <cell r="B626">
            <v>4313</v>
          </cell>
          <cell r="C626">
            <v>43</v>
          </cell>
          <cell r="D626">
            <v>13</v>
          </cell>
          <cell r="F626" t="str">
            <v>新館</v>
          </cell>
          <cell r="G626" t="str">
            <v>ｽﾌﾟﾘﾝｸﾗｰ設備(総合)</v>
          </cell>
          <cell r="H626" t="str">
            <v>西原衛生工業所</v>
          </cell>
          <cell r="I626">
            <v>349000</v>
          </cell>
          <cell r="J626">
            <v>355980</v>
          </cell>
          <cell r="K626">
            <v>1</v>
          </cell>
          <cell r="L626">
            <v>0</v>
          </cell>
          <cell r="M626">
            <v>0</v>
          </cell>
          <cell r="N626">
            <v>0</v>
          </cell>
          <cell r="O626">
            <v>0</v>
          </cell>
          <cell r="P626">
            <v>0</v>
          </cell>
          <cell r="Q626">
            <v>0</v>
          </cell>
          <cell r="R626">
            <v>355980</v>
          </cell>
          <cell r="S626">
            <v>0</v>
          </cell>
          <cell r="T626">
            <v>0</v>
          </cell>
          <cell r="U626">
            <v>0</v>
          </cell>
          <cell r="V626">
            <v>0</v>
          </cell>
          <cell r="W626">
            <v>0</v>
          </cell>
          <cell r="X626" t="str">
            <v/>
          </cell>
          <cell r="Y626" t="str">
            <v/>
          </cell>
          <cell r="Z626" t="str">
            <v/>
          </cell>
          <cell r="AA626" t="str">
            <v/>
          </cell>
          <cell r="AB626" t="str">
            <v/>
          </cell>
          <cell r="AC626" t="str">
            <v/>
          </cell>
          <cell r="AD626" t="str">
            <v>⑩</v>
          </cell>
          <cell r="AE626" t="str">
            <v/>
          </cell>
          <cell r="AF626" t="str">
            <v/>
          </cell>
          <cell r="AG626" t="str">
            <v/>
          </cell>
          <cell r="AH626" t="str">
            <v/>
          </cell>
          <cell r="AI626" t="str">
            <v/>
          </cell>
        </row>
        <row r="627">
          <cell r="B627">
            <v>4314</v>
          </cell>
          <cell r="C627">
            <v>43</v>
          </cell>
          <cell r="D627">
            <v>14</v>
          </cell>
          <cell r="F627" t="str">
            <v>新館</v>
          </cell>
          <cell r="G627" t="str">
            <v>ﾊﾛｹﾞﾝ化物設備保守(外観)</v>
          </cell>
          <cell r="H627" t="str">
            <v>日本ドライケミカル</v>
          </cell>
          <cell r="I627">
            <v>88000</v>
          </cell>
          <cell r="J627">
            <v>91560</v>
          </cell>
          <cell r="K627">
            <v>1</v>
          </cell>
          <cell r="L627">
            <v>0</v>
          </cell>
          <cell r="M627">
            <v>0</v>
          </cell>
          <cell r="N627">
            <v>91560</v>
          </cell>
          <cell r="O627">
            <v>0</v>
          </cell>
          <cell r="P627">
            <v>0</v>
          </cell>
          <cell r="Q627">
            <v>0</v>
          </cell>
          <cell r="R627">
            <v>0</v>
          </cell>
          <cell r="S627">
            <v>0</v>
          </cell>
          <cell r="T627">
            <v>0</v>
          </cell>
          <cell r="U627">
            <v>0</v>
          </cell>
          <cell r="V627">
            <v>0</v>
          </cell>
          <cell r="W627">
            <v>0</v>
          </cell>
          <cell r="X627" t="str">
            <v/>
          </cell>
          <cell r="Y627" t="str">
            <v/>
          </cell>
          <cell r="Z627" t="str">
            <v>⑥</v>
          </cell>
          <cell r="AA627" t="str">
            <v/>
          </cell>
          <cell r="AB627" t="str">
            <v/>
          </cell>
          <cell r="AC627" t="str">
            <v/>
          </cell>
          <cell r="AD627" t="str">
            <v/>
          </cell>
          <cell r="AE627" t="str">
            <v/>
          </cell>
          <cell r="AF627" t="str">
            <v/>
          </cell>
          <cell r="AG627" t="str">
            <v/>
          </cell>
          <cell r="AH627" t="str">
            <v/>
          </cell>
          <cell r="AI627" t="str">
            <v/>
          </cell>
          <cell r="AJ627" t="str">
            <v>変</v>
          </cell>
        </row>
        <row r="628">
          <cell r="B628">
            <v>4315</v>
          </cell>
          <cell r="C628">
            <v>43</v>
          </cell>
          <cell r="D628">
            <v>15</v>
          </cell>
          <cell r="F628" t="str">
            <v>新館</v>
          </cell>
          <cell r="G628" t="str">
            <v>ﾊﾛｹﾞﾝ化物設備保守(総合)</v>
          </cell>
          <cell r="H628" t="str">
            <v>日本ドライケミカル</v>
          </cell>
          <cell r="I628">
            <v>150000</v>
          </cell>
          <cell r="J628">
            <v>156240</v>
          </cell>
          <cell r="K628">
            <v>1</v>
          </cell>
          <cell r="L628">
            <v>0</v>
          </cell>
          <cell r="M628">
            <v>0</v>
          </cell>
          <cell r="N628">
            <v>0</v>
          </cell>
          <cell r="O628">
            <v>0</v>
          </cell>
          <cell r="P628">
            <v>0</v>
          </cell>
          <cell r="Q628">
            <v>0</v>
          </cell>
          <cell r="R628">
            <v>0</v>
          </cell>
          <cell r="S628">
            <v>0</v>
          </cell>
          <cell r="T628">
            <v>156240</v>
          </cell>
          <cell r="U628">
            <v>0</v>
          </cell>
          <cell r="V628">
            <v>0</v>
          </cell>
          <cell r="W628">
            <v>0</v>
          </cell>
          <cell r="X628" t="str">
            <v/>
          </cell>
          <cell r="Y628" t="str">
            <v/>
          </cell>
          <cell r="Z628" t="str">
            <v/>
          </cell>
          <cell r="AA628" t="str">
            <v/>
          </cell>
          <cell r="AB628" t="str">
            <v/>
          </cell>
          <cell r="AC628" t="str">
            <v/>
          </cell>
          <cell r="AD628" t="str">
            <v/>
          </cell>
          <cell r="AE628" t="str">
            <v/>
          </cell>
          <cell r="AF628" t="str">
            <v>⑫</v>
          </cell>
          <cell r="AG628" t="str">
            <v/>
          </cell>
          <cell r="AH628" t="str">
            <v/>
          </cell>
          <cell r="AI628" t="str">
            <v/>
          </cell>
          <cell r="AJ628" t="str">
            <v>変</v>
          </cell>
        </row>
        <row r="629">
          <cell r="B629">
            <v>4316</v>
          </cell>
          <cell r="C629">
            <v>43</v>
          </cell>
          <cell r="D629">
            <v>16</v>
          </cell>
          <cell r="F629" t="str">
            <v>新館</v>
          </cell>
          <cell r="G629" t="str">
            <v>消火器設備保守(外観総合)</v>
          </cell>
          <cell r="H629" t="str">
            <v>能美防災</v>
          </cell>
          <cell r="I629">
            <v>176150</v>
          </cell>
          <cell r="J629">
            <v>181515</v>
          </cell>
          <cell r="K629">
            <v>2</v>
          </cell>
          <cell r="L629">
            <v>0</v>
          </cell>
          <cell r="M629">
            <v>0</v>
          </cell>
          <cell r="N629">
            <v>181515</v>
          </cell>
          <cell r="O629">
            <v>0</v>
          </cell>
          <cell r="P629">
            <v>0</v>
          </cell>
          <cell r="Q629">
            <v>0</v>
          </cell>
          <cell r="R629">
            <v>0</v>
          </cell>
          <cell r="S629">
            <v>0</v>
          </cell>
          <cell r="T629">
            <v>181515</v>
          </cell>
          <cell r="U629">
            <v>0</v>
          </cell>
          <cell r="V629">
            <v>0</v>
          </cell>
          <cell r="W629">
            <v>0</v>
          </cell>
          <cell r="X629" t="str">
            <v/>
          </cell>
          <cell r="Y629" t="str">
            <v/>
          </cell>
          <cell r="Z629" t="str">
            <v>⑥</v>
          </cell>
          <cell r="AA629" t="str">
            <v/>
          </cell>
          <cell r="AB629" t="str">
            <v/>
          </cell>
          <cell r="AC629" t="str">
            <v/>
          </cell>
          <cell r="AD629" t="str">
            <v/>
          </cell>
          <cell r="AE629" t="str">
            <v/>
          </cell>
          <cell r="AF629" t="str">
            <v>⑫</v>
          </cell>
          <cell r="AG629" t="str">
            <v/>
          </cell>
          <cell r="AH629" t="str">
            <v/>
          </cell>
          <cell r="AI629" t="str">
            <v/>
          </cell>
          <cell r="AJ629" t="str">
            <v>変</v>
          </cell>
        </row>
        <row r="630">
          <cell r="B630">
            <v>4317</v>
          </cell>
          <cell r="C630">
            <v>43</v>
          </cell>
          <cell r="D630">
            <v>17</v>
          </cell>
          <cell r="F630" t="str">
            <v>新館</v>
          </cell>
          <cell r="G630" t="str">
            <v>消火栓設備保守(外観)</v>
          </cell>
          <cell r="H630" t="str">
            <v>西原衛生工業所</v>
          </cell>
          <cell r="I630">
            <v>156000</v>
          </cell>
          <cell r="J630">
            <v>159120</v>
          </cell>
          <cell r="K630">
            <v>1</v>
          </cell>
          <cell r="L630">
            <v>159120</v>
          </cell>
          <cell r="M630">
            <v>0</v>
          </cell>
          <cell r="N630">
            <v>0</v>
          </cell>
          <cell r="O630">
            <v>0</v>
          </cell>
          <cell r="P630">
            <v>0</v>
          </cell>
          <cell r="Q630">
            <v>0</v>
          </cell>
          <cell r="R630">
            <v>0</v>
          </cell>
          <cell r="S630">
            <v>0</v>
          </cell>
          <cell r="T630">
            <v>0</v>
          </cell>
          <cell r="U630">
            <v>0</v>
          </cell>
          <cell r="V630">
            <v>0</v>
          </cell>
          <cell r="W630">
            <v>0</v>
          </cell>
          <cell r="X630" t="str">
            <v>④</v>
          </cell>
          <cell r="Y630" t="str">
            <v/>
          </cell>
          <cell r="Z630" t="str">
            <v/>
          </cell>
          <cell r="AA630" t="str">
            <v/>
          </cell>
          <cell r="AB630" t="str">
            <v/>
          </cell>
          <cell r="AC630" t="str">
            <v/>
          </cell>
          <cell r="AD630" t="str">
            <v/>
          </cell>
          <cell r="AE630" t="str">
            <v/>
          </cell>
          <cell r="AF630" t="str">
            <v/>
          </cell>
          <cell r="AG630" t="str">
            <v/>
          </cell>
          <cell r="AH630" t="str">
            <v/>
          </cell>
          <cell r="AI630" t="str">
            <v/>
          </cell>
        </row>
        <row r="631">
          <cell r="B631">
            <v>4318</v>
          </cell>
          <cell r="C631">
            <v>43</v>
          </cell>
          <cell r="D631">
            <v>18</v>
          </cell>
          <cell r="F631" t="str">
            <v>新館</v>
          </cell>
          <cell r="G631" t="str">
            <v>消火栓設備保守(総合)</v>
          </cell>
          <cell r="H631" t="str">
            <v>西原衛生工業所</v>
          </cell>
          <cell r="I631">
            <v>169000</v>
          </cell>
          <cell r="J631">
            <v>172380</v>
          </cell>
          <cell r="K631">
            <v>1</v>
          </cell>
          <cell r="L631">
            <v>0</v>
          </cell>
          <cell r="M631">
            <v>0</v>
          </cell>
          <cell r="N631">
            <v>0</v>
          </cell>
          <cell r="O631">
            <v>0</v>
          </cell>
          <cell r="P631">
            <v>0</v>
          </cell>
          <cell r="Q631">
            <v>0</v>
          </cell>
          <cell r="R631">
            <v>172380</v>
          </cell>
          <cell r="S631">
            <v>0</v>
          </cell>
          <cell r="T631">
            <v>0</v>
          </cell>
          <cell r="U631">
            <v>0</v>
          </cell>
          <cell r="V631">
            <v>0</v>
          </cell>
          <cell r="W631">
            <v>0</v>
          </cell>
          <cell r="X631" t="str">
            <v/>
          </cell>
          <cell r="Y631" t="str">
            <v/>
          </cell>
          <cell r="Z631" t="str">
            <v/>
          </cell>
          <cell r="AA631" t="str">
            <v/>
          </cell>
          <cell r="AB631" t="str">
            <v/>
          </cell>
          <cell r="AC631" t="str">
            <v/>
          </cell>
          <cell r="AD631" t="str">
            <v>⑩</v>
          </cell>
          <cell r="AE631" t="str">
            <v/>
          </cell>
          <cell r="AF631" t="str">
            <v/>
          </cell>
          <cell r="AG631" t="str">
            <v/>
          </cell>
          <cell r="AH631" t="str">
            <v/>
          </cell>
          <cell r="AI631" t="str">
            <v/>
          </cell>
        </row>
        <row r="632">
          <cell r="B632">
            <v>4319</v>
          </cell>
          <cell r="C632">
            <v>43</v>
          </cell>
          <cell r="D632">
            <v>19</v>
          </cell>
          <cell r="F632" t="str">
            <v>新館</v>
          </cell>
          <cell r="G632" t="str">
            <v>非常ｺﾝｾﾝﾄ設備保守(外観)</v>
          </cell>
          <cell r="H632" t="str">
            <v>防災サービスセンター</v>
          </cell>
          <cell r="I632">
            <v>21000</v>
          </cell>
          <cell r="J632">
            <v>21870</v>
          </cell>
          <cell r="K632">
            <v>1</v>
          </cell>
          <cell r="L632">
            <v>0</v>
          </cell>
          <cell r="M632">
            <v>0</v>
          </cell>
          <cell r="N632">
            <v>21870</v>
          </cell>
          <cell r="O632">
            <v>0</v>
          </cell>
          <cell r="P632">
            <v>0</v>
          </cell>
          <cell r="Q632">
            <v>0</v>
          </cell>
          <cell r="R632">
            <v>0</v>
          </cell>
          <cell r="S632">
            <v>0</v>
          </cell>
          <cell r="T632">
            <v>0</v>
          </cell>
          <cell r="U632">
            <v>0</v>
          </cell>
          <cell r="V632">
            <v>0</v>
          </cell>
          <cell r="W632">
            <v>0</v>
          </cell>
          <cell r="X632" t="str">
            <v/>
          </cell>
          <cell r="Y632" t="str">
            <v/>
          </cell>
          <cell r="Z632" t="str">
            <v>⑥</v>
          </cell>
          <cell r="AA632" t="str">
            <v/>
          </cell>
          <cell r="AB632" t="str">
            <v/>
          </cell>
          <cell r="AC632" t="str">
            <v/>
          </cell>
          <cell r="AD632" t="str">
            <v/>
          </cell>
          <cell r="AE632" t="str">
            <v/>
          </cell>
          <cell r="AF632" t="str">
            <v/>
          </cell>
          <cell r="AG632" t="str">
            <v/>
          </cell>
          <cell r="AH632" t="str">
            <v/>
          </cell>
          <cell r="AI632" t="str">
            <v/>
          </cell>
          <cell r="AJ632" t="str">
            <v>変</v>
          </cell>
        </row>
        <row r="633">
          <cell r="B633">
            <v>4320</v>
          </cell>
          <cell r="C633">
            <v>43</v>
          </cell>
          <cell r="D633">
            <v>20</v>
          </cell>
          <cell r="F633" t="str">
            <v>新館</v>
          </cell>
          <cell r="G633" t="str">
            <v>非常ｺﾝｾﾝﾄ設備保守(総合)</v>
          </cell>
          <cell r="H633" t="str">
            <v>防災サービスセンター</v>
          </cell>
          <cell r="I633">
            <v>21400</v>
          </cell>
          <cell r="J633">
            <v>22290</v>
          </cell>
          <cell r="K633">
            <v>1</v>
          </cell>
          <cell r="L633">
            <v>0</v>
          </cell>
          <cell r="M633">
            <v>0</v>
          </cell>
          <cell r="N633">
            <v>0</v>
          </cell>
          <cell r="O633">
            <v>0</v>
          </cell>
          <cell r="P633">
            <v>0</v>
          </cell>
          <cell r="Q633">
            <v>0</v>
          </cell>
          <cell r="R633">
            <v>0</v>
          </cell>
          <cell r="S633">
            <v>0</v>
          </cell>
          <cell r="T633">
            <v>22290</v>
          </cell>
          <cell r="U633">
            <v>0</v>
          </cell>
          <cell r="V633">
            <v>0</v>
          </cell>
          <cell r="W633">
            <v>0</v>
          </cell>
          <cell r="X633" t="str">
            <v/>
          </cell>
          <cell r="Y633" t="str">
            <v/>
          </cell>
          <cell r="Z633" t="str">
            <v/>
          </cell>
          <cell r="AA633" t="str">
            <v/>
          </cell>
          <cell r="AB633" t="str">
            <v/>
          </cell>
          <cell r="AC633" t="str">
            <v/>
          </cell>
          <cell r="AD633" t="str">
            <v/>
          </cell>
          <cell r="AE633" t="str">
            <v/>
          </cell>
          <cell r="AF633" t="str">
            <v>⑫</v>
          </cell>
          <cell r="AG633" t="str">
            <v/>
          </cell>
          <cell r="AH633" t="str">
            <v/>
          </cell>
          <cell r="AI633" t="str">
            <v/>
          </cell>
          <cell r="AJ633" t="str">
            <v>変</v>
          </cell>
        </row>
        <row r="634">
          <cell r="B634">
            <v>4321</v>
          </cell>
          <cell r="C634">
            <v>43</v>
          </cell>
          <cell r="D634">
            <v>21</v>
          </cell>
          <cell r="F634" t="str">
            <v>新館</v>
          </cell>
          <cell r="G634" t="str">
            <v>無線装置保守(外観)</v>
          </cell>
          <cell r="H634" t="str">
            <v>防災サービスセンター</v>
          </cell>
          <cell r="I634">
            <v>10700</v>
          </cell>
          <cell r="J634">
            <v>15630</v>
          </cell>
          <cell r="K634">
            <v>1</v>
          </cell>
          <cell r="L634">
            <v>0</v>
          </cell>
          <cell r="M634">
            <v>0</v>
          </cell>
          <cell r="N634">
            <v>15630</v>
          </cell>
          <cell r="O634">
            <v>0</v>
          </cell>
          <cell r="P634">
            <v>0</v>
          </cell>
          <cell r="Q634">
            <v>0</v>
          </cell>
          <cell r="R634">
            <v>0</v>
          </cell>
          <cell r="S634">
            <v>0</v>
          </cell>
          <cell r="T634">
            <v>0</v>
          </cell>
          <cell r="U634">
            <v>0</v>
          </cell>
          <cell r="V634">
            <v>0</v>
          </cell>
          <cell r="W634">
            <v>0</v>
          </cell>
          <cell r="X634" t="str">
            <v/>
          </cell>
          <cell r="Y634" t="str">
            <v/>
          </cell>
          <cell r="Z634" t="str">
            <v>⑥</v>
          </cell>
          <cell r="AA634" t="str">
            <v/>
          </cell>
          <cell r="AB634" t="str">
            <v/>
          </cell>
          <cell r="AC634" t="str">
            <v/>
          </cell>
          <cell r="AD634" t="str">
            <v/>
          </cell>
          <cell r="AE634" t="str">
            <v/>
          </cell>
          <cell r="AG634" t="str">
            <v/>
          </cell>
          <cell r="AH634" t="str">
            <v/>
          </cell>
          <cell r="AI634" t="str">
            <v/>
          </cell>
          <cell r="AJ634" t="str">
            <v>変</v>
          </cell>
        </row>
        <row r="635">
          <cell r="B635">
            <v>4322</v>
          </cell>
          <cell r="C635">
            <v>43</v>
          </cell>
          <cell r="D635">
            <v>22</v>
          </cell>
          <cell r="F635" t="str">
            <v>新館</v>
          </cell>
          <cell r="G635" t="str">
            <v>無線装置保守(外観)</v>
          </cell>
          <cell r="H635" t="str">
            <v>防災サービスセンター</v>
          </cell>
          <cell r="I635">
            <v>13600</v>
          </cell>
          <cell r="J635">
            <v>18240</v>
          </cell>
          <cell r="K635">
            <v>1</v>
          </cell>
          <cell r="L635">
            <v>0</v>
          </cell>
          <cell r="M635">
            <v>0</v>
          </cell>
          <cell r="N635">
            <v>0</v>
          </cell>
          <cell r="O635">
            <v>0</v>
          </cell>
          <cell r="P635">
            <v>0</v>
          </cell>
          <cell r="Q635">
            <v>0</v>
          </cell>
          <cell r="R635">
            <v>0</v>
          </cell>
          <cell r="S635">
            <v>0</v>
          </cell>
          <cell r="T635">
            <v>18240</v>
          </cell>
          <cell r="U635">
            <v>0</v>
          </cell>
          <cell r="V635">
            <v>0</v>
          </cell>
          <cell r="W635">
            <v>0</v>
          </cell>
          <cell r="X635" t="str">
            <v/>
          </cell>
          <cell r="Y635" t="str">
            <v/>
          </cell>
          <cell r="AA635" t="str">
            <v/>
          </cell>
          <cell r="AB635" t="str">
            <v/>
          </cell>
          <cell r="AC635" t="str">
            <v/>
          </cell>
          <cell r="AD635" t="str">
            <v/>
          </cell>
          <cell r="AE635" t="str">
            <v/>
          </cell>
          <cell r="AF635" t="str">
            <v>⑫</v>
          </cell>
          <cell r="AG635" t="str">
            <v/>
          </cell>
          <cell r="AH635" t="str">
            <v/>
          </cell>
          <cell r="AI635" t="str">
            <v/>
          </cell>
          <cell r="AJ635" t="str">
            <v>変</v>
          </cell>
        </row>
        <row r="636">
          <cell r="B636">
            <v>4323</v>
          </cell>
          <cell r="C636">
            <v>43</v>
          </cell>
          <cell r="D636">
            <v>23</v>
          </cell>
          <cell r="F636" t="str">
            <v>新館</v>
          </cell>
          <cell r="G636" t="str">
            <v>消防用水設備保守(外観)</v>
          </cell>
          <cell r="H636" t="str">
            <v>西原衛生工業所</v>
          </cell>
          <cell r="I636">
            <v>23000</v>
          </cell>
          <cell r="J636">
            <v>23460</v>
          </cell>
          <cell r="K636">
            <v>1</v>
          </cell>
          <cell r="L636">
            <v>23460</v>
          </cell>
          <cell r="M636">
            <v>0</v>
          </cell>
          <cell r="N636">
            <v>0</v>
          </cell>
          <cell r="O636">
            <v>0</v>
          </cell>
          <cell r="P636">
            <v>0</v>
          </cell>
          <cell r="Q636">
            <v>0</v>
          </cell>
          <cell r="R636">
            <v>0</v>
          </cell>
          <cell r="S636">
            <v>0</v>
          </cell>
          <cell r="T636">
            <v>0</v>
          </cell>
          <cell r="U636">
            <v>0</v>
          </cell>
          <cell r="V636">
            <v>0</v>
          </cell>
          <cell r="W636">
            <v>0</v>
          </cell>
          <cell r="X636" t="str">
            <v>④</v>
          </cell>
          <cell r="Y636" t="str">
            <v/>
          </cell>
          <cell r="Z636" t="str">
            <v/>
          </cell>
          <cell r="AA636" t="str">
            <v/>
          </cell>
          <cell r="AB636" t="str">
            <v/>
          </cell>
          <cell r="AC636" t="str">
            <v/>
          </cell>
          <cell r="AD636" t="str">
            <v/>
          </cell>
          <cell r="AE636" t="str">
            <v/>
          </cell>
          <cell r="AF636" t="str">
            <v/>
          </cell>
          <cell r="AG636" t="str">
            <v/>
          </cell>
          <cell r="AH636" t="str">
            <v/>
          </cell>
          <cell r="AI636" t="str">
            <v/>
          </cell>
        </row>
        <row r="637">
          <cell r="B637">
            <v>4324</v>
          </cell>
          <cell r="C637">
            <v>43</v>
          </cell>
          <cell r="D637">
            <v>24</v>
          </cell>
          <cell r="F637" t="str">
            <v>新館</v>
          </cell>
          <cell r="G637" t="str">
            <v>消防用水設備保守(外観)</v>
          </cell>
          <cell r="H637" t="str">
            <v>西原衛生工業所</v>
          </cell>
          <cell r="I637">
            <v>24000</v>
          </cell>
          <cell r="J637">
            <v>24480</v>
          </cell>
          <cell r="K637">
            <v>1</v>
          </cell>
          <cell r="L637">
            <v>0</v>
          </cell>
          <cell r="M637">
            <v>0</v>
          </cell>
          <cell r="N637">
            <v>0</v>
          </cell>
          <cell r="O637">
            <v>0</v>
          </cell>
          <cell r="P637">
            <v>0</v>
          </cell>
          <cell r="Q637">
            <v>0</v>
          </cell>
          <cell r="R637">
            <v>24480</v>
          </cell>
          <cell r="S637">
            <v>0</v>
          </cell>
          <cell r="T637">
            <v>0</v>
          </cell>
          <cell r="U637">
            <v>0</v>
          </cell>
          <cell r="V637">
            <v>0</v>
          </cell>
          <cell r="W637">
            <v>0</v>
          </cell>
          <cell r="X637" t="str">
            <v/>
          </cell>
          <cell r="Y637" t="str">
            <v/>
          </cell>
          <cell r="Z637" t="str">
            <v/>
          </cell>
          <cell r="AA637" t="str">
            <v/>
          </cell>
          <cell r="AB637" t="str">
            <v/>
          </cell>
          <cell r="AC637" t="str">
            <v/>
          </cell>
          <cell r="AD637" t="str">
            <v>⑩</v>
          </cell>
          <cell r="AE637" t="str">
            <v/>
          </cell>
          <cell r="AF637" t="str">
            <v/>
          </cell>
          <cell r="AG637" t="str">
            <v/>
          </cell>
          <cell r="AH637" t="str">
            <v/>
          </cell>
          <cell r="AI637" t="str">
            <v/>
          </cell>
        </row>
        <row r="638">
          <cell r="B638">
            <v>4325</v>
          </cell>
          <cell r="C638">
            <v>43</v>
          </cell>
          <cell r="D638">
            <v>25</v>
          </cell>
          <cell r="F638" t="str">
            <v>新館</v>
          </cell>
          <cell r="G638" t="str">
            <v>誘導灯設備保守(外観)</v>
          </cell>
          <cell r="H638" t="str">
            <v>防災サービスセンター</v>
          </cell>
          <cell r="I638">
            <v>241300</v>
          </cell>
          <cell r="J638">
            <v>247770</v>
          </cell>
          <cell r="K638">
            <v>1</v>
          </cell>
          <cell r="L638">
            <v>0</v>
          </cell>
          <cell r="M638">
            <v>0</v>
          </cell>
          <cell r="N638">
            <v>247770</v>
          </cell>
          <cell r="O638">
            <v>0</v>
          </cell>
          <cell r="P638">
            <v>0</v>
          </cell>
          <cell r="Q638">
            <v>0</v>
          </cell>
          <cell r="R638">
            <v>0</v>
          </cell>
          <cell r="S638">
            <v>0</v>
          </cell>
          <cell r="T638">
            <v>0</v>
          </cell>
          <cell r="U638">
            <v>0</v>
          </cell>
          <cell r="V638">
            <v>0</v>
          </cell>
          <cell r="W638">
            <v>0</v>
          </cell>
          <cell r="X638" t="str">
            <v/>
          </cell>
          <cell r="Y638" t="str">
            <v/>
          </cell>
          <cell r="Z638" t="str">
            <v>⑥</v>
          </cell>
          <cell r="AA638" t="str">
            <v/>
          </cell>
          <cell r="AB638" t="str">
            <v/>
          </cell>
          <cell r="AC638" t="str">
            <v/>
          </cell>
          <cell r="AD638" t="str">
            <v/>
          </cell>
          <cell r="AE638" t="str">
            <v/>
          </cell>
          <cell r="AF638" t="str">
            <v/>
          </cell>
          <cell r="AG638" t="str">
            <v/>
          </cell>
          <cell r="AH638" t="str">
            <v/>
          </cell>
          <cell r="AI638" t="str">
            <v/>
          </cell>
          <cell r="AJ638" t="str">
            <v>変</v>
          </cell>
        </row>
        <row r="639">
          <cell r="B639">
            <v>4326</v>
          </cell>
          <cell r="C639">
            <v>43</v>
          </cell>
          <cell r="D639">
            <v>26</v>
          </cell>
          <cell r="F639" t="str">
            <v>新館</v>
          </cell>
          <cell r="G639" t="str">
            <v>誘導灯設備保守(総合)</v>
          </cell>
          <cell r="H639" t="str">
            <v>防災サービスセンター</v>
          </cell>
          <cell r="I639">
            <v>246000</v>
          </cell>
          <cell r="J639">
            <v>253200</v>
          </cell>
          <cell r="K639">
            <v>1</v>
          </cell>
          <cell r="L639">
            <v>0</v>
          </cell>
          <cell r="M639">
            <v>0</v>
          </cell>
          <cell r="N639">
            <v>0</v>
          </cell>
          <cell r="O639">
            <v>0</v>
          </cell>
          <cell r="P639">
            <v>0</v>
          </cell>
          <cell r="Q639">
            <v>0</v>
          </cell>
          <cell r="R639">
            <v>0</v>
          </cell>
          <cell r="S639">
            <v>0</v>
          </cell>
          <cell r="T639">
            <v>253200</v>
          </cell>
          <cell r="U639">
            <v>0</v>
          </cell>
          <cell r="V639">
            <v>0</v>
          </cell>
          <cell r="W639">
            <v>0</v>
          </cell>
          <cell r="X639" t="str">
            <v/>
          </cell>
          <cell r="Y639" t="str">
            <v/>
          </cell>
          <cell r="Z639" t="str">
            <v/>
          </cell>
          <cell r="AA639" t="str">
            <v/>
          </cell>
          <cell r="AB639" t="str">
            <v/>
          </cell>
          <cell r="AC639" t="str">
            <v/>
          </cell>
          <cell r="AD639" t="str">
            <v/>
          </cell>
          <cell r="AE639" t="str">
            <v/>
          </cell>
          <cell r="AF639" t="str">
            <v>⑫</v>
          </cell>
          <cell r="AG639" t="str">
            <v/>
          </cell>
          <cell r="AH639" t="str">
            <v/>
          </cell>
          <cell r="AI639" t="str">
            <v/>
          </cell>
          <cell r="AJ639" t="str">
            <v>変</v>
          </cell>
        </row>
        <row r="640">
          <cell r="B640">
            <v>4327</v>
          </cell>
          <cell r="C640">
            <v>43</v>
          </cell>
          <cell r="D640">
            <v>27</v>
          </cell>
          <cell r="F640" t="str">
            <v>新館</v>
          </cell>
          <cell r="G640" t="str">
            <v>連結送水管設備保守(外観)</v>
          </cell>
          <cell r="H640" t="str">
            <v>西原衛生工業所</v>
          </cell>
          <cell r="I640">
            <v>54500</v>
          </cell>
          <cell r="J640">
            <v>55590</v>
          </cell>
          <cell r="K640">
            <v>1</v>
          </cell>
          <cell r="L640">
            <v>55590</v>
          </cell>
          <cell r="M640">
            <v>0</v>
          </cell>
          <cell r="N640">
            <v>0</v>
          </cell>
          <cell r="O640">
            <v>0</v>
          </cell>
          <cell r="P640">
            <v>0</v>
          </cell>
          <cell r="Q640">
            <v>0</v>
          </cell>
          <cell r="R640">
            <v>0</v>
          </cell>
          <cell r="S640">
            <v>0</v>
          </cell>
          <cell r="T640">
            <v>0</v>
          </cell>
          <cell r="U640">
            <v>0</v>
          </cell>
          <cell r="V640">
            <v>0</v>
          </cell>
          <cell r="W640">
            <v>0</v>
          </cell>
          <cell r="X640" t="str">
            <v>④</v>
          </cell>
          <cell r="Y640" t="str">
            <v/>
          </cell>
          <cell r="Z640" t="str">
            <v/>
          </cell>
          <cell r="AA640" t="str">
            <v/>
          </cell>
          <cell r="AB640" t="str">
            <v/>
          </cell>
          <cell r="AC640" t="str">
            <v/>
          </cell>
          <cell r="AD640" t="str">
            <v/>
          </cell>
          <cell r="AE640" t="str">
            <v/>
          </cell>
          <cell r="AF640" t="str">
            <v/>
          </cell>
          <cell r="AG640" t="str">
            <v/>
          </cell>
          <cell r="AH640" t="str">
            <v/>
          </cell>
          <cell r="AI640" t="str">
            <v/>
          </cell>
        </row>
        <row r="641">
          <cell r="B641">
            <v>4328</v>
          </cell>
          <cell r="C641">
            <v>43</v>
          </cell>
          <cell r="D641">
            <v>28</v>
          </cell>
          <cell r="F641" t="str">
            <v>新館</v>
          </cell>
          <cell r="G641" t="str">
            <v>連結送水管設備保守(総合)</v>
          </cell>
          <cell r="H641" t="str">
            <v>西原衛生工業所</v>
          </cell>
          <cell r="I641">
            <v>60000</v>
          </cell>
          <cell r="J641">
            <v>61200</v>
          </cell>
          <cell r="K641">
            <v>1</v>
          </cell>
          <cell r="L641">
            <v>0</v>
          </cell>
          <cell r="M641">
            <v>0</v>
          </cell>
          <cell r="N641">
            <v>0</v>
          </cell>
          <cell r="O641">
            <v>0</v>
          </cell>
          <cell r="P641">
            <v>0</v>
          </cell>
          <cell r="Q641">
            <v>0</v>
          </cell>
          <cell r="R641">
            <v>61200</v>
          </cell>
          <cell r="S641">
            <v>0</v>
          </cell>
          <cell r="T641">
            <v>0</v>
          </cell>
          <cell r="U641">
            <v>0</v>
          </cell>
          <cell r="V641">
            <v>0</v>
          </cell>
          <cell r="W641">
            <v>0</v>
          </cell>
          <cell r="X641" t="str">
            <v/>
          </cell>
          <cell r="Y641" t="str">
            <v/>
          </cell>
          <cell r="Z641" t="str">
            <v/>
          </cell>
          <cell r="AA641" t="str">
            <v/>
          </cell>
          <cell r="AB641" t="str">
            <v/>
          </cell>
          <cell r="AC641" t="str">
            <v/>
          </cell>
          <cell r="AD641" t="str">
            <v>⑩</v>
          </cell>
          <cell r="AE641" t="str">
            <v/>
          </cell>
          <cell r="AF641" t="str">
            <v/>
          </cell>
          <cell r="AG641" t="str">
            <v/>
          </cell>
          <cell r="AH641" t="str">
            <v/>
          </cell>
          <cell r="AI641" t="str">
            <v/>
          </cell>
        </row>
        <row r="642">
          <cell r="B642">
            <v>4329</v>
          </cell>
          <cell r="C642">
            <v>43</v>
          </cell>
          <cell r="D642">
            <v>29</v>
          </cell>
          <cell r="F642" t="str">
            <v>新館</v>
          </cell>
          <cell r="G642" t="str">
            <v>非常放送設備保守(外観)</v>
          </cell>
          <cell r="H642" t="str">
            <v>東京通信電設</v>
          </cell>
          <cell r="I642">
            <v>382500</v>
          </cell>
          <cell r="J642">
            <v>395250</v>
          </cell>
          <cell r="K642">
            <v>1</v>
          </cell>
          <cell r="L642">
            <v>0</v>
          </cell>
          <cell r="M642">
            <v>395250</v>
          </cell>
          <cell r="N642">
            <v>0</v>
          </cell>
          <cell r="O642">
            <v>0</v>
          </cell>
          <cell r="P642">
            <v>0</v>
          </cell>
          <cell r="Q642">
            <v>0</v>
          </cell>
          <cell r="R642">
            <v>0</v>
          </cell>
          <cell r="S642">
            <v>0</v>
          </cell>
          <cell r="T642">
            <v>0</v>
          </cell>
          <cell r="U642">
            <v>0</v>
          </cell>
          <cell r="V642">
            <v>0</v>
          </cell>
          <cell r="W642">
            <v>0</v>
          </cell>
          <cell r="X642" t="str">
            <v/>
          </cell>
          <cell r="Y642" t="str">
            <v>⑤</v>
          </cell>
          <cell r="Z642" t="str">
            <v/>
          </cell>
          <cell r="AA642" t="str">
            <v/>
          </cell>
          <cell r="AB642" t="str">
            <v/>
          </cell>
          <cell r="AC642" t="str">
            <v/>
          </cell>
          <cell r="AD642" t="str">
            <v/>
          </cell>
          <cell r="AE642" t="str">
            <v/>
          </cell>
          <cell r="AF642" t="str">
            <v/>
          </cell>
          <cell r="AG642" t="str">
            <v/>
          </cell>
          <cell r="AH642" t="str">
            <v/>
          </cell>
          <cell r="AI642" t="str">
            <v/>
          </cell>
        </row>
        <row r="643">
          <cell r="B643">
            <v>4330</v>
          </cell>
          <cell r="C643">
            <v>43</v>
          </cell>
          <cell r="D643">
            <v>30</v>
          </cell>
          <cell r="F643" t="str">
            <v>新館</v>
          </cell>
          <cell r="G643" t="str">
            <v>非常放送設備保守(総合)</v>
          </cell>
          <cell r="H643" t="str">
            <v>東京通信電設</v>
          </cell>
          <cell r="I643">
            <v>544500</v>
          </cell>
          <cell r="J643">
            <v>562650</v>
          </cell>
          <cell r="K643">
            <v>1</v>
          </cell>
          <cell r="L643">
            <v>0</v>
          </cell>
          <cell r="M643">
            <v>0</v>
          </cell>
          <cell r="N643">
            <v>0</v>
          </cell>
          <cell r="O643">
            <v>0</v>
          </cell>
          <cell r="P643">
            <v>0</v>
          </cell>
          <cell r="Q643">
            <v>0</v>
          </cell>
          <cell r="R643">
            <v>0</v>
          </cell>
          <cell r="S643">
            <v>562650</v>
          </cell>
          <cell r="T643">
            <v>0</v>
          </cell>
          <cell r="U643">
            <v>0</v>
          </cell>
          <cell r="V643">
            <v>0</v>
          </cell>
          <cell r="W643">
            <v>0</v>
          </cell>
          <cell r="X643" t="str">
            <v/>
          </cell>
          <cell r="Y643" t="str">
            <v/>
          </cell>
          <cell r="Z643" t="str">
            <v/>
          </cell>
          <cell r="AA643" t="str">
            <v/>
          </cell>
          <cell r="AB643" t="str">
            <v/>
          </cell>
          <cell r="AC643" t="str">
            <v/>
          </cell>
          <cell r="AD643" t="str">
            <v/>
          </cell>
          <cell r="AE643" t="str">
            <v>⑪</v>
          </cell>
          <cell r="AF643" t="str">
            <v/>
          </cell>
          <cell r="AG643" t="str">
            <v/>
          </cell>
          <cell r="AH643" t="str">
            <v/>
          </cell>
          <cell r="AI643" t="str">
            <v/>
          </cell>
        </row>
        <row r="644">
          <cell r="B644">
            <v>4331</v>
          </cell>
          <cell r="C644">
            <v>43</v>
          </cell>
          <cell r="D644">
            <v>31</v>
          </cell>
          <cell r="F644" t="str">
            <v>新館</v>
          </cell>
          <cell r="G644" t="str">
            <v>泡消火設備保守(外観)</v>
          </cell>
          <cell r="H644" t="str">
            <v>能美防災</v>
          </cell>
          <cell r="I644">
            <v>194000</v>
          </cell>
          <cell r="J644">
            <v>205080</v>
          </cell>
          <cell r="K644">
            <v>1</v>
          </cell>
          <cell r="L644">
            <v>205080</v>
          </cell>
          <cell r="M644">
            <v>0</v>
          </cell>
          <cell r="N644">
            <v>0</v>
          </cell>
          <cell r="O644">
            <v>0</v>
          </cell>
          <cell r="P644">
            <v>0</v>
          </cell>
          <cell r="Q644">
            <v>0</v>
          </cell>
          <cell r="R644">
            <v>0</v>
          </cell>
          <cell r="S644">
            <v>0</v>
          </cell>
          <cell r="T644">
            <v>0</v>
          </cell>
          <cell r="U644">
            <v>0</v>
          </cell>
          <cell r="V644">
            <v>0</v>
          </cell>
          <cell r="W644">
            <v>0</v>
          </cell>
          <cell r="X644" t="str">
            <v>④</v>
          </cell>
          <cell r="Y644" t="str">
            <v/>
          </cell>
          <cell r="Z644" t="str">
            <v/>
          </cell>
          <cell r="AA644" t="str">
            <v/>
          </cell>
          <cell r="AB644" t="str">
            <v/>
          </cell>
          <cell r="AC644" t="str">
            <v/>
          </cell>
          <cell r="AD644" t="str">
            <v/>
          </cell>
          <cell r="AE644" t="str">
            <v/>
          </cell>
          <cell r="AF644" t="str">
            <v/>
          </cell>
          <cell r="AG644" t="str">
            <v/>
          </cell>
          <cell r="AH644" t="str">
            <v/>
          </cell>
          <cell r="AI644" t="str">
            <v/>
          </cell>
          <cell r="AJ644" t="str">
            <v>変</v>
          </cell>
        </row>
        <row r="645">
          <cell r="B645">
            <v>4332</v>
          </cell>
          <cell r="C645">
            <v>43</v>
          </cell>
          <cell r="D645">
            <v>32</v>
          </cell>
          <cell r="F645" t="str">
            <v>新館</v>
          </cell>
          <cell r="G645" t="str">
            <v>泡消火設備保守(総合)</v>
          </cell>
          <cell r="H645" t="str">
            <v>能美防災</v>
          </cell>
          <cell r="I645">
            <v>614600</v>
          </cell>
          <cell r="J645">
            <v>628140</v>
          </cell>
          <cell r="K645">
            <v>1</v>
          </cell>
          <cell r="L645">
            <v>0</v>
          </cell>
          <cell r="M645">
            <v>0</v>
          </cell>
          <cell r="N645">
            <v>0</v>
          </cell>
          <cell r="O645">
            <v>0</v>
          </cell>
          <cell r="P645">
            <v>0</v>
          </cell>
          <cell r="Q645">
            <v>0</v>
          </cell>
          <cell r="R645">
            <v>628140</v>
          </cell>
          <cell r="S645">
            <v>0</v>
          </cell>
          <cell r="T645">
            <v>0</v>
          </cell>
          <cell r="U645">
            <v>0</v>
          </cell>
          <cell r="V645">
            <v>0</v>
          </cell>
          <cell r="W645">
            <v>0</v>
          </cell>
          <cell r="X645" t="str">
            <v/>
          </cell>
          <cell r="Y645" t="str">
            <v/>
          </cell>
          <cell r="Z645" t="str">
            <v/>
          </cell>
          <cell r="AA645" t="str">
            <v/>
          </cell>
          <cell r="AB645" t="str">
            <v/>
          </cell>
          <cell r="AC645" t="str">
            <v/>
          </cell>
          <cell r="AD645" t="str">
            <v>⑩</v>
          </cell>
          <cell r="AE645" t="str">
            <v/>
          </cell>
          <cell r="AF645" t="str">
            <v/>
          </cell>
          <cell r="AG645" t="str">
            <v/>
          </cell>
          <cell r="AH645" t="str">
            <v/>
          </cell>
          <cell r="AI645" t="str">
            <v/>
          </cell>
          <cell r="AJ645" t="str">
            <v>変</v>
          </cell>
        </row>
        <row r="646">
          <cell r="B646">
            <v>4333</v>
          </cell>
          <cell r="C646">
            <v>43</v>
          </cell>
          <cell r="D646">
            <v>33</v>
          </cell>
          <cell r="F646" t="str">
            <v>新館</v>
          </cell>
          <cell r="G646" t="str">
            <v>シャッター設備点検</v>
          </cell>
          <cell r="H646" t="str">
            <v>三和シャッター工業</v>
          </cell>
          <cell r="I646">
            <v>399000</v>
          </cell>
          <cell r="J646">
            <v>412860</v>
          </cell>
          <cell r="K646">
            <v>1</v>
          </cell>
          <cell r="L646">
            <v>0</v>
          </cell>
          <cell r="M646">
            <v>0</v>
          </cell>
          <cell r="N646">
            <v>0</v>
          </cell>
          <cell r="O646">
            <v>0</v>
          </cell>
          <cell r="P646">
            <v>0</v>
          </cell>
          <cell r="Q646">
            <v>0</v>
          </cell>
          <cell r="R646">
            <v>0</v>
          </cell>
          <cell r="S646">
            <v>0</v>
          </cell>
          <cell r="T646">
            <v>0</v>
          </cell>
          <cell r="U646">
            <v>0</v>
          </cell>
          <cell r="V646">
            <v>412860</v>
          </cell>
          <cell r="W646">
            <v>0</v>
          </cell>
          <cell r="X646" t="str">
            <v/>
          </cell>
          <cell r="Y646" t="str">
            <v/>
          </cell>
          <cell r="Z646" t="str">
            <v/>
          </cell>
          <cell r="AA646" t="str">
            <v/>
          </cell>
          <cell r="AB646" t="str">
            <v/>
          </cell>
          <cell r="AC646" t="str">
            <v/>
          </cell>
          <cell r="AD646" t="str">
            <v/>
          </cell>
          <cell r="AE646" t="str">
            <v/>
          </cell>
          <cell r="AF646" t="str">
            <v/>
          </cell>
          <cell r="AG646" t="str">
            <v/>
          </cell>
          <cell r="AH646" t="str">
            <v>②</v>
          </cell>
          <cell r="AI646" t="str">
            <v/>
          </cell>
          <cell r="AJ646" t="str">
            <v>変</v>
          </cell>
        </row>
        <row r="647">
          <cell r="B647">
            <v>4334</v>
          </cell>
          <cell r="C647">
            <v>43</v>
          </cell>
          <cell r="D647">
            <v>34</v>
          </cell>
          <cell r="F647" t="str">
            <v>新館</v>
          </cell>
          <cell r="G647" t="str">
            <v>シャッター設備点検</v>
          </cell>
          <cell r="H647" t="str">
            <v>文化シャッターｻｰﾋﾞｽ</v>
          </cell>
          <cell r="I647">
            <v>198000</v>
          </cell>
          <cell r="J647">
            <v>204600</v>
          </cell>
          <cell r="K647">
            <v>1</v>
          </cell>
          <cell r="L647">
            <v>0</v>
          </cell>
          <cell r="M647">
            <v>0</v>
          </cell>
          <cell r="N647">
            <v>0</v>
          </cell>
          <cell r="O647">
            <v>0</v>
          </cell>
          <cell r="P647">
            <v>0</v>
          </cell>
          <cell r="Q647">
            <v>0</v>
          </cell>
          <cell r="R647">
            <v>0</v>
          </cell>
          <cell r="S647">
            <v>0</v>
          </cell>
          <cell r="T647">
            <v>0</v>
          </cell>
          <cell r="U647">
            <v>0</v>
          </cell>
          <cell r="V647">
            <v>204600</v>
          </cell>
          <cell r="W647">
            <v>0</v>
          </cell>
          <cell r="X647" t="str">
            <v/>
          </cell>
          <cell r="Y647" t="str">
            <v/>
          </cell>
          <cell r="Z647" t="str">
            <v/>
          </cell>
          <cell r="AA647" t="str">
            <v/>
          </cell>
          <cell r="AB647" t="str">
            <v/>
          </cell>
          <cell r="AC647" t="str">
            <v/>
          </cell>
          <cell r="AD647" t="str">
            <v/>
          </cell>
          <cell r="AE647" t="str">
            <v/>
          </cell>
          <cell r="AF647" t="str">
            <v/>
          </cell>
          <cell r="AG647" t="str">
            <v/>
          </cell>
          <cell r="AH647" t="str">
            <v>②</v>
          </cell>
          <cell r="AI647" t="str">
            <v/>
          </cell>
          <cell r="AJ647" t="str">
            <v>変</v>
          </cell>
        </row>
        <row r="648">
          <cell r="B648">
            <v>4335</v>
          </cell>
          <cell r="C648">
            <v>43</v>
          </cell>
          <cell r="D648">
            <v>35</v>
          </cell>
          <cell r="F648" t="str">
            <v>新館</v>
          </cell>
          <cell r="G648" t="str">
            <v>害虫駆除</v>
          </cell>
          <cell r="H648" t="str">
            <v>シェル商事</v>
          </cell>
          <cell r="I648">
            <v>1063000</v>
          </cell>
          <cell r="J648">
            <v>1169300</v>
          </cell>
          <cell r="K648">
            <v>2</v>
          </cell>
          <cell r="L648">
            <v>0</v>
          </cell>
          <cell r="M648">
            <v>1169300</v>
          </cell>
          <cell r="N648">
            <v>0</v>
          </cell>
          <cell r="O648">
            <v>0</v>
          </cell>
          <cell r="P648">
            <v>0</v>
          </cell>
          <cell r="Q648">
            <v>0</v>
          </cell>
          <cell r="R648">
            <v>0</v>
          </cell>
          <cell r="S648">
            <v>1169300</v>
          </cell>
          <cell r="T648">
            <v>0</v>
          </cell>
          <cell r="U648">
            <v>0</v>
          </cell>
          <cell r="V648">
            <v>0</v>
          </cell>
          <cell r="W648">
            <v>0</v>
          </cell>
          <cell r="X648" t="str">
            <v/>
          </cell>
          <cell r="Y648" t="str">
            <v>⑤</v>
          </cell>
          <cell r="Z648" t="str">
            <v/>
          </cell>
          <cell r="AA648" t="str">
            <v/>
          </cell>
          <cell r="AB648" t="str">
            <v/>
          </cell>
          <cell r="AC648" t="str">
            <v/>
          </cell>
          <cell r="AD648" t="str">
            <v/>
          </cell>
          <cell r="AE648" t="str">
            <v>⑪</v>
          </cell>
          <cell r="AF648" t="str">
            <v/>
          </cell>
          <cell r="AG648" t="str">
            <v/>
          </cell>
          <cell r="AH648" t="str">
            <v/>
          </cell>
          <cell r="AI648" t="str">
            <v/>
          </cell>
        </row>
        <row r="649">
          <cell r="B649">
            <v>4336</v>
          </cell>
          <cell r="C649">
            <v>43</v>
          </cell>
          <cell r="D649">
            <v>36</v>
          </cell>
          <cell r="F649" t="str">
            <v>新館</v>
          </cell>
          <cell r="G649" t="str">
            <v>汚水･雑排水槽清掃</v>
          </cell>
          <cell r="H649" t="str">
            <v>五十嵐商会</v>
          </cell>
          <cell r="I649">
            <v>200000</v>
          </cell>
          <cell r="J649">
            <v>230600</v>
          </cell>
          <cell r="K649">
            <v>3</v>
          </cell>
          <cell r="L649">
            <v>230600</v>
          </cell>
          <cell r="M649">
            <v>0</v>
          </cell>
          <cell r="N649">
            <v>0</v>
          </cell>
          <cell r="O649">
            <v>0</v>
          </cell>
          <cell r="P649">
            <v>230600</v>
          </cell>
          <cell r="Q649">
            <v>0</v>
          </cell>
          <cell r="R649">
            <v>0</v>
          </cell>
          <cell r="S649">
            <v>0</v>
          </cell>
          <cell r="T649">
            <v>230600</v>
          </cell>
          <cell r="U649">
            <v>0</v>
          </cell>
          <cell r="V649">
            <v>0</v>
          </cell>
          <cell r="W649">
            <v>0</v>
          </cell>
          <cell r="X649" t="str">
            <v>④</v>
          </cell>
          <cell r="Y649" t="str">
            <v/>
          </cell>
          <cell r="Z649" t="str">
            <v/>
          </cell>
          <cell r="AA649" t="str">
            <v/>
          </cell>
          <cell r="AB649" t="str">
            <v>⑧</v>
          </cell>
          <cell r="AC649" t="str">
            <v/>
          </cell>
          <cell r="AD649" t="str">
            <v/>
          </cell>
          <cell r="AE649" t="str">
            <v/>
          </cell>
          <cell r="AF649" t="str">
            <v>⑫</v>
          </cell>
          <cell r="AG649" t="str">
            <v/>
          </cell>
          <cell r="AH649" t="str">
            <v/>
          </cell>
          <cell r="AI649" t="str">
            <v/>
          </cell>
          <cell r="AJ649" t="str">
            <v>変</v>
          </cell>
        </row>
        <row r="650">
          <cell r="B650">
            <v>4337</v>
          </cell>
          <cell r="C650">
            <v>43</v>
          </cell>
          <cell r="D650">
            <v>37</v>
          </cell>
          <cell r="F650" t="str">
            <v>新館</v>
          </cell>
          <cell r="G650" t="str">
            <v>受水槽清掃(含む高架水槽)</v>
          </cell>
          <cell r="H650" t="str">
            <v>日本清管</v>
          </cell>
          <cell r="I650">
            <v>470000</v>
          </cell>
          <cell r="J650">
            <v>538000</v>
          </cell>
          <cell r="K650">
            <v>1</v>
          </cell>
          <cell r="L650">
            <v>0</v>
          </cell>
          <cell r="M650">
            <v>0</v>
          </cell>
          <cell r="N650">
            <v>0</v>
          </cell>
          <cell r="O650">
            <v>0</v>
          </cell>
          <cell r="P650">
            <v>0</v>
          </cell>
          <cell r="Q650">
            <v>0</v>
          </cell>
          <cell r="R650">
            <v>0</v>
          </cell>
          <cell r="S650">
            <v>538000</v>
          </cell>
          <cell r="T650">
            <v>0</v>
          </cell>
          <cell r="U650">
            <v>0</v>
          </cell>
          <cell r="V650">
            <v>0</v>
          </cell>
          <cell r="W650">
            <v>0</v>
          </cell>
          <cell r="X650" t="str">
            <v/>
          </cell>
          <cell r="Y650" t="str">
            <v/>
          </cell>
          <cell r="Z650" t="str">
            <v/>
          </cell>
          <cell r="AA650" t="str">
            <v/>
          </cell>
          <cell r="AB650" t="str">
            <v/>
          </cell>
          <cell r="AC650" t="str">
            <v/>
          </cell>
          <cell r="AD650" t="str">
            <v/>
          </cell>
          <cell r="AE650" t="str">
            <v>⑪</v>
          </cell>
          <cell r="AF650" t="str">
            <v/>
          </cell>
          <cell r="AG650" t="str">
            <v/>
          </cell>
          <cell r="AH650" t="str">
            <v/>
          </cell>
          <cell r="AI650" t="str">
            <v/>
          </cell>
          <cell r="AJ650" t="str">
            <v>変</v>
          </cell>
        </row>
        <row r="651">
          <cell r="B651">
            <v>4338</v>
          </cell>
          <cell r="C651">
            <v>43</v>
          </cell>
          <cell r="D651">
            <v>38</v>
          </cell>
          <cell r="F651" t="str">
            <v>新館</v>
          </cell>
          <cell r="G651" t="str">
            <v>駐車場管制装置保守点検</v>
          </cell>
          <cell r="H651" t="str">
            <v>富士ダイナミクス</v>
          </cell>
          <cell r="I651">
            <v>106000</v>
          </cell>
          <cell r="J651">
            <v>113400</v>
          </cell>
          <cell r="K651">
            <v>2</v>
          </cell>
          <cell r="L651">
            <v>113400</v>
          </cell>
          <cell r="M651">
            <v>0</v>
          </cell>
          <cell r="N651">
            <v>0</v>
          </cell>
          <cell r="O651">
            <v>0</v>
          </cell>
          <cell r="P651">
            <v>0</v>
          </cell>
          <cell r="Q651">
            <v>0</v>
          </cell>
          <cell r="R651">
            <v>113400</v>
          </cell>
          <cell r="S651">
            <v>0</v>
          </cell>
          <cell r="T651">
            <v>0</v>
          </cell>
          <cell r="U651">
            <v>0</v>
          </cell>
          <cell r="V651">
            <v>0</v>
          </cell>
          <cell r="W651">
            <v>0</v>
          </cell>
          <cell r="X651" t="str">
            <v>④</v>
          </cell>
          <cell r="Z651" t="str">
            <v/>
          </cell>
          <cell r="AA651" t="str">
            <v/>
          </cell>
          <cell r="AB651" t="str">
            <v/>
          </cell>
          <cell r="AC651" t="str">
            <v/>
          </cell>
          <cell r="AD651" t="str">
            <v>⑩</v>
          </cell>
          <cell r="AF651" t="str">
            <v/>
          </cell>
          <cell r="AG651" t="str">
            <v/>
          </cell>
          <cell r="AH651" t="str">
            <v/>
          </cell>
          <cell r="AI651" t="str">
            <v/>
          </cell>
          <cell r="AJ651" t="str">
            <v>変</v>
          </cell>
        </row>
        <row r="652">
          <cell r="B652">
            <v>4339</v>
          </cell>
          <cell r="C652">
            <v>43</v>
          </cell>
          <cell r="D652">
            <v>39</v>
          </cell>
          <cell r="F652" t="str">
            <v>新館</v>
          </cell>
          <cell r="G652" t="str">
            <v>中央監視装置保守(電気)</v>
          </cell>
          <cell r="H652" t="str">
            <v>関電工</v>
          </cell>
          <cell r="I652">
            <v>270000</v>
          </cell>
          <cell r="J652">
            <v>279000</v>
          </cell>
          <cell r="K652">
            <v>2</v>
          </cell>
          <cell r="L652">
            <v>279000</v>
          </cell>
          <cell r="M652">
            <v>0</v>
          </cell>
          <cell r="N652">
            <v>0</v>
          </cell>
          <cell r="O652">
            <v>0</v>
          </cell>
          <cell r="P652">
            <v>0</v>
          </cell>
          <cell r="Q652">
            <v>0</v>
          </cell>
          <cell r="R652">
            <v>279000</v>
          </cell>
          <cell r="S652">
            <v>0</v>
          </cell>
          <cell r="T652">
            <v>0</v>
          </cell>
          <cell r="U652">
            <v>0</v>
          </cell>
          <cell r="V652">
            <v>0</v>
          </cell>
          <cell r="W652">
            <v>0</v>
          </cell>
          <cell r="X652" t="str">
            <v>④</v>
          </cell>
          <cell r="Z652" t="str">
            <v/>
          </cell>
          <cell r="AA652" t="str">
            <v/>
          </cell>
          <cell r="AB652" t="str">
            <v/>
          </cell>
          <cell r="AC652" t="str">
            <v/>
          </cell>
          <cell r="AD652" t="str">
            <v>⑩</v>
          </cell>
          <cell r="AF652" t="str">
            <v/>
          </cell>
          <cell r="AG652" t="str">
            <v/>
          </cell>
          <cell r="AH652" t="str">
            <v/>
          </cell>
          <cell r="AI652" t="str">
            <v/>
          </cell>
          <cell r="AJ652" t="str">
            <v>変</v>
          </cell>
        </row>
        <row r="653">
          <cell r="B653">
            <v>4340</v>
          </cell>
          <cell r="C653">
            <v>43</v>
          </cell>
          <cell r="D653">
            <v>40</v>
          </cell>
          <cell r="F653" t="str">
            <v>新館</v>
          </cell>
          <cell r="G653" t="str">
            <v>チラー冷凍機設備保守</v>
          </cell>
          <cell r="H653" t="str">
            <v>三菱電機ﾋﾞﾙﾃｸﾉｻｰﾋﾞｽ</v>
          </cell>
          <cell r="I653">
            <v>211000</v>
          </cell>
          <cell r="J653">
            <v>225000</v>
          </cell>
          <cell r="K653">
            <v>4</v>
          </cell>
          <cell r="L653">
            <v>0</v>
          </cell>
          <cell r="M653">
            <v>225000</v>
          </cell>
          <cell r="N653">
            <v>0</v>
          </cell>
          <cell r="O653">
            <v>0</v>
          </cell>
          <cell r="P653">
            <v>225000</v>
          </cell>
          <cell r="Q653">
            <v>0</v>
          </cell>
          <cell r="R653">
            <v>0</v>
          </cell>
          <cell r="S653">
            <v>225000</v>
          </cell>
          <cell r="T653">
            <v>0</v>
          </cell>
          <cell r="U653">
            <v>0</v>
          </cell>
          <cell r="V653">
            <v>225000</v>
          </cell>
          <cell r="W653">
            <v>0</v>
          </cell>
          <cell r="X653" t="str">
            <v/>
          </cell>
          <cell r="Y653" t="str">
            <v>⑤</v>
          </cell>
          <cell r="Z653" t="str">
            <v/>
          </cell>
          <cell r="AA653" t="str">
            <v/>
          </cell>
          <cell r="AB653" t="str">
            <v>⑧</v>
          </cell>
          <cell r="AC653" t="str">
            <v/>
          </cell>
          <cell r="AD653" t="str">
            <v/>
          </cell>
          <cell r="AE653" t="str">
            <v>⑪</v>
          </cell>
          <cell r="AF653" t="str">
            <v/>
          </cell>
          <cell r="AG653" t="str">
            <v/>
          </cell>
          <cell r="AH653" t="str">
            <v>②</v>
          </cell>
          <cell r="AI653" t="str">
            <v/>
          </cell>
          <cell r="AJ653" t="str">
            <v>変</v>
          </cell>
        </row>
        <row r="654">
          <cell r="B654">
            <v>4341</v>
          </cell>
          <cell r="C654">
            <v>43</v>
          </cell>
          <cell r="D654">
            <v>41</v>
          </cell>
          <cell r="F654" t="str">
            <v>新館</v>
          </cell>
          <cell r="G654" t="str">
            <v>水冷ﾊﾟｯｹｰｼﾞ設備保守</v>
          </cell>
          <cell r="H654" t="str">
            <v>三菱電機ﾋﾞﾙﾃｸﾉｻｰﾋﾞｽ</v>
          </cell>
          <cell r="I654">
            <v>59000</v>
          </cell>
          <cell r="J654">
            <v>64740</v>
          </cell>
          <cell r="K654">
            <v>4</v>
          </cell>
          <cell r="L654">
            <v>0</v>
          </cell>
          <cell r="M654">
            <v>64740</v>
          </cell>
          <cell r="N654">
            <v>0</v>
          </cell>
          <cell r="O654">
            <v>0</v>
          </cell>
          <cell r="P654">
            <v>64740</v>
          </cell>
          <cell r="Q654">
            <v>0</v>
          </cell>
          <cell r="R654">
            <v>0</v>
          </cell>
          <cell r="S654">
            <v>64740</v>
          </cell>
          <cell r="T654">
            <v>0</v>
          </cell>
          <cell r="U654">
            <v>0</v>
          </cell>
          <cell r="V654">
            <v>64740</v>
          </cell>
          <cell r="W654">
            <v>0</v>
          </cell>
          <cell r="X654" t="str">
            <v/>
          </cell>
          <cell r="Y654" t="str">
            <v>⑤</v>
          </cell>
          <cell r="Z654" t="str">
            <v/>
          </cell>
          <cell r="AA654" t="str">
            <v/>
          </cell>
          <cell r="AB654" t="str">
            <v>⑧</v>
          </cell>
          <cell r="AC654" t="str">
            <v/>
          </cell>
          <cell r="AD654" t="str">
            <v/>
          </cell>
          <cell r="AE654" t="str">
            <v>⑪</v>
          </cell>
          <cell r="AF654" t="str">
            <v/>
          </cell>
          <cell r="AG654" t="str">
            <v/>
          </cell>
          <cell r="AH654" t="str">
            <v>②</v>
          </cell>
          <cell r="AI654" t="str">
            <v/>
          </cell>
          <cell r="AJ654" t="str">
            <v>変</v>
          </cell>
        </row>
        <row r="655">
          <cell r="B655">
            <v>4342</v>
          </cell>
          <cell r="C655">
            <v>43</v>
          </cell>
          <cell r="D655">
            <v>42</v>
          </cell>
          <cell r="F655" t="str">
            <v>新館</v>
          </cell>
          <cell r="G655" t="str">
            <v>吸収式冷凍機設備保守</v>
          </cell>
          <cell r="H655" t="str">
            <v>三菱重工冷熱システム</v>
          </cell>
          <cell r="I655">
            <v>427000</v>
          </cell>
          <cell r="J655">
            <v>435540</v>
          </cell>
          <cell r="K655">
            <v>3</v>
          </cell>
          <cell r="L655">
            <v>0</v>
          </cell>
          <cell r="M655">
            <v>435540</v>
          </cell>
          <cell r="N655">
            <v>0</v>
          </cell>
          <cell r="O655">
            <v>0</v>
          </cell>
          <cell r="P655">
            <v>0</v>
          </cell>
          <cell r="Q655">
            <v>0</v>
          </cell>
          <cell r="R655">
            <v>0</v>
          </cell>
          <cell r="S655">
            <v>435540</v>
          </cell>
          <cell r="T655">
            <v>0</v>
          </cell>
          <cell r="U655">
            <v>0</v>
          </cell>
          <cell r="V655">
            <v>435540</v>
          </cell>
          <cell r="W655">
            <v>0</v>
          </cell>
          <cell r="X655" t="str">
            <v/>
          </cell>
          <cell r="Y655" t="str">
            <v>⑤</v>
          </cell>
          <cell r="Z655" t="str">
            <v/>
          </cell>
          <cell r="AA655" t="str">
            <v/>
          </cell>
          <cell r="AB655" t="str">
            <v/>
          </cell>
          <cell r="AC655" t="str">
            <v/>
          </cell>
          <cell r="AD655" t="str">
            <v/>
          </cell>
          <cell r="AE655" t="str">
            <v>⑪</v>
          </cell>
          <cell r="AF655" t="str">
            <v/>
          </cell>
          <cell r="AG655" t="str">
            <v/>
          </cell>
          <cell r="AH655" t="str">
            <v>②</v>
          </cell>
          <cell r="AI655" t="str">
            <v/>
          </cell>
        </row>
        <row r="656">
          <cell r="B656">
            <v>4343</v>
          </cell>
          <cell r="C656">
            <v>43</v>
          </cell>
          <cell r="D656">
            <v>43</v>
          </cell>
          <cell r="F656" t="str">
            <v>新館</v>
          </cell>
          <cell r="G656" t="str">
            <v>ターボ式冷凍機設備保守</v>
          </cell>
          <cell r="H656" t="str">
            <v>三菱重工冷熱システム</v>
          </cell>
          <cell r="I656">
            <v>273000</v>
          </cell>
          <cell r="J656">
            <v>278460</v>
          </cell>
          <cell r="K656">
            <v>3</v>
          </cell>
          <cell r="L656">
            <v>0</v>
          </cell>
          <cell r="M656">
            <v>278460</v>
          </cell>
          <cell r="N656">
            <v>0</v>
          </cell>
          <cell r="O656">
            <v>0</v>
          </cell>
          <cell r="P656">
            <v>0</v>
          </cell>
          <cell r="Q656">
            <v>0</v>
          </cell>
          <cell r="R656">
            <v>0</v>
          </cell>
          <cell r="S656">
            <v>278460</v>
          </cell>
          <cell r="T656">
            <v>0</v>
          </cell>
          <cell r="U656">
            <v>0</v>
          </cell>
          <cell r="V656">
            <v>278460</v>
          </cell>
          <cell r="W656">
            <v>0</v>
          </cell>
          <cell r="X656" t="str">
            <v/>
          </cell>
          <cell r="Y656" t="str">
            <v>⑤</v>
          </cell>
          <cell r="Z656" t="str">
            <v/>
          </cell>
          <cell r="AA656" t="str">
            <v/>
          </cell>
          <cell r="AB656" t="str">
            <v/>
          </cell>
          <cell r="AC656" t="str">
            <v/>
          </cell>
          <cell r="AD656" t="str">
            <v/>
          </cell>
          <cell r="AE656" t="str">
            <v>⑪</v>
          </cell>
          <cell r="AF656" t="str">
            <v/>
          </cell>
          <cell r="AG656" t="str">
            <v/>
          </cell>
          <cell r="AH656" t="str">
            <v>②</v>
          </cell>
          <cell r="AI656" t="str">
            <v/>
          </cell>
        </row>
        <row r="657">
          <cell r="B657">
            <v>4344</v>
          </cell>
          <cell r="C657">
            <v>43</v>
          </cell>
          <cell r="D657">
            <v>44</v>
          </cell>
          <cell r="F657" t="str">
            <v>新館</v>
          </cell>
          <cell r="G657" t="str">
            <v>ターボ式冷凍機設備保守</v>
          </cell>
          <cell r="H657" t="str">
            <v>荏原テクノサーブ</v>
          </cell>
          <cell r="I657">
            <v>250000</v>
          </cell>
          <cell r="J657">
            <v>256800</v>
          </cell>
          <cell r="K657">
            <v>2</v>
          </cell>
          <cell r="L657">
            <v>0</v>
          </cell>
          <cell r="M657">
            <v>0</v>
          </cell>
          <cell r="N657">
            <v>256800</v>
          </cell>
          <cell r="O657">
            <v>0</v>
          </cell>
          <cell r="P657">
            <v>0</v>
          </cell>
          <cell r="Q657">
            <v>0</v>
          </cell>
          <cell r="R657">
            <v>0</v>
          </cell>
          <cell r="S657">
            <v>0</v>
          </cell>
          <cell r="T657">
            <v>256800</v>
          </cell>
          <cell r="U657">
            <v>0</v>
          </cell>
          <cell r="V657">
            <v>0</v>
          </cell>
          <cell r="W657">
            <v>0</v>
          </cell>
          <cell r="X657" t="str">
            <v/>
          </cell>
          <cell r="Y657" t="str">
            <v/>
          </cell>
          <cell r="Z657" t="str">
            <v>⑥</v>
          </cell>
          <cell r="AA657" t="str">
            <v/>
          </cell>
          <cell r="AB657" t="str">
            <v/>
          </cell>
          <cell r="AC657" t="str">
            <v/>
          </cell>
          <cell r="AD657" t="str">
            <v/>
          </cell>
          <cell r="AE657" t="str">
            <v/>
          </cell>
          <cell r="AF657" t="str">
            <v>⑫</v>
          </cell>
          <cell r="AG657" t="str">
            <v/>
          </cell>
          <cell r="AH657" t="str">
            <v/>
          </cell>
          <cell r="AI657" t="str">
            <v/>
          </cell>
          <cell r="AJ657" t="str">
            <v>変</v>
          </cell>
        </row>
        <row r="658">
          <cell r="B658">
            <v>4345</v>
          </cell>
          <cell r="C658">
            <v>43</v>
          </cell>
          <cell r="D658">
            <v>45</v>
          </cell>
          <cell r="F658" t="str">
            <v>新館</v>
          </cell>
          <cell r="G658" t="str">
            <v>空調用自動制御機器保守</v>
          </cell>
          <cell r="H658" t="str">
            <v>山武ビルシステム</v>
          </cell>
          <cell r="I658">
            <v>4947210</v>
          </cell>
          <cell r="J658">
            <v>5125540</v>
          </cell>
          <cell r="K658">
            <v>1</v>
          </cell>
          <cell r="L658">
            <v>5125540</v>
          </cell>
          <cell r="M658">
            <v>0</v>
          </cell>
          <cell r="N658">
            <v>0</v>
          </cell>
          <cell r="O658">
            <v>0</v>
          </cell>
          <cell r="P658">
            <v>0</v>
          </cell>
          <cell r="Q658">
            <v>0</v>
          </cell>
          <cell r="R658">
            <v>0</v>
          </cell>
          <cell r="S658">
            <v>0</v>
          </cell>
          <cell r="T658">
            <v>0</v>
          </cell>
          <cell r="U658">
            <v>0</v>
          </cell>
          <cell r="V658">
            <v>0</v>
          </cell>
          <cell r="W658">
            <v>0</v>
          </cell>
          <cell r="X658" t="str">
            <v>④</v>
          </cell>
          <cell r="Y658" t="str">
            <v/>
          </cell>
          <cell r="Z658" t="str">
            <v/>
          </cell>
          <cell r="AA658" t="str">
            <v/>
          </cell>
          <cell r="AB658" t="str">
            <v/>
          </cell>
          <cell r="AC658" t="str">
            <v/>
          </cell>
          <cell r="AD658" t="str">
            <v/>
          </cell>
          <cell r="AE658" t="str">
            <v/>
          </cell>
          <cell r="AF658" t="str">
            <v/>
          </cell>
          <cell r="AG658" t="str">
            <v/>
          </cell>
          <cell r="AH658" t="str">
            <v/>
          </cell>
          <cell r="AI658" t="str">
            <v/>
          </cell>
        </row>
        <row r="659">
          <cell r="B659">
            <v>4346</v>
          </cell>
          <cell r="C659">
            <v>43</v>
          </cell>
          <cell r="D659">
            <v>46</v>
          </cell>
          <cell r="F659" t="str">
            <v>新館</v>
          </cell>
          <cell r="G659" t="str">
            <v>空調用自動制御機器保守</v>
          </cell>
          <cell r="H659" t="str">
            <v>山武ビルシステム</v>
          </cell>
          <cell r="I659">
            <v>5569730</v>
          </cell>
          <cell r="J659">
            <v>5770500</v>
          </cell>
          <cell r="K659">
            <v>1</v>
          </cell>
          <cell r="L659">
            <v>0</v>
          </cell>
          <cell r="M659">
            <v>5770500</v>
          </cell>
          <cell r="N659">
            <v>0</v>
          </cell>
          <cell r="O659">
            <v>0</v>
          </cell>
          <cell r="P659">
            <v>0</v>
          </cell>
          <cell r="Q659">
            <v>0</v>
          </cell>
          <cell r="R659">
            <v>0</v>
          </cell>
          <cell r="S659">
            <v>0</v>
          </cell>
          <cell r="T659">
            <v>0</v>
          </cell>
          <cell r="U659">
            <v>0</v>
          </cell>
          <cell r="V659">
            <v>0</v>
          </cell>
          <cell r="W659">
            <v>0</v>
          </cell>
          <cell r="X659" t="str">
            <v/>
          </cell>
          <cell r="Y659" t="str">
            <v>⑤</v>
          </cell>
          <cell r="Z659" t="str">
            <v/>
          </cell>
          <cell r="AA659" t="str">
            <v/>
          </cell>
          <cell r="AB659" t="str">
            <v/>
          </cell>
          <cell r="AC659" t="str">
            <v/>
          </cell>
          <cell r="AD659" t="str">
            <v/>
          </cell>
          <cell r="AE659" t="str">
            <v/>
          </cell>
          <cell r="AF659" t="str">
            <v/>
          </cell>
          <cell r="AG659" t="str">
            <v/>
          </cell>
          <cell r="AH659" t="str">
            <v/>
          </cell>
          <cell r="AI659" t="str">
            <v/>
          </cell>
        </row>
        <row r="660">
          <cell r="B660">
            <v>4347</v>
          </cell>
          <cell r="C660">
            <v>43</v>
          </cell>
          <cell r="D660">
            <v>47</v>
          </cell>
          <cell r="F660" t="str">
            <v>新館</v>
          </cell>
          <cell r="G660" t="str">
            <v>空調用自動制御機器保守</v>
          </cell>
          <cell r="H660" t="str">
            <v>山武ビルシステム</v>
          </cell>
          <cell r="I660">
            <v>551520</v>
          </cell>
          <cell r="J660">
            <v>571400</v>
          </cell>
          <cell r="K660">
            <v>1</v>
          </cell>
          <cell r="L660">
            <v>0</v>
          </cell>
          <cell r="M660">
            <v>0</v>
          </cell>
          <cell r="N660">
            <v>0</v>
          </cell>
          <cell r="O660">
            <v>0</v>
          </cell>
          <cell r="P660">
            <v>0</v>
          </cell>
          <cell r="Q660">
            <v>571400</v>
          </cell>
          <cell r="R660">
            <v>0</v>
          </cell>
          <cell r="S660">
            <v>0</v>
          </cell>
          <cell r="T660">
            <v>0</v>
          </cell>
          <cell r="U660">
            <v>0</v>
          </cell>
          <cell r="V660">
            <v>0</v>
          </cell>
          <cell r="W660">
            <v>0</v>
          </cell>
          <cell r="X660" t="str">
            <v/>
          </cell>
          <cell r="Y660" t="str">
            <v/>
          </cell>
          <cell r="Z660" t="str">
            <v/>
          </cell>
          <cell r="AA660" t="str">
            <v/>
          </cell>
          <cell r="AB660" t="str">
            <v/>
          </cell>
          <cell r="AC660" t="str">
            <v>⑨</v>
          </cell>
          <cell r="AD660" t="str">
            <v/>
          </cell>
          <cell r="AE660" t="str">
            <v/>
          </cell>
          <cell r="AF660" t="str">
            <v/>
          </cell>
          <cell r="AG660" t="str">
            <v/>
          </cell>
          <cell r="AH660" t="str">
            <v/>
          </cell>
          <cell r="AI660" t="str">
            <v/>
          </cell>
        </row>
        <row r="661">
          <cell r="B661">
            <v>4348</v>
          </cell>
          <cell r="C661">
            <v>43</v>
          </cell>
          <cell r="D661">
            <v>48</v>
          </cell>
          <cell r="F661" t="str">
            <v>新館</v>
          </cell>
          <cell r="G661" t="str">
            <v>空調用自動制御機器保守</v>
          </cell>
          <cell r="H661" t="str">
            <v>山武ビルシステム</v>
          </cell>
          <cell r="I661">
            <v>90220</v>
          </cell>
          <cell r="J661">
            <v>93500</v>
          </cell>
          <cell r="K661">
            <v>6</v>
          </cell>
          <cell r="L661">
            <v>0</v>
          </cell>
          <cell r="M661">
            <v>0</v>
          </cell>
          <cell r="N661">
            <v>93500</v>
          </cell>
          <cell r="O661">
            <v>93500</v>
          </cell>
          <cell r="P661">
            <v>0</v>
          </cell>
          <cell r="Q661">
            <v>0</v>
          </cell>
          <cell r="R661">
            <v>93500</v>
          </cell>
          <cell r="S661">
            <v>0</v>
          </cell>
          <cell r="T661">
            <v>93500</v>
          </cell>
          <cell r="U661">
            <v>93500</v>
          </cell>
          <cell r="V661">
            <v>0</v>
          </cell>
          <cell r="W661">
            <v>93500</v>
          </cell>
          <cell r="X661" t="str">
            <v/>
          </cell>
          <cell r="Y661" t="str">
            <v/>
          </cell>
          <cell r="Z661" t="str">
            <v>⑥</v>
          </cell>
          <cell r="AA661" t="str">
            <v>⑦</v>
          </cell>
          <cell r="AB661" t="str">
            <v/>
          </cell>
          <cell r="AC661" t="str">
            <v/>
          </cell>
          <cell r="AD661" t="str">
            <v>⑩</v>
          </cell>
          <cell r="AE661" t="str">
            <v/>
          </cell>
          <cell r="AF661" t="str">
            <v>⑫</v>
          </cell>
          <cell r="AG661" t="str">
            <v>①</v>
          </cell>
          <cell r="AH661" t="str">
            <v/>
          </cell>
          <cell r="AI661" t="str">
            <v>③</v>
          </cell>
        </row>
        <row r="662">
          <cell r="B662">
            <v>4349</v>
          </cell>
          <cell r="C662">
            <v>43</v>
          </cell>
          <cell r="D662">
            <v>49</v>
          </cell>
          <cell r="F662" t="str">
            <v>新館</v>
          </cell>
          <cell r="G662" t="str">
            <v>空調用自動制御機器保守</v>
          </cell>
          <cell r="H662" t="str">
            <v>山武ビルシステム</v>
          </cell>
          <cell r="I662">
            <v>712740</v>
          </cell>
          <cell r="J662">
            <v>738400</v>
          </cell>
          <cell r="K662">
            <v>3</v>
          </cell>
          <cell r="L662">
            <v>0</v>
          </cell>
          <cell r="M662">
            <v>0</v>
          </cell>
          <cell r="N662">
            <v>0</v>
          </cell>
          <cell r="O662">
            <v>0</v>
          </cell>
          <cell r="P662">
            <v>738400</v>
          </cell>
          <cell r="Q662">
            <v>0</v>
          </cell>
          <cell r="R662">
            <v>0</v>
          </cell>
          <cell r="S662">
            <v>738400</v>
          </cell>
          <cell r="T662">
            <v>0</v>
          </cell>
          <cell r="U662">
            <v>0</v>
          </cell>
          <cell r="V662">
            <v>738400</v>
          </cell>
          <cell r="W662">
            <v>0</v>
          </cell>
          <cell r="X662" t="str">
            <v/>
          </cell>
          <cell r="Y662" t="str">
            <v/>
          </cell>
          <cell r="Z662" t="str">
            <v/>
          </cell>
          <cell r="AA662" t="str">
            <v/>
          </cell>
          <cell r="AB662" t="str">
            <v>⑧</v>
          </cell>
          <cell r="AC662" t="str">
            <v/>
          </cell>
          <cell r="AD662" t="str">
            <v/>
          </cell>
          <cell r="AE662" t="str">
            <v>⑪</v>
          </cell>
          <cell r="AF662" t="str">
            <v/>
          </cell>
          <cell r="AG662" t="str">
            <v/>
          </cell>
          <cell r="AH662" t="str">
            <v>②</v>
          </cell>
          <cell r="AI662" t="str">
            <v/>
          </cell>
        </row>
        <row r="663">
          <cell r="B663">
            <v>4350</v>
          </cell>
          <cell r="C663">
            <v>43</v>
          </cell>
          <cell r="D663">
            <v>50</v>
          </cell>
          <cell r="F663" t="str">
            <v>新館</v>
          </cell>
          <cell r="G663" t="str">
            <v>中水道設備保守</v>
          </cell>
          <cell r="H663" t="str">
            <v>エムイーシープラント</v>
          </cell>
          <cell r="I663">
            <v>270000</v>
          </cell>
          <cell r="J663">
            <v>279000</v>
          </cell>
          <cell r="K663">
            <v>12</v>
          </cell>
          <cell r="L663">
            <v>279000</v>
          </cell>
          <cell r="M663">
            <v>279000</v>
          </cell>
          <cell r="N663">
            <v>279000</v>
          </cell>
          <cell r="O663">
            <v>279000</v>
          </cell>
          <cell r="P663">
            <v>279000</v>
          </cell>
          <cell r="Q663">
            <v>279000</v>
          </cell>
          <cell r="R663">
            <v>279000</v>
          </cell>
          <cell r="S663">
            <v>279000</v>
          </cell>
          <cell r="T663">
            <v>279000</v>
          </cell>
          <cell r="U663">
            <v>279000</v>
          </cell>
          <cell r="V663">
            <v>279000</v>
          </cell>
          <cell r="W663">
            <v>279000</v>
          </cell>
          <cell r="X663" t="str">
            <v>④</v>
          </cell>
          <cell r="Y663" t="str">
            <v>⑤</v>
          </cell>
          <cell r="Z663" t="str">
            <v>⑥</v>
          </cell>
          <cell r="AA663" t="str">
            <v>⑦</v>
          </cell>
          <cell r="AB663" t="str">
            <v>⑧</v>
          </cell>
          <cell r="AC663" t="str">
            <v>⑨</v>
          </cell>
          <cell r="AD663" t="str">
            <v>⑩</v>
          </cell>
          <cell r="AE663" t="str">
            <v>⑪</v>
          </cell>
          <cell r="AF663" t="str">
            <v>⑫</v>
          </cell>
          <cell r="AG663" t="str">
            <v>①</v>
          </cell>
          <cell r="AH663" t="str">
            <v>②</v>
          </cell>
          <cell r="AI663" t="str">
            <v>③</v>
          </cell>
          <cell r="AJ663" t="str">
            <v>変</v>
          </cell>
        </row>
        <row r="664">
          <cell r="B664">
            <v>4351</v>
          </cell>
          <cell r="C664">
            <v>43</v>
          </cell>
          <cell r="D664">
            <v>51</v>
          </cell>
          <cell r="F664" t="str">
            <v>新館</v>
          </cell>
          <cell r="G664" t="str">
            <v>ＩＴＶ設備保守</v>
          </cell>
          <cell r="H664" t="str">
            <v>東京通信電設</v>
          </cell>
          <cell r="I664">
            <v>382500</v>
          </cell>
          <cell r="J664">
            <v>395250</v>
          </cell>
          <cell r="K664">
            <v>2</v>
          </cell>
          <cell r="L664">
            <v>0</v>
          </cell>
          <cell r="M664">
            <v>395250</v>
          </cell>
          <cell r="N664">
            <v>0</v>
          </cell>
          <cell r="O664">
            <v>0</v>
          </cell>
          <cell r="P664">
            <v>0</v>
          </cell>
          <cell r="Q664">
            <v>0</v>
          </cell>
          <cell r="R664">
            <v>0</v>
          </cell>
          <cell r="S664">
            <v>395250</v>
          </cell>
          <cell r="T664">
            <v>0</v>
          </cell>
          <cell r="U664">
            <v>0</v>
          </cell>
          <cell r="V664">
            <v>0</v>
          </cell>
          <cell r="W664">
            <v>0</v>
          </cell>
          <cell r="X664" t="str">
            <v/>
          </cell>
          <cell r="Y664" t="str">
            <v>⑤</v>
          </cell>
          <cell r="Z664" t="str">
            <v/>
          </cell>
          <cell r="AB664" t="str">
            <v/>
          </cell>
          <cell r="AC664" t="str">
            <v/>
          </cell>
          <cell r="AD664" t="str">
            <v/>
          </cell>
          <cell r="AE664" t="str">
            <v>⑪</v>
          </cell>
          <cell r="AF664" t="str">
            <v/>
          </cell>
          <cell r="AH664" t="str">
            <v/>
          </cell>
          <cell r="AI664" t="str">
            <v/>
          </cell>
          <cell r="AJ664" t="str">
            <v>変</v>
          </cell>
        </row>
        <row r="665">
          <cell r="B665">
            <v>4352</v>
          </cell>
          <cell r="C665">
            <v>43</v>
          </cell>
          <cell r="D665">
            <v>52</v>
          </cell>
          <cell r="F665" t="str">
            <v>新館</v>
          </cell>
          <cell r="G665" t="str">
            <v>自動ドアー保守</v>
          </cell>
          <cell r="H665" t="str">
            <v>ナブコシステム</v>
          </cell>
          <cell r="I665">
            <v>166500</v>
          </cell>
          <cell r="J665">
            <v>171990</v>
          </cell>
          <cell r="K665">
            <v>4</v>
          </cell>
          <cell r="L665">
            <v>0</v>
          </cell>
          <cell r="M665">
            <v>171990</v>
          </cell>
          <cell r="N665">
            <v>0</v>
          </cell>
          <cell r="O665">
            <v>0</v>
          </cell>
          <cell r="P665">
            <v>171990</v>
          </cell>
          <cell r="Q665">
            <v>0</v>
          </cell>
          <cell r="R665">
            <v>0</v>
          </cell>
          <cell r="S665">
            <v>171990</v>
          </cell>
          <cell r="T665">
            <v>0</v>
          </cell>
          <cell r="U665">
            <v>0</v>
          </cell>
          <cell r="V665">
            <v>171990</v>
          </cell>
          <cell r="W665">
            <v>0</v>
          </cell>
          <cell r="X665" t="str">
            <v/>
          </cell>
          <cell r="Y665" t="str">
            <v>⑤</v>
          </cell>
          <cell r="Z665" t="str">
            <v/>
          </cell>
          <cell r="AA665" t="str">
            <v/>
          </cell>
          <cell r="AB665" t="str">
            <v>⑧</v>
          </cell>
          <cell r="AC665" t="str">
            <v/>
          </cell>
          <cell r="AD665" t="str">
            <v/>
          </cell>
          <cell r="AE665" t="str">
            <v>⑪</v>
          </cell>
          <cell r="AF665" t="str">
            <v/>
          </cell>
          <cell r="AG665" t="str">
            <v/>
          </cell>
          <cell r="AH665" t="str">
            <v>②</v>
          </cell>
          <cell r="AI665" t="str">
            <v/>
          </cell>
          <cell r="AJ665" t="str">
            <v>変</v>
          </cell>
        </row>
        <row r="666">
          <cell r="B666">
            <v>4353</v>
          </cell>
          <cell r="C666">
            <v>43</v>
          </cell>
          <cell r="D666">
            <v>53</v>
          </cell>
          <cell r="F666" t="str">
            <v>新館</v>
          </cell>
          <cell r="G666" t="str">
            <v>駐車場金精算システム保守</v>
          </cell>
          <cell r="H666" t="str">
            <v>アマノ</v>
          </cell>
          <cell r="I666">
            <v>105000</v>
          </cell>
          <cell r="J666">
            <v>107100</v>
          </cell>
          <cell r="K666">
            <v>5</v>
          </cell>
          <cell r="L666">
            <v>107100</v>
          </cell>
          <cell r="M666">
            <v>0</v>
          </cell>
          <cell r="N666">
            <v>107100</v>
          </cell>
          <cell r="O666">
            <v>0</v>
          </cell>
          <cell r="P666">
            <v>107100</v>
          </cell>
          <cell r="Q666">
            <v>0</v>
          </cell>
          <cell r="R666">
            <v>0</v>
          </cell>
          <cell r="S666">
            <v>0</v>
          </cell>
          <cell r="T666">
            <v>107100</v>
          </cell>
          <cell r="U666">
            <v>0</v>
          </cell>
          <cell r="V666">
            <v>107100</v>
          </cell>
          <cell r="W666">
            <v>0</v>
          </cell>
          <cell r="X666" t="str">
            <v>④</v>
          </cell>
          <cell r="Y666" t="str">
            <v/>
          </cell>
          <cell r="Z666" t="str">
            <v>⑥</v>
          </cell>
          <cell r="AA666" t="str">
            <v/>
          </cell>
          <cell r="AB666" t="str">
            <v>⑧</v>
          </cell>
          <cell r="AC666" t="str">
            <v/>
          </cell>
          <cell r="AD666" t="str">
            <v/>
          </cell>
          <cell r="AE666" t="str">
            <v/>
          </cell>
          <cell r="AF666" t="str">
            <v>⑫</v>
          </cell>
          <cell r="AG666" t="str">
            <v/>
          </cell>
          <cell r="AH666" t="str">
            <v>②</v>
          </cell>
          <cell r="AI666" t="str">
            <v/>
          </cell>
        </row>
        <row r="667">
          <cell r="B667">
            <v>4354</v>
          </cell>
          <cell r="C667">
            <v>43</v>
          </cell>
          <cell r="D667">
            <v>54</v>
          </cell>
          <cell r="F667" t="str">
            <v>新館</v>
          </cell>
          <cell r="G667" t="str">
            <v>駐車場金精算システム保守</v>
          </cell>
          <cell r="H667" t="str">
            <v>アマノ</v>
          </cell>
          <cell r="I667">
            <v>125000</v>
          </cell>
          <cell r="J667">
            <v>127500</v>
          </cell>
          <cell r="K667">
            <v>1</v>
          </cell>
          <cell r="L667">
            <v>0</v>
          </cell>
          <cell r="M667">
            <v>0</v>
          </cell>
          <cell r="N667">
            <v>0</v>
          </cell>
          <cell r="O667">
            <v>0</v>
          </cell>
          <cell r="P667">
            <v>0</v>
          </cell>
          <cell r="Q667">
            <v>0</v>
          </cell>
          <cell r="R667">
            <v>127500</v>
          </cell>
          <cell r="S667">
            <v>0</v>
          </cell>
          <cell r="T667">
            <v>0</v>
          </cell>
          <cell r="U667">
            <v>0</v>
          </cell>
          <cell r="V667">
            <v>0</v>
          </cell>
          <cell r="W667">
            <v>0</v>
          </cell>
          <cell r="X667" t="str">
            <v/>
          </cell>
          <cell r="Y667" t="str">
            <v/>
          </cell>
          <cell r="Z667" t="str">
            <v/>
          </cell>
          <cell r="AA667" t="str">
            <v/>
          </cell>
          <cell r="AB667" t="str">
            <v/>
          </cell>
          <cell r="AC667" t="str">
            <v/>
          </cell>
          <cell r="AD667" t="str">
            <v>⑩</v>
          </cell>
          <cell r="AE667" t="str">
            <v/>
          </cell>
          <cell r="AF667" t="str">
            <v/>
          </cell>
          <cell r="AG667" t="str">
            <v/>
          </cell>
          <cell r="AH667" t="str">
            <v/>
          </cell>
          <cell r="AI667" t="str">
            <v/>
          </cell>
        </row>
        <row r="668">
          <cell r="B668">
            <v>4355</v>
          </cell>
          <cell r="C668">
            <v>43</v>
          </cell>
          <cell r="D668">
            <v>55</v>
          </cell>
          <cell r="F668" t="str">
            <v>新館</v>
          </cell>
          <cell r="G668" t="str">
            <v>植栽管理</v>
          </cell>
          <cell r="H668" t="str">
            <v>東光園緑化</v>
          </cell>
          <cell r="I668">
            <v>77000</v>
          </cell>
          <cell r="J668">
            <v>78540</v>
          </cell>
          <cell r="K668">
            <v>3</v>
          </cell>
          <cell r="L668">
            <v>0</v>
          </cell>
          <cell r="M668">
            <v>0</v>
          </cell>
          <cell r="N668">
            <v>78540</v>
          </cell>
          <cell r="O668">
            <v>78540</v>
          </cell>
          <cell r="P668">
            <v>0</v>
          </cell>
          <cell r="Q668">
            <v>78540</v>
          </cell>
          <cell r="R668">
            <v>0</v>
          </cell>
          <cell r="S668">
            <v>0</v>
          </cell>
          <cell r="T668">
            <v>0</v>
          </cell>
          <cell r="U668">
            <v>0</v>
          </cell>
          <cell r="V668">
            <v>0</v>
          </cell>
          <cell r="W668">
            <v>0</v>
          </cell>
          <cell r="X668" t="str">
            <v/>
          </cell>
          <cell r="Y668" t="str">
            <v/>
          </cell>
          <cell r="Z668" t="str">
            <v>⑥</v>
          </cell>
          <cell r="AA668" t="str">
            <v>⑦</v>
          </cell>
          <cell r="AB668" t="str">
            <v/>
          </cell>
          <cell r="AC668" t="str">
            <v>⑨</v>
          </cell>
          <cell r="AD668" t="str">
            <v/>
          </cell>
          <cell r="AE668" t="str">
            <v/>
          </cell>
          <cell r="AF668" t="str">
            <v/>
          </cell>
          <cell r="AG668" t="str">
            <v/>
          </cell>
          <cell r="AH668" t="str">
            <v/>
          </cell>
          <cell r="AI668" t="str">
            <v/>
          </cell>
        </row>
        <row r="669">
          <cell r="B669">
            <v>4356</v>
          </cell>
          <cell r="C669">
            <v>43</v>
          </cell>
          <cell r="D669">
            <v>56</v>
          </cell>
          <cell r="F669" t="str">
            <v>新館</v>
          </cell>
          <cell r="G669" t="str">
            <v>植栽管理</v>
          </cell>
          <cell r="H669" t="str">
            <v>東光園緑化</v>
          </cell>
          <cell r="I669">
            <v>60400</v>
          </cell>
          <cell r="J669">
            <v>61608</v>
          </cell>
          <cell r="K669">
            <v>1</v>
          </cell>
          <cell r="L669">
            <v>0</v>
          </cell>
          <cell r="M669">
            <v>0</v>
          </cell>
          <cell r="N669">
            <v>0</v>
          </cell>
          <cell r="O669">
            <v>0</v>
          </cell>
          <cell r="P669">
            <v>0</v>
          </cell>
          <cell r="Q669">
            <v>0</v>
          </cell>
          <cell r="R669">
            <v>0</v>
          </cell>
          <cell r="S669">
            <v>61608</v>
          </cell>
          <cell r="T669">
            <v>0</v>
          </cell>
          <cell r="U669">
            <v>0</v>
          </cell>
          <cell r="V669">
            <v>0</v>
          </cell>
          <cell r="W669">
            <v>0</v>
          </cell>
          <cell r="X669" t="str">
            <v/>
          </cell>
          <cell r="Y669" t="str">
            <v/>
          </cell>
          <cell r="Z669" t="str">
            <v/>
          </cell>
          <cell r="AA669" t="str">
            <v/>
          </cell>
          <cell r="AB669" t="str">
            <v/>
          </cell>
          <cell r="AC669" t="str">
            <v/>
          </cell>
          <cell r="AD669" t="str">
            <v/>
          </cell>
          <cell r="AE669" t="str">
            <v>⑪</v>
          </cell>
          <cell r="AF669" t="str">
            <v/>
          </cell>
          <cell r="AG669" t="str">
            <v/>
          </cell>
          <cell r="AH669" t="str">
            <v/>
          </cell>
          <cell r="AI669" t="str">
            <v/>
          </cell>
        </row>
        <row r="670">
          <cell r="B670">
            <v>4357</v>
          </cell>
          <cell r="C670">
            <v>43</v>
          </cell>
          <cell r="D670">
            <v>57</v>
          </cell>
          <cell r="F670" t="str">
            <v>新館</v>
          </cell>
          <cell r="G670" t="str">
            <v>植栽管理</v>
          </cell>
          <cell r="H670" t="str">
            <v>東光園緑化</v>
          </cell>
          <cell r="I670">
            <v>38600</v>
          </cell>
          <cell r="J670">
            <v>39372</v>
          </cell>
          <cell r="K670">
            <v>1</v>
          </cell>
          <cell r="L670">
            <v>0</v>
          </cell>
          <cell r="M670">
            <v>0</v>
          </cell>
          <cell r="N670">
            <v>0</v>
          </cell>
          <cell r="O670">
            <v>0</v>
          </cell>
          <cell r="P670">
            <v>0</v>
          </cell>
          <cell r="Q670">
            <v>0</v>
          </cell>
          <cell r="R670">
            <v>0</v>
          </cell>
          <cell r="S670">
            <v>0</v>
          </cell>
          <cell r="T670">
            <v>0</v>
          </cell>
          <cell r="U670">
            <v>0</v>
          </cell>
          <cell r="V670">
            <v>39372</v>
          </cell>
          <cell r="W670">
            <v>0</v>
          </cell>
          <cell r="X670" t="str">
            <v/>
          </cell>
          <cell r="Y670" t="str">
            <v/>
          </cell>
          <cell r="Z670" t="str">
            <v/>
          </cell>
          <cell r="AA670" t="str">
            <v/>
          </cell>
          <cell r="AB670" t="str">
            <v/>
          </cell>
          <cell r="AC670" t="str">
            <v/>
          </cell>
          <cell r="AD670" t="str">
            <v/>
          </cell>
          <cell r="AE670" t="str">
            <v/>
          </cell>
          <cell r="AF670" t="str">
            <v/>
          </cell>
          <cell r="AG670" t="str">
            <v/>
          </cell>
          <cell r="AH670" t="str">
            <v>②</v>
          </cell>
          <cell r="AI670" t="str">
            <v/>
          </cell>
        </row>
        <row r="671">
          <cell r="B671">
            <v>4358</v>
          </cell>
          <cell r="C671">
            <v>43</v>
          </cell>
          <cell r="D671">
            <v>58</v>
          </cell>
          <cell r="F671" t="str">
            <v>新館</v>
          </cell>
          <cell r="G671" t="str">
            <v>貸鉢代(貸植木)</v>
          </cell>
          <cell r="H671" t="str">
            <v>フルール・セージ</v>
          </cell>
          <cell r="I671">
            <v>26400</v>
          </cell>
          <cell r="J671">
            <v>26928</v>
          </cell>
          <cell r="K671">
            <v>12</v>
          </cell>
          <cell r="L671">
            <v>26928</v>
          </cell>
          <cell r="M671">
            <v>26928</v>
          </cell>
          <cell r="N671">
            <v>26928</v>
          </cell>
          <cell r="O671">
            <v>26928</v>
          </cell>
          <cell r="P671">
            <v>26928</v>
          </cell>
          <cell r="Q671">
            <v>26928</v>
          </cell>
          <cell r="R671">
            <v>26928</v>
          </cell>
          <cell r="S671">
            <v>26928</v>
          </cell>
          <cell r="T671">
            <v>26928</v>
          </cell>
          <cell r="U671">
            <v>26928</v>
          </cell>
          <cell r="V671">
            <v>26928</v>
          </cell>
          <cell r="W671">
            <v>26928</v>
          </cell>
          <cell r="X671" t="str">
            <v>④</v>
          </cell>
          <cell r="Y671" t="str">
            <v>⑤</v>
          </cell>
          <cell r="Z671" t="str">
            <v>⑥</v>
          </cell>
          <cell r="AA671" t="str">
            <v>⑦</v>
          </cell>
          <cell r="AB671" t="str">
            <v>⑧</v>
          </cell>
          <cell r="AC671" t="str">
            <v>⑨</v>
          </cell>
          <cell r="AD671" t="str">
            <v>⑩</v>
          </cell>
          <cell r="AE671" t="str">
            <v>⑪</v>
          </cell>
          <cell r="AF671" t="str">
            <v>⑫</v>
          </cell>
          <cell r="AG671" t="str">
            <v>①</v>
          </cell>
          <cell r="AH671" t="str">
            <v>②</v>
          </cell>
          <cell r="AI671" t="str">
            <v>③</v>
          </cell>
        </row>
        <row r="672">
          <cell r="B672">
            <v>4359</v>
          </cell>
          <cell r="C672">
            <v>43</v>
          </cell>
          <cell r="D672">
            <v>59</v>
          </cell>
          <cell r="F672" t="str">
            <v>新館</v>
          </cell>
          <cell r="G672" t="str">
            <v>電気集塵機整備</v>
          </cell>
          <cell r="H672" t="str">
            <v>八洲興業</v>
          </cell>
          <cell r="I672">
            <v>1200000</v>
          </cell>
          <cell r="J672">
            <v>1318000</v>
          </cell>
          <cell r="K672">
            <v>2</v>
          </cell>
          <cell r="L672">
            <v>0</v>
          </cell>
          <cell r="M672">
            <v>0</v>
          </cell>
          <cell r="N672">
            <v>0</v>
          </cell>
          <cell r="O672">
            <v>1318000</v>
          </cell>
          <cell r="P672">
            <v>0</v>
          </cell>
          <cell r="Q672">
            <v>0</v>
          </cell>
          <cell r="R672">
            <v>0</v>
          </cell>
          <cell r="S672">
            <v>0</v>
          </cell>
          <cell r="T672">
            <v>0</v>
          </cell>
          <cell r="U672">
            <v>1318000</v>
          </cell>
          <cell r="V672">
            <v>0</v>
          </cell>
          <cell r="W672">
            <v>0</v>
          </cell>
          <cell r="X672" t="str">
            <v/>
          </cell>
          <cell r="Y672" t="str">
            <v/>
          </cell>
          <cell r="Z672" t="str">
            <v/>
          </cell>
          <cell r="AA672" t="str">
            <v>⑦</v>
          </cell>
          <cell r="AB672" t="str">
            <v/>
          </cell>
          <cell r="AC672" t="str">
            <v/>
          </cell>
          <cell r="AD672" t="str">
            <v/>
          </cell>
          <cell r="AE672" t="str">
            <v/>
          </cell>
          <cell r="AF672" t="str">
            <v/>
          </cell>
          <cell r="AG672" t="str">
            <v>①</v>
          </cell>
          <cell r="AH672" t="str">
            <v/>
          </cell>
          <cell r="AI672" t="str">
            <v/>
          </cell>
          <cell r="AJ672" t="str">
            <v>追</v>
          </cell>
        </row>
        <row r="673">
          <cell r="B673">
            <v>4360</v>
          </cell>
          <cell r="C673">
            <v>43</v>
          </cell>
          <cell r="D673">
            <v>60</v>
          </cell>
          <cell r="F673" t="str">
            <v>新館</v>
          </cell>
          <cell r="G673" t="str">
            <v>空調機プレﾌｨﾙﾀｰ洗浄</v>
          </cell>
          <cell r="H673" t="str">
            <v>八洲興業</v>
          </cell>
          <cell r="I673">
            <v>100000</v>
          </cell>
          <cell r="J673">
            <v>110000</v>
          </cell>
          <cell r="K673">
            <v>6</v>
          </cell>
          <cell r="L673">
            <v>0</v>
          </cell>
          <cell r="M673">
            <v>110000</v>
          </cell>
          <cell r="N673">
            <v>0</v>
          </cell>
          <cell r="O673">
            <v>110000</v>
          </cell>
          <cell r="P673">
            <v>0</v>
          </cell>
          <cell r="Q673">
            <v>110000</v>
          </cell>
          <cell r="R673">
            <v>0</v>
          </cell>
          <cell r="S673">
            <v>110000</v>
          </cell>
          <cell r="T673">
            <v>0</v>
          </cell>
          <cell r="U673">
            <v>110000</v>
          </cell>
          <cell r="V673">
            <v>0</v>
          </cell>
          <cell r="W673">
            <v>110000</v>
          </cell>
          <cell r="X673" t="str">
            <v/>
          </cell>
          <cell r="Y673" t="str">
            <v>⑤</v>
          </cell>
          <cell r="Z673" t="str">
            <v/>
          </cell>
          <cell r="AA673" t="str">
            <v>⑦</v>
          </cell>
          <cell r="AB673" t="str">
            <v/>
          </cell>
          <cell r="AC673" t="str">
            <v>⑨</v>
          </cell>
          <cell r="AD673" t="str">
            <v/>
          </cell>
          <cell r="AE673" t="str">
            <v>⑪</v>
          </cell>
          <cell r="AF673" t="str">
            <v/>
          </cell>
          <cell r="AG673" t="str">
            <v>①</v>
          </cell>
          <cell r="AH673" t="str">
            <v/>
          </cell>
          <cell r="AI673" t="str">
            <v>③</v>
          </cell>
          <cell r="AJ673" t="str">
            <v>追</v>
          </cell>
        </row>
        <row r="674">
          <cell r="B674">
            <v>4361</v>
          </cell>
          <cell r="C674">
            <v>43</v>
          </cell>
          <cell r="D674">
            <v>61</v>
          </cell>
          <cell r="F674" t="str">
            <v>新館</v>
          </cell>
          <cell r="G674" t="str">
            <v>ユニットﾌｨﾙﾀｰ洗浄工事</v>
          </cell>
          <cell r="H674" t="str">
            <v>八洲興業</v>
          </cell>
          <cell r="I674">
            <v>52000</v>
          </cell>
          <cell r="J674">
            <v>57200</v>
          </cell>
          <cell r="K674">
            <v>12</v>
          </cell>
          <cell r="L674">
            <v>57200</v>
          </cell>
          <cell r="M674">
            <v>57200</v>
          </cell>
          <cell r="N674">
            <v>57200</v>
          </cell>
          <cell r="O674">
            <v>57200</v>
          </cell>
          <cell r="P674">
            <v>57200</v>
          </cell>
          <cell r="Q674">
            <v>57200</v>
          </cell>
          <cell r="R674">
            <v>57200</v>
          </cell>
          <cell r="S674">
            <v>57200</v>
          </cell>
          <cell r="T674">
            <v>57200</v>
          </cell>
          <cell r="U674">
            <v>57200</v>
          </cell>
          <cell r="V674">
            <v>57200</v>
          </cell>
          <cell r="W674">
            <v>57200</v>
          </cell>
          <cell r="X674" t="str">
            <v>④</v>
          </cell>
          <cell r="Y674" t="str">
            <v>⑤</v>
          </cell>
          <cell r="Z674" t="str">
            <v>⑥</v>
          </cell>
          <cell r="AA674" t="str">
            <v>⑦</v>
          </cell>
          <cell r="AB674" t="str">
            <v>⑧</v>
          </cell>
          <cell r="AC674" t="str">
            <v>⑨</v>
          </cell>
          <cell r="AD674" t="str">
            <v>⑩</v>
          </cell>
          <cell r="AE674" t="str">
            <v>⑪</v>
          </cell>
          <cell r="AF674" t="str">
            <v>⑫</v>
          </cell>
          <cell r="AG674" t="str">
            <v>①</v>
          </cell>
          <cell r="AH674" t="str">
            <v>②</v>
          </cell>
          <cell r="AI674" t="str">
            <v>③</v>
          </cell>
          <cell r="AJ674" t="str">
            <v>追</v>
          </cell>
        </row>
        <row r="675">
          <cell r="B675">
            <v>4362</v>
          </cell>
          <cell r="C675">
            <v>43</v>
          </cell>
          <cell r="D675">
            <v>62</v>
          </cell>
          <cell r="F675" t="str">
            <v>新館</v>
          </cell>
          <cell r="G675" t="str">
            <v>ファンコイルﾌｨﾙﾀｰ清掃</v>
          </cell>
          <cell r="H675" t="str">
            <v>八洲興業</v>
          </cell>
          <cell r="I675">
            <v>220000</v>
          </cell>
          <cell r="J675">
            <v>242000</v>
          </cell>
          <cell r="K675">
            <v>6</v>
          </cell>
          <cell r="L675">
            <v>0</v>
          </cell>
          <cell r="M675">
            <v>242000</v>
          </cell>
          <cell r="N675">
            <v>0</v>
          </cell>
          <cell r="O675">
            <v>242000</v>
          </cell>
          <cell r="P675">
            <v>0</v>
          </cell>
          <cell r="Q675">
            <v>242000</v>
          </cell>
          <cell r="R675">
            <v>0</v>
          </cell>
          <cell r="S675">
            <v>242000</v>
          </cell>
          <cell r="T675">
            <v>0</v>
          </cell>
          <cell r="U675">
            <v>242000</v>
          </cell>
          <cell r="V675">
            <v>0</v>
          </cell>
          <cell r="W675">
            <v>242000</v>
          </cell>
          <cell r="X675" t="str">
            <v/>
          </cell>
          <cell r="Y675" t="str">
            <v>⑤</v>
          </cell>
          <cell r="Z675" t="str">
            <v/>
          </cell>
          <cell r="AA675" t="str">
            <v>⑦</v>
          </cell>
          <cell r="AB675" t="str">
            <v/>
          </cell>
          <cell r="AC675" t="str">
            <v>⑨</v>
          </cell>
          <cell r="AD675" t="str">
            <v/>
          </cell>
          <cell r="AE675" t="str">
            <v>⑪</v>
          </cell>
          <cell r="AF675" t="str">
            <v/>
          </cell>
          <cell r="AG675" t="str">
            <v>①</v>
          </cell>
          <cell r="AH675" t="str">
            <v/>
          </cell>
          <cell r="AI675" t="str">
            <v>③</v>
          </cell>
          <cell r="AJ675" t="str">
            <v>追</v>
          </cell>
        </row>
        <row r="676">
          <cell r="B676">
            <v>4363</v>
          </cell>
          <cell r="C676">
            <v>43</v>
          </cell>
          <cell r="D676">
            <v>63</v>
          </cell>
          <cell r="F676" t="str">
            <v>新館</v>
          </cell>
          <cell r="G676" t="str">
            <v>第１種圧力容器整備･性能検査</v>
          </cell>
          <cell r="H676" t="str">
            <v>東京制缶</v>
          </cell>
          <cell r="I676">
            <v>568800</v>
          </cell>
          <cell r="J676">
            <v>625680</v>
          </cell>
          <cell r="K676">
            <v>1</v>
          </cell>
          <cell r="L676">
            <v>0</v>
          </cell>
          <cell r="M676">
            <v>0</v>
          </cell>
          <cell r="N676">
            <v>0</v>
          </cell>
          <cell r="O676">
            <v>0</v>
          </cell>
          <cell r="P676">
            <v>0</v>
          </cell>
          <cell r="Q676">
            <v>625680</v>
          </cell>
          <cell r="R676">
            <v>0</v>
          </cell>
          <cell r="S676">
            <v>0</v>
          </cell>
          <cell r="T676">
            <v>0</v>
          </cell>
          <cell r="U676">
            <v>0</v>
          </cell>
          <cell r="V676">
            <v>0</v>
          </cell>
          <cell r="W676">
            <v>0</v>
          </cell>
          <cell r="X676" t="str">
            <v/>
          </cell>
          <cell r="Y676" t="str">
            <v/>
          </cell>
          <cell r="Z676" t="str">
            <v/>
          </cell>
          <cell r="AA676" t="str">
            <v/>
          </cell>
          <cell r="AB676" t="str">
            <v/>
          </cell>
          <cell r="AC676" t="str">
            <v>⑨</v>
          </cell>
          <cell r="AD676" t="str">
            <v/>
          </cell>
          <cell r="AE676" t="str">
            <v/>
          </cell>
          <cell r="AF676" t="str">
            <v/>
          </cell>
          <cell r="AG676" t="str">
            <v/>
          </cell>
          <cell r="AH676" t="str">
            <v/>
          </cell>
          <cell r="AI676" t="str">
            <v/>
          </cell>
          <cell r="AJ676" t="str">
            <v>追</v>
          </cell>
        </row>
        <row r="677">
          <cell r="B677">
            <v>4364</v>
          </cell>
          <cell r="C677">
            <v>43</v>
          </cell>
          <cell r="D677">
            <v>64</v>
          </cell>
          <cell r="F677" t="str">
            <v>新館</v>
          </cell>
          <cell r="G677" t="str">
            <v>蒸気発生器･中間清掃</v>
          </cell>
          <cell r="H677" t="str">
            <v>東京制缶</v>
          </cell>
          <cell r="I677">
            <v>119000</v>
          </cell>
          <cell r="J677">
            <v>130900</v>
          </cell>
          <cell r="K677">
            <v>1</v>
          </cell>
          <cell r="L677">
            <v>0</v>
          </cell>
          <cell r="M677">
            <v>0</v>
          </cell>
          <cell r="N677">
            <v>130900</v>
          </cell>
          <cell r="O677">
            <v>0</v>
          </cell>
          <cell r="P677">
            <v>0</v>
          </cell>
          <cell r="Q677">
            <v>0</v>
          </cell>
          <cell r="R677">
            <v>0</v>
          </cell>
          <cell r="S677">
            <v>0</v>
          </cell>
          <cell r="T677">
            <v>0</v>
          </cell>
          <cell r="U677">
            <v>0</v>
          </cell>
          <cell r="V677">
            <v>0</v>
          </cell>
          <cell r="W677">
            <v>0</v>
          </cell>
          <cell r="X677" t="str">
            <v/>
          </cell>
          <cell r="Z677" t="str">
            <v>⑥</v>
          </cell>
          <cell r="AA677" t="str">
            <v/>
          </cell>
          <cell r="AB677" t="str">
            <v/>
          </cell>
          <cell r="AC677" t="str">
            <v/>
          </cell>
          <cell r="AD677" t="str">
            <v/>
          </cell>
          <cell r="AE677" t="str">
            <v/>
          </cell>
          <cell r="AF677" t="str">
            <v/>
          </cell>
          <cell r="AG677" t="str">
            <v/>
          </cell>
          <cell r="AH677" t="str">
            <v/>
          </cell>
          <cell r="AI677" t="str">
            <v/>
          </cell>
          <cell r="AJ677" t="str">
            <v>追</v>
          </cell>
        </row>
        <row r="678">
          <cell r="B678">
            <v>4365</v>
          </cell>
          <cell r="C678">
            <v>43</v>
          </cell>
          <cell r="D678">
            <v>65</v>
          </cell>
          <cell r="F678" t="str">
            <v>新館</v>
          </cell>
          <cell r="G678" t="str">
            <v>厨房･中水設備,給排風機整備</v>
          </cell>
          <cell r="H678" t="str">
            <v>八洲興業</v>
          </cell>
          <cell r="I678">
            <v>346000</v>
          </cell>
          <cell r="J678">
            <v>380600</v>
          </cell>
          <cell r="K678">
            <v>1</v>
          </cell>
          <cell r="L678">
            <v>0</v>
          </cell>
          <cell r="M678">
            <v>0</v>
          </cell>
          <cell r="N678">
            <v>0</v>
          </cell>
          <cell r="O678">
            <v>0</v>
          </cell>
          <cell r="P678">
            <v>0</v>
          </cell>
          <cell r="Q678">
            <v>0</v>
          </cell>
          <cell r="R678">
            <v>0</v>
          </cell>
          <cell r="S678">
            <v>380600</v>
          </cell>
          <cell r="T678">
            <v>0</v>
          </cell>
          <cell r="U678">
            <v>0</v>
          </cell>
          <cell r="V678">
            <v>0</v>
          </cell>
          <cell r="W678">
            <v>0</v>
          </cell>
          <cell r="X678" t="str">
            <v/>
          </cell>
          <cell r="Y678" t="str">
            <v/>
          </cell>
          <cell r="Z678" t="str">
            <v/>
          </cell>
          <cell r="AA678" t="str">
            <v/>
          </cell>
          <cell r="AB678" t="str">
            <v/>
          </cell>
          <cell r="AC678" t="str">
            <v/>
          </cell>
          <cell r="AD678" t="str">
            <v/>
          </cell>
          <cell r="AE678" t="str">
            <v>⑪</v>
          </cell>
          <cell r="AF678" t="str">
            <v/>
          </cell>
          <cell r="AG678" t="str">
            <v/>
          </cell>
          <cell r="AH678" t="str">
            <v/>
          </cell>
          <cell r="AI678" t="str">
            <v/>
          </cell>
          <cell r="AJ678" t="str">
            <v>追</v>
          </cell>
        </row>
        <row r="679">
          <cell r="B679">
            <v>4366</v>
          </cell>
          <cell r="C679">
            <v>43</v>
          </cell>
          <cell r="D679">
            <v>66</v>
          </cell>
          <cell r="F679" t="str">
            <v>新館</v>
          </cell>
          <cell r="G679" t="str">
            <v>タンクレス給水設備点検</v>
          </cell>
          <cell r="H679" t="str">
            <v>三菱電機ｼｽﾃﾑｻｰﾋﾞｽ</v>
          </cell>
          <cell r="I679">
            <v>300000</v>
          </cell>
          <cell r="J679">
            <v>330000</v>
          </cell>
          <cell r="K679">
            <v>1</v>
          </cell>
          <cell r="L679">
            <v>330000</v>
          </cell>
          <cell r="M679">
            <v>0</v>
          </cell>
          <cell r="N679">
            <v>0</v>
          </cell>
          <cell r="O679">
            <v>0</v>
          </cell>
          <cell r="P679">
            <v>0</v>
          </cell>
          <cell r="Q679">
            <v>0</v>
          </cell>
          <cell r="R679">
            <v>0</v>
          </cell>
          <cell r="S679">
            <v>0</v>
          </cell>
          <cell r="T679">
            <v>0</v>
          </cell>
          <cell r="U679">
            <v>0</v>
          </cell>
          <cell r="V679">
            <v>0</v>
          </cell>
          <cell r="W679">
            <v>0</v>
          </cell>
          <cell r="X679" t="str">
            <v>④</v>
          </cell>
          <cell r="Y679" t="str">
            <v/>
          </cell>
          <cell r="Z679" t="str">
            <v/>
          </cell>
          <cell r="AA679" t="str">
            <v/>
          </cell>
          <cell r="AB679" t="str">
            <v/>
          </cell>
          <cell r="AC679" t="str">
            <v/>
          </cell>
          <cell r="AD679" t="str">
            <v/>
          </cell>
          <cell r="AE679" t="str">
            <v/>
          </cell>
          <cell r="AF679" t="str">
            <v/>
          </cell>
          <cell r="AG679" t="str">
            <v/>
          </cell>
          <cell r="AH679" t="str">
            <v/>
          </cell>
          <cell r="AI679" t="str">
            <v/>
          </cell>
          <cell r="AJ679" t="str">
            <v>追</v>
          </cell>
        </row>
        <row r="680">
          <cell r="B680">
            <v>4367</v>
          </cell>
          <cell r="C680">
            <v>43</v>
          </cell>
          <cell r="D680">
            <v>67</v>
          </cell>
          <cell r="F680" t="str">
            <v>新館</v>
          </cell>
          <cell r="G680" t="str">
            <v>中水道設備脱臭塔活性炭交換工事</v>
          </cell>
          <cell r="H680" t="str">
            <v>MECﾌﾟﾗﾝﾄ</v>
          </cell>
          <cell r="I680">
            <v>688000</v>
          </cell>
          <cell r="J680">
            <v>756800</v>
          </cell>
          <cell r="K680">
            <v>3</v>
          </cell>
          <cell r="L680">
            <v>0</v>
          </cell>
          <cell r="M680">
            <v>0</v>
          </cell>
          <cell r="N680">
            <v>0</v>
          </cell>
          <cell r="O680">
            <v>756800</v>
          </cell>
          <cell r="P680">
            <v>0</v>
          </cell>
          <cell r="Q680">
            <v>0</v>
          </cell>
          <cell r="R680">
            <v>0</v>
          </cell>
          <cell r="S680">
            <v>756800</v>
          </cell>
          <cell r="T680">
            <v>0</v>
          </cell>
          <cell r="U680">
            <v>0</v>
          </cell>
          <cell r="V680">
            <v>0</v>
          </cell>
          <cell r="W680">
            <v>756800</v>
          </cell>
          <cell r="X680" t="str">
            <v/>
          </cell>
          <cell r="Y680" t="str">
            <v/>
          </cell>
          <cell r="Z680" t="str">
            <v/>
          </cell>
          <cell r="AA680" t="str">
            <v>⑦</v>
          </cell>
          <cell r="AB680" t="str">
            <v/>
          </cell>
          <cell r="AC680" t="str">
            <v/>
          </cell>
          <cell r="AD680" t="str">
            <v/>
          </cell>
          <cell r="AE680" t="str">
            <v>⑪</v>
          </cell>
          <cell r="AF680" t="str">
            <v/>
          </cell>
          <cell r="AG680" t="str">
            <v/>
          </cell>
          <cell r="AH680" t="str">
            <v/>
          </cell>
          <cell r="AI680" t="str">
            <v>③</v>
          </cell>
          <cell r="AJ680" t="str">
            <v>追</v>
          </cell>
        </row>
        <row r="681">
          <cell r="B681">
            <v>4368</v>
          </cell>
          <cell r="C681">
            <v>43</v>
          </cell>
          <cell r="D681">
            <v>68</v>
          </cell>
          <cell r="F681" t="str">
            <v>新館</v>
          </cell>
          <cell r="G681" t="str">
            <v>中水道汚泥処理</v>
          </cell>
          <cell r="H681" t="str">
            <v>日本清管</v>
          </cell>
          <cell r="I681">
            <v>250000</v>
          </cell>
          <cell r="J681">
            <v>275000</v>
          </cell>
          <cell r="K681">
            <v>4</v>
          </cell>
          <cell r="L681">
            <v>275000</v>
          </cell>
          <cell r="M681">
            <v>0</v>
          </cell>
          <cell r="N681">
            <v>0</v>
          </cell>
          <cell r="O681">
            <v>275000</v>
          </cell>
          <cell r="P681">
            <v>0</v>
          </cell>
          <cell r="Q681">
            <v>0</v>
          </cell>
          <cell r="R681">
            <v>275000</v>
          </cell>
          <cell r="S681">
            <v>0</v>
          </cell>
          <cell r="T681">
            <v>0</v>
          </cell>
          <cell r="U681">
            <v>275000</v>
          </cell>
          <cell r="V681">
            <v>0</v>
          </cell>
          <cell r="W681">
            <v>0</v>
          </cell>
          <cell r="X681" t="str">
            <v>④</v>
          </cell>
          <cell r="Y681" t="str">
            <v/>
          </cell>
          <cell r="Z681" t="str">
            <v/>
          </cell>
          <cell r="AA681" t="str">
            <v>⑦</v>
          </cell>
          <cell r="AB681" t="str">
            <v/>
          </cell>
          <cell r="AC681" t="str">
            <v/>
          </cell>
          <cell r="AD681" t="str">
            <v>⑩</v>
          </cell>
          <cell r="AE681" t="str">
            <v/>
          </cell>
          <cell r="AF681" t="str">
            <v/>
          </cell>
          <cell r="AG681" t="str">
            <v>①</v>
          </cell>
          <cell r="AH681" t="str">
            <v/>
          </cell>
          <cell r="AI681" t="str">
            <v/>
          </cell>
          <cell r="AJ681" t="str">
            <v>追</v>
          </cell>
        </row>
        <row r="682">
          <cell r="B682">
            <v>4369</v>
          </cell>
          <cell r="C682">
            <v>43</v>
          </cell>
          <cell r="D682">
            <v>69</v>
          </cell>
          <cell r="F682" t="str">
            <v>新館</v>
          </cell>
          <cell r="G682" t="str">
            <v>１階・管理用シャッター点検</v>
          </cell>
          <cell r="H682" t="str">
            <v>文化シャッター</v>
          </cell>
          <cell r="I682">
            <v>387000</v>
          </cell>
          <cell r="J682">
            <v>425700</v>
          </cell>
          <cell r="K682">
            <v>1</v>
          </cell>
          <cell r="L682">
            <v>0</v>
          </cell>
          <cell r="M682">
            <v>0</v>
          </cell>
          <cell r="N682">
            <v>0</v>
          </cell>
          <cell r="O682">
            <v>0</v>
          </cell>
          <cell r="P682">
            <v>0</v>
          </cell>
          <cell r="Q682">
            <v>0</v>
          </cell>
          <cell r="R682">
            <v>0</v>
          </cell>
          <cell r="S682">
            <v>0</v>
          </cell>
          <cell r="T682">
            <v>0</v>
          </cell>
          <cell r="U682">
            <v>0</v>
          </cell>
          <cell r="V682">
            <v>425700</v>
          </cell>
          <cell r="W682">
            <v>0</v>
          </cell>
          <cell r="X682" t="str">
            <v/>
          </cell>
          <cell r="Y682" t="str">
            <v/>
          </cell>
          <cell r="Z682" t="str">
            <v/>
          </cell>
          <cell r="AA682" t="str">
            <v/>
          </cell>
          <cell r="AB682" t="str">
            <v/>
          </cell>
          <cell r="AC682" t="str">
            <v/>
          </cell>
          <cell r="AD682" t="str">
            <v/>
          </cell>
          <cell r="AE682" t="str">
            <v/>
          </cell>
          <cell r="AG682" t="str">
            <v/>
          </cell>
          <cell r="AH682" t="str">
            <v>②</v>
          </cell>
          <cell r="AI682" t="str">
            <v/>
          </cell>
          <cell r="AJ682" t="str">
            <v>追</v>
          </cell>
        </row>
        <row r="683">
          <cell r="B683">
            <v>4370</v>
          </cell>
          <cell r="C683">
            <v>43</v>
          </cell>
          <cell r="D683">
            <v>70</v>
          </cell>
          <cell r="F683" t="str">
            <v>新館</v>
          </cell>
          <cell r="G683" t="str">
            <v>厨房排気系統油ダクト清掃</v>
          </cell>
          <cell r="H683" t="str">
            <v>八洲興業</v>
          </cell>
          <cell r="I683">
            <v>1470000</v>
          </cell>
          <cell r="J683">
            <v>1612300</v>
          </cell>
          <cell r="K683">
            <v>1</v>
          </cell>
          <cell r="L683">
            <v>0</v>
          </cell>
          <cell r="M683">
            <v>0</v>
          </cell>
          <cell r="N683">
            <v>0</v>
          </cell>
          <cell r="O683">
            <v>0</v>
          </cell>
          <cell r="P683">
            <v>0</v>
          </cell>
          <cell r="Q683">
            <v>0</v>
          </cell>
          <cell r="R683">
            <v>0</v>
          </cell>
          <cell r="S683">
            <v>1612300</v>
          </cell>
          <cell r="T683">
            <v>0</v>
          </cell>
          <cell r="U683">
            <v>0</v>
          </cell>
          <cell r="V683">
            <v>0</v>
          </cell>
          <cell r="W683">
            <v>0</v>
          </cell>
          <cell r="X683" t="str">
            <v/>
          </cell>
          <cell r="Y683" t="str">
            <v/>
          </cell>
          <cell r="Z683" t="str">
            <v/>
          </cell>
          <cell r="AA683" t="str">
            <v/>
          </cell>
          <cell r="AB683" t="str">
            <v/>
          </cell>
          <cell r="AC683" t="str">
            <v/>
          </cell>
          <cell r="AD683" t="str">
            <v/>
          </cell>
          <cell r="AE683" t="str">
            <v>⑪</v>
          </cell>
          <cell r="AF683" t="str">
            <v/>
          </cell>
          <cell r="AG683" t="str">
            <v/>
          </cell>
          <cell r="AH683" t="str">
            <v/>
          </cell>
          <cell r="AI683" t="str">
            <v/>
          </cell>
          <cell r="AJ683" t="str">
            <v>追</v>
          </cell>
        </row>
        <row r="684">
          <cell r="B684">
            <v>4401</v>
          </cell>
          <cell r="C684">
            <v>44</v>
          </cell>
          <cell r="D684">
            <v>1</v>
          </cell>
          <cell r="F684" t="str">
            <v>大森</v>
          </cell>
          <cell r="G684" t="str">
            <v>昇降機設備保守</v>
          </cell>
          <cell r="H684" t="str">
            <v>東芝エレベータ</v>
          </cell>
          <cell r="I684">
            <v>310000</v>
          </cell>
          <cell r="J684">
            <v>322200</v>
          </cell>
          <cell r="K684">
            <v>12</v>
          </cell>
          <cell r="L684">
            <v>322200</v>
          </cell>
          <cell r="M684">
            <v>322200</v>
          </cell>
          <cell r="N684">
            <v>322200</v>
          </cell>
          <cell r="O684">
            <v>322200</v>
          </cell>
          <cell r="P684">
            <v>322200</v>
          </cell>
          <cell r="Q684">
            <v>322200</v>
          </cell>
          <cell r="R684">
            <v>322200</v>
          </cell>
          <cell r="S684">
            <v>322200</v>
          </cell>
          <cell r="T684">
            <v>322200</v>
          </cell>
          <cell r="U684">
            <v>322200</v>
          </cell>
          <cell r="V684">
            <v>322200</v>
          </cell>
          <cell r="W684">
            <v>322200</v>
          </cell>
          <cell r="X684" t="str">
            <v>④</v>
          </cell>
          <cell r="Y684" t="str">
            <v>⑤</v>
          </cell>
          <cell r="Z684" t="str">
            <v>⑥</v>
          </cell>
          <cell r="AA684" t="str">
            <v>⑦</v>
          </cell>
          <cell r="AB684" t="str">
            <v>⑧</v>
          </cell>
          <cell r="AC684" t="str">
            <v>⑨</v>
          </cell>
          <cell r="AD684" t="str">
            <v>⑩</v>
          </cell>
          <cell r="AE684" t="str">
            <v>⑪</v>
          </cell>
          <cell r="AF684" t="str">
            <v>⑫</v>
          </cell>
          <cell r="AG684" t="str">
            <v>①</v>
          </cell>
          <cell r="AH684" t="str">
            <v>②</v>
          </cell>
          <cell r="AI684" t="str">
            <v>③</v>
          </cell>
          <cell r="AJ684" t="str">
            <v>変</v>
          </cell>
        </row>
        <row r="685">
          <cell r="B685">
            <v>4402</v>
          </cell>
          <cell r="C685">
            <v>44</v>
          </cell>
          <cell r="D685">
            <v>2</v>
          </cell>
          <cell r="F685" t="str">
            <v>大森</v>
          </cell>
          <cell r="G685" t="str">
            <v>昇降機設備保守</v>
          </cell>
          <cell r="H685" t="str">
            <v>三菱電機ﾋﾞﾙﾃｸﾉｻｰﾋﾞｽ</v>
          </cell>
          <cell r="I685">
            <v>72300</v>
          </cell>
          <cell r="J685">
            <v>73746</v>
          </cell>
          <cell r="K685">
            <v>12</v>
          </cell>
          <cell r="L685">
            <v>73746</v>
          </cell>
          <cell r="M685">
            <v>73746</v>
          </cell>
          <cell r="N685">
            <v>73746</v>
          </cell>
          <cell r="O685">
            <v>73746</v>
          </cell>
          <cell r="P685">
            <v>73746</v>
          </cell>
          <cell r="Q685">
            <v>73746</v>
          </cell>
          <cell r="R685">
            <v>73746</v>
          </cell>
          <cell r="S685">
            <v>73746</v>
          </cell>
          <cell r="T685">
            <v>73746</v>
          </cell>
          <cell r="U685">
            <v>73746</v>
          </cell>
          <cell r="V685">
            <v>73746</v>
          </cell>
          <cell r="W685">
            <v>73746</v>
          </cell>
          <cell r="X685" t="str">
            <v>④</v>
          </cell>
          <cell r="Y685" t="str">
            <v>⑤</v>
          </cell>
          <cell r="Z685" t="str">
            <v>⑥</v>
          </cell>
          <cell r="AA685" t="str">
            <v>⑦</v>
          </cell>
          <cell r="AB685" t="str">
            <v>⑧</v>
          </cell>
          <cell r="AC685" t="str">
            <v>⑨</v>
          </cell>
          <cell r="AD685" t="str">
            <v>⑩</v>
          </cell>
          <cell r="AE685" t="str">
            <v>⑪</v>
          </cell>
          <cell r="AF685" t="str">
            <v>⑫</v>
          </cell>
          <cell r="AG685" t="str">
            <v>①</v>
          </cell>
          <cell r="AH685" t="str">
            <v>②</v>
          </cell>
          <cell r="AI685" t="str">
            <v>③</v>
          </cell>
        </row>
        <row r="686">
          <cell r="B686">
            <v>4403</v>
          </cell>
          <cell r="C686">
            <v>44</v>
          </cell>
          <cell r="D686">
            <v>3</v>
          </cell>
          <cell r="F686" t="str">
            <v>大森</v>
          </cell>
          <cell r="G686" t="str">
            <v>ゴンドラ設備保守</v>
          </cell>
          <cell r="H686" t="str">
            <v>日本ビソー</v>
          </cell>
          <cell r="I686">
            <v>60000</v>
          </cell>
          <cell r="J686">
            <v>61200</v>
          </cell>
          <cell r="K686">
            <v>12</v>
          </cell>
          <cell r="L686">
            <v>61200</v>
          </cell>
          <cell r="M686">
            <v>61200</v>
          </cell>
          <cell r="N686">
            <v>61200</v>
          </cell>
          <cell r="O686">
            <v>61200</v>
          </cell>
          <cell r="P686">
            <v>61200</v>
          </cell>
          <cell r="Q686">
            <v>61200</v>
          </cell>
          <cell r="R686">
            <v>61200</v>
          </cell>
          <cell r="S686">
            <v>61200</v>
          </cell>
          <cell r="T686">
            <v>61200</v>
          </cell>
          <cell r="U686">
            <v>61200</v>
          </cell>
          <cell r="V686">
            <v>61200</v>
          </cell>
          <cell r="W686">
            <v>61200</v>
          </cell>
          <cell r="X686" t="str">
            <v>④</v>
          </cell>
          <cell r="Y686" t="str">
            <v>⑤</v>
          </cell>
          <cell r="Z686" t="str">
            <v>⑥</v>
          </cell>
          <cell r="AA686" t="str">
            <v>⑦</v>
          </cell>
          <cell r="AB686" t="str">
            <v>⑧</v>
          </cell>
          <cell r="AC686" t="str">
            <v>⑨</v>
          </cell>
          <cell r="AD686" t="str">
            <v>⑩</v>
          </cell>
          <cell r="AE686" t="str">
            <v>⑪</v>
          </cell>
          <cell r="AF686" t="str">
            <v>⑫</v>
          </cell>
          <cell r="AG686" t="str">
            <v>①</v>
          </cell>
          <cell r="AH686" t="str">
            <v>②</v>
          </cell>
          <cell r="AI686" t="str">
            <v>③</v>
          </cell>
        </row>
        <row r="687">
          <cell r="B687">
            <v>4404</v>
          </cell>
          <cell r="C687">
            <v>44</v>
          </cell>
          <cell r="D687">
            <v>4</v>
          </cell>
          <cell r="F687" t="str">
            <v>大森</v>
          </cell>
          <cell r="G687" t="str">
            <v>ゴンドラ設備保守</v>
          </cell>
          <cell r="H687" t="str">
            <v>日本ビソー</v>
          </cell>
          <cell r="I687">
            <v>72000</v>
          </cell>
          <cell r="J687">
            <v>73440</v>
          </cell>
          <cell r="K687">
            <v>1</v>
          </cell>
          <cell r="L687">
            <v>0</v>
          </cell>
          <cell r="M687">
            <v>0</v>
          </cell>
          <cell r="N687">
            <v>0</v>
          </cell>
          <cell r="O687">
            <v>0</v>
          </cell>
          <cell r="P687">
            <v>0</v>
          </cell>
          <cell r="Q687">
            <v>0</v>
          </cell>
          <cell r="R687">
            <v>0</v>
          </cell>
          <cell r="S687">
            <v>0</v>
          </cell>
          <cell r="T687">
            <v>0</v>
          </cell>
          <cell r="U687">
            <v>0</v>
          </cell>
          <cell r="V687">
            <v>0</v>
          </cell>
          <cell r="W687">
            <v>73440</v>
          </cell>
          <cell r="X687" t="str">
            <v/>
          </cell>
          <cell r="Y687" t="str">
            <v/>
          </cell>
          <cell r="Z687" t="str">
            <v/>
          </cell>
          <cell r="AA687" t="str">
            <v/>
          </cell>
          <cell r="AB687" t="str">
            <v/>
          </cell>
          <cell r="AC687" t="str">
            <v/>
          </cell>
          <cell r="AD687" t="str">
            <v/>
          </cell>
          <cell r="AE687" t="str">
            <v/>
          </cell>
          <cell r="AF687" t="str">
            <v/>
          </cell>
          <cell r="AG687" t="str">
            <v/>
          </cell>
          <cell r="AH687" t="str">
            <v/>
          </cell>
          <cell r="AI687" t="str">
            <v>③</v>
          </cell>
        </row>
        <row r="688">
          <cell r="B688">
            <v>4405</v>
          </cell>
          <cell r="C688">
            <v>44</v>
          </cell>
          <cell r="D688">
            <v>5</v>
          </cell>
          <cell r="F688" t="str">
            <v>大森</v>
          </cell>
          <cell r="G688" t="str">
            <v>自動火災報知設備(外観)</v>
          </cell>
          <cell r="H688" t="str">
            <v>ホーチキ</v>
          </cell>
          <cell r="I688">
            <v>159000</v>
          </cell>
          <cell r="J688">
            <v>162180</v>
          </cell>
          <cell r="K688">
            <v>1</v>
          </cell>
          <cell r="L688">
            <v>0</v>
          </cell>
          <cell r="M688">
            <v>0</v>
          </cell>
          <cell r="N688">
            <v>0</v>
          </cell>
          <cell r="O688">
            <v>0</v>
          </cell>
          <cell r="P688">
            <v>0</v>
          </cell>
          <cell r="Q688">
            <v>0</v>
          </cell>
          <cell r="R688">
            <v>0</v>
          </cell>
          <cell r="S688">
            <v>0</v>
          </cell>
          <cell r="T688">
            <v>0</v>
          </cell>
          <cell r="U688">
            <v>162180</v>
          </cell>
          <cell r="V688">
            <v>0</v>
          </cell>
          <cell r="W688">
            <v>0</v>
          </cell>
          <cell r="X688" t="str">
            <v/>
          </cell>
          <cell r="Y688" t="str">
            <v/>
          </cell>
          <cell r="Z688" t="str">
            <v/>
          </cell>
          <cell r="AA688" t="str">
            <v/>
          </cell>
          <cell r="AB688" t="str">
            <v/>
          </cell>
          <cell r="AC688" t="str">
            <v/>
          </cell>
          <cell r="AD688" t="str">
            <v/>
          </cell>
          <cell r="AE688" t="str">
            <v/>
          </cell>
          <cell r="AF688" t="str">
            <v/>
          </cell>
          <cell r="AG688" t="str">
            <v>①</v>
          </cell>
          <cell r="AH688" t="str">
            <v/>
          </cell>
          <cell r="AI688" t="str">
            <v/>
          </cell>
        </row>
        <row r="689">
          <cell r="B689">
            <v>4406</v>
          </cell>
          <cell r="C689">
            <v>44</v>
          </cell>
          <cell r="D689">
            <v>6</v>
          </cell>
          <cell r="F689" t="str">
            <v>大森</v>
          </cell>
          <cell r="G689" t="str">
            <v>自動火災報知設備(総合)</v>
          </cell>
          <cell r="H689" t="str">
            <v>ホーチキ</v>
          </cell>
          <cell r="I689">
            <v>418000</v>
          </cell>
          <cell r="J689">
            <v>426360</v>
          </cell>
          <cell r="K689">
            <v>1</v>
          </cell>
          <cell r="L689">
            <v>0</v>
          </cell>
          <cell r="M689">
            <v>0</v>
          </cell>
          <cell r="N689">
            <v>0</v>
          </cell>
          <cell r="O689">
            <v>426360</v>
          </cell>
          <cell r="P689">
            <v>0</v>
          </cell>
          <cell r="Q689">
            <v>0</v>
          </cell>
          <cell r="R689">
            <v>0</v>
          </cell>
          <cell r="S689">
            <v>0</v>
          </cell>
          <cell r="T689">
            <v>0</v>
          </cell>
          <cell r="U689">
            <v>0</v>
          </cell>
          <cell r="V689">
            <v>0</v>
          </cell>
          <cell r="W689">
            <v>0</v>
          </cell>
          <cell r="X689" t="str">
            <v/>
          </cell>
          <cell r="Y689" t="str">
            <v/>
          </cell>
          <cell r="Z689" t="str">
            <v/>
          </cell>
          <cell r="AA689" t="str">
            <v>⑦</v>
          </cell>
          <cell r="AB689" t="str">
            <v/>
          </cell>
          <cell r="AC689" t="str">
            <v/>
          </cell>
          <cell r="AD689" t="str">
            <v/>
          </cell>
          <cell r="AE689" t="str">
            <v/>
          </cell>
          <cell r="AF689" t="str">
            <v/>
          </cell>
          <cell r="AG689" t="str">
            <v/>
          </cell>
          <cell r="AH689" t="str">
            <v/>
          </cell>
          <cell r="AI689" t="str">
            <v/>
          </cell>
        </row>
        <row r="690">
          <cell r="B690">
            <v>4407</v>
          </cell>
          <cell r="C690">
            <v>44</v>
          </cell>
          <cell r="D690">
            <v>7</v>
          </cell>
          <cell r="F690" t="str">
            <v>大森</v>
          </cell>
          <cell r="G690" t="str">
            <v>誘導灯(外観)</v>
          </cell>
          <cell r="H690" t="str">
            <v>ホーチキ</v>
          </cell>
          <cell r="I690">
            <v>45000</v>
          </cell>
          <cell r="J690">
            <v>45900</v>
          </cell>
          <cell r="K690">
            <v>2</v>
          </cell>
          <cell r="L690">
            <v>0</v>
          </cell>
          <cell r="M690">
            <v>0</v>
          </cell>
          <cell r="N690">
            <v>0</v>
          </cell>
          <cell r="O690">
            <v>45900</v>
          </cell>
          <cell r="P690">
            <v>0</v>
          </cell>
          <cell r="Q690">
            <v>0</v>
          </cell>
          <cell r="R690">
            <v>0</v>
          </cell>
          <cell r="S690">
            <v>0</v>
          </cell>
          <cell r="T690">
            <v>0</v>
          </cell>
          <cell r="U690">
            <v>45900</v>
          </cell>
          <cell r="V690">
            <v>0</v>
          </cell>
          <cell r="W690">
            <v>0</v>
          </cell>
          <cell r="X690" t="str">
            <v/>
          </cell>
          <cell r="Y690" t="str">
            <v/>
          </cell>
          <cell r="Z690" t="str">
            <v/>
          </cell>
          <cell r="AA690" t="str">
            <v>⑦</v>
          </cell>
          <cell r="AB690" t="str">
            <v/>
          </cell>
          <cell r="AC690" t="str">
            <v/>
          </cell>
          <cell r="AD690" t="str">
            <v/>
          </cell>
          <cell r="AE690" t="str">
            <v/>
          </cell>
          <cell r="AF690" t="str">
            <v/>
          </cell>
          <cell r="AG690" t="str">
            <v>①</v>
          </cell>
          <cell r="AH690" t="str">
            <v/>
          </cell>
          <cell r="AI690" t="str">
            <v/>
          </cell>
        </row>
        <row r="691">
          <cell r="B691">
            <v>4408</v>
          </cell>
          <cell r="C691">
            <v>44</v>
          </cell>
          <cell r="D691">
            <v>8</v>
          </cell>
          <cell r="F691" t="str">
            <v>大森</v>
          </cell>
          <cell r="G691" t="str">
            <v>防排煙制御(外観)</v>
          </cell>
          <cell r="H691" t="str">
            <v>ホーチキ</v>
          </cell>
          <cell r="I691">
            <v>203000</v>
          </cell>
          <cell r="J691">
            <v>207060</v>
          </cell>
          <cell r="K691">
            <v>1</v>
          </cell>
          <cell r="L691">
            <v>0</v>
          </cell>
          <cell r="M691">
            <v>0</v>
          </cell>
          <cell r="N691">
            <v>0</v>
          </cell>
          <cell r="O691">
            <v>0</v>
          </cell>
          <cell r="P691">
            <v>0</v>
          </cell>
          <cell r="Q691">
            <v>0</v>
          </cell>
          <cell r="R691">
            <v>0</v>
          </cell>
          <cell r="S691">
            <v>0</v>
          </cell>
          <cell r="T691">
            <v>0</v>
          </cell>
          <cell r="U691">
            <v>207060</v>
          </cell>
          <cell r="V691">
            <v>0</v>
          </cell>
          <cell r="W691">
            <v>0</v>
          </cell>
          <cell r="X691" t="str">
            <v/>
          </cell>
          <cell r="Y691" t="str">
            <v/>
          </cell>
          <cell r="Z691" t="str">
            <v/>
          </cell>
          <cell r="AA691" t="str">
            <v/>
          </cell>
          <cell r="AB691" t="str">
            <v/>
          </cell>
          <cell r="AC691" t="str">
            <v/>
          </cell>
          <cell r="AD691" t="str">
            <v/>
          </cell>
          <cell r="AE691" t="str">
            <v/>
          </cell>
          <cell r="AF691" t="str">
            <v/>
          </cell>
          <cell r="AG691" t="str">
            <v>①</v>
          </cell>
          <cell r="AH691" t="str">
            <v/>
          </cell>
          <cell r="AI691" t="str">
            <v/>
          </cell>
        </row>
        <row r="692">
          <cell r="B692">
            <v>4409</v>
          </cell>
          <cell r="C692">
            <v>44</v>
          </cell>
          <cell r="D692">
            <v>9</v>
          </cell>
          <cell r="F692" t="str">
            <v>大森</v>
          </cell>
          <cell r="G692" t="str">
            <v>防排煙制御(総合)</v>
          </cell>
          <cell r="H692" t="str">
            <v>ホーチキ</v>
          </cell>
          <cell r="I692">
            <v>259000</v>
          </cell>
          <cell r="J692">
            <v>264180</v>
          </cell>
          <cell r="K692">
            <v>1</v>
          </cell>
          <cell r="L692">
            <v>0</v>
          </cell>
          <cell r="M692">
            <v>0</v>
          </cell>
          <cell r="N692">
            <v>0</v>
          </cell>
          <cell r="O692">
            <v>264180</v>
          </cell>
          <cell r="P692">
            <v>0</v>
          </cell>
          <cell r="Q692">
            <v>0</v>
          </cell>
          <cell r="R692">
            <v>0</v>
          </cell>
          <cell r="S692">
            <v>0</v>
          </cell>
          <cell r="T692">
            <v>0</v>
          </cell>
          <cell r="U692">
            <v>0</v>
          </cell>
          <cell r="V692">
            <v>0</v>
          </cell>
          <cell r="W692">
            <v>0</v>
          </cell>
          <cell r="X692" t="str">
            <v/>
          </cell>
          <cell r="Y692" t="str">
            <v/>
          </cell>
          <cell r="Z692" t="str">
            <v/>
          </cell>
          <cell r="AA692" t="str">
            <v>⑦</v>
          </cell>
          <cell r="AB692" t="str">
            <v/>
          </cell>
          <cell r="AC692" t="str">
            <v/>
          </cell>
          <cell r="AD692" t="str">
            <v/>
          </cell>
          <cell r="AE692" t="str">
            <v/>
          </cell>
          <cell r="AF692" t="str">
            <v/>
          </cell>
          <cell r="AG692" t="str">
            <v/>
          </cell>
          <cell r="AH692" t="str">
            <v/>
          </cell>
          <cell r="AI692" t="str">
            <v/>
          </cell>
        </row>
        <row r="693">
          <cell r="B693">
            <v>4410</v>
          </cell>
          <cell r="C693">
            <v>44</v>
          </cell>
          <cell r="D693">
            <v>10</v>
          </cell>
          <cell r="F693" t="str">
            <v>大森</v>
          </cell>
          <cell r="G693" t="str">
            <v>非常コンセント(外観)</v>
          </cell>
          <cell r="H693" t="str">
            <v>ホーチキ</v>
          </cell>
          <cell r="I693">
            <v>6200</v>
          </cell>
          <cell r="J693">
            <v>6324</v>
          </cell>
          <cell r="K693">
            <v>1</v>
          </cell>
          <cell r="L693">
            <v>0</v>
          </cell>
          <cell r="M693">
            <v>0</v>
          </cell>
          <cell r="N693">
            <v>0</v>
          </cell>
          <cell r="O693">
            <v>0</v>
          </cell>
          <cell r="P693">
            <v>0</v>
          </cell>
          <cell r="Q693">
            <v>0</v>
          </cell>
          <cell r="R693">
            <v>0</v>
          </cell>
          <cell r="S693">
            <v>0</v>
          </cell>
          <cell r="T693">
            <v>0</v>
          </cell>
          <cell r="U693">
            <v>6324</v>
          </cell>
          <cell r="V693">
            <v>0</v>
          </cell>
          <cell r="W693">
            <v>0</v>
          </cell>
          <cell r="X693" t="str">
            <v/>
          </cell>
          <cell r="Y693" t="str">
            <v/>
          </cell>
          <cell r="Z693" t="str">
            <v/>
          </cell>
          <cell r="AA693" t="str">
            <v/>
          </cell>
          <cell r="AB693" t="str">
            <v/>
          </cell>
          <cell r="AC693" t="str">
            <v/>
          </cell>
          <cell r="AD693" t="str">
            <v/>
          </cell>
          <cell r="AE693" t="str">
            <v/>
          </cell>
          <cell r="AF693" t="str">
            <v/>
          </cell>
          <cell r="AG693" t="str">
            <v>①</v>
          </cell>
          <cell r="AH693" t="str">
            <v/>
          </cell>
          <cell r="AI693" t="str">
            <v/>
          </cell>
        </row>
        <row r="694">
          <cell r="B694">
            <v>4411</v>
          </cell>
          <cell r="C694">
            <v>44</v>
          </cell>
          <cell r="D694">
            <v>11</v>
          </cell>
          <cell r="F694" t="str">
            <v>大森</v>
          </cell>
          <cell r="G694" t="str">
            <v>非常コンセント(総合)</v>
          </cell>
          <cell r="H694" t="str">
            <v>ホーチキ</v>
          </cell>
          <cell r="I694">
            <v>6200</v>
          </cell>
          <cell r="J694">
            <v>6324</v>
          </cell>
          <cell r="K694">
            <v>1</v>
          </cell>
          <cell r="L694">
            <v>0</v>
          </cell>
          <cell r="M694">
            <v>0</v>
          </cell>
          <cell r="N694">
            <v>0</v>
          </cell>
          <cell r="O694">
            <v>6324</v>
          </cell>
          <cell r="P694">
            <v>0</v>
          </cell>
          <cell r="Q694">
            <v>0</v>
          </cell>
          <cell r="R694">
            <v>0</v>
          </cell>
          <cell r="S694">
            <v>0</v>
          </cell>
          <cell r="T694">
            <v>0</v>
          </cell>
          <cell r="U694">
            <v>0</v>
          </cell>
          <cell r="V694">
            <v>0</v>
          </cell>
          <cell r="W694">
            <v>0</v>
          </cell>
          <cell r="X694" t="str">
            <v/>
          </cell>
          <cell r="Y694" t="str">
            <v/>
          </cell>
          <cell r="Z694" t="str">
            <v/>
          </cell>
          <cell r="AA694" t="str">
            <v>⑦</v>
          </cell>
          <cell r="AB694" t="str">
            <v/>
          </cell>
          <cell r="AC694" t="str">
            <v/>
          </cell>
          <cell r="AD694" t="str">
            <v/>
          </cell>
          <cell r="AE694" t="str">
            <v/>
          </cell>
          <cell r="AF694" t="str">
            <v/>
          </cell>
          <cell r="AG694" t="str">
            <v/>
          </cell>
          <cell r="AH694" t="str">
            <v/>
          </cell>
          <cell r="AI694" t="str">
            <v/>
          </cell>
        </row>
        <row r="695">
          <cell r="B695">
            <v>4412</v>
          </cell>
          <cell r="C695">
            <v>44</v>
          </cell>
          <cell r="D695">
            <v>12</v>
          </cell>
          <cell r="F695" t="str">
            <v>大森</v>
          </cell>
          <cell r="G695" t="str">
            <v>ガス漏火災警報(外観)</v>
          </cell>
          <cell r="H695" t="str">
            <v>ホーチキ</v>
          </cell>
          <cell r="I695">
            <v>13000</v>
          </cell>
          <cell r="J695">
            <v>13260</v>
          </cell>
          <cell r="K695">
            <v>1</v>
          </cell>
          <cell r="L695">
            <v>0</v>
          </cell>
          <cell r="M695">
            <v>0</v>
          </cell>
          <cell r="N695">
            <v>0</v>
          </cell>
          <cell r="O695">
            <v>0</v>
          </cell>
          <cell r="P695">
            <v>0</v>
          </cell>
          <cell r="Q695">
            <v>0</v>
          </cell>
          <cell r="R695">
            <v>0</v>
          </cell>
          <cell r="S695">
            <v>0</v>
          </cell>
          <cell r="T695">
            <v>0</v>
          </cell>
          <cell r="U695">
            <v>13260</v>
          </cell>
          <cell r="V695">
            <v>0</v>
          </cell>
          <cell r="W695">
            <v>0</v>
          </cell>
          <cell r="X695" t="str">
            <v/>
          </cell>
          <cell r="Y695" t="str">
            <v/>
          </cell>
          <cell r="Z695" t="str">
            <v/>
          </cell>
          <cell r="AA695" t="str">
            <v/>
          </cell>
          <cell r="AB695" t="str">
            <v/>
          </cell>
          <cell r="AC695" t="str">
            <v/>
          </cell>
          <cell r="AD695" t="str">
            <v/>
          </cell>
          <cell r="AE695" t="str">
            <v/>
          </cell>
          <cell r="AF695" t="str">
            <v/>
          </cell>
          <cell r="AG695" t="str">
            <v>①</v>
          </cell>
          <cell r="AH695" t="str">
            <v/>
          </cell>
          <cell r="AI695" t="str">
            <v/>
          </cell>
        </row>
        <row r="696">
          <cell r="B696">
            <v>4413</v>
          </cell>
          <cell r="C696">
            <v>44</v>
          </cell>
          <cell r="D696">
            <v>13</v>
          </cell>
          <cell r="F696" t="str">
            <v>大森</v>
          </cell>
          <cell r="G696" t="str">
            <v>ガス漏火災警報(総合)</v>
          </cell>
          <cell r="H696" t="str">
            <v>ホーチキ</v>
          </cell>
          <cell r="I696">
            <v>30000</v>
          </cell>
          <cell r="J696">
            <v>30600</v>
          </cell>
          <cell r="K696">
            <v>1</v>
          </cell>
          <cell r="L696">
            <v>0</v>
          </cell>
          <cell r="M696">
            <v>0</v>
          </cell>
          <cell r="N696">
            <v>0</v>
          </cell>
          <cell r="O696">
            <v>30600</v>
          </cell>
          <cell r="P696">
            <v>0</v>
          </cell>
          <cell r="Q696">
            <v>0</v>
          </cell>
          <cell r="R696">
            <v>0</v>
          </cell>
          <cell r="S696">
            <v>0</v>
          </cell>
          <cell r="T696">
            <v>0</v>
          </cell>
          <cell r="U696">
            <v>0</v>
          </cell>
          <cell r="V696">
            <v>0</v>
          </cell>
          <cell r="W696">
            <v>0</v>
          </cell>
          <cell r="X696" t="str">
            <v/>
          </cell>
          <cell r="Y696" t="str">
            <v/>
          </cell>
          <cell r="Z696" t="str">
            <v/>
          </cell>
          <cell r="AA696" t="str">
            <v>⑦</v>
          </cell>
          <cell r="AB696" t="str">
            <v/>
          </cell>
          <cell r="AC696" t="str">
            <v/>
          </cell>
          <cell r="AD696" t="str">
            <v/>
          </cell>
          <cell r="AE696" t="str">
            <v/>
          </cell>
          <cell r="AF696" t="str">
            <v/>
          </cell>
          <cell r="AG696" t="str">
            <v/>
          </cell>
          <cell r="AH696" t="str">
            <v/>
          </cell>
          <cell r="AI696" t="str">
            <v/>
          </cell>
        </row>
        <row r="697">
          <cell r="B697">
            <v>4414</v>
          </cell>
          <cell r="C697">
            <v>44</v>
          </cell>
          <cell r="D697">
            <v>14</v>
          </cell>
          <cell r="F697" t="str">
            <v>大森</v>
          </cell>
          <cell r="G697" t="str">
            <v>ｽﾌﾟﾘﾝｸﾗｰ設備(外観)</v>
          </cell>
          <cell r="H697" t="str">
            <v>日本ドライケミカル</v>
          </cell>
          <cell r="I697">
            <v>85500</v>
          </cell>
          <cell r="J697">
            <v>87210</v>
          </cell>
          <cell r="K697">
            <v>1</v>
          </cell>
          <cell r="L697">
            <v>0</v>
          </cell>
          <cell r="M697">
            <v>0</v>
          </cell>
          <cell r="N697">
            <v>0</v>
          </cell>
          <cell r="O697">
            <v>0</v>
          </cell>
          <cell r="P697">
            <v>0</v>
          </cell>
          <cell r="Q697">
            <v>0</v>
          </cell>
          <cell r="R697">
            <v>0</v>
          </cell>
          <cell r="S697">
            <v>0</v>
          </cell>
          <cell r="T697">
            <v>0</v>
          </cell>
          <cell r="U697">
            <v>87210</v>
          </cell>
          <cell r="V697">
            <v>0</v>
          </cell>
          <cell r="W697">
            <v>0</v>
          </cell>
          <cell r="X697" t="str">
            <v/>
          </cell>
          <cell r="Y697" t="str">
            <v/>
          </cell>
          <cell r="Z697" t="str">
            <v/>
          </cell>
          <cell r="AA697" t="str">
            <v/>
          </cell>
          <cell r="AB697" t="str">
            <v/>
          </cell>
          <cell r="AC697" t="str">
            <v/>
          </cell>
          <cell r="AD697" t="str">
            <v/>
          </cell>
          <cell r="AE697" t="str">
            <v/>
          </cell>
          <cell r="AF697" t="str">
            <v/>
          </cell>
          <cell r="AG697" t="str">
            <v>①</v>
          </cell>
          <cell r="AH697" t="str">
            <v/>
          </cell>
          <cell r="AI697" t="str">
            <v/>
          </cell>
        </row>
        <row r="698">
          <cell r="B698">
            <v>4415</v>
          </cell>
          <cell r="C698">
            <v>44</v>
          </cell>
          <cell r="D698">
            <v>15</v>
          </cell>
          <cell r="F698" t="str">
            <v>大森</v>
          </cell>
          <cell r="G698" t="str">
            <v>ｽﾌﾟﾘﾝｸﾗｰ設備(総合)</v>
          </cell>
          <cell r="H698" t="str">
            <v>日本ドライケミカル</v>
          </cell>
          <cell r="I698">
            <v>111500</v>
          </cell>
          <cell r="J698">
            <v>113730</v>
          </cell>
          <cell r="K698">
            <v>1</v>
          </cell>
          <cell r="L698">
            <v>0</v>
          </cell>
          <cell r="M698">
            <v>0</v>
          </cell>
          <cell r="N698">
            <v>0</v>
          </cell>
          <cell r="O698">
            <v>113730</v>
          </cell>
          <cell r="P698">
            <v>0</v>
          </cell>
          <cell r="Q698">
            <v>0</v>
          </cell>
          <cell r="R698">
            <v>0</v>
          </cell>
          <cell r="S698">
            <v>0</v>
          </cell>
          <cell r="T698">
            <v>0</v>
          </cell>
          <cell r="U698">
            <v>0</v>
          </cell>
          <cell r="V698">
            <v>0</v>
          </cell>
          <cell r="W698">
            <v>0</v>
          </cell>
          <cell r="X698" t="str">
            <v/>
          </cell>
          <cell r="Y698" t="str">
            <v/>
          </cell>
          <cell r="Z698" t="str">
            <v/>
          </cell>
          <cell r="AA698" t="str">
            <v>⑦</v>
          </cell>
          <cell r="AB698" t="str">
            <v/>
          </cell>
          <cell r="AC698" t="str">
            <v/>
          </cell>
          <cell r="AD698" t="str">
            <v/>
          </cell>
          <cell r="AE698" t="str">
            <v/>
          </cell>
          <cell r="AF698" t="str">
            <v/>
          </cell>
          <cell r="AG698" t="str">
            <v/>
          </cell>
          <cell r="AH698" t="str">
            <v/>
          </cell>
          <cell r="AI698" t="str">
            <v/>
          </cell>
        </row>
        <row r="699">
          <cell r="B699">
            <v>4416</v>
          </cell>
          <cell r="C699">
            <v>44</v>
          </cell>
          <cell r="D699">
            <v>16</v>
          </cell>
          <cell r="F699" t="str">
            <v>大森</v>
          </cell>
          <cell r="G699" t="str">
            <v>ﾊﾛｹﾞﾝ化物設備保守(外観)</v>
          </cell>
          <cell r="H699" t="str">
            <v>能美防災</v>
          </cell>
          <cell r="I699">
            <v>100000</v>
          </cell>
          <cell r="J699">
            <v>102000</v>
          </cell>
          <cell r="K699">
            <v>1</v>
          </cell>
          <cell r="L699">
            <v>0</v>
          </cell>
          <cell r="M699">
            <v>0</v>
          </cell>
          <cell r="N699">
            <v>0</v>
          </cell>
          <cell r="O699">
            <v>0</v>
          </cell>
          <cell r="P699">
            <v>0</v>
          </cell>
          <cell r="Q699">
            <v>0</v>
          </cell>
          <cell r="R699">
            <v>0</v>
          </cell>
          <cell r="S699">
            <v>0</v>
          </cell>
          <cell r="T699">
            <v>0</v>
          </cell>
          <cell r="U699">
            <v>102000</v>
          </cell>
          <cell r="V699">
            <v>0</v>
          </cell>
          <cell r="W699">
            <v>0</v>
          </cell>
          <cell r="X699" t="str">
            <v/>
          </cell>
          <cell r="Y699" t="str">
            <v/>
          </cell>
          <cell r="Z699" t="str">
            <v/>
          </cell>
          <cell r="AA699" t="str">
            <v/>
          </cell>
          <cell r="AB699" t="str">
            <v/>
          </cell>
          <cell r="AC699" t="str">
            <v/>
          </cell>
          <cell r="AD699" t="str">
            <v/>
          </cell>
          <cell r="AE699" t="str">
            <v/>
          </cell>
          <cell r="AF699" t="str">
            <v/>
          </cell>
          <cell r="AG699" t="str">
            <v>①</v>
          </cell>
          <cell r="AH699" t="str">
            <v/>
          </cell>
          <cell r="AI699" t="str">
            <v/>
          </cell>
        </row>
        <row r="700">
          <cell r="B700">
            <v>4417</v>
          </cell>
          <cell r="C700">
            <v>44</v>
          </cell>
          <cell r="D700">
            <v>17</v>
          </cell>
          <cell r="F700" t="str">
            <v>大森</v>
          </cell>
          <cell r="G700" t="str">
            <v>ﾊﾛｹﾞﾝ化物設備保守(総合)</v>
          </cell>
          <cell r="H700" t="str">
            <v>能美防災</v>
          </cell>
          <cell r="I700">
            <v>150000</v>
          </cell>
          <cell r="J700">
            <v>153000</v>
          </cell>
          <cell r="K700">
            <v>1</v>
          </cell>
          <cell r="L700">
            <v>0</v>
          </cell>
          <cell r="M700">
            <v>0</v>
          </cell>
          <cell r="N700">
            <v>0</v>
          </cell>
          <cell r="O700">
            <v>153000</v>
          </cell>
          <cell r="P700">
            <v>0</v>
          </cell>
          <cell r="Q700">
            <v>0</v>
          </cell>
          <cell r="R700">
            <v>0</v>
          </cell>
          <cell r="S700">
            <v>0</v>
          </cell>
          <cell r="T700">
            <v>0</v>
          </cell>
          <cell r="U700">
            <v>0</v>
          </cell>
          <cell r="V700">
            <v>0</v>
          </cell>
          <cell r="W700">
            <v>0</v>
          </cell>
          <cell r="X700" t="str">
            <v/>
          </cell>
          <cell r="Y700" t="str">
            <v/>
          </cell>
          <cell r="Z700" t="str">
            <v/>
          </cell>
          <cell r="AA700" t="str">
            <v>⑦</v>
          </cell>
          <cell r="AB700" t="str">
            <v/>
          </cell>
          <cell r="AC700" t="str">
            <v/>
          </cell>
          <cell r="AD700" t="str">
            <v/>
          </cell>
          <cell r="AE700" t="str">
            <v/>
          </cell>
          <cell r="AF700" t="str">
            <v/>
          </cell>
          <cell r="AG700" t="str">
            <v/>
          </cell>
          <cell r="AH700" t="str">
            <v/>
          </cell>
          <cell r="AI700" t="str">
            <v/>
          </cell>
        </row>
        <row r="701">
          <cell r="B701">
            <v>4418</v>
          </cell>
          <cell r="C701">
            <v>44</v>
          </cell>
          <cell r="D701">
            <v>18</v>
          </cell>
          <cell r="F701" t="str">
            <v>大森</v>
          </cell>
          <cell r="G701" t="str">
            <v>消火栓設備保守(外観)</v>
          </cell>
          <cell r="H701" t="str">
            <v>日本ドライケミカル</v>
          </cell>
          <cell r="I701">
            <v>100000</v>
          </cell>
          <cell r="J701">
            <v>102000</v>
          </cell>
          <cell r="K701">
            <v>1</v>
          </cell>
          <cell r="L701">
            <v>0</v>
          </cell>
          <cell r="M701">
            <v>0</v>
          </cell>
          <cell r="N701">
            <v>0</v>
          </cell>
          <cell r="O701">
            <v>0</v>
          </cell>
          <cell r="P701">
            <v>0</v>
          </cell>
          <cell r="Q701">
            <v>0</v>
          </cell>
          <cell r="R701">
            <v>0</v>
          </cell>
          <cell r="S701">
            <v>0</v>
          </cell>
          <cell r="T701">
            <v>0</v>
          </cell>
          <cell r="U701">
            <v>102000</v>
          </cell>
          <cell r="V701">
            <v>0</v>
          </cell>
          <cell r="W701">
            <v>0</v>
          </cell>
          <cell r="X701" t="str">
            <v/>
          </cell>
          <cell r="Y701" t="str">
            <v/>
          </cell>
          <cell r="Z701" t="str">
            <v/>
          </cell>
          <cell r="AA701" t="str">
            <v/>
          </cell>
          <cell r="AB701" t="str">
            <v/>
          </cell>
          <cell r="AC701" t="str">
            <v/>
          </cell>
          <cell r="AD701" t="str">
            <v/>
          </cell>
          <cell r="AE701" t="str">
            <v/>
          </cell>
          <cell r="AF701" t="str">
            <v/>
          </cell>
          <cell r="AG701" t="str">
            <v>①</v>
          </cell>
          <cell r="AH701" t="str">
            <v/>
          </cell>
          <cell r="AI701" t="str">
            <v/>
          </cell>
        </row>
        <row r="702">
          <cell r="B702">
            <v>4419</v>
          </cell>
          <cell r="C702">
            <v>44</v>
          </cell>
          <cell r="D702">
            <v>19</v>
          </cell>
          <cell r="F702" t="str">
            <v>大森</v>
          </cell>
          <cell r="G702" t="str">
            <v>消火栓設備保守(総合)</v>
          </cell>
          <cell r="H702" t="str">
            <v>日本ドライケミカル</v>
          </cell>
          <cell r="I702">
            <v>119000</v>
          </cell>
          <cell r="J702">
            <v>121380</v>
          </cell>
          <cell r="K702">
            <v>1</v>
          </cell>
          <cell r="L702">
            <v>0</v>
          </cell>
          <cell r="M702">
            <v>0</v>
          </cell>
          <cell r="N702">
            <v>0</v>
          </cell>
          <cell r="O702">
            <v>121380</v>
          </cell>
          <cell r="P702">
            <v>0</v>
          </cell>
          <cell r="Q702">
            <v>0</v>
          </cell>
          <cell r="R702">
            <v>0</v>
          </cell>
          <cell r="S702">
            <v>0</v>
          </cell>
          <cell r="T702">
            <v>0</v>
          </cell>
          <cell r="U702">
            <v>0</v>
          </cell>
          <cell r="V702">
            <v>0</v>
          </cell>
          <cell r="W702">
            <v>0</v>
          </cell>
          <cell r="X702" t="str">
            <v/>
          </cell>
          <cell r="Y702" t="str">
            <v/>
          </cell>
          <cell r="Z702" t="str">
            <v/>
          </cell>
          <cell r="AA702" t="str">
            <v>⑦</v>
          </cell>
          <cell r="AB702" t="str">
            <v/>
          </cell>
          <cell r="AC702" t="str">
            <v/>
          </cell>
          <cell r="AD702" t="str">
            <v/>
          </cell>
          <cell r="AE702" t="str">
            <v/>
          </cell>
          <cell r="AF702" t="str">
            <v/>
          </cell>
          <cell r="AG702" t="str">
            <v/>
          </cell>
          <cell r="AH702" t="str">
            <v/>
          </cell>
          <cell r="AI702" t="str">
            <v/>
          </cell>
        </row>
        <row r="703">
          <cell r="B703">
            <v>4420</v>
          </cell>
          <cell r="C703">
            <v>44</v>
          </cell>
          <cell r="D703">
            <v>20</v>
          </cell>
          <cell r="F703" t="str">
            <v>大森</v>
          </cell>
          <cell r="G703" t="str">
            <v>泡消火設備保守(外観)</v>
          </cell>
          <cell r="H703" t="str">
            <v>日本ドライケミカル</v>
          </cell>
          <cell r="I703">
            <v>121500</v>
          </cell>
          <cell r="J703">
            <v>123930</v>
          </cell>
          <cell r="K703">
            <v>1</v>
          </cell>
          <cell r="L703">
            <v>0</v>
          </cell>
          <cell r="M703">
            <v>0</v>
          </cell>
          <cell r="N703">
            <v>0</v>
          </cell>
          <cell r="O703">
            <v>0</v>
          </cell>
          <cell r="P703">
            <v>0</v>
          </cell>
          <cell r="Q703">
            <v>0</v>
          </cell>
          <cell r="R703">
            <v>0</v>
          </cell>
          <cell r="S703">
            <v>0</v>
          </cell>
          <cell r="T703">
            <v>0</v>
          </cell>
          <cell r="U703">
            <v>123930</v>
          </cell>
          <cell r="V703">
            <v>0</v>
          </cell>
          <cell r="W703">
            <v>0</v>
          </cell>
          <cell r="X703" t="str">
            <v/>
          </cell>
          <cell r="Y703" t="str">
            <v/>
          </cell>
          <cell r="Z703" t="str">
            <v/>
          </cell>
          <cell r="AA703" t="str">
            <v/>
          </cell>
          <cell r="AB703" t="str">
            <v/>
          </cell>
          <cell r="AC703" t="str">
            <v/>
          </cell>
          <cell r="AD703" t="str">
            <v/>
          </cell>
          <cell r="AE703" t="str">
            <v/>
          </cell>
          <cell r="AF703" t="str">
            <v/>
          </cell>
          <cell r="AG703" t="str">
            <v>①</v>
          </cell>
          <cell r="AH703" t="str">
            <v/>
          </cell>
          <cell r="AI703" t="str">
            <v/>
          </cell>
        </row>
        <row r="704">
          <cell r="B704">
            <v>4421</v>
          </cell>
          <cell r="C704">
            <v>44</v>
          </cell>
          <cell r="D704">
            <v>21</v>
          </cell>
          <cell r="F704" t="str">
            <v>大森</v>
          </cell>
          <cell r="G704" t="str">
            <v>泡消火設備保守(総合)</v>
          </cell>
          <cell r="H704" t="str">
            <v>日本ドライケミカル</v>
          </cell>
          <cell r="I704">
            <v>572500</v>
          </cell>
          <cell r="J704">
            <v>583950</v>
          </cell>
          <cell r="K704">
            <v>1</v>
          </cell>
          <cell r="L704">
            <v>0</v>
          </cell>
          <cell r="M704">
            <v>0</v>
          </cell>
          <cell r="N704">
            <v>0</v>
          </cell>
          <cell r="O704">
            <v>583950</v>
          </cell>
          <cell r="P704">
            <v>0</v>
          </cell>
          <cell r="Q704">
            <v>0</v>
          </cell>
          <cell r="R704">
            <v>0</v>
          </cell>
          <cell r="S704">
            <v>0</v>
          </cell>
          <cell r="T704">
            <v>0</v>
          </cell>
          <cell r="U704">
            <v>0</v>
          </cell>
          <cell r="V704">
            <v>0</v>
          </cell>
          <cell r="W704">
            <v>0</v>
          </cell>
          <cell r="X704" t="str">
            <v/>
          </cell>
          <cell r="Y704" t="str">
            <v/>
          </cell>
          <cell r="Z704" t="str">
            <v/>
          </cell>
          <cell r="AA704" t="str">
            <v>⑦</v>
          </cell>
          <cell r="AB704" t="str">
            <v/>
          </cell>
          <cell r="AC704" t="str">
            <v/>
          </cell>
          <cell r="AD704" t="str">
            <v/>
          </cell>
          <cell r="AE704" t="str">
            <v/>
          </cell>
          <cell r="AF704" t="str">
            <v/>
          </cell>
          <cell r="AG704" t="str">
            <v/>
          </cell>
          <cell r="AH704" t="str">
            <v/>
          </cell>
          <cell r="AI704" t="str">
            <v/>
          </cell>
        </row>
        <row r="705">
          <cell r="B705">
            <v>4422</v>
          </cell>
          <cell r="C705">
            <v>44</v>
          </cell>
          <cell r="D705">
            <v>22</v>
          </cell>
          <cell r="F705" t="str">
            <v>大森</v>
          </cell>
          <cell r="G705" t="str">
            <v>非常放送設備保守(外観)</v>
          </cell>
          <cell r="H705" t="str">
            <v>通信機工事</v>
          </cell>
          <cell r="I705">
            <v>158500</v>
          </cell>
          <cell r="J705">
            <v>161670</v>
          </cell>
          <cell r="K705">
            <v>1</v>
          </cell>
          <cell r="L705">
            <v>0</v>
          </cell>
          <cell r="M705">
            <v>0</v>
          </cell>
          <cell r="N705">
            <v>0</v>
          </cell>
          <cell r="O705">
            <v>0</v>
          </cell>
          <cell r="P705">
            <v>0</v>
          </cell>
          <cell r="Q705">
            <v>0</v>
          </cell>
          <cell r="R705">
            <v>0</v>
          </cell>
          <cell r="S705">
            <v>0</v>
          </cell>
          <cell r="T705">
            <v>0</v>
          </cell>
          <cell r="U705">
            <v>161670</v>
          </cell>
          <cell r="V705">
            <v>0</v>
          </cell>
          <cell r="W705">
            <v>0</v>
          </cell>
          <cell r="X705" t="str">
            <v/>
          </cell>
          <cell r="Y705" t="str">
            <v/>
          </cell>
          <cell r="Z705" t="str">
            <v/>
          </cell>
          <cell r="AA705" t="str">
            <v/>
          </cell>
          <cell r="AB705" t="str">
            <v/>
          </cell>
          <cell r="AC705" t="str">
            <v/>
          </cell>
          <cell r="AD705" t="str">
            <v/>
          </cell>
          <cell r="AE705" t="str">
            <v/>
          </cell>
          <cell r="AF705" t="str">
            <v/>
          </cell>
          <cell r="AG705" t="str">
            <v>①</v>
          </cell>
          <cell r="AH705" t="str">
            <v/>
          </cell>
          <cell r="AI705" t="str">
            <v/>
          </cell>
        </row>
        <row r="706">
          <cell r="B706">
            <v>4423</v>
          </cell>
          <cell r="C706">
            <v>44</v>
          </cell>
          <cell r="D706">
            <v>23</v>
          </cell>
          <cell r="F706" t="str">
            <v>大森</v>
          </cell>
          <cell r="G706" t="str">
            <v>非常放送設備保守(総合)</v>
          </cell>
          <cell r="H706" t="str">
            <v>通信機工事</v>
          </cell>
          <cell r="I706">
            <v>191500</v>
          </cell>
          <cell r="J706">
            <v>195330</v>
          </cell>
          <cell r="K706">
            <v>1</v>
          </cell>
          <cell r="L706">
            <v>0</v>
          </cell>
          <cell r="M706">
            <v>0</v>
          </cell>
          <cell r="N706">
            <v>0</v>
          </cell>
          <cell r="O706">
            <v>195330</v>
          </cell>
          <cell r="P706">
            <v>0</v>
          </cell>
          <cell r="Q706">
            <v>0</v>
          </cell>
          <cell r="R706">
            <v>0</v>
          </cell>
          <cell r="S706">
            <v>0</v>
          </cell>
          <cell r="T706">
            <v>0</v>
          </cell>
          <cell r="U706">
            <v>0</v>
          </cell>
          <cell r="V706">
            <v>0</v>
          </cell>
          <cell r="W706">
            <v>0</v>
          </cell>
          <cell r="X706" t="str">
            <v/>
          </cell>
          <cell r="Y706" t="str">
            <v/>
          </cell>
          <cell r="Z706" t="str">
            <v/>
          </cell>
          <cell r="AA706" t="str">
            <v>⑦</v>
          </cell>
          <cell r="AB706" t="str">
            <v/>
          </cell>
          <cell r="AC706" t="str">
            <v/>
          </cell>
          <cell r="AD706" t="str">
            <v/>
          </cell>
          <cell r="AE706" t="str">
            <v/>
          </cell>
          <cell r="AF706" t="str">
            <v/>
          </cell>
          <cell r="AG706" t="str">
            <v/>
          </cell>
          <cell r="AH706" t="str">
            <v/>
          </cell>
          <cell r="AI706" t="str">
            <v/>
          </cell>
        </row>
        <row r="707">
          <cell r="B707">
            <v>4424</v>
          </cell>
          <cell r="C707">
            <v>44</v>
          </cell>
          <cell r="D707">
            <v>24</v>
          </cell>
          <cell r="F707" t="str">
            <v>大森</v>
          </cell>
          <cell r="G707" t="str">
            <v>機械式駐車場設備保守</v>
          </cell>
          <cell r="H707" t="str">
            <v>石川島運搬機械</v>
          </cell>
          <cell r="I707">
            <v>74118</v>
          </cell>
          <cell r="J707">
            <v>75600</v>
          </cell>
          <cell r="K707">
            <v>12</v>
          </cell>
          <cell r="L707">
            <v>75600</v>
          </cell>
          <cell r="M707">
            <v>75600</v>
          </cell>
          <cell r="N707">
            <v>75600</v>
          </cell>
          <cell r="O707">
            <v>75600</v>
          </cell>
          <cell r="P707">
            <v>75600</v>
          </cell>
          <cell r="Q707">
            <v>75600</v>
          </cell>
          <cell r="R707">
            <v>75600</v>
          </cell>
          <cell r="S707">
            <v>75600</v>
          </cell>
          <cell r="T707">
            <v>75600</v>
          </cell>
          <cell r="U707">
            <v>75600</v>
          </cell>
          <cell r="V707">
            <v>75600</v>
          </cell>
          <cell r="W707">
            <v>75600</v>
          </cell>
          <cell r="X707" t="str">
            <v>④</v>
          </cell>
          <cell r="Y707" t="str">
            <v>⑤</v>
          </cell>
          <cell r="Z707" t="str">
            <v>⑥</v>
          </cell>
          <cell r="AA707" t="str">
            <v>⑦</v>
          </cell>
          <cell r="AB707" t="str">
            <v>⑧</v>
          </cell>
          <cell r="AC707" t="str">
            <v>⑨</v>
          </cell>
          <cell r="AD707" t="str">
            <v>⑩</v>
          </cell>
          <cell r="AE707" t="str">
            <v>⑪</v>
          </cell>
          <cell r="AF707" t="str">
            <v>⑫</v>
          </cell>
          <cell r="AG707" t="str">
            <v>①</v>
          </cell>
          <cell r="AH707" t="str">
            <v>②</v>
          </cell>
          <cell r="AI707" t="str">
            <v>③</v>
          </cell>
        </row>
        <row r="708">
          <cell r="B708">
            <v>4425</v>
          </cell>
          <cell r="C708">
            <v>44</v>
          </cell>
          <cell r="D708">
            <v>25</v>
          </cell>
          <cell r="F708" t="str">
            <v>大森</v>
          </cell>
          <cell r="G708" t="str">
            <v>消火器具保守</v>
          </cell>
          <cell r="H708" t="str">
            <v>共立防災サービス</v>
          </cell>
          <cell r="I708">
            <v>40000</v>
          </cell>
          <cell r="J708">
            <v>40800</v>
          </cell>
          <cell r="K708">
            <v>2</v>
          </cell>
          <cell r="L708">
            <v>0</v>
          </cell>
          <cell r="M708">
            <v>0</v>
          </cell>
          <cell r="N708">
            <v>0</v>
          </cell>
          <cell r="O708">
            <v>40800</v>
          </cell>
          <cell r="P708">
            <v>0</v>
          </cell>
          <cell r="Q708">
            <v>0</v>
          </cell>
          <cell r="R708">
            <v>0</v>
          </cell>
          <cell r="S708">
            <v>0</v>
          </cell>
          <cell r="T708">
            <v>0</v>
          </cell>
          <cell r="U708">
            <v>40800</v>
          </cell>
          <cell r="V708">
            <v>0</v>
          </cell>
          <cell r="W708">
            <v>0</v>
          </cell>
          <cell r="X708" t="str">
            <v/>
          </cell>
          <cell r="Y708" t="str">
            <v/>
          </cell>
          <cell r="Z708" t="str">
            <v/>
          </cell>
          <cell r="AA708" t="str">
            <v>⑦</v>
          </cell>
          <cell r="AB708" t="str">
            <v/>
          </cell>
          <cell r="AC708" t="str">
            <v/>
          </cell>
          <cell r="AD708" t="str">
            <v/>
          </cell>
          <cell r="AE708" t="str">
            <v/>
          </cell>
          <cell r="AF708" t="str">
            <v/>
          </cell>
          <cell r="AG708" t="str">
            <v>①</v>
          </cell>
          <cell r="AH708" t="str">
            <v/>
          </cell>
          <cell r="AI708" t="str">
            <v/>
          </cell>
        </row>
        <row r="709">
          <cell r="B709">
            <v>4426</v>
          </cell>
          <cell r="C709">
            <v>44</v>
          </cell>
          <cell r="D709">
            <v>26</v>
          </cell>
          <cell r="F709" t="str">
            <v>大森</v>
          </cell>
          <cell r="G709" t="str">
            <v>害虫駆除</v>
          </cell>
          <cell r="H709" t="str">
            <v>三共消毒</v>
          </cell>
          <cell r="I709">
            <v>330000</v>
          </cell>
          <cell r="J709">
            <v>363000</v>
          </cell>
          <cell r="K709">
            <v>2</v>
          </cell>
          <cell r="L709">
            <v>0</v>
          </cell>
          <cell r="M709">
            <v>0</v>
          </cell>
          <cell r="N709">
            <v>0</v>
          </cell>
          <cell r="O709">
            <v>0</v>
          </cell>
          <cell r="P709">
            <v>363000</v>
          </cell>
          <cell r="Q709">
            <v>0</v>
          </cell>
          <cell r="R709">
            <v>0</v>
          </cell>
          <cell r="S709">
            <v>0</v>
          </cell>
          <cell r="T709">
            <v>0</v>
          </cell>
          <cell r="U709">
            <v>0</v>
          </cell>
          <cell r="V709">
            <v>363000</v>
          </cell>
          <cell r="W709">
            <v>0</v>
          </cell>
          <cell r="X709" t="str">
            <v/>
          </cell>
          <cell r="Y709" t="str">
            <v/>
          </cell>
          <cell r="Z709" t="str">
            <v/>
          </cell>
          <cell r="AA709" t="str">
            <v/>
          </cell>
          <cell r="AB709" t="str">
            <v>⑧</v>
          </cell>
          <cell r="AC709" t="str">
            <v/>
          </cell>
          <cell r="AD709" t="str">
            <v/>
          </cell>
          <cell r="AE709" t="str">
            <v/>
          </cell>
          <cell r="AF709" t="str">
            <v/>
          </cell>
          <cell r="AG709" t="str">
            <v/>
          </cell>
          <cell r="AH709" t="str">
            <v>②</v>
          </cell>
          <cell r="AI709" t="str">
            <v/>
          </cell>
        </row>
        <row r="710">
          <cell r="B710">
            <v>4427</v>
          </cell>
          <cell r="C710">
            <v>44</v>
          </cell>
          <cell r="D710">
            <v>27</v>
          </cell>
          <cell r="F710" t="str">
            <v>大森</v>
          </cell>
          <cell r="G710" t="str">
            <v>汚水･雑排水槽清掃</v>
          </cell>
          <cell r="H710" t="str">
            <v>シービーケー</v>
          </cell>
          <cell r="I710">
            <v>170000</v>
          </cell>
          <cell r="J710">
            <v>190400</v>
          </cell>
          <cell r="K710">
            <v>2</v>
          </cell>
          <cell r="L710">
            <v>0</v>
          </cell>
          <cell r="M710">
            <v>0</v>
          </cell>
          <cell r="N710">
            <v>0</v>
          </cell>
          <cell r="O710">
            <v>0</v>
          </cell>
          <cell r="P710">
            <v>190400</v>
          </cell>
          <cell r="Q710">
            <v>0</v>
          </cell>
          <cell r="R710">
            <v>0</v>
          </cell>
          <cell r="S710">
            <v>0</v>
          </cell>
          <cell r="T710">
            <v>0</v>
          </cell>
          <cell r="U710">
            <v>0</v>
          </cell>
          <cell r="V710">
            <v>190400</v>
          </cell>
          <cell r="W710">
            <v>0</v>
          </cell>
          <cell r="X710" t="str">
            <v/>
          </cell>
          <cell r="Y710" t="str">
            <v/>
          </cell>
          <cell r="Z710" t="str">
            <v/>
          </cell>
          <cell r="AA710" t="str">
            <v/>
          </cell>
          <cell r="AB710" t="str">
            <v>⑧</v>
          </cell>
          <cell r="AC710" t="str">
            <v/>
          </cell>
          <cell r="AD710" t="str">
            <v/>
          </cell>
          <cell r="AE710" t="str">
            <v/>
          </cell>
          <cell r="AF710" t="str">
            <v/>
          </cell>
          <cell r="AG710" t="str">
            <v/>
          </cell>
          <cell r="AH710" t="str">
            <v>②</v>
          </cell>
          <cell r="AI710" t="str">
            <v/>
          </cell>
        </row>
        <row r="711">
          <cell r="B711">
            <v>4428</v>
          </cell>
          <cell r="C711">
            <v>44</v>
          </cell>
          <cell r="D711">
            <v>28</v>
          </cell>
          <cell r="F711" t="str">
            <v>大森</v>
          </cell>
          <cell r="G711" t="str">
            <v>受水槽清掃</v>
          </cell>
          <cell r="H711" t="str">
            <v>シービーケー</v>
          </cell>
          <cell r="I711">
            <v>169000</v>
          </cell>
          <cell r="J711">
            <v>190970</v>
          </cell>
          <cell r="K711">
            <v>1</v>
          </cell>
          <cell r="L711">
            <v>0</v>
          </cell>
          <cell r="M711">
            <v>0</v>
          </cell>
          <cell r="N711">
            <v>0</v>
          </cell>
          <cell r="O711">
            <v>0</v>
          </cell>
          <cell r="P711">
            <v>190970</v>
          </cell>
          <cell r="Q711">
            <v>0</v>
          </cell>
          <cell r="R711">
            <v>0</v>
          </cell>
          <cell r="S711">
            <v>0</v>
          </cell>
          <cell r="T711">
            <v>0</v>
          </cell>
          <cell r="U711">
            <v>0</v>
          </cell>
          <cell r="V711">
            <v>0</v>
          </cell>
          <cell r="W711">
            <v>0</v>
          </cell>
          <cell r="X711" t="str">
            <v/>
          </cell>
          <cell r="Y711" t="str">
            <v/>
          </cell>
          <cell r="Z711" t="str">
            <v/>
          </cell>
          <cell r="AA711" t="str">
            <v/>
          </cell>
          <cell r="AB711" t="str">
            <v>⑧</v>
          </cell>
          <cell r="AC711" t="str">
            <v/>
          </cell>
          <cell r="AD711" t="str">
            <v/>
          </cell>
          <cell r="AE711" t="str">
            <v/>
          </cell>
          <cell r="AF711" t="str">
            <v/>
          </cell>
          <cell r="AG711" t="str">
            <v/>
          </cell>
          <cell r="AH711" t="str">
            <v/>
          </cell>
          <cell r="AI711" t="str">
            <v/>
          </cell>
        </row>
        <row r="712">
          <cell r="B712">
            <v>4429</v>
          </cell>
          <cell r="C712">
            <v>44</v>
          </cell>
          <cell r="D712">
            <v>29</v>
          </cell>
          <cell r="F712" t="str">
            <v>大森</v>
          </cell>
          <cell r="G712" t="str">
            <v>自動ドアー保守</v>
          </cell>
          <cell r="H712" t="str">
            <v>ナブコシステム</v>
          </cell>
          <cell r="I712">
            <v>22000</v>
          </cell>
          <cell r="J712">
            <v>22440</v>
          </cell>
          <cell r="K712">
            <v>4</v>
          </cell>
          <cell r="L712">
            <v>22440</v>
          </cell>
          <cell r="M712">
            <v>0</v>
          </cell>
          <cell r="N712">
            <v>0</v>
          </cell>
          <cell r="O712">
            <v>22440</v>
          </cell>
          <cell r="P712">
            <v>0</v>
          </cell>
          <cell r="Q712">
            <v>0</v>
          </cell>
          <cell r="R712">
            <v>22440</v>
          </cell>
          <cell r="S712">
            <v>0</v>
          </cell>
          <cell r="T712">
            <v>0</v>
          </cell>
          <cell r="U712">
            <v>22440</v>
          </cell>
          <cell r="V712">
            <v>0</v>
          </cell>
          <cell r="W712">
            <v>0</v>
          </cell>
          <cell r="X712" t="str">
            <v>④</v>
          </cell>
          <cell r="Y712" t="str">
            <v/>
          </cell>
          <cell r="Z712" t="str">
            <v/>
          </cell>
          <cell r="AA712" t="str">
            <v>⑦</v>
          </cell>
          <cell r="AB712" t="str">
            <v/>
          </cell>
          <cell r="AC712" t="str">
            <v/>
          </cell>
          <cell r="AD712" t="str">
            <v>⑩</v>
          </cell>
          <cell r="AE712" t="str">
            <v/>
          </cell>
          <cell r="AF712" t="str">
            <v/>
          </cell>
          <cell r="AG712" t="str">
            <v>①</v>
          </cell>
          <cell r="AH712" t="str">
            <v/>
          </cell>
          <cell r="AI712" t="str">
            <v/>
          </cell>
        </row>
        <row r="713">
          <cell r="B713">
            <v>4430</v>
          </cell>
          <cell r="C713">
            <v>44</v>
          </cell>
          <cell r="D713">
            <v>30</v>
          </cell>
          <cell r="F713" t="str">
            <v>大森</v>
          </cell>
          <cell r="G713" t="str">
            <v>植栽管理</v>
          </cell>
          <cell r="H713" t="str">
            <v>王子緑化</v>
          </cell>
          <cell r="I713">
            <v>269000</v>
          </cell>
          <cell r="J713">
            <v>274380</v>
          </cell>
          <cell r="K713">
            <v>1</v>
          </cell>
          <cell r="L713">
            <v>0</v>
          </cell>
          <cell r="M713">
            <v>0</v>
          </cell>
          <cell r="N713">
            <v>274380</v>
          </cell>
          <cell r="O713">
            <v>0</v>
          </cell>
          <cell r="P713">
            <v>0</v>
          </cell>
          <cell r="Q713">
            <v>0</v>
          </cell>
          <cell r="R713">
            <v>0</v>
          </cell>
          <cell r="S713">
            <v>0</v>
          </cell>
          <cell r="T713">
            <v>0</v>
          </cell>
          <cell r="U713">
            <v>0</v>
          </cell>
          <cell r="V713">
            <v>0</v>
          </cell>
          <cell r="W713">
            <v>0</v>
          </cell>
          <cell r="X713" t="str">
            <v/>
          </cell>
          <cell r="Y713" t="str">
            <v/>
          </cell>
          <cell r="Z713" t="str">
            <v>⑥</v>
          </cell>
          <cell r="AA713" t="str">
            <v/>
          </cell>
          <cell r="AB713" t="str">
            <v/>
          </cell>
          <cell r="AC713" t="str">
            <v/>
          </cell>
          <cell r="AD713" t="str">
            <v/>
          </cell>
          <cell r="AE713" t="str">
            <v/>
          </cell>
          <cell r="AF713" t="str">
            <v/>
          </cell>
          <cell r="AG713" t="str">
            <v/>
          </cell>
          <cell r="AH713" t="str">
            <v/>
          </cell>
          <cell r="AI713" t="str">
            <v/>
          </cell>
        </row>
        <row r="714">
          <cell r="B714">
            <v>4431</v>
          </cell>
          <cell r="C714">
            <v>44</v>
          </cell>
          <cell r="D714">
            <v>31</v>
          </cell>
          <cell r="F714" t="str">
            <v>大森</v>
          </cell>
          <cell r="G714" t="str">
            <v>植栽管理</v>
          </cell>
          <cell r="H714" t="str">
            <v>王子緑化</v>
          </cell>
          <cell r="I714">
            <v>211000</v>
          </cell>
          <cell r="J714">
            <v>215220</v>
          </cell>
          <cell r="K714">
            <v>1</v>
          </cell>
          <cell r="L714">
            <v>0</v>
          </cell>
          <cell r="M714">
            <v>0</v>
          </cell>
          <cell r="N714">
            <v>0</v>
          </cell>
          <cell r="O714">
            <v>0</v>
          </cell>
          <cell r="P714">
            <v>0</v>
          </cell>
          <cell r="Q714">
            <v>215220</v>
          </cell>
          <cell r="R714">
            <v>0</v>
          </cell>
          <cell r="S714">
            <v>0</v>
          </cell>
          <cell r="T714">
            <v>0</v>
          </cell>
          <cell r="U714">
            <v>0</v>
          </cell>
          <cell r="V714">
            <v>0</v>
          </cell>
          <cell r="W714">
            <v>0</v>
          </cell>
          <cell r="X714" t="str">
            <v/>
          </cell>
          <cell r="Y714" t="str">
            <v/>
          </cell>
          <cell r="Z714" t="str">
            <v/>
          </cell>
          <cell r="AA714" t="str">
            <v/>
          </cell>
          <cell r="AB714" t="str">
            <v/>
          </cell>
          <cell r="AC714" t="str">
            <v>⑨</v>
          </cell>
          <cell r="AD714" t="str">
            <v/>
          </cell>
          <cell r="AE714" t="str">
            <v/>
          </cell>
          <cell r="AF714" t="str">
            <v/>
          </cell>
          <cell r="AG714" t="str">
            <v/>
          </cell>
          <cell r="AH714" t="str">
            <v/>
          </cell>
          <cell r="AI714" t="str">
            <v/>
          </cell>
        </row>
        <row r="715">
          <cell r="B715">
            <v>4501</v>
          </cell>
          <cell r="C715">
            <v>45</v>
          </cell>
          <cell r="D715">
            <v>1</v>
          </cell>
          <cell r="F715" t="str">
            <v>目黒</v>
          </cell>
          <cell r="G715" t="str">
            <v>昇降機設備保守</v>
          </cell>
          <cell r="H715" t="str">
            <v>三菱電機ﾋﾞﾙﾃｸﾉｻｰﾋﾞｽ</v>
          </cell>
          <cell r="I715">
            <v>130100</v>
          </cell>
          <cell r="J715">
            <v>132702</v>
          </cell>
          <cell r="K715">
            <v>12</v>
          </cell>
          <cell r="L715">
            <v>132702</v>
          </cell>
          <cell r="M715">
            <v>132702</v>
          </cell>
          <cell r="N715">
            <v>132702</v>
          </cell>
          <cell r="O715">
            <v>132702</v>
          </cell>
          <cell r="P715">
            <v>132702</v>
          </cell>
          <cell r="Q715">
            <v>132702</v>
          </cell>
          <cell r="R715">
            <v>132702</v>
          </cell>
          <cell r="S715">
            <v>132702</v>
          </cell>
          <cell r="T715">
            <v>132702</v>
          </cell>
          <cell r="U715">
            <v>132702</v>
          </cell>
          <cell r="V715">
            <v>132702</v>
          </cell>
          <cell r="W715">
            <v>132702</v>
          </cell>
          <cell r="X715" t="str">
            <v>④</v>
          </cell>
          <cell r="Y715" t="str">
            <v>⑤</v>
          </cell>
          <cell r="Z715" t="str">
            <v>⑥</v>
          </cell>
          <cell r="AA715" t="str">
            <v>⑦</v>
          </cell>
          <cell r="AB715" t="str">
            <v>⑧</v>
          </cell>
          <cell r="AC715" t="str">
            <v>⑨</v>
          </cell>
          <cell r="AD715" t="str">
            <v>⑩</v>
          </cell>
          <cell r="AE715" t="str">
            <v>⑪</v>
          </cell>
          <cell r="AF715" t="str">
            <v>⑫</v>
          </cell>
          <cell r="AG715" t="str">
            <v>①</v>
          </cell>
          <cell r="AH715" t="str">
            <v>②</v>
          </cell>
          <cell r="AI715" t="str">
            <v>③</v>
          </cell>
        </row>
        <row r="716">
          <cell r="B716">
            <v>4502</v>
          </cell>
          <cell r="C716">
            <v>45</v>
          </cell>
          <cell r="D716">
            <v>2</v>
          </cell>
          <cell r="F716" t="str">
            <v>目黒</v>
          </cell>
          <cell r="G716" t="str">
            <v>自動火災報知設備(外観)</v>
          </cell>
          <cell r="H716" t="str">
            <v>東京消防設備保守協会</v>
          </cell>
          <cell r="I716">
            <v>60000</v>
          </cell>
          <cell r="J716">
            <v>61200</v>
          </cell>
          <cell r="K716">
            <v>1</v>
          </cell>
          <cell r="L716">
            <v>61200</v>
          </cell>
          <cell r="M716">
            <v>0</v>
          </cell>
          <cell r="N716">
            <v>0</v>
          </cell>
          <cell r="O716">
            <v>0</v>
          </cell>
          <cell r="P716">
            <v>0</v>
          </cell>
          <cell r="Q716">
            <v>0</v>
          </cell>
          <cell r="R716">
            <v>0</v>
          </cell>
          <cell r="S716">
            <v>0</v>
          </cell>
          <cell r="T716">
            <v>0</v>
          </cell>
          <cell r="U716">
            <v>0</v>
          </cell>
          <cell r="V716">
            <v>0</v>
          </cell>
          <cell r="W716">
            <v>0</v>
          </cell>
          <cell r="X716" t="str">
            <v>④</v>
          </cell>
          <cell r="Y716" t="str">
            <v/>
          </cell>
          <cell r="Z716" t="str">
            <v/>
          </cell>
          <cell r="AA716" t="str">
            <v/>
          </cell>
          <cell r="AB716" t="str">
            <v/>
          </cell>
          <cell r="AC716" t="str">
            <v/>
          </cell>
          <cell r="AD716" t="str">
            <v/>
          </cell>
          <cell r="AE716" t="str">
            <v/>
          </cell>
          <cell r="AF716" t="str">
            <v/>
          </cell>
          <cell r="AG716" t="str">
            <v/>
          </cell>
          <cell r="AH716" t="str">
            <v/>
          </cell>
          <cell r="AI716" t="str">
            <v/>
          </cell>
        </row>
        <row r="717">
          <cell r="B717">
            <v>4503</v>
          </cell>
          <cell r="C717">
            <v>45</v>
          </cell>
          <cell r="D717">
            <v>3</v>
          </cell>
          <cell r="F717" t="str">
            <v>目黒</v>
          </cell>
          <cell r="G717" t="str">
            <v>自動火災報知設備(総合)</v>
          </cell>
          <cell r="H717" t="str">
            <v>東京消防設備保守協会</v>
          </cell>
          <cell r="I717">
            <v>148000</v>
          </cell>
          <cell r="J717">
            <v>150960</v>
          </cell>
          <cell r="K717">
            <v>1</v>
          </cell>
          <cell r="L717">
            <v>0</v>
          </cell>
          <cell r="M717">
            <v>0</v>
          </cell>
          <cell r="N717">
            <v>0</v>
          </cell>
          <cell r="O717">
            <v>0</v>
          </cell>
          <cell r="P717">
            <v>0</v>
          </cell>
          <cell r="Q717">
            <v>0</v>
          </cell>
          <cell r="R717">
            <v>150960</v>
          </cell>
          <cell r="S717">
            <v>0</v>
          </cell>
          <cell r="T717">
            <v>0</v>
          </cell>
          <cell r="U717">
            <v>0</v>
          </cell>
          <cell r="V717">
            <v>0</v>
          </cell>
          <cell r="W717">
            <v>0</v>
          </cell>
          <cell r="X717" t="str">
            <v/>
          </cell>
          <cell r="Y717" t="str">
            <v/>
          </cell>
          <cell r="Z717" t="str">
            <v/>
          </cell>
          <cell r="AA717" t="str">
            <v/>
          </cell>
          <cell r="AB717" t="str">
            <v/>
          </cell>
          <cell r="AC717" t="str">
            <v/>
          </cell>
          <cell r="AD717" t="str">
            <v>⑩</v>
          </cell>
          <cell r="AE717" t="str">
            <v/>
          </cell>
          <cell r="AF717" t="str">
            <v/>
          </cell>
          <cell r="AG717" t="str">
            <v/>
          </cell>
          <cell r="AH717" t="str">
            <v/>
          </cell>
          <cell r="AI717" t="str">
            <v/>
          </cell>
        </row>
        <row r="718">
          <cell r="B718">
            <v>4504</v>
          </cell>
          <cell r="C718">
            <v>45</v>
          </cell>
          <cell r="D718">
            <v>4</v>
          </cell>
          <cell r="F718" t="str">
            <v>目黒</v>
          </cell>
          <cell r="G718" t="str">
            <v>消火器設備保守(外観)</v>
          </cell>
          <cell r="H718" t="str">
            <v>東京消防設備保守協会</v>
          </cell>
          <cell r="I718">
            <v>23000</v>
          </cell>
          <cell r="J718">
            <v>23460</v>
          </cell>
          <cell r="K718">
            <v>2</v>
          </cell>
          <cell r="L718">
            <v>23460</v>
          </cell>
          <cell r="M718">
            <v>0</v>
          </cell>
          <cell r="N718">
            <v>0</v>
          </cell>
          <cell r="O718">
            <v>0</v>
          </cell>
          <cell r="P718">
            <v>0</v>
          </cell>
          <cell r="Q718">
            <v>0</v>
          </cell>
          <cell r="R718">
            <v>23460</v>
          </cell>
          <cell r="S718">
            <v>0</v>
          </cell>
          <cell r="T718">
            <v>0</v>
          </cell>
          <cell r="U718">
            <v>0</v>
          </cell>
          <cell r="V718">
            <v>0</v>
          </cell>
          <cell r="W718">
            <v>0</v>
          </cell>
          <cell r="X718" t="str">
            <v>④</v>
          </cell>
          <cell r="Y718" t="str">
            <v/>
          </cell>
          <cell r="Z718" t="str">
            <v/>
          </cell>
          <cell r="AA718" t="str">
            <v/>
          </cell>
          <cell r="AB718" t="str">
            <v/>
          </cell>
          <cell r="AC718" t="str">
            <v/>
          </cell>
          <cell r="AD718" t="str">
            <v>⑩</v>
          </cell>
          <cell r="AE718" t="str">
            <v/>
          </cell>
          <cell r="AF718" t="str">
            <v/>
          </cell>
          <cell r="AG718" t="str">
            <v/>
          </cell>
          <cell r="AH718" t="str">
            <v/>
          </cell>
          <cell r="AI718" t="str">
            <v/>
          </cell>
        </row>
        <row r="719">
          <cell r="B719">
            <v>4505</v>
          </cell>
          <cell r="C719">
            <v>45</v>
          </cell>
          <cell r="D719">
            <v>5</v>
          </cell>
          <cell r="F719" t="str">
            <v>目黒</v>
          </cell>
          <cell r="G719" t="str">
            <v>消火栓設備保守(外観)</v>
          </cell>
          <cell r="H719" t="str">
            <v>東京消防設備保守協会</v>
          </cell>
          <cell r="I719">
            <v>70000</v>
          </cell>
          <cell r="J719">
            <v>71400</v>
          </cell>
          <cell r="K719">
            <v>1</v>
          </cell>
          <cell r="L719">
            <v>71400</v>
          </cell>
          <cell r="M719">
            <v>0</v>
          </cell>
          <cell r="N719">
            <v>0</v>
          </cell>
          <cell r="O719">
            <v>0</v>
          </cell>
          <cell r="P719">
            <v>0</v>
          </cell>
          <cell r="Q719">
            <v>0</v>
          </cell>
          <cell r="R719">
            <v>0</v>
          </cell>
          <cell r="S719">
            <v>0</v>
          </cell>
          <cell r="T719">
            <v>0</v>
          </cell>
          <cell r="U719">
            <v>0</v>
          </cell>
          <cell r="V719">
            <v>0</v>
          </cell>
          <cell r="W719">
            <v>0</v>
          </cell>
          <cell r="X719" t="str">
            <v>④</v>
          </cell>
          <cell r="Y719" t="str">
            <v/>
          </cell>
          <cell r="Z719" t="str">
            <v/>
          </cell>
          <cell r="AA719" t="str">
            <v/>
          </cell>
          <cell r="AB719" t="str">
            <v/>
          </cell>
          <cell r="AC719" t="str">
            <v/>
          </cell>
          <cell r="AD719" t="str">
            <v/>
          </cell>
          <cell r="AE719" t="str">
            <v/>
          </cell>
          <cell r="AF719" t="str">
            <v/>
          </cell>
          <cell r="AG719" t="str">
            <v/>
          </cell>
          <cell r="AH719" t="str">
            <v/>
          </cell>
          <cell r="AI719" t="str">
            <v/>
          </cell>
        </row>
        <row r="720">
          <cell r="B720">
            <v>4506</v>
          </cell>
          <cell r="C720">
            <v>45</v>
          </cell>
          <cell r="D720">
            <v>6</v>
          </cell>
          <cell r="F720" t="str">
            <v>目黒</v>
          </cell>
          <cell r="G720" t="str">
            <v>消火栓設備保守(総合)</v>
          </cell>
          <cell r="H720" t="str">
            <v>東京消防設備保守協会</v>
          </cell>
          <cell r="I720">
            <v>89000</v>
          </cell>
          <cell r="J720">
            <v>90780</v>
          </cell>
          <cell r="K720">
            <v>1</v>
          </cell>
          <cell r="L720">
            <v>0</v>
          </cell>
          <cell r="M720">
            <v>0</v>
          </cell>
          <cell r="N720">
            <v>0</v>
          </cell>
          <cell r="O720">
            <v>0</v>
          </cell>
          <cell r="P720">
            <v>0</v>
          </cell>
          <cell r="Q720">
            <v>0</v>
          </cell>
          <cell r="R720">
            <v>90780</v>
          </cell>
          <cell r="S720">
            <v>0</v>
          </cell>
          <cell r="T720">
            <v>0</v>
          </cell>
          <cell r="U720">
            <v>0</v>
          </cell>
          <cell r="V720">
            <v>0</v>
          </cell>
          <cell r="W720">
            <v>0</v>
          </cell>
          <cell r="X720" t="str">
            <v/>
          </cell>
          <cell r="Y720" t="str">
            <v/>
          </cell>
          <cell r="Z720" t="str">
            <v/>
          </cell>
          <cell r="AA720" t="str">
            <v/>
          </cell>
          <cell r="AB720" t="str">
            <v/>
          </cell>
          <cell r="AC720" t="str">
            <v/>
          </cell>
          <cell r="AD720" t="str">
            <v>⑩</v>
          </cell>
          <cell r="AE720" t="str">
            <v/>
          </cell>
          <cell r="AF720" t="str">
            <v/>
          </cell>
          <cell r="AG720" t="str">
            <v/>
          </cell>
          <cell r="AH720" t="str">
            <v/>
          </cell>
          <cell r="AI720" t="str">
            <v/>
          </cell>
        </row>
        <row r="721">
          <cell r="B721">
            <v>4507</v>
          </cell>
          <cell r="C721">
            <v>45</v>
          </cell>
          <cell r="D721">
            <v>7</v>
          </cell>
          <cell r="F721" t="str">
            <v>目黒</v>
          </cell>
          <cell r="G721" t="str">
            <v>防排煙設備保守(外観)</v>
          </cell>
          <cell r="H721" t="str">
            <v>東京消防設備保守協会</v>
          </cell>
          <cell r="I721">
            <v>63000</v>
          </cell>
          <cell r="J721">
            <v>64260</v>
          </cell>
          <cell r="K721">
            <v>1</v>
          </cell>
          <cell r="L721">
            <v>64260</v>
          </cell>
          <cell r="M721">
            <v>0</v>
          </cell>
          <cell r="N721">
            <v>0</v>
          </cell>
          <cell r="O721">
            <v>0</v>
          </cell>
          <cell r="P721">
            <v>0</v>
          </cell>
          <cell r="Q721">
            <v>0</v>
          </cell>
          <cell r="R721">
            <v>0</v>
          </cell>
          <cell r="S721">
            <v>0</v>
          </cell>
          <cell r="T721">
            <v>0</v>
          </cell>
          <cell r="U721">
            <v>0</v>
          </cell>
          <cell r="V721">
            <v>0</v>
          </cell>
          <cell r="W721">
            <v>0</v>
          </cell>
          <cell r="X721" t="str">
            <v>④</v>
          </cell>
          <cell r="Y721" t="str">
            <v/>
          </cell>
          <cell r="Z721" t="str">
            <v/>
          </cell>
          <cell r="AA721" t="str">
            <v/>
          </cell>
          <cell r="AB721" t="str">
            <v/>
          </cell>
          <cell r="AC721" t="str">
            <v/>
          </cell>
          <cell r="AD721" t="str">
            <v/>
          </cell>
          <cell r="AE721" t="str">
            <v/>
          </cell>
          <cell r="AF721" t="str">
            <v/>
          </cell>
          <cell r="AG721" t="str">
            <v/>
          </cell>
          <cell r="AH721" t="str">
            <v/>
          </cell>
          <cell r="AI721" t="str">
            <v/>
          </cell>
        </row>
        <row r="722">
          <cell r="B722">
            <v>4508</v>
          </cell>
          <cell r="C722">
            <v>45</v>
          </cell>
          <cell r="D722">
            <v>8</v>
          </cell>
          <cell r="F722" t="str">
            <v>目黒</v>
          </cell>
          <cell r="G722" t="str">
            <v>防排煙設備保守(総合)</v>
          </cell>
          <cell r="H722" t="str">
            <v>東京消防設備保守協会</v>
          </cell>
          <cell r="I722">
            <v>71000</v>
          </cell>
          <cell r="J722">
            <v>72420</v>
          </cell>
          <cell r="K722">
            <v>1</v>
          </cell>
          <cell r="L722">
            <v>0</v>
          </cell>
          <cell r="M722">
            <v>0</v>
          </cell>
          <cell r="N722">
            <v>0</v>
          </cell>
          <cell r="O722">
            <v>0</v>
          </cell>
          <cell r="P722">
            <v>0</v>
          </cell>
          <cell r="Q722">
            <v>0</v>
          </cell>
          <cell r="R722">
            <v>72420</v>
          </cell>
          <cell r="S722">
            <v>0</v>
          </cell>
          <cell r="T722">
            <v>0</v>
          </cell>
          <cell r="U722">
            <v>0</v>
          </cell>
          <cell r="V722">
            <v>0</v>
          </cell>
          <cell r="W722">
            <v>0</v>
          </cell>
          <cell r="X722" t="str">
            <v/>
          </cell>
          <cell r="Y722" t="str">
            <v/>
          </cell>
          <cell r="Z722" t="str">
            <v/>
          </cell>
          <cell r="AA722" t="str">
            <v/>
          </cell>
          <cell r="AB722" t="str">
            <v/>
          </cell>
          <cell r="AC722" t="str">
            <v/>
          </cell>
          <cell r="AD722" t="str">
            <v>⑩</v>
          </cell>
          <cell r="AE722" t="str">
            <v/>
          </cell>
          <cell r="AF722" t="str">
            <v/>
          </cell>
          <cell r="AG722" t="str">
            <v/>
          </cell>
          <cell r="AH722" t="str">
            <v/>
          </cell>
          <cell r="AI722" t="str">
            <v/>
          </cell>
        </row>
        <row r="723">
          <cell r="B723">
            <v>4509</v>
          </cell>
          <cell r="C723">
            <v>45</v>
          </cell>
          <cell r="D723">
            <v>9</v>
          </cell>
          <cell r="F723" t="str">
            <v>目黒</v>
          </cell>
          <cell r="G723" t="str">
            <v>誘導灯設備保守(外観)</v>
          </cell>
          <cell r="H723" t="str">
            <v>東京消防設備保守協会</v>
          </cell>
          <cell r="I723">
            <v>33000</v>
          </cell>
          <cell r="J723">
            <v>33660</v>
          </cell>
          <cell r="K723">
            <v>2</v>
          </cell>
          <cell r="L723">
            <v>33660</v>
          </cell>
          <cell r="M723">
            <v>0</v>
          </cell>
          <cell r="N723">
            <v>0</v>
          </cell>
          <cell r="O723">
            <v>0</v>
          </cell>
          <cell r="P723">
            <v>0</v>
          </cell>
          <cell r="Q723">
            <v>0</v>
          </cell>
          <cell r="R723">
            <v>33660</v>
          </cell>
          <cell r="S723">
            <v>0</v>
          </cell>
          <cell r="T723">
            <v>0</v>
          </cell>
          <cell r="U723">
            <v>0</v>
          </cell>
          <cell r="V723">
            <v>0</v>
          </cell>
          <cell r="W723">
            <v>0</v>
          </cell>
          <cell r="X723" t="str">
            <v>④</v>
          </cell>
          <cell r="Y723" t="str">
            <v/>
          </cell>
          <cell r="Z723" t="str">
            <v/>
          </cell>
          <cell r="AA723" t="str">
            <v/>
          </cell>
          <cell r="AB723" t="str">
            <v/>
          </cell>
          <cell r="AC723" t="str">
            <v/>
          </cell>
          <cell r="AD723" t="str">
            <v>⑩</v>
          </cell>
          <cell r="AE723" t="str">
            <v/>
          </cell>
          <cell r="AF723" t="str">
            <v/>
          </cell>
          <cell r="AG723" t="str">
            <v/>
          </cell>
          <cell r="AH723" t="str">
            <v/>
          </cell>
          <cell r="AI723" t="str">
            <v/>
          </cell>
        </row>
        <row r="724">
          <cell r="B724">
            <v>4510</v>
          </cell>
          <cell r="C724">
            <v>45</v>
          </cell>
          <cell r="D724">
            <v>10</v>
          </cell>
          <cell r="F724" t="str">
            <v>目黒</v>
          </cell>
          <cell r="G724" t="str">
            <v>非常放送設備保守(外観)</v>
          </cell>
          <cell r="H724" t="str">
            <v>東京消防設備保守協会</v>
          </cell>
          <cell r="I724">
            <v>24000</v>
          </cell>
          <cell r="J724">
            <v>24480</v>
          </cell>
          <cell r="K724">
            <v>1</v>
          </cell>
          <cell r="L724">
            <v>24480</v>
          </cell>
          <cell r="M724">
            <v>0</v>
          </cell>
          <cell r="N724">
            <v>0</v>
          </cell>
          <cell r="O724">
            <v>0</v>
          </cell>
          <cell r="P724">
            <v>0</v>
          </cell>
          <cell r="Q724">
            <v>0</v>
          </cell>
          <cell r="R724">
            <v>0</v>
          </cell>
          <cell r="S724">
            <v>0</v>
          </cell>
          <cell r="T724">
            <v>0</v>
          </cell>
          <cell r="U724">
            <v>0</v>
          </cell>
          <cell r="V724">
            <v>0</v>
          </cell>
          <cell r="W724">
            <v>0</v>
          </cell>
          <cell r="X724" t="str">
            <v>④</v>
          </cell>
          <cell r="Y724" t="str">
            <v/>
          </cell>
          <cell r="Z724" t="str">
            <v/>
          </cell>
          <cell r="AA724" t="str">
            <v/>
          </cell>
          <cell r="AB724" t="str">
            <v/>
          </cell>
          <cell r="AC724" t="str">
            <v/>
          </cell>
          <cell r="AD724" t="str">
            <v/>
          </cell>
          <cell r="AE724" t="str">
            <v/>
          </cell>
          <cell r="AF724" t="str">
            <v/>
          </cell>
          <cell r="AG724" t="str">
            <v/>
          </cell>
          <cell r="AH724" t="str">
            <v/>
          </cell>
          <cell r="AI724" t="str">
            <v/>
          </cell>
        </row>
        <row r="725">
          <cell r="B725">
            <v>4511</v>
          </cell>
          <cell r="C725">
            <v>45</v>
          </cell>
          <cell r="D725">
            <v>11</v>
          </cell>
          <cell r="F725" t="str">
            <v>目黒</v>
          </cell>
          <cell r="G725" t="str">
            <v>非常放送設備保守(総合)</v>
          </cell>
          <cell r="H725" t="str">
            <v>東京消防設備保守協会</v>
          </cell>
          <cell r="I725">
            <v>36000</v>
          </cell>
          <cell r="J725">
            <v>36720</v>
          </cell>
          <cell r="K725">
            <v>1</v>
          </cell>
          <cell r="L725">
            <v>0</v>
          </cell>
          <cell r="M725">
            <v>0</v>
          </cell>
          <cell r="N725">
            <v>0</v>
          </cell>
          <cell r="O725">
            <v>0</v>
          </cell>
          <cell r="P725">
            <v>0</v>
          </cell>
          <cell r="Q725">
            <v>0</v>
          </cell>
          <cell r="R725">
            <v>36720</v>
          </cell>
          <cell r="S725">
            <v>0</v>
          </cell>
          <cell r="T725">
            <v>0</v>
          </cell>
          <cell r="U725">
            <v>0</v>
          </cell>
          <cell r="V725">
            <v>0</v>
          </cell>
          <cell r="W725">
            <v>0</v>
          </cell>
          <cell r="X725" t="str">
            <v/>
          </cell>
          <cell r="Y725" t="str">
            <v/>
          </cell>
          <cell r="Z725" t="str">
            <v/>
          </cell>
          <cell r="AA725" t="str">
            <v/>
          </cell>
          <cell r="AB725" t="str">
            <v/>
          </cell>
          <cell r="AC725" t="str">
            <v/>
          </cell>
          <cell r="AD725" t="str">
            <v>⑩</v>
          </cell>
          <cell r="AE725" t="str">
            <v/>
          </cell>
          <cell r="AF725" t="str">
            <v/>
          </cell>
          <cell r="AG725" t="str">
            <v/>
          </cell>
          <cell r="AH725" t="str">
            <v/>
          </cell>
          <cell r="AI725" t="str">
            <v/>
          </cell>
        </row>
        <row r="726">
          <cell r="B726">
            <v>4512</v>
          </cell>
          <cell r="C726">
            <v>45</v>
          </cell>
          <cell r="D726">
            <v>12</v>
          </cell>
          <cell r="F726" t="str">
            <v>目黒</v>
          </cell>
          <cell r="G726" t="str">
            <v>ﾊﾛｹﾞﾝ化物設備保守(外観)</v>
          </cell>
          <cell r="H726" t="str">
            <v>東京消防設備保守協会</v>
          </cell>
          <cell r="I726">
            <v>67000</v>
          </cell>
          <cell r="J726">
            <v>68340</v>
          </cell>
          <cell r="K726">
            <v>1</v>
          </cell>
          <cell r="L726">
            <v>68340</v>
          </cell>
          <cell r="M726">
            <v>0</v>
          </cell>
          <cell r="N726">
            <v>0</v>
          </cell>
          <cell r="O726">
            <v>0</v>
          </cell>
          <cell r="P726">
            <v>0</v>
          </cell>
          <cell r="Q726">
            <v>0</v>
          </cell>
          <cell r="R726">
            <v>0</v>
          </cell>
          <cell r="S726">
            <v>0</v>
          </cell>
          <cell r="T726">
            <v>0</v>
          </cell>
          <cell r="U726">
            <v>0</v>
          </cell>
          <cell r="V726">
            <v>0</v>
          </cell>
          <cell r="W726">
            <v>0</v>
          </cell>
          <cell r="X726" t="str">
            <v>④</v>
          </cell>
          <cell r="Y726" t="str">
            <v/>
          </cell>
          <cell r="Z726" t="str">
            <v/>
          </cell>
          <cell r="AA726" t="str">
            <v/>
          </cell>
          <cell r="AB726" t="str">
            <v/>
          </cell>
          <cell r="AC726" t="str">
            <v/>
          </cell>
          <cell r="AD726" t="str">
            <v/>
          </cell>
          <cell r="AE726" t="str">
            <v/>
          </cell>
          <cell r="AF726" t="str">
            <v/>
          </cell>
          <cell r="AG726" t="str">
            <v/>
          </cell>
          <cell r="AH726" t="str">
            <v/>
          </cell>
          <cell r="AI726" t="str">
            <v/>
          </cell>
        </row>
        <row r="727">
          <cell r="B727">
            <v>4513</v>
          </cell>
          <cell r="C727">
            <v>45</v>
          </cell>
          <cell r="D727">
            <v>13</v>
          </cell>
          <cell r="F727" t="str">
            <v>目黒</v>
          </cell>
          <cell r="G727" t="str">
            <v>ﾊﾛｹﾞﾝ化物設備保守(総合)</v>
          </cell>
          <cell r="H727" t="str">
            <v>東京消防設備保守協会</v>
          </cell>
          <cell r="I727">
            <v>140000</v>
          </cell>
          <cell r="J727">
            <v>142800</v>
          </cell>
          <cell r="K727">
            <v>1</v>
          </cell>
          <cell r="L727">
            <v>0</v>
          </cell>
          <cell r="M727">
            <v>0</v>
          </cell>
          <cell r="N727">
            <v>0</v>
          </cell>
          <cell r="O727">
            <v>0</v>
          </cell>
          <cell r="P727">
            <v>0</v>
          </cell>
          <cell r="Q727">
            <v>0</v>
          </cell>
          <cell r="R727">
            <v>142800</v>
          </cell>
          <cell r="S727">
            <v>0</v>
          </cell>
          <cell r="T727">
            <v>0</v>
          </cell>
          <cell r="U727">
            <v>0</v>
          </cell>
          <cell r="V727">
            <v>0</v>
          </cell>
          <cell r="W727">
            <v>0</v>
          </cell>
          <cell r="X727" t="str">
            <v/>
          </cell>
          <cell r="Y727" t="str">
            <v/>
          </cell>
          <cell r="Z727" t="str">
            <v/>
          </cell>
          <cell r="AA727" t="str">
            <v/>
          </cell>
          <cell r="AB727" t="str">
            <v/>
          </cell>
          <cell r="AC727" t="str">
            <v/>
          </cell>
          <cell r="AD727" t="str">
            <v>⑩</v>
          </cell>
          <cell r="AE727" t="str">
            <v/>
          </cell>
          <cell r="AF727" t="str">
            <v/>
          </cell>
          <cell r="AG727" t="str">
            <v/>
          </cell>
          <cell r="AH727" t="str">
            <v/>
          </cell>
          <cell r="AI727" t="str">
            <v/>
          </cell>
        </row>
        <row r="728">
          <cell r="B728">
            <v>4514</v>
          </cell>
          <cell r="C728">
            <v>45</v>
          </cell>
          <cell r="D728">
            <v>14</v>
          </cell>
          <cell r="F728" t="str">
            <v>目黒</v>
          </cell>
          <cell r="G728" t="str">
            <v>害虫駆除</v>
          </cell>
          <cell r="H728" t="str">
            <v>シェル商事</v>
          </cell>
          <cell r="I728">
            <v>119157</v>
          </cell>
          <cell r="J728">
            <v>131072</v>
          </cell>
          <cell r="K728">
            <v>2</v>
          </cell>
          <cell r="L728">
            <v>131072</v>
          </cell>
          <cell r="M728">
            <v>0</v>
          </cell>
          <cell r="N728">
            <v>0</v>
          </cell>
          <cell r="O728">
            <v>0</v>
          </cell>
          <cell r="P728">
            <v>0</v>
          </cell>
          <cell r="Q728">
            <v>0</v>
          </cell>
          <cell r="R728">
            <v>131072</v>
          </cell>
          <cell r="S728">
            <v>0</v>
          </cell>
          <cell r="T728">
            <v>0</v>
          </cell>
          <cell r="U728">
            <v>0</v>
          </cell>
          <cell r="V728">
            <v>0</v>
          </cell>
          <cell r="W728">
            <v>0</v>
          </cell>
          <cell r="X728" t="str">
            <v>④</v>
          </cell>
          <cell r="Y728" t="str">
            <v/>
          </cell>
          <cell r="Z728" t="str">
            <v/>
          </cell>
          <cell r="AA728" t="str">
            <v/>
          </cell>
          <cell r="AB728" t="str">
            <v/>
          </cell>
          <cell r="AC728" t="str">
            <v/>
          </cell>
          <cell r="AD728" t="str">
            <v>⑩</v>
          </cell>
          <cell r="AE728" t="str">
            <v/>
          </cell>
          <cell r="AF728" t="str">
            <v/>
          </cell>
          <cell r="AG728" t="str">
            <v/>
          </cell>
          <cell r="AH728" t="str">
            <v/>
          </cell>
          <cell r="AI728" t="str">
            <v/>
          </cell>
        </row>
        <row r="729">
          <cell r="B729">
            <v>4515</v>
          </cell>
          <cell r="C729">
            <v>45</v>
          </cell>
          <cell r="D729">
            <v>15</v>
          </cell>
          <cell r="F729" t="str">
            <v>目黒</v>
          </cell>
          <cell r="G729" t="str">
            <v>受水槽清掃(含む高架水槽)</v>
          </cell>
          <cell r="H729" t="str">
            <v>東栄管財</v>
          </cell>
          <cell r="I729">
            <v>95000</v>
          </cell>
          <cell r="J729">
            <v>107350</v>
          </cell>
          <cell r="K729">
            <v>1</v>
          </cell>
          <cell r="L729">
            <v>0</v>
          </cell>
          <cell r="M729">
            <v>0</v>
          </cell>
          <cell r="N729">
            <v>0</v>
          </cell>
          <cell r="O729">
            <v>107350</v>
          </cell>
          <cell r="P729">
            <v>0</v>
          </cell>
          <cell r="Q729">
            <v>0</v>
          </cell>
          <cell r="R729">
            <v>0</v>
          </cell>
          <cell r="S729">
            <v>0</v>
          </cell>
          <cell r="T729">
            <v>0</v>
          </cell>
          <cell r="U729">
            <v>0</v>
          </cell>
          <cell r="V729">
            <v>0</v>
          </cell>
          <cell r="W729">
            <v>0</v>
          </cell>
          <cell r="X729" t="str">
            <v/>
          </cell>
          <cell r="Y729" t="str">
            <v/>
          </cell>
          <cell r="Z729" t="str">
            <v/>
          </cell>
          <cell r="AA729" t="str">
            <v>⑦</v>
          </cell>
          <cell r="AB729" t="str">
            <v/>
          </cell>
          <cell r="AC729" t="str">
            <v/>
          </cell>
          <cell r="AD729" t="str">
            <v/>
          </cell>
          <cell r="AE729" t="str">
            <v/>
          </cell>
          <cell r="AF729" t="str">
            <v/>
          </cell>
          <cell r="AG729" t="str">
            <v/>
          </cell>
          <cell r="AH729" t="str">
            <v/>
          </cell>
          <cell r="AI729" t="str">
            <v/>
          </cell>
        </row>
        <row r="730">
          <cell r="B730">
            <v>4516</v>
          </cell>
          <cell r="C730">
            <v>45</v>
          </cell>
          <cell r="D730">
            <v>16</v>
          </cell>
          <cell r="F730" t="str">
            <v>目黒</v>
          </cell>
          <cell r="G730" t="str">
            <v>植栽管理</v>
          </cell>
          <cell r="H730" t="str">
            <v>伊藤忠林業</v>
          </cell>
          <cell r="I730">
            <v>114000</v>
          </cell>
          <cell r="J730">
            <v>116280</v>
          </cell>
          <cell r="K730">
            <v>1</v>
          </cell>
          <cell r="L730">
            <v>0</v>
          </cell>
          <cell r="M730">
            <v>0</v>
          </cell>
          <cell r="N730">
            <v>116280</v>
          </cell>
          <cell r="O730">
            <v>0</v>
          </cell>
          <cell r="P730">
            <v>0</v>
          </cell>
          <cell r="Q730">
            <v>0</v>
          </cell>
          <cell r="R730">
            <v>0</v>
          </cell>
          <cell r="S730">
            <v>0</v>
          </cell>
          <cell r="T730">
            <v>0</v>
          </cell>
          <cell r="U730">
            <v>0</v>
          </cell>
          <cell r="V730">
            <v>0</v>
          </cell>
          <cell r="W730">
            <v>0</v>
          </cell>
          <cell r="X730" t="str">
            <v/>
          </cell>
          <cell r="Y730" t="str">
            <v/>
          </cell>
          <cell r="Z730" t="str">
            <v>⑥</v>
          </cell>
          <cell r="AA730" t="str">
            <v/>
          </cell>
          <cell r="AB730" t="str">
            <v/>
          </cell>
          <cell r="AC730" t="str">
            <v/>
          </cell>
          <cell r="AD730" t="str">
            <v/>
          </cell>
          <cell r="AE730" t="str">
            <v/>
          </cell>
          <cell r="AF730" t="str">
            <v/>
          </cell>
          <cell r="AG730" t="str">
            <v/>
          </cell>
          <cell r="AH730" t="str">
            <v/>
          </cell>
          <cell r="AI730" t="str">
            <v/>
          </cell>
        </row>
        <row r="731">
          <cell r="B731">
            <v>4517</v>
          </cell>
          <cell r="C731">
            <v>45</v>
          </cell>
          <cell r="D731">
            <v>17</v>
          </cell>
          <cell r="F731" t="str">
            <v>目黒</v>
          </cell>
          <cell r="G731" t="str">
            <v>植栽管理</v>
          </cell>
          <cell r="H731" t="str">
            <v>伊藤忠林業</v>
          </cell>
          <cell r="I731">
            <v>159000</v>
          </cell>
          <cell r="J731">
            <v>162180</v>
          </cell>
          <cell r="K731">
            <v>1</v>
          </cell>
          <cell r="L731">
            <v>0</v>
          </cell>
          <cell r="M731">
            <v>0</v>
          </cell>
          <cell r="N731">
            <v>0</v>
          </cell>
          <cell r="O731">
            <v>0</v>
          </cell>
          <cell r="P731">
            <v>0</v>
          </cell>
          <cell r="Q731">
            <v>0</v>
          </cell>
          <cell r="R731">
            <v>162180</v>
          </cell>
          <cell r="S731">
            <v>0</v>
          </cell>
          <cell r="T731">
            <v>0</v>
          </cell>
          <cell r="U731">
            <v>0</v>
          </cell>
          <cell r="V731">
            <v>0</v>
          </cell>
          <cell r="W731">
            <v>0</v>
          </cell>
          <cell r="X731" t="str">
            <v/>
          </cell>
          <cell r="Y731" t="str">
            <v/>
          </cell>
          <cell r="Z731" t="str">
            <v/>
          </cell>
          <cell r="AA731" t="str">
            <v/>
          </cell>
          <cell r="AB731" t="str">
            <v/>
          </cell>
          <cell r="AC731" t="str">
            <v/>
          </cell>
          <cell r="AD731" t="str">
            <v>⑩</v>
          </cell>
          <cell r="AE731" t="str">
            <v/>
          </cell>
          <cell r="AF731" t="str">
            <v/>
          </cell>
          <cell r="AG731" t="str">
            <v/>
          </cell>
          <cell r="AH731" t="str">
            <v/>
          </cell>
          <cell r="AI731" t="str">
            <v/>
          </cell>
        </row>
        <row r="732">
          <cell r="B732">
            <v>4518</v>
          </cell>
          <cell r="C732">
            <v>45</v>
          </cell>
          <cell r="D732">
            <v>18</v>
          </cell>
          <cell r="F732" t="str">
            <v>目黒</v>
          </cell>
          <cell r="G732" t="str">
            <v>植栽管理</v>
          </cell>
          <cell r="H732" t="str">
            <v>伊藤忠林業</v>
          </cell>
          <cell r="I732">
            <v>67000</v>
          </cell>
          <cell r="J732">
            <v>68340</v>
          </cell>
          <cell r="K732">
            <v>1</v>
          </cell>
          <cell r="L732">
            <v>0</v>
          </cell>
          <cell r="M732">
            <v>0</v>
          </cell>
          <cell r="N732">
            <v>0</v>
          </cell>
          <cell r="O732">
            <v>0</v>
          </cell>
          <cell r="P732">
            <v>0</v>
          </cell>
          <cell r="Q732">
            <v>0</v>
          </cell>
          <cell r="R732">
            <v>0</v>
          </cell>
          <cell r="S732">
            <v>0</v>
          </cell>
          <cell r="T732">
            <v>0</v>
          </cell>
          <cell r="U732">
            <v>68340</v>
          </cell>
          <cell r="V732">
            <v>0</v>
          </cell>
          <cell r="W732">
            <v>0</v>
          </cell>
          <cell r="X732" t="str">
            <v/>
          </cell>
          <cell r="Y732" t="str">
            <v/>
          </cell>
          <cell r="Z732" t="str">
            <v/>
          </cell>
          <cell r="AA732" t="str">
            <v/>
          </cell>
          <cell r="AB732" t="str">
            <v/>
          </cell>
          <cell r="AC732" t="str">
            <v/>
          </cell>
          <cell r="AD732" t="str">
            <v/>
          </cell>
          <cell r="AE732" t="str">
            <v/>
          </cell>
          <cell r="AF732" t="str">
            <v/>
          </cell>
          <cell r="AG732" t="str">
            <v>①</v>
          </cell>
          <cell r="AH732" t="str">
            <v/>
          </cell>
          <cell r="AI732" t="str">
            <v/>
          </cell>
        </row>
        <row r="733">
          <cell r="B733">
            <v>4601</v>
          </cell>
          <cell r="C733">
            <v>46</v>
          </cell>
          <cell r="D733">
            <v>1</v>
          </cell>
          <cell r="F733" t="str">
            <v>新宿</v>
          </cell>
          <cell r="G733" t="str">
            <v>昇降機設備保守</v>
          </cell>
          <cell r="H733" t="str">
            <v>日立ビルシステム</v>
          </cell>
          <cell r="I733">
            <v>250000</v>
          </cell>
          <cell r="J733">
            <v>255000</v>
          </cell>
          <cell r="K733">
            <v>12</v>
          </cell>
          <cell r="L733">
            <v>255000</v>
          </cell>
          <cell r="M733">
            <v>255000</v>
          </cell>
          <cell r="N733">
            <v>255000</v>
          </cell>
          <cell r="O733">
            <v>255000</v>
          </cell>
          <cell r="P733">
            <v>255000</v>
          </cell>
          <cell r="Q733">
            <v>255000</v>
          </cell>
          <cell r="R733">
            <v>255000</v>
          </cell>
          <cell r="S733">
            <v>255000</v>
          </cell>
          <cell r="T733">
            <v>255000</v>
          </cell>
          <cell r="U733">
            <v>255000</v>
          </cell>
          <cell r="V733">
            <v>255000</v>
          </cell>
          <cell r="W733">
            <v>255000</v>
          </cell>
          <cell r="X733" t="str">
            <v>④</v>
          </cell>
          <cell r="Y733" t="str">
            <v>⑤</v>
          </cell>
          <cell r="Z733" t="str">
            <v>⑥</v>
          </cell>
          <cell r="AA733" t="str">
            <v>⑦</v>
          </cell>
          <cell r="AB733" t="str">
            <v>⑧</v>
          </cell>
          <cell r="AC733" t="str">
            <v>⑨</v>
          </cell>
          <cell r="AD733" t="str">
            <v>⑩</v>
          </cell>
          <cell r="AE733" t="str">
            <v>⑪</v>
          </cell>
          <cell r="AF733" t="str">
            <v>⑫</v>
          </cell>
          <cell r="AG733" t="str">
            <v>①</v>
          </cell>
          <cell r="AH733" t="str">
            <v>②</v>
          </cell>
          <cell r="AI733" t="str">
            <v>③</v>
          </cell>
        </row>
        <row r="734">
          <cell r="B734">
            <v>4602</v>
          </cell>
          <cell r="C734">
            <v>46</v>
          </cell>
          <cell r="D734">
            <v>2</v>
          </cell>
          <cell r="F734" t="str">
            <v>新宿</v>
          </cell>
          <cell r="G734" t="str">
            <v>ｽﾌﾟﾘﾝｸﾗｰ設備(外観)</v>
          </cell>
          <cell r="H734" t="str">
            <v>防災サービスセンター</v>
          </cell>
          <cell r="I734">
            <v>40500</v>
          </cell>
          <cell r="J734">
            <v>41310</v>
          </cell>
          <cell r="K734">
            <v>1</v>
          </cell>
          <cell r="L734">
            <v>0</v>
          </cell>
          <cell r="M734">
            <v>0</v>
          </cell>
          <cell r="N734">
            <v>0</v>
          </cell>
          <cell r="O734">
            <v>41310</v>
          </cell>
          <cell r="P734">
            <v>0</v>
          </cell>
          <cell r="Q734">
            <v>0</v>
          </cell>
          <cell r="R734">
            <v>0</v>
          </cell>
          <cell r="S734">
            <v>0</v>
          </cell>
          <cell r="T734">
            <v>0</v>
          </cell>
          <cell r="U734">
            <v>0</v>
          </cell>
          <cell r="V734">
            <v>0</v>
          </cell>
          <cell r="W734">
            <v>0</v>
          </cell>
          <cell r="X734" t="str">
            <v/>
          </cell>
          <cell r="Y734" t="str">
            <v/>
          </cell>
          <cell r="Z734" t="str">
            <v/>
          </cell>
          <cell r="AA734" t="str">
            <v>⑦</v>
          </cell>
          <cell r="AB734" t="str">
            <v/>
          </cell>
          <cell r="AC734" t="str">
            <v/>
          </cell>
          <cell r="AD734" t="str">
            <v/>
          </cell>
          <cell r="AE734" t="str">
            <v/>
          </cell>
          <cell r="AF734" t="str">
            <v/>
          </cell>
          <cell r="AG734" t="str">
            <v/>
          </cell>
          <cell r="AH734" t="str">
            <v/>
          </cell>
          <cell r="AI734" t="str">
            <v/>
          </cell>
        </row>
        <row r="735">
          <cell r="B735">
            <v>4603</v>
          </cell>
          <cell r="C735">
            <v>46</v>
          </cell>
          <cell r="D735">
            <v>3</v>
          </cell>
          <cell r="F735" t="str">
            <v>新宿</v>
          </cell>
          <cell r="G735" t="str">
            <v>ｽﾌﾟﾘﾝｸﾗｰ設備(総合)</v>
          </cell>
          <cell r="H735" t="str">
            <v>防災サービスセンター</v>
          </cell>
          <cell r="I735">
            <v>58290</v>
          </cell>
          <cell r="J735">
            <v>59455</v>
          </cell>
          <cell r="K735">
            <v>1</v>
          </cell>
          <cell r="L735">
            <v>0</v>
          </cell>
          <cell r="M735">
            <v>0</v>
          </cell>
          <cell r="N735">
            <v>0</v>
          </cell>
          <cell r="O735">
            <v>0</v>
          </cell>
          <cell r="P735">
            <v>0</v>
          </cell>
          <cell r="Q735">
            <v>0</v>
          </cell>
          <cell r="R735">
            <v>0</v>
          </cell>
          <cell r="S735">
            <v>0</v>
          </cell>
          <cell r="T735">
            <v>0</v>
          </cell>
          <cell r="U735">
            <v>59455</v>
          </cell>
          <cell r="V735">
            <v>0</v>
          </cell>
          <cell r="W735">
            <v>0</v>
          </cell>
          <cell r="X735" t="str">
            <v/>
          </cell>
          <cell r="Y735" t="str">
            <v/>
          </cell>
          <cell r="Z735" t="str">
            <v/>
          </cell>
          <cell r="AA735" t="str">
            <v/>
          </cell>
          <cell r="AB735" t="str">
            <v/>
          </cell>
          <cell r="AC735" t="str">
            <v/>
          </cell>
          <cell r="AD735" t="str">
            <v/>
          </cell>
          <cell r="AE735" t="str">
            <v/>
          </cell>
          <cell r="AF735" t="str">
            <v/>
          </cell>
          <cell r="AG735" t="str">
            <v>①</v>
          </cell>
          <cell r="AH735" t="str">
            <v/>
          </cell>
          <cell r="AI735" t="str">
            <v/>
          </cell>
        </row>
        <row r="736">
          <cell r="B736">
            <v>4604</v>
          </cell>
          <cell r="C736">
            <v>46</v>
          </cell>
          <cell r="D736">
            <v>4</v>
          </cell>
          <cell r="F736" t="str">
            <v>新宿</v>
          </cell>
          <cell r="G736" t="str">
            <v>自動火災報知設備(外観)</v>
          </cell>
          <cell r="H736" t="str">
            <v>日信防災</v>
          </cell>
          <cell r="I736">
            <v>123250</v>
          </cell>
          <cell r="J736">
            <v>125715</v>
          </cell>
          <cell r="K736">
            <v>1</v>
          </cell>
          <cell r="L736">
            <v>125715</v>
          </cell>
          <cell r="M736">
            <v>0</v>
          </cell>
          <cell r="N736">
            <v>0</v>
          </cell>
          <cell r="O736">
            <v>0</v>
          </cell>
          <cell r="P736">
            <v>0</v>
          </cell>
          <cell r="Q736">
            <v>0</v>
          </cell>
          <cell r="R736">
            <v>0</v>
          </cell>
          <cell r="S736">
            <v>0</v>
          </cell>
          <cell r="T736">
            <v>0</v>
          </cell>
          <cell r="U736">
            <v>0</v>
          </cell>
          <cell r="V736">
            <v>0</v>
          </cell>
          <cell r="W736">
            <v>0</v>
          </cell>
          <cell r="X736" t="str">
            <v>④</v>
          </cell>
          <cell r="Y736" t="str">
            <v/>
          </cell>
          <cell r="Z736" t="str">
            <v/>
          </cell>
          <cell r="AA736" t="str">
            <v/>
          </cell>
          <cell r="AB736" t="str">
            <v/>
          </cell>
          <cell r="AC736" t="str">
            <v/>
          </cell>
          <cell r="AD736" t="str">
            <v/>
          </cell>
          <cell r="AE736" t="str">
            <v/>
          </cell>
          <cell r="AF736" t="str">
            <v/>
          </cell>
          <cell r="AG736" t="str">
            <v/>
          </cell>
          <cell r="AH736" t="str">
            <v/>
          </cell>
          <cell r="AI736" t="str">
            <v/>
          </cell>
        </row>
        <row r="737">
          <cell r="B737">
            <v>4605</v>
          </cell>
          <cell r="C737">
            <v>46</v>
          </cell>
          <cell r="D737">
            <v>5</v>
          </cell>
          <cell r="F737" t="str">
            <v>新宿</v>
          </cell>
          <cell r="G737" t="str">
            <v>自動火災報知設備(総合)</v>
          </cell>
          <cell r="H737" t="str">
            <v>日信防災</v>
          </cell>
          <cell r="I737">
            <v>196200</v>
          </cell>
          <cell r="J737">
            <v>200124</v>
          </cell>
          <cell r="K737">
            <v>1</v>
          </cell>
          <cell r="L737">
            <v>0</v>
          </cell>
          <cell r="M737">
            <v>0</v>
          </cell>
          <cell r="N737">
            <v>0</v>
          </cell>
          <cell r="O737">
            <v>0</v>
          </cell>
          <cell r="P737">
            <v>0</v>
          </cell>
          <cell r="Q737">
            <v>0</v>
          </cell>
          <cell r="R737">
            <v>200124</v>
          </cell>
          <cell r="S737">
            <v>0</v>
          </cell>
          <cell r="T737">
            <v>0</v>
          </cell>
          <cell r="U737">
            <v>0</v>
          </cell>
          <cell r="V737">
            <v>0</v>
          </cell>
          <cell r="W737">
            <v>0</v>
          </cell>
          <cell r="X737" t="str">
            <v/>
          </cell>
          <cell r="Y737" t="str">
            <v/>
          </cell>
          <cell r="Z737" t="str">
            <v/>
          </cell>
          <cell r="AA737" t="str">
            <v/>
          </cell>
          <cell r="AB737" t="str">
            <v/>
          </cell>
          <cell r="AC737" t="str">
            <v/>
          </cell>
          <cell r="AD737" t="str">
            <v>⑩</v>
          </cell>
          <cell r="AE737" t="str">
            <v/>
          </cell>
          <cell r="AF737" t="str">
            <v/>
          </cell>
          <cell r="AG737" t="str">
            <v/>
          </cell>
          <cell r="AH737" t="str">
            <v/>
          </cell>
          <cell r="AI737" t="str">
            <v/>
          </cell>
        </row>
        <row r="738">
          <cell r="B738">
            <v>4606</v>
          </cell>
          <cell r="C738">
            <v>46</v>
          </cell>
          <cell r="D738">
            <v>6</v>
          </cell>
          <cell r="F738" t="str">
            <v>新宿</v>
          </cell>
          <cell r="G738" t="str">
            <v>消火器設備保守(外観)</v>
          </cell>
          <cell r="H738" t="str">
            <v>防災サービスセンター</v>
          </cell>
          <cell r="I738">
            <v>26400</v>
          </cell>
          <cell r="J738">
            <v>26928</v>
          </cell>
          <cell r="K738">
            <v>2</v>
          </cell>
          <cell r="L738">
            <v>0</v>
          </cell>
          <cell r="M738">
            <v>0</v>
          </cell>
          <cell r="N738">
            <v>0</v>
          </cell>
          <cell r="O738">
            <v>26928</v>
          </cell>
          <cell r="P738">
            <v>0</v>
          </cell>
          <cell r="Q738">
            <v>0</v>
          </cell>
          <cell r="R738">
            <v>0</v>
          </cell>
          <cell r="S738">
            <v>0</v>
          </cell>
          <cell r="T738">
            <v>0</v>
          </cell>
          <cell r="U738">
            <v>26928</v>
          </cell>
          <cell r="V738">
            <v>0</v>
          </cell>
          <cell r="W738">
            <v>0</v>
          </cell>
          <cell r="X738" t="str">
            <v/>
          </cell>
          <cell r="Y738" t="str">
            <v/>
          </cell>
          <cell r="Z738" t="str">
            <v/>
          </cell>
          <cell r="AA738" t="str">
            <v>⑦</v>
          </cell>
          <cell r="AB738" t="str">
            <v/>
          </cell>
          <cell r="AC738" t="str">
            <v/>
          </cell>
          <cell r="AD738" t="str">
            <v/>
          </cell>
          <cell r="AE738" t="str">
            <v/>
          </cell>
          <cell r="AF738" t="str">
            <v/>
          </cell>
          <cell r="AG738" t="str">
            <v>①</v>
          </cell>
          <cell r="AH738" t="str">
            <v/>
          </cell>
          <cell r="AI738" t="str">
            <v/>
          </cell>
        </row>
        <row r="739">
          <cell r="B739">
            <v>4607</v>
          </cell>
          <cell r="C739">
            <v>46</v>
          </cell>
          <cell r="D739">
            <v>7</v>
          </cell>
          <cell r="F739" t="str">
            <v>新宿</v>
          </cell>
          <cell r="G739" t="str">
            <v>消火栓設備保守(外観)</v>
          </cell>
          <cell r="H739" t="str">
            <v>防災サービスセンター</v>
          </cell>
          <cell r="I739">
            <v>51700</v>
          </cell>
          <cell r="J739">
            <v>52734</v>
          </cell>
          <cell r="K739">
            <v>1</v>
          </cell>
          <cell r="L739">
            <v>0</v>
          </cell>
          <cell r="M739">
            <v>0</v>
          </cell>
          <cell r="N739">
            <v>0</v>
          </cell>
          <cell r="O739">
            <v>52734</v>
          </cell>
          <cell r="P739">
            <v>0</v>
          </cell>
          <cell r="Q739">
            <v>0</v>
          </cell>
          <cell r="R739">
            <v>0</v>
          </cell>
          <cell r="S739">
            <v>0</v>
          </cell>
          <cell r="T739">
            <v>0</v>
          </cell>
          <cell r="U739">
            <v>0</v>
          </cell>
          <cell r="V739">
            <v>0</v>
          </cell>
          <cell r="W739">
            <v>0</v>
          </cell>
          <cell r="X739" t="str">
            <v/>
          </cell>
          <cell r="Y739" t="str">
            <v/>
          </cell>
          <cell r="Z739" t="str">
            <v/>
          </cell>
          <cell r="AA739" t="str">
            <v>⑦</v>
          </cell>
          <cell r="AB739" t="str">
            <v/>
          </cell>
          <cell r="AC739" t="str">
            <v/>
          </cell>
          <cell r="AD739" t="str">
            <v/>
          </cell>
          <cell r="AE739" t="str">
            <v/>
          </cell>
          <cell r="AF739" t="str">
            <v/>
          </cell>
          <cell r="AG739" t="str">
            <v/>
          </cell>
          <cell r="AH739" t="str">
            <v/>
          </cell>
          <cell r="AI739" t="str">
            <v/>
          </cell>
        </row>
        <row r="740">
          <cell r="B740">
            <v>4608</v>
          </cell>
          <cell r="C740">
            <v>46</v>
          </cell>
          <cell r="D740">
            <v>8</v>
          </cell>
          <cell r="F740" t="str">
            <v>新宿</v>
          </cell>
          <cell r="G740" t="str">
            <v>消火栓設備保守(総合)</v>
          </cell>
          <cell r="H740" t="str">
            <v>防災サービスセンター</v>
          </cell>
          <cell r="I740">
            <v>68600</v>
          </cell>
          <cell r="J740">
            <v>69972</v>
          </cell>
          <cell r="K740">
            <v>1</v>
          </cell>
          <cell r="L740">
            <v>0</v>
          </cell>
          <cell r="M740">
            <v>0</v>
          </cell>
          <cell r="N740">
            <v>0</v>
          </cell>
          <cell r="O740">
            <v>0</v>
          </cell>
          <cell r="P740">
            <v>0</v>
          </cell>
          <cell r="Q740">
            <v>0</v>
          </cell>
          <cell r="R740">
            <v>0</v>
          </cell>
          <cell r="S740">
            <v>0</v>
          </cell>
          <cell r="T740">
            <v>0</v>
          </cell>
          <cell r="U740">
            <v>69972</v>
          </cell>
          <cell r="V740">
            <v>0</v>
          </cell>
          <cell r="W740">
            <v>0</v>
          </cell>
          <cell r="X740" t="str">
            <v/>
          </cell>
          <cell r="Y740" t="str">
            <v/>
          </cell>
          <cell r="Z740" t="str">
            <v/>
          </cell>
          <cell r="AA740" t="str">
            <v/>
          </cell>
          <cell r="AB740" t="str">
            <v/>
          </cell>
          <cell r="AC740" t="str">
            <v/>
          </cell>
          <cell r="AD740" t="str">
            <v/>
          </cell>
          <cell r="AE740" t="str">
            <v/>
          </cell>
          <cell r="AF740" t="str">
            <v/>
          </cell>
          <cell r="AG740" t="str">
            <v>①</v>
          </cell>
          <cell r="AH740" t="str">
            <v/>
          </cell>
          <cell r="AI740" t="str">
            <v/>
          </cell>
        </row>
        <row r="741">
          <cell r="B741">
            <v>4609</v>
          </cell>
          <cell r="C741">
            <v>46</v>
          </cell>
          <cell r="D741">
            <v>9</v>
          </cell>
          <cell r="F741" t="str">
            <v>新宿</v>
          </cell>
          <cell r="G741" t="str">
            <v>粉末消火設備保守(外観)</v>
          </cell>
          <cell r="H741" t="str">
            <v>日信防災</v>
          </cell>
          <cell r="I741">
            <v>49300</v>
          </cell>
          <cell r="J741">
            <v>50286</v>
          </cell>
          <cell r="K741">
            <v>1</v>
          </cell>
          <cell r="L741">
            <v>50286</v>
          </cell>
          <cell r="M741">
            <v>0</v>
          </cell>
          <cell r="N741">
            <v>0</v>
          </cell>
          <cell r="O741">
            <v>0</v>
          </cell>
          <cell r="P741">
            <v>0</v>
          </cell>
          <cell r="Q741">
            <v>0</v>
          </cell>
          <cell r="R741">
            <v>0</v>
          </cell>
          <cell r="S741">
            <v>0</v>
          </cell>
          <cell r="T741">
            <v>0</v>
          </cell>
          <cell r="U741">
            <v>0</v>
          </cell>
          <cell r="V741">
            <v>0</v>
          </cell>
          <cell r="W741">
            <v>0</v>
          </cell>
          <cell r="X741" t="str">
            <v>④</v>
          </cell>
          <cell r="Y741" t="str">
            <v/>
          </cell>
          <cell r="Z741" t="str">
            <v/>
          </cell>
          <cell r="AA741" t="str">
            <v/>
          </cell>
          <cell r="AB741" t="str">
            <v/>
          </cell>
          <cell r="AC741" t="str">
            <v/>
          </cell>
          <cell r="AD741" t="str">
            <v/>
          </cell>
          <cell r="AE741" t="str">
            <v/>
          </cell>
          <cell r="AF741" t="str">
            <v/>
          </cell>
          <cell r="AG741" t="str">
            <v/>
          </cell>
          <cell r="AH741" t="str">
            <v/>
          </cell>
          <cell r="AI741" t="str">
            <v/>
          </cell>
        </row>
        <row r="742">
          <cell r="B742">
            <v>4610</v>
          </cell>
          <cell r="C742">
            <v>46</v>
          </cell>
          <cell r="D742">
            <v>10</v>
          </cell>
          <cell r="F742" t="str">
            <v>新宿</v>
          </cell>
          <cell r="G742" t="str">
            <v>粉末消火設備保守(総合)</v>
          </cell>
          <cell r="H742" t="str">
            <v>日信防災</v>
          </cell>
          <cell r="I742">
            <v>78480</v>
          </cell>
          <cell r="J742">
            <v>80049</v>
          </cell>
          <cell r="K742">
            <v>1</v>
          </cell>
          <cell r="L742">
            <v>0</v>
          </cell>
          <cell r="M742">
            <v>0</v>
          </cell>
          <cell r="N742">
            <v>0</v>
          </cell>
          <cell r="O742">
            <v>0</v>
          </cell>
          <cell r="P742">
            <v>0</v>
          </cell>
          <cell r="Q742">
            <v>0</v>
          </cell>
          <cell r="R742">
            <v>80049</v>
          </cell>
          <cell r="S742">
            <v>0</v>
          </cell>
          <cell r="T742">
            <v>0</v>
          </cell>
          <cell r="U742">
            <v>0</v>
          </cell>
          <cell r="V742">
            <v>0</v>
          </cell>
          <cell r="W742">
            <v>0</v>
          </cell>
          <cell r="X742" t="str">
            <v/>
          </cell>
          <cell r="Y742" t="str">
            <v/>
          </cell>
          <cell r="Z742" t="str">
            <v/>
          </cell>
          <cell r="AA742" t="str">
            <v/>
          </cell>
          <cell r="AB742" t="str">
            <v/>
          </cell>
          <cell r="AC742" t="str">
            <v/>
          </cell>
          <cell r="AD742" t="str">
            <v>⑩</v>
          </cell>
          <cell r="AE742" t="str">
            <v/>
          </cell>
          <cell r="AF742" t="str">
            <v/>
          </cell>
          <cell r="AG742" t="str">
            <v/>
          </cell>
          <cell r="AH742" t="str">
            <v/>
          </cell>
          <cell r="AI742" t="str">
            <v/>
          </cell>
        </row>
        <row r="743">
          <cell r="B743">
            <v>4611</v>
          </cell>
          <cell r="C743">
            <v>46</v>
          </cell>
          <cell r="D743">
            <v>11</v>
          </cell>
          <cell r="F743" t="str">
            <v>新宿</v>
          </cell>
          <cell r="G743" t="str">
            <v>防排煙設備保守(外観)</v>
          </cell>
          <cell r="H743" t="str">
            <v>日信防災</v>
          </cell>
          <cell r="I743">
            <v>73950</v>
          </cell>
          <cell r="J743">
            <v>75429</v>
          </cell>
          <cell r="K743">
            <v>1</v>
          </cell>
          <cell r="L743">
            <v>75429</v>
          </cell>
          <cell r="M743">
            <v>0</v>
          </cell>
          <cell r="N743">
            <v>0</v>
          </cell>
          <cell r="O743">
            <v>0</v>
          </cell>
          <cell r="P743">
            <v>0</v>
          </cell>
          <cell r="Q743">
            <v>0</v>
          </cell>
          <cell r="R743">
            <v>0</v>
          </cell>
          <cell r="S743">
            <v>0</v>
          </cell>
          <cell r="T743">
            <v>0</v>
          </cell>
          <cell r="U743">
            <v>0</v>
          </cell>
          <cell r="V743">
            <v>0</v>
          </cell>
          <cell r="W743">
            <v>0</v>
          </cell>
          <cell r="X743" t="str">
            <v>④</v>
          </cell>
          <cell r="Y743" t="str">
            <v/>
          </cell>
          <cell r="Z743" t="str">
            <v/>
          </cell>
          <cell r="AA743" t="str">
            <v/>
          </cell>
          <cell r="AB743" t="str">
            <v/>
          </cell>
          <cell r="AC743" t="str">
            <v/>
          </cell>
          <cell r="AD743" t="str">
            <v/>
          </cell>
          <cell r="AE743" t="str">
            <v/>
          </cell>
          <cell r="AF743" t="str">
            <v/>
          </cell>
          <cell r="AG743" t="str">
            <v/>
          </cell>
          <cell r="AH743" t="str">
            <v/>
          </cell>
          <cell r="AI743" t="str">
            <v/>
          </cell>
        </row>
        <row r="744">
          <cell r="B744">
            <v>4612</v>
          </cell>
          <cell r="C744">
            <v>46</v>
          </cell>
          <cell r="D744">
            <v>12</v>
          </cell>
          <cell r="F744" t="str">
            <v>新宿</v>
          </cell>
          <cell r="G744" t="str">
            <v>防排煙設備保守(総合)</v>
          </cell>
          <cell r="H744" t="str">
            <v>日信防災</v>
          </cell>
          <cell r="I744">
            <v>117720</v>
          </cell>
          <cell r="J744">
            <v>120074</v>
          </cell>
          <cell r="K744">
            <v>1</v>
          </cell>
          <cell r="L744">
            <v>0</v>
          </cell>
          <cell r="M744">
            <v>0</v>
          </cell>
          <cell r="N744">
            <v>0</v>
          </cell>
          <cell r="O744">
            <v>0</v>
          </cell>
          <cell r="P744">
            <v>0</v>
          </cell>
          <cell r="Q744">
            <v>0</v>
          </cell>
          <cell r="R744">
            <v>120074</v>
          </cell>
          <cell r="S744">
            <v>0</v>
          </cell>
          <cell r="T744">
            <v>0</v>
          </cell>
          <cell r="U744">
            <v>0</v>
          </cell>
          <cell r="V744">
            <v>0</v>
          </cell>
          <cell r="W744">
            <v>0</v>
          </cell>
          <cell r="X744" t="str">
            <v/>
          </cell>
          <cell r="Y744" t="str">
            <v/>
          </cell>
          <cell r="Z744" t="str">
            <v/>
          </cell>
          <cell r="AA744" t="str">
            <v/>
          </cell>
          <cell r="AB744" t="str">
            <v/>
          </cell>
          <cell r="AC744" t="str">
            <v/>
          </cell>
          <cell r="AD744" t="str">
            <v>⑩</v>
          </cell>
          <cell r="AE744" t="str">
            <v/>
          </cell>
          <cell r="AF744" t="str">
            <v/>
          </cell>
          <cell r="AG744" t="str">
            <v/>
          </cell>
          <cell r="AH744" t="str">
            <v/>
          </cell>
          <cell r="AI744" t="str">
            <v/>
          </cell>
        </row>
        <row r="745">
          <cell r="B745">
            <v>4613</v>
          </cell>
          <cell r="C745">
            <v>46</v>
          </cell>
          <cell r="D745">
            <v>13</v>
          </cell>
          <cell r="F745" t="str">
            <v>新宿</v>
          </cell>
          <cell r="G745" t="str">
            <v>誘導灯設備保守(外観)</v>
          </cell>
          <cell r="H745" t="str">
            <v>防災サービスセンター</v>
          </cell>
          <cell r="I745">
            <v>39000</v>
          </cell>
          <cell r="J745">
            <v>39780</v>
          </cell>
          <cell r="K745">
            <v>1</v>
          </cell>
          <cell r="L745">
            <v>0</v>
          </cell>
          <cell r="M745">
            <v>0</v>
          </cell>
          <cell r="N745">
            <v>0</v>
          </cell>
          <cell r="O745">
            <v>39780</v>
          </cell>
          <cell r="P745">
            <v>0</v>
          </cell>
          <cell r="Q745">
            <v>0</v>
          </cell>
          <cell r="R745">
            <v>0</v>
          </cell>
          <cell r="S745">
            <v>0</v>
          </cell>
          <cell r="T745">
            <v>0</v>
          </cell>
          <cell r="U745">
            <v>0</v>
          </cell>
          <cell r="V745">
            <v>0</v>
          </cell>
          <cell r="W745">
            <v>0</v>
          </cell>
          <cell r="X745" t="str">
            <v/>
          </cell>
          <cell r="Y745" t="str">
            <v/>
          </cell>
          <cell r="Z745" t="str">
            <v/>
          </cell>
          <cell r="AA745" t="str">
            <v>⑦</v>
          </cell>
          <cell r="AB745" t="str">
            <v/>
          </cell>
          <cell r="AC745" t="str">
            <v/>
          </cell>
          <cell r="AD745" t="str">
            <v/>
          </cell>
          <cell r="AE745" t="str">
            <v/>
          </cell>
          <cell r="AF745" t="str">
            <v/>
          </cell>
          <cell r="AG745" t="str">
            <v/>
          </cell>
          <cell r="AH745" t="str">
            <v/>
          </cell>
          <cell r="AI745" t="str">
            <v/>
          </cell>
        </row>
        <row r="746">
          <cell r="B746">
            <v>4614</v>
          </cell>
          <cell r="C746">
            <v>46</v>
          </cell>
          <cell r="D746">
            <v>14</v>
          </cell>
          <cell r="F746" t="str">
            <v>新宿</v>
          </cell>
          <cell r="G746" t="str">
            <v>誘導灯設備保守(総合)</v>
          </cell>
          <cell r="H746" t="str">
            <v>防災サービスセンター</v>
          </cell>
          <cell r="I746">
            <v>41000</v>
          </cell>
          <cell r="J746">
            <v>41820</v>
          </cell>
          <cell r="K746">
            <v>1</v>
          </cell>
          <cell r="L746">
            <v>0</v>
          </cell>
          <cell r="M746">
            <v>0</v>
          </cell>
          <cell r="N746">
            <v>0</v>
          </cell>
          <cell r="O746">
            <v>0</v>
          </cell>
          <cell r="P746">
            <v>0</v>
          </cell>
          <cell r="Q746">
            <v>0</v>
          </cell>
          <cell r="R746">
            <v>0</v>
          </cell>
          <cell r="S746">
            <v>0</v>
          </cell>
          <cell r="T746">
            <v>0</v>
          </cell>
          <cell r="U746">
            <v>41820</v>
          </cell>
          <cell r="V746">
            <v>0</v>
          </cell>
          <cell r="W746">
            <v>0</v>
          </cell>
          <cell r="X746" t="str">
            <v/>
          </cell>
          <cell r="Y746" t="str">
            <v/>
          </cell>
          <cell r="Z746" t="str">
            <v/>
          </cell>
          <cell r="AA746" t="str">
            <v/>
          </cell>
          <cell r="AB746" t="str">
            <v/>
          </cell>
          <cell r="AC746" t="str">
            <v/>
          </cell>
          <cell r="AD746" t="str">
            <v/>
          </cell>
          <cell r="AE746" t="str">
            <v/>
          </cell>
          <cell r="AF746" t="str">
            <v/>
          </cell>
          <cell r="AG746" t="str">
            <v>①</v>
          </cell>
          <cell r="AH746" t="str">
            <v/>
          </cell>
          <cell r="AI746" t="str">
            <v/>
          </cell>
        </row>
        <row r="747">
          <cell r="B747">
            <v>4615</v>
          </cell>
          <cell r="C747">
            <v>46</v>
          </cell>
          <cell r="D747">
            <v>15</v>
          </cell>
          <cell r="F747" t="str">
            <v>新宿</v>
          </cell>
          <cell r="G747" t="str">
            <v>連結送水管設備保守(外観)</v>
          </cell>
          <cell r="H747" t="str">
            <v>防災サービスセンター</v>
          </cell>
          <cell r="I747">
            <v>9900</v>
          </cell>
          <cell r="J747">
            <v>10098</v>
          </cell>
          <cell r="K747">
            <v>1</v>
          </cell>
          <cell r="L747">
            <v>0</v>
          </cell>
          <cell r="M747">
            <v>0</v>
          </cell>
          <cell r="N747">
            <v>0</v>
          </cell>
          <cell r="O747">
            <v>10098</v>
          </cell>
          <cell r="P747">
            <v>0</v>
          </cell>
          <cell r="Q747">
            <v>0</v>
          </cell>
          <cell r="R747">
            <v>0</v>
          </cell>
          <cell r="S747">
            <v>0</v>
          </cell>
          <cell r="T747">
            <v>0</v>
          </cell>
          <cell r="U747">
            <v>0</v>
          </cell>
          <cell r="V747">
            <v>0</v>
          </cell>
          <cell r="W747">
            <v>0</v>
          </cell>
          <cell r="X747" t="str">
            <v/>
          </cell>
          <cell r="Y747" t="str">
            <v/>
          </cell>
          <cell r="Z747" t="str">
            <v/>
          </cell>
          <cell r="AA747" t="str">
            <v>⑦</v>
          </cell>
          <cell r="AB747" t="str">
            <v/>
          </cell>
          <cell r="AC747" t="str">
            <v/>
          </cell>
          <cell r="AD747" t="str">
            <v/>
          </cell>
          <cell r="AE747" t="str">
            <v/>
          </cell>
          <cell r="AF747" t="str">
            <v/>
          </cell>
          <cell r="AG747" t="str">
            <v/>
          </cell>
          <cell r="AH747" t="str">
            <v/>
          </cell>
          <cell r="AI747" t="str">
            <v/>
          </cell>
        </row>
        <row r="748">
          <cell r="B748">
            <v>4616</v>
          </cell>
          <cell r="C748">
            <v>46</v>
          </cell>
          <cell r="D748">
            <v>16</v>
          </cell>
          <cell r="F748" t="str">
            <v>新宿</v>
          </cell>
          <cell r="G748" t="str">
            <v>連結送水管設備保守(総合)</v>
          </cell>
          <cell r="H748" t="str">
            <v>防災サービスセンター</v>
          </cell>
          <cell r="I748">
            <v>9900</v>
          </cell>
          <cell r="J748">
            <v>10098</v>
          </cell>
          <cell r="K748">
            <v>1</v>
          </cell>
          <cell r="L748">
            <v>0</v>
          </cell>
          <cell r="M748">
            <v>0</v>
          </cell>
          <cell r="N748">
            <v>0</v>
          </cell>
          <cell r="O748">
            <v>0</v>
          </cell>
          <cell r="P748">
            <v>0</v>
          </cell>
          <cell r="Q748">
            <v>0</v>
          </cell>
          <cell r="R748">
            <v>0</v>
          </cell>
          <cell r="S748">
            <v>0</v>
          </cell>
          <cell r="T748">
            <v>0</v>
          </cell>
          <cell r="U748">
            <v>10098</v>
          </cell>
          <cell r="V748">
            <v>0</v>
          </cell>
          <cell r="W748">
            <v>0</v>
          </cell>
          <cell r="X748" t="str">
            <v/>
          </cell>
          <cell r="Y748" t="str">
            <v/>
          </cell>
          <cell r="Z748" t="str">
            <v/>
          </cell>
          <cell r="AA748" t="str">
            <v/>
          </cell>
          <cell r="AB748" t="str">
            <v/>
          </cell>
          <cell r="AC748" t="str">
            <v/>
          </cell>
          <cell r="AD748" t="str">
            <v/>
          </cell>
          <cell r="AE748" t="str">
            <v/>
          </cell>
          <cell r="AF748" t="str">
            <v/>
          </cell>
          <cell r="AG748" t="str">
            <v>①</v>
          </cell>
          <cell r="AH748" t="str">
            <v/>
          </cell>
          <cell r="AI748" t="str">
            <v/>
          </cell>
        </row>
        <row r="749">
          <cell r="B749">
            <v>4617</v>
          </cell>
          <cell r="C749">
            <v>46</v>
          </cell>
          <cell r="D749">
            <v>17</v>
          </cell>
          <cell r="F749" t="str">
            <v>新宿</v>
          </cell>
          <cell r="G749" t="str">
            <v>非常発電機設備保守(外観)</v>
          </cell>
          <cell r="H749" t="str">
            <v>ハタノ工業</v>
          </cell>
          <cell r="I749">
            <v>135000</v>
          </cell>
          <cell r="J749">
            <v>137700</v>
          </cell>
          <cell r="K749">
            <v>1</v>
          </cell>
          <cell r="L749">
            <v>0</v>
          </cell>
          <cell r="M749">
            <v>0</v>
          </cell>
          <cell r="N749">
            <v>0</v>
          </cell>
          <cell r="O749">
            <v>0</v>
          </cell>
          <cell r="P749">
            <v>0</v>
          </cell>
          <cell r="Q749">
            <v>0</v>
          </cell>
          <cell r="R749">
            <v>0</v>
          </cell>
          <cell r="S749">
            <v>0</v>
          </cell>
          <cell r="T749">
            <v>137700</v>
          </cell>
          <cell r="U749">
            <v>0</v>
          </cell>
          <cell r="V749">
            <v>0</v>
          </cell>
          <cell r="W749">
            <v>0</v>
          </cell>
          <cell r="X749" t="str">
            <v/>
          </cell>
          <cell r="Y749" t="str">
            <v/>
          </cell>
          <cell r="Z749" t="str">
            <v/>
          </cell>
          <cell r="AA749" t="str">
            <v/>
          </cell>
          <cell r="AB749" t="str">
            <v/>
          </cell>
          <cell r="AC749" t="str">
            <v/>
          </cell>
          <cell r="AD749" t="str">
            <v/>
          </cell>
          <cell r="AE749" t="str">
            <v/>
          </cell>
          <cell r="AF749" t="str">
            <v>⑫</v>
          </cell>
          <cell r="AG749" t="str">
            <v/>
          </cell>
          <cell r="AH749" t="str">
            <v/>
          </cell>
          <cell r="AI749" t="str">
            <v/>
          </cell>
        </row>
        <row r="750">
          <cell r="B750">
            <v>4618</v>
          </cell>
          <cell r="C750">
            <v>46</v>
          </cell>
          <cell r="D750">
            <v>18</v>
          </cell>
          <cell r="F750" t="str">
            <v>新宿</v>
          </cell>
          <cell r="G750" t="str">
            <v>非常発電機設備保守(総合)</v>
          </cell>
          <cell r="H750" t="str">
            <v>ハタノ工業</v>
          </cell>
          <cell r="I750">
            <v>180000</v>
          </cell>
          <cell r="J750">
            <v>183600</v>
          </cell>
          <cell r="K750">
            <v>1</v>
          </cell>
          <cell r="L750">
            <v>0</v>
          </cell>
          <cell r="M750">
            <v>0</v>
          </cell>
          <cell r="N750">
            <v>183600</v>
          </cell>
          <cell r="O750">
            <v>0</v>
          </cell>
          <cell r="P750">
            <v>0</v>
          </cell>
          <cell r="Q750">
            <v>0</v>
          </cell>
          <cell r="R750">
            <v>0</v>
          </cell>
          <cell r="S750">
            <v>0</v>
          </cell>
          <cell r="T750">
            <v>0</v>
          </cell>
          <cell r="U750">
            <v>0</v>
          </cell>
          <cell r="V750">
            <v>0</v>
          </cell>
          <cell r="W750">
            <v>0</v>
          </cell>
          <cell r="X750" t="str">
            <v/>
          </cell>
          <cell r="Y750" t="str">
            <v/>
          </cell>
          <cell r="Z750" t="str">
            <v>⑥</v>
          </cell>
          <cell r="AA750" t="str">
            <v/>
          </cell>
          <cell r="AB750" t="str">
            <v/>
          </cell>
          <cell r="AC750" t="str">
            <v/>
          </cell>
          <cell r="AD750" t="str">
            <v/>
          </cell>
          <cell r="AE750" t="str">
            <v/>
          </cell>
          <cell r="AF750" t="str">
            <v/>
          </cell>
          <cell r="AG750" t="str">
            <v/>
          </cell>
          <cell r="AH750" t="str">
            <v/>
          </cell>
          <cell r="AI750" t="str">
            <v/>
          </cell>
        </row>
        <row r="751">
          <cell r="B751">
            <v>4619</v>
          </cell>
          <cell r="C751">
            <v>46</v>
          </cell>
          <cell r="D751">
            <v>19</v>
          </cell>
          <cell r="F751" t="str">
            <v>新宿</v>
          </cell>
          <cell r="G751" t="str">
            <v>非常放送設備保守(外観)</v>
          </cell>
          <cell r="H751" t="str">
            <v>東洋メディアリンクス</v>
          </cell>
          <cell r="I751">
            <v>91800</v>
          </cell>
          <cell r="J751">
            <v>93636</v>
          </cell>
          <cell r="K751">
            <v>1</v>
          </cell>
          <cell r="L751">
            <v>0</v>
          </cell>
          <cell r="M751">
            <v>0</v>
          </cell>
          <cell r="N751">
            <v>93636</v>
          </cell>
          <cell r="O751">
            <v>0</v>
          </cell>
          <cell r="P751">
            <v>0</v>
          </cell>
          <cell r="Q751">
            <v>0</v>
          </cell>
          <cell r="R751">
            <v>0</v>
          </cell>
          <cell r="S751">
            <v>0</v>
          </cell>
          <cell r="T751">
            <v>0</v>
          </cell>
          <cell r="U751">
            <v>0</v>
          </cell>
          <cell r="V751">
            <v>0</v>
          </cell>
          <cell r="W751">
            <v>0</v>
          </cell>
          <cell r="X751" t="str">
            <v/>
          </cell>
          <cell r="Y751" t="str">
            <v/>
          </cell>
          <cell r="Z751" t="str">
            <v>⑥</v>
          </cell>
          <cell r="AA751" t="str">
            <v/>
          </cell>
          <cell r="AB751" t="str">
            <v/>
          </cell>
          <cell r="AC751" t="str">
            <v/>
          </cell>
          <cell r="AD751" t="str">
            <v/>
          </cell>
          <cell r="AE751" t="str">
            <v/>
          </cell>
          <cell r="AF751" t="str">
            <v/>
          </cell>
          <cell r="AG751" t="str">
            <v/>
          </cell>
          <cell r="AH751" t="str">
            <v/>
          </cell>
          <cell r="AI751" t="str">
            <v/>
          </cell>
        </row>
        <row r="752">
          <cell r="B752">
            <v>4620</v>
          </cell>
          <cell r="C752">
            <v>46</v>
          </cell>
          <cell r="D752">
            <v>20</v>
          </cell>
          <cell r="F752" t="str">
            <v>新宿</v>
          </cell>
          <cell r="G752" t="str">
            <v>非常放送設備保守(総合)</v>
          </cell>
          <cell r="H752" t="str">
            <v>東洋メディアリンクス</v>
          </cell>
          <cell r="I752">
            <v>104200</v>
          </cell>
          <cell r="J752">
            <v>106284</v>
          </cell>
          <cell r="K752">
            <v>1</v>
          </cell>
          <cell r="L752">
            <v>0</v>
          </cell>
          <cell r="M752">
            <v>0</v>
          </cell>
          <cell r="N752">
            <v>0</v>
          </cell>
          <cell r="O752">
            <v>0</v>
          </cell>
          <cell r="P752">
            <v>0</v>
          </cell>
          <cell r="Q752">
            <v>0</v>
          </cell>
          <cell r="R752">
            <v>0</v>
          </cell>
          <cell r="S752">
            <v>0</v>
          </cell>
          <cell r="T752">
            <v>106284</v>
          </cell>
          <cell r="U752">
            <v>0</v>
          </cell>
          <cell r="V752">
            <v>0</v>
          </cell>
          <cell r="W752">
            <v>0</v>
          </cell>
          <cell r="X752" t="str">
            <v/>
          </cell>
          <cell r="Y752" t="str">
            <v/>
          </cell>
          <cell r="Z752" t="str">
            <v/>
          </cell>
          <cell r="AA752" t="str">
            <v/>
          </cell>
          <cell r="AB752" t="str">
            <v/>
          </cell>
          <cell r="AC752" t="str">
            <v/>
          </cell>
          <cell r="AD752" t="str">
            <v/>
          </cell>
          <cell r="AE752" t="str">
            <v/>
          </cell>
          <cell r="AF752" t="str">
            <v>⑫</v>
          </cell>
          <cell r="AG752" t="str">
            <v/>
          </cell>
          <cell r="AH752" t="str">
            <v/>
          </cell>
          <cell r="AI752" t="str">
            <v/>
          </cell>
        </row>
        <row r="753">
          <cell r="B753">
            <v>4621</v>
          </cell>
          <cell r="C753">
            <v>46</v>
          </cell>
          <cell r="D753">
            <v>21</v>
          </cell>
          <cell r="F753" t="str">
            <v>新宿</v>
          </cell>
          <cell r="G753" t="str">
            <v>避難器具保守(外観)</v>
          </cell>
          <cell r="H753" t="str">
            <v>防災サービスセンター</v>
          </cell>
          <cell r="I753">
            <v>5860</v>
          </cell>
          <cell r="J753">
            <v>5977</v>
          </cell>
          <cell r="K753">
            <v>1</v>
          </cell>
          <cell r="L753">
            <v>0</v>
          </cell>
          <cell r="M753">
            <v>0</v>
          </cell>
          <cell r="N753">
            <v>0</v>
          </cell>
          <cell r="O753">
            <v>5977</v>
          </cell>
          <cell r="P753">
            <v>0</v>
          </cell>
          <cell r="Q753">
            <v>0</v>
          </cell>
          <cell r="R753">
            <v>0</v>
          </cell>
          <cell r="S753">
            <v>0</v>
          </cell>
          <cell r="T753">
            <v>0</v>
          </cell>
          <cell r="U753">
            <v>0</v>
          </cell>
          <cell r="V753">
            <v>0</v>
          </cell>
          <cell r="W753">
            <v>0</v>
          </cell>
          <cell r="X753" t="str">
            <v/>
          </cell>
          <cell r="Y753" t="str">
            <v/>
          </cell>
          <cell r="Z753" t="str">
            <v/>
          </cell>
          <cell r="AA753" t="str">
            <v>⑦</v>
          </cell>
          <cell r="AB753" t="str">
            <v/>
          </cell>
          <cell r="AC753" t="str">
            <v/>
          </cell>
          <cell r="AD753" t="str">
            <v/>
          </cell>
          <cell r="AE753" t="str">
            <v/>
          </cell>
          <cell r="AF753" t="str">
            <v/>
          </cell>
          <cell r="AG753" t="str">
            <v/>
          </cell>
          <cell r="AH753" t="str">
            <v/>
          </cell>
          <cell r="AI753" t="str">
            <v/>
          </cell>
        </row>
        <row r="754">
          <cell r="B754">
            <v>4622</v>
          </cell>
          <cell r="C754">
            <v>46</v>
          </cell>
          <cell r="D754">
            <v>22</v>
          </cell>
          <cell r="F754" t="str">
            <v>新宿</v>
          </cell>
          <cell r="G754" t="str">
            <v>避難器具保守(総合)</v>
          </cell>
          <cell r="H754" t="str">
            <v>防災サービスセンター</v>
          </cell>
          <cell r="I754">
            <v>6250</v>
          </cell>
          <cell r="J754">
            <v>6375</v>
          </cell>
          <cell r="K754">
            <v>1</v>
          </cell>
          <cell r="L754">
            <v>0</v>
          </cell>
          <cell r="M754">
            <v>0</v>
          </cell>
          <cell r="N754">
            <v>0</v>
          </cell>
          <cell r="O754">
            <v>0</v>
          </cell>
          <cell r="P754">
            <v>0</v>
          </cell>
          <cell r="Q754">
            <v>0</v>
          </cell>
          <cell r="R754">
            <v>0</v>
          </cell>
          <cell r="S754">
            <v>0</v>
          </cell>
          <cell r="T754">
            <v>0</v>
          </cell>
          <cell r="U754">
            <v>6375</v>
          </cell>
          <cell r="V754">
            <v>0</v>
          </cell>
          <cell r="W754">
            <v>0</v>
          </cell>
          <cell r="X754" t="str">
            <v/>
          </cell>
          <cell r="Y754" t="str">
            <v/>
          </cell>
          <cell r="Z754" t="str">
            <v/>
          </cell>
          <cell r="AA754" t="str">
            <v/>
          </cell>
          <cell r="AB754" t="str">
            <v/>
          </cell>
          <cell r="AC754" t="str">
            <v/>
          </cell>
          <cell r="AD754" t="str">
            <v/>
          </cell>
          <cell r="AE754" t="str">
            <v/>
          </cell>
          <cell r="AF754" t="str">
            <v/>
          </cell>
          <cell r="AG754" t="str">
            <v>①</v>
          </cell>
          <cell r="AH754" t="str">
            <v/>
          </cell>
          <cell r="AI754" t="str">
            <v/>
          </cell>
        </row>
        <row r="755">
          <cell r="B755">
            <v>4623</v>
          </cell>
          <cell r="C755">
            <v>46</v>
          </cell>
          <cell r="D755">
            <v>23</v>
          </cell>
          <cell r="F755" t="str">
            <v>新宿</v>
          </cell>
          <cell r="G755" t="str">
            <v>立体駐車場装置保守</v>
          </cell>
          <cell r="H755" t="str">
            <v>石川島運搬機械</v>
          </cell>
          <cell r="I755">
            <v>120000</v>
          </cell>
          <cell r="J755">
            <v>122400</v>
          </cell>
          <cell r="K755">
            <v>12</v>
          </cell>
          <cell r="L755">
            <v>122400</v>
          </cell>
          <cell r="M755">
            <v>122400</v>
          </cell>
          <cell r="N755">
            <v>122400</v>
          </cell>
          <cell r="O755">
            <v>122400</v>
          </cell>
          <cell r="P755">
            <v>122400</v>
          </cell>
          <cell r="Q755">
            <v>122400</v>
          </cell>
          <cell r="R755">
            <v>122400</v>
          </cell>
          <cell r="S755">
            <v>122400</v>
          </cell>
          <cell r="T755">
            <v>122400</v>
          </cell>
          <cell r="U755">
            <v>122400</v>
          </cell>
          <cell r="V755">
            <v>122400</v>
          </cell>
          <cell r="W755">
            <v>122400</v>
          </cell>
          <cell r="X755" t="str">
            <v>④</v>
          </cell>
          <cell r="Y755" t="str">
            <v>⑤</v>
          </cell>
          <cell r="Z755" t="str">
            <v>⑥</v>
          </cell>
          <cell r="AA755" t="str">
            <v>⑦</v>
          </cell>
          <cell r="AB755" t="str">
            <v>⑧</v>
          </cell>
          <cell r="AC755" t="str">
            <v>⑨</v>
          </cell>
          <cell r="AD755" t="str">
            <v>⑩</v>
          </cell>
          <cell r="AE755" t="str">
            <v>⑪</v>
          </cell>
          <cell r="AF755" t="str">
            <v>⑫</v>
          </cell>
          <cell r="AG755" t="str">
            <v>①</v>
          </cell>
          <cell r="AH755" t="str">
            <v>②</v>
          </cell>
          <cell r="AI755" t="str">
            <v>③</v>
          </cell>
        </row>
        <row r="756">
          <cell r="B756">
            <v>4624</v>
          </cell>
          <cell r="C756">
            <v>46</v>
          </cell>
          <cell r="D756">
            <v>24</v>
          </cell>
          <cell r="F756" t="str">
            <v>新宿</v>
          </cell>
          <cell r="G756" t="str">
            <v>駐車場消防設備保守</v>
          </cell>
          <cell r="H756" t="str">
            <v>石川島運搬機械</v>
          </cell>
          <cell r="I756">
            <v>30000</v>
          </cell>
          <cell r="J756">
            <v>30600</v>
          </cell>
          <cell r="K756">
            <v>12</v>
          </cell>
          <cell r="L756">
            <v>30600</v>
          </cell>
          <cell r="M756">
            <v>30600</v>
          </cell>
          <cell r="N756">
            <v>30600</v>
          </cell>
          <cell r="O756">
            <v>30600</v>
          </cell>
          <cell r="P756">
            <v>30600</v>
          </cell>
          <cell r="Q756">
            <v>30600</v>
          </cell>
          <cell r="R756">
            <v>30600</v>
          </cell>
          <cell r="S756">
            <v>30600</v>
          </cell>
          <cell r="T756">
            <v>30600</v>
          </cell>
          <cell r="U756">
            <v>30600</v>
          </cell>
          <cell r="V756">
            <v>30600</v>
          </cell>
          <cell r="W756">
            <v>30600</v>
          </cell>
          <cell r="X756" t="str">
            <v>④</v>
          </cell>
          <cell r="Y756" t="str">
            <v>⑤</v>
          </cell>
          <cell r="Z756" t="str">
            <v>⑥</v>
          </cell>
          <cell r="AA756" t="str">
            <v>⑦</v>
          </cell>
          <cell r="AB756" t="str">
            <v>⑧</v>
          </cell>
          <cell r="AC756" t="str">
            <v>⑨</v>
          </cell>
          <cell r="AD756" t="str">
            <v>⑩</v>
          </cell>
          <cell r="AE756" t="str">
            <v>⑪</v>
          </cell>
          <cell r="AF756" t="str">
            <v>⑫</v>
          </cell>
          <cell r="AG756" t="str">
            <v>①</v>
          </cell>
          <cell r="AH756" t="str">
            <v>②</v>
          </cell>
          <cell r="AI756" t="str">
            <v>③</v>
          </cell>
        </row>
        <row r="757">
          <cell r="B757">
            <v>4625</v>
          </cell>
          <cell r="C757">
            <v>46</v>
          </cell>
          <cell r="D757">
            <v>25</v>
          </cell>
          <cell r="F757" t="str">
            <v>新宿</v>
          </cell>
          <cell r="G757" t="str">
            <v>害虫駆除</v>
          </cell>
          <cell r="H757" t="str">
            <v>三共消毒</v>
          </cell>
          <cell r="I757">
            <v>272500</v>
          </cell>
          <cell r="J757">
            <v>299750</v>
          </cell>
          <cell r="K757">
            <v>2</v>
          </cell>
          <cell r="L757">
            <v>299750</v>
          </cell>
          <cell r="M757">
            <v>0</v>
          </cell>
          <cell r="N757">
            <v>0</v>
          </cell>
          <cell r="O757">
            <v>0</v>
          </cell>
          <cell r="P757">
            <v>0</v>
          </cell>
          <cell r="Q757">
            <v>0</v>
          </cell>
          <cell r="R757">
            <v>299750</v>
          </cell>
          <cell r="S757">
            <v>0</v>
          </cell>
          <cell r="T757">
            <v>0</v>
          </cell>
          <cell r="U757">
            <v>0</v>
          </cell>
          <cell r="V757">
            <v>0</v>
          </cell>
          <cell r="W757">
            <v>0</v>
          </cell>
          <cell r="X757" t="str">
            <v>④</v>
          </cell>
          <cell r="Y757" t="str">
            <v/>
          </cell>
          <cell r="Z757" t="str">
            <v/>
          </cell>
          <cell r="AA757" t="str">
            <v/>
          </cell>
          <cell r="AB757" t="str">
            <v/>
          </cell>
          <cell r="AC757" t="str">
            <v/>
          </cell>
          <cell r="AD757" t="str">
            <v>⑩</v>
          </cell>
          <cell r="AE757" t="str">
            <v/>
          </cell>
          <cell r="AF757" t="str">
            <v/>
          </cell>
          <cell r="AG757" t="str">
            <v/>
          </cell>
          <cell r="AH757" t="str">
            <v/>
          </cell>
          <cell r="AI757" t="str">
            <v/>
          </cell>
        </row>
        <row r="758">
          <cell r="B758">
            <v>4626</v>
          </cell>
          <cell r="C758">
            <v>46</v>
          </cell>
          <cell r="D758">
            <v>26</v>
          </cell>
          <cell r="F758" t="str">
            <v>新宿</v>
          </cell>
          <cell r="G758" t="str">
            <v>合併汚水槽清掃</v>
          </cell>
          <cell r="H758" t="str">
            <v>日本環境衛生事業協会</v>
          </cell>
          <cell r="I758">
            <v>61400</v>
          </cell>
          <cell r="J758">
            <v>68768</v>
          </cell>
          <cell r="K758">
            <v>3</v>
          </cell>
          <cell r="L758">
            <v>68768</v>
          </cell>
          <cell r="M758">
            <v>0</v>
          </cell>
          <cell r="N758">
            <v>0</v>
          </cell>
          <cell r="O758">
            <v>0</v>
          </cell>
          <cell r="P758">
            <v>68768</v>
          </cell>
          <cell r="Q758">
            <v>0</v>
          </cell>
          <cell r="R758">
            <v>0</v>
          </cell>
          <cell r="S758">
            <v>0</v>
          </cell>
          <cell r="T758">
            <v>68768</v>
          </cell>
          <cell r="U758">
            <v>0</v>
          </cell>
          <cell r="V758">
            <v>0</v>
          </cell>
          <cell r="W758">
            <v>0</v>
          </cell>
          <cell r="X758" t="str">
            <v>④</v>
          </cell>
          <cell r="Y758" t="str">
            <v/>
          </cell>
          <cell r="Z758" t="str">
            <v/>
          </cell>
          <cell r="AA758" t="str">
            <v/>
          </cell>
          <cell r="AB758" t="str">
            <v>⑧</v>
          </cell>
          <cell r="AC758" t="str">
            <v/>
          </cell>
          <cell r="AD758" t="str">
            <v/>
          </cell>
          <cell r="AE758" t="str">
            <v/>
          </cell>
          <cell r="AF758" t="str">
            <v>⑫</v>
          </cell>
          <cell r="AG758" t="str">
            <v/>
          </cell>
          <cell r="AH758" t="str">
            <v/>
          </cell>
          <cell r="AI758" t="str">
            <v/>
          </cell>
        </row>
        <row r="759">
          <cell r="B759">
            <v>4627</v>
          </cell>
          <cell r="C759">
            <v>46</v>
          </cell>
          <cell r="D759">
            <v>27</v>
          </cell>
          <cell r="F759" t="str">
            <v>新宿</v>
          </cell>
          <cell r="G759" t="str">
            <v>受水槽清掃(含む高架水槽)</v>
          </cell>
          <cell r="H759" t="str">
            <v>杉田商工</v>
          </cell>
          <cell r="I759">
            <v>139000</v>
          </cell>
          <cell r="J759">
            <v>157070</v>
          </cell>
          <cell r="K759">
            <v>1</v>
          </cell>
          <cell r="L759">
            <v>0</v>
          </cell>
          <cell r="M759">
            <v>0</v>
          </cell>
          <cell r="N759">
            <v>0</v>
          </cell>
          <cell r="O759">
            <v>0</v>
          </cell>
          <cell r="P759">
            <v>0</v>
          </cell>
          <cell r="Q759">
            <v>0</v>
          </cell>
          <cell r="R759">
            <v>157070</v>
          </cell>
          <cell r="S759">
            <v>0</v>
          </cell>
          <cell r="T759">
            <v>0</v>
          </cell>
          <cell r="U759">
            <v>0</v>
          </cell>
          <cell r="V759">
            <v>0</v>
          </cell>
          <cell r="W759">
            <v>0</v>
          </cell>
          <cell r="X759" t="str">
            <v/>
          </cell>
          <cell r="Y759" t="str">
            <v/>
          </cell>
          <cell r="Z759" t="str">
            <v/>
          </cell>
          <cell r="AA759" t="str">
            <v/>
          </cell>
          <cell r="AB759" t="str">
            <v/>
          </cell>
          <cell r="AC759" t="str">
            <v/>
          </cell>
          <cell r="AD759" t="str">
            <v>⑩</v>
          </cell>
          <cell r="AE759" t="str">
            <v/>
          </cell>
          <cell r="AF759" t="str">
            <v/>
          </cell>
          <cell r="AG759" t="str">
            <v/>
          </cell>
          <cell r="AH759" t="str">
            <v/>
          </cell>
          <cell r="AI759" t="str">
            <v/>
          </cell>
        </row>
        <row r="760">
          <cell r="B760">
            <v>4628</v>
          </cell>
          <cell r="C760">
            <v>46</v>
          </cell>
          <cell r="D760">
            <v>28</v>
          </cell>
          <cell r="F760" t="str">
            <v>新宿</v>
          </cell>
          <cell r="G760" t="str">
            <v>自動ドアー保守</v>
          </cell>
          <cell r="H760" t="str">
            <v>ナブコシステム</v>
          </cell>
          <cell r="I760">
            <v>68250</v>
          </cell>
          <cell r="J760">
            <v>69615</v>
          </cell>
          <cell r="K760">
            <v>4</v>
          </cell>
          <cell r="L760">
            <v>0</v>
          </cell>
          <cell r="M760">
            <v>69615</v>
          </cell>
          <cell r="N760">
            <v>0</v>
          </cell>
          <cell r="O760">
            <v>0</v>
          </cell>
          <cell r="P760">
            <v>69615</v>
          </cell>
          <cell r="Q760">
            <v>0</v>
          </cell>
          <cell r="R760">
            <v>0</v>
          </cell>
          <cell r="S760">
            <v>69615</v>
          </cell>
          <cell r="T760">
            <v>0</v>
          </cell>
          <cell r="U760">
            <v>0</v>
          </cell>
          <cell r="V760">
            <v>69615</v>
          </cell>
          <cell r="W760">
            <v>0</v>
          </cell>
          <cell r="Y760" t="str">
            <v>⑤</v>
          </cell>
          <cell r="AB760" t="str">
            <v>⑧</v>
          </cell>
          <cell r="AE760" t="str">
            <v>⑪</v>
          </cell>
          <cell r="AH760" t="str">
            <v>②</v>
          </cell>
        </row>
        <row r="761">
          <cell r="B761">
            <v>4629</v>
          </cell>
          <cell r="C761">
            <v>46</v>
          </cell>
          <cell r="D761">
            <v>29</v>
          </cell>
          <cell r="F761" t="str">
            <v>新宿</v>
          </cell>
          <cell r="G761" t="str">
            <v>中央監視装置保守(空調)</v>
          </cell>
          <cell r="H761" t="str">
            <v>東京松下電工ｴﾝｼﾞﾆｱﾘﾝｸﾞ</v>
          </cell>
          <cell r="I761">
            <v>400000</v>
          </cell>
          <cell r="J761">
            <v>408000</v>
          </cell>
          <cell r="K761">
            <v>1</v>
          </cell>
          <cell r="L761">
            <v>408000</v>
          </cell>
          <cell r="M761">
            <v>0</v>
          </cell>
          <cell r="N761">
            <v>0</v>
          </cell>
          <cell r="O761">
            <v>0</v>
          </cell>
          <cell r="P761">
            <v>0</v>
          </cell>
          <cell r="Q761">
            <v>0</v>
          </cell>
          <cell r="R761">
            <v>0</v>
          </cell>
          <cell r="S761">
            <v>0</v>
          </cell>
          <cell r="T761">
            <v>0</v>
          </cell>
          <cell r="U761">
            <v>0</v>
          </cell>
          <cell r="V761">
            <v>0</v>
          </cell>
          <cell r="W761">
            <v>0</v>
          </cell>
          <cell r="X761" t="str">
            <v>④</v>
          </cell>
          <cell r="Y761" t="str">
            <v/>
          </cell>
          <cell r="Z761" t="str">
            <v/>
          </cell>
          <cell r="AA761" t="str">
            <v/>
          </cell>
          <cell r="AB761" t="str">
            <v/>
          </cell>
          <cell r="AC761" t="str">
            <v/>
          </cell>
          <cell r="AD761" t="str">
            <v/>
          </cell>
          <cell r="AE761" t="str">
            <v/>
          </cell>
          <cell r="AF761" t="str">
            <v/>
          </cell>
          <cell r="AG761" t="str">
            <v/>
          </cell>
          <cell r="AH761" t="str">
            <v/>
          </cell>
          <cell r="AI761" t="str">
            <v/>
          </cell>
        </row>
        <row r="762">
          <cell r="B762">
            <v>4630</v>
          </cell>
          <cell r="C762">
            <v>46</v>
          </cell>
          <cell r="D762">
            <v>30</v>
          </cell>
          <cell r="F762" t="str">
            <v>新宿</v>
          </cell>
          <cell r="G762" t="str">
            <v>空調用自動制御機器保守</v>
          </cell>
          <cell r="H762" t="str">
            <v>横河ｼﾞｮﾝｿﾝｺﾝﾄﾛｰﾙｽﾞ</v>
          </cell>
          <cell r="I762">
            <v>58120</v>
          </cell>
          <cell r="J762">
            <v>59282</v>
          </cell>
          <cell r="K762">
            <v>1</v>
          </cell>
          <cell r="L762">
            <v>59282</v>
          </cell>
          <cell r="M762">
            <v>0</v>
          </cell>
          <cell r="N762">
            <v>0</v>
          </cell>
          <cell r="O762">
            <v>0</v>
          </cell>
          <cell r="P762">
            <v>0</v>
          </cell>
          <cell r="Q762">
            <v>0</v>
          </cell>
          <cell r="R762">
            <v>0</v>
          </cell>
          <cell r="S762">
            <v>0</v>
          </cell>
          <cell r="T762">
            <v>0</v>
          </cell>
          <cell r="U762">
            <v>0</v>
          </cell>
          <cell r="V762">
            <v>0</v>
          </cell>
          <cell r="W762">
            <v>0</v>
          </cell>
          <cell r="X762" t="str">
            <v>④</v>
          </cell>
          <cell r="Y762" t="str">
            <v/>
          </cell>
          <cell r="Z762" t="str">
            <v/>
          </cell>
          <cell r="AA762" t="str">
            <v/>
          </cell>
          <cell r="AB762" t="str">
            <v/>
          </cell>
          <cell r="AC762" t="str">
            <v/>
          </cell>
          <cell r="AD762" t="str">
            <v/>
          </cell>
          <cell r="AE762" t="str">
            <v/>
          </cell>
          <cell r="AF762" t="str">
            <v/>
          </cell>
          <cell r="AG762" t="str">
            <v/>
          </cell>
          <cell r="AH762" t="str">
            <v/>
          </cell>
          <cell r="AI762" t="str">
            <v/>
          </cell>
        </row>
        <row r="763">
          <cell r="B763">
            <v>4631</v>
          </cell>
          <cell r="C763">
            <v>46</v>
          </cell>
          <cell r="D763">
            <v>31</v>
          </cell>
          <cell r="F763" t="str">
            <v>新宿</v>
          </cell>
          <cell r="G763" t="str">
            <v>空調用自動制御機器保守</v>
          </cell>
          <cell r="H763" t="str">
            <v>横河ｼﾞｮﾝｿﾝｺﾝﾄﾛｰﾙｽﾞ</v>
          </cell>
          <cell r="I763">
            <v>178420</v>
          </cell>
          <cell r="J763">
            <v>181988</v>
          </cell>
          <cell r="K763">
            <v>1</v>
          </cell>
          <cell r="L763">
            <v>0</v>
          </cell>
          <cell r="M763">
            <v>0</v>
          </cell>
          <cell r="N763">
            <v>181988</v>
          </cell>
          <cell r="O763">
            <v>0</v>
          </cell>
          <cell r="P763">
            <v>0</v>
          </cell>
          <cell r="Q763">
            <v>0</v>
          </cell>
          <cell r="R763">
            <v>0</v>
          </cell>
          <cell r="S763">
            <v>0</v>
          </cell>
          <cell r="T763">
            <v>0</v>
          </cell>
          <cell r="U763">
            <v>0</v>
          </cell>
          <cell r="V763">
            <v>0</v>
          </cell>
          <cell r="W763">
            <v>0</v>
          </cell>
          <cell r="X763" t="str">
            <v/>
          </cell>
          <cell r="Y763" t="str">
            <v/>
          </cell>
          <cell r="Z763" t="str">
            <v>⑥</v>
          </cell>
          <cell r="AA763" t="str">
            <v/>
          </cell>
          <cell r="AB763" t="str">
            <v/>
          </cell>
          <cell r="AC763" t="str">
            <v/>
          </cell>
          <cell r="AD763" t="str">
            <v/>
          </cell>
          <cell r="AE763" t="str">
            <v/>
          </cell>
          <cell r="AF763" t="str">
            <v/>
          </cell>
          <cell r="AG763" t="str">
            <v/>
          </cell>
          <cell r="AH763" t="str">
            <v/>
          </cell>
          <cell r="AI763" t="str">
            <v/>
          </cell>
        </row>
        <row r="764">
          <cell r="B764">
            <v>4632</v>
          </cell>
          <cell r="C764">
            <v>46</v>
          </cell>
          <cell r="D764">
            <v>32</v>
          </cell>
          <cell r="F764" t="str">
            <v>新宿</v>
          </cell>
          <cell r="G764" t="str">
            <v>空調用自動制御機器保守</v>
          </cell>
          <cell r="H764" t="str">
            <v>横河ｼﾞｮﾝｿﾝｺﾝﾄﾛｰﾙｽﾞ</v>
          </cell>
          <cell r="I764">
            <v>173460</v>
          </cell>
          <cell r="J764">
            <v>176929</v>
          </cell>
          <cell r="K764">
            <v>1</v>
          </cell>
          <cell r="L764">
            <v>0</v>
          </cell>
          <cell r="M764">
            <v>0</v>
          </cell>
          <cell r="N764">
            <v>0</v>
          </cell>
          <cell r="O764">
            <v>0</v>
          </cell>
          <cell r="P764">
            <v>0</v>
          </cell>
          <cell r="Q764">
            <v>0</v>
          </cell>
          <cell r="R764">
            <v>0</v>
          </cell>
          <cell r="S764">
            <v>0</v>
          </cell>
          <cell r="T764">
            <v>176929</v>
          </cell>
          <cell r="U764">
            <v>0</v>
          </cell>
          <cell r="V764">
            <v>0</v>
          </cell>
          <cell r="W764">
            <v>0</v>
          </cell>
          <cell r="X764" t="str">
            <v/>
          </cell>
          <cell r="Y764" t="str">
            <v/>
          </cell>
          <cell r="Z764" t="str">
            <v/>
          </cell>
          <cell r="AA764" t="str">
            <v/>
          </cell>
          <cell r="AB764" t="str">
            <v/>
          </cell>
          <cell r="AC764" t="str">
            <v/>
          </cell>
          <cell r="AD764" t="str">
            <v/>
          </cell>
          <cell r="AE764" t="str">
            <v/>
          </cell>
          <cell r="AF764" t="str">
            <v>⑫</v>
          </cell>
          <cell r="AG764" t="str">
            <v/>
          </cell>
          <cell r="AH764" t="str">
            <v/>
          </cell>
          <cell r="AI764" t="str">
            <v/>
          </cell>
        </row>
        <row r="765">
          <cell r="B765">
            <v>4633</v>
          </cell>
          <cell r="C765">
            <v>46</v>
          </cell>
          <cell r="D765">
            <v>33</v>
          </cell>
          <cell r="F765" t="str">
            <v>新宿</v>
          </cell>
          <cell r="G765" t="str">
            <v>給排風機点検整備</v>
          </cell>
          <cell r="H765" t="str">
            <v>八洲興業</v>
          </cell>
          <cell r="I765">
            <v>245000</v>
          </cell>
          <cell r="J765">
            <v>281750</v>
          </cell>
          <cell r="K765">
            <v>1</v>
          </cell>
          <cell r="L765">
            <v>0</v>
          </cell>
          <cell r="M765">
            <v>0</v>
          </cell>
          <cell r="N765">
            <v>0</v>
          </cell>
          <cell r="O765">
            <v>281750</v>
          </cell>
          <cell r="P765">
            <v>0</v>
          </cell>
          <cell r="Q765">
            <v>0</v>
          </cell>
          <cell r="R765">
            <v>0</v>
          </cell>
          <cell r="S765">
            <v>0</v>
          </cell>
          <cell r="T765">
            <v>0</v>
          </cell>
          <cell r="U765">
            <v>0</v>
          </cell>
          <cell r="V765">
            <v>0</v>
          </cell>
          <cell r="W765">
            <v>0</v>
          </cell>
          <cell r="X765" t="str">
            <v/>
          </cell>
          <cell r="Y765" t="str">
            <v/>
          </cell>
          <cell r="Z765" t="str">
            <v/>
          </cell>
          <cell r="AA765" t="str">
            <v>⑦</v>
          </cell>
          <cell r="AB765" t="str">
            <v/>
          </cell>
          <cell r="AC765" t="str">
            <v/>
          </cell>
          <cell r="AD765" t="str">
            <v/>
          </cell>
          <cell r="AE765" t="str">
            <v/>
          </cell>
          <cell r="AF765" t="str">
            <v/>
          </cell>
          <cell r="AG765" t="str">
            <v/>
          </cell>
          <cell r="AH765" t="str">
            <v/>
          </cell>
          <cell r="AI765" t="str">
            <v/>
          </cell>
          <cell r="AJ765" t="str">
            <v>追</v>
          </cell>
        </row>
        <row r="766">
          <cell r="B766">
            <v>4634</v>
          </cell>
          <cell r="C766">
            <v>46</v>
          </cell>
          <cell r="D766">
            <v>34</v>
          </cell>
          <cell r="F766" t="str">
            <v>新宿</v>
          </cell>
          <cell r="G766" t="str">
            <v>全熱交換器点検整備</v>
          </cell>
          <cell r="H766" t="str">
            <v>八洲興業</v>
          </cell>
          <cell r="I766">
            <v>258000</v>
          </cell>
          <cell r="J766">
            <v>296700</v>
          </cell>
          <cell r="K766">
            <v>1</v>
          </cell>
          <cell r="L766">
            <v>0</v>
          </cell>
          <cell r="M766">
            <v>0</v>
          </cell>
          <cell r="N766">
            <v>0</v>
          </cell>
          <cell r="O766">
            <v>296700</v>
          </cell>
          <cell r="P766">
            <v>0</v>
          </cell>
          <cell r="Q766">
            <v>0</v>
          </cell>
          <cell r="R766">
            <v>0</v>
          </cell>
          <cell r="S766">
            <v>0</v>
          </cell>
          <cell r="T766">
            <v>0</v>
          </cell>
          <cell r="U766">
            <v>0</v>
          </cell>
          <cell r="V766">
            <v>0</v>
          </cell>
          <cell r="W766">
            <v>0</v>
          </cell>
          <cell r="X766" t="str">
            <v/>
          </cell>
          <cell r="Y766" t="str">
            <v/>
          </cell>
          <cell r="Z766" t="str">
            <v/>
          </cell>
          <cell r="AA766" t="str">
            <v>⑦</v>
          </cell>
          <cell r="AB766" t="str">
            <v/>
          </cell>
          <cell r="AC766" t="str">
            <v/>
          </cell>
          <cell r="AD766" t="str">
            <v/>
          </cell>
          <cell r="AE766" t="str">
            <v/>
          </cell>
          <cell r="AF766" t="str">
            <v/>
          </cell>
          <cell r="AG766" t="str">
            <v/>
          </cell>
          <cell r="AH766" t="str">
            <v/>
          </cell>
          <cell r="AI766" t="str">
            <v/>
          </cell>
          <cell r="AJ766" t="str">
            <v>追</v>
          </cell>
        </row>
        <row r="767">
          <cell r="B767">
            <v>4635</v>
          </cell>
          <cell r="C767">
            <v>46</v>
          </cell>
          <cell r="D767">
            <v>35</v>
          </cell>
          <cell r="F767" t="str">
            <v>新宿</v>
          </cell>
          <cell r="G767" t="str">
            <v>ﾊﾟｯｹｰｼﾞ点検整備</v>
          </cell>
          <cell r="H767" t="str">
            <v>八洲興業</v>
          </cell>
          <cell r="I767">
            <v>90000</v>
          </cell>
          <cell r="J767">
            <v>103500</v>
          </cell>
          <cell r="K767">
            <v>1</v>
          </cell>
          <cell r="L767">
            <v>0</v>
          </cell>
          <cell r="M767">
            <v>0</v>
          </cell>
          <cell r="N767">
            <v>0</v>
          </cell>
          <cell r="O767">
            <v>103500</v>
          </cell>
          <cell r="P767">
            <v>0</v>
          </cell>
          <cell r="Q767">
            <v>0</v>
          </cell>
          <cell r="R767">
            <v>0</v>
          </cell>
          <cell r="S767">
            <v>0</v>
          </cell>
          <cell r="T767">
            <v>0</v>
          </cell>
          <cell r="U767">
            <v>0</v>
          </cell>
          <cell r="V767">
            <v>0</v>
          </cell>
          <cell r="W767">
            <v>0</v>
          </cell>
          <cell r="X767" t="str">
            <v/>
          </cell>
          <cell r="Y767" t="str">
            <v/>
          </cell>
          <cell r="Z767" t="str">
            <v/>
          </cell>
          <cell r="AA767" t="str">
            <v>⑦</v>
          </cell>
          <cell r="AB767" t="str">
            <v/>
          </cell>
          <cell r="AC767" t="str">
            <v/>
          </cell>
          <cell r="AD767" t="str">
            <v/>
          </cell>
          <cell r="AE767" t="str">
            <v/>
          </cell>
          <cell r="AF767" t="str">
            <v/>
          </cell>
          <cell r="AG767" t="str">
            <v/>
          </cell>
          <cell r="AH767" t="str">
            <v/>
          </cell>
          <cell r="AI767" t="str">
            <v/>
          </cell>
          <cell r="AJ767" t="str">
            <v>追</v>
          </cell>
        </row>
        <row r="768">
          <cell r="B768">
            <v>4636</v>
          </cell>
          <cell r="C768">
            <v>46</v>
          </cell>
          <cell r="D768">
            <v>36</v>
          </cell>
          <cell r="F768" t="str">
            <v>新宿</v>
          </cell>
          <cell r="G768" t="str">
            <v>電気湯沸器点検整備</v>
          </cell>
          <cell r="H768" t="str">
            <v>日本イトミック</v>
          </cell>
          <cell r="I768">
            <v>190000</v>
          </cell>
          <cell r="J768">
            <v>218500</v>
          </cell>
          <cell r="K768">
            <v>1</v>
          </cell>
          <cell r="L768">
            <v>0</v>
          </cell>
          <cell r="M768">
            <v>0</v>
          </cell>
          <cell r="N768">
            <v>0</v>
          </cell>
          <cell r="O768">
            <v>0</v>
          </cell>
          <cell r="P768">
            <v>0</v>
          </cell>
          <cell r="Q768">
            <v>218500</v>
          </cell>
          <cell r="R768">
            <v>0</v>
          </cell>
          <cell r="S768">
            <v>0</v>
          </cell>
          <cell r="T768">
            <v>0</v>
          </cell>
          <cell r="U768">
            <v>0</v>
          </cell>
          <cell r="V768">
            <v>0</v>
          </cell>
          <cell r="W768">
            <v>0</v>
          </cell>
          <cell r="X768" t="str">
            <v/>
          </cell>
          <cell r="Y768" t="str">
            <v/>
          </cell>
          <cell r="Z768" t="str">
            <v/>
          </cell>
          <cell r="AA768" t="str">
            <v/>
          </cell>
          <cell r="AB768" t="str">
            <v/>
          </cell>
          <cell r="AC768" t="str">
            <v>⑨</v>
          </cell>
          <cell r="AD768" t="str">
            <v/>
          </cell>
          <cell r="AE768" t="str">
            <v/>
          </cell>
          <cell r="AF768" t="str">
            <v/>
          </cell>
          <cell r="AG768" t="str">
            <v/>
          </cell>
          <cell r="AH768" t="str">
            <v/>
          </cell>
          <cell r="AI768" t="str">
            <v/>
          </cell>
          <cell r="AJ768" t="str">
            <v>追</v>
          </cell>
        </row>
        <row r="769">
          <cell r="B769">
            <v>4637</v>
          </cell>
          <cell r="C769">
            <v>46</v>
          </cell>
          <cell r="D769">
            <v>37</v>
          </cell>
          <cell r="F769" t="str">
            <v>新宿</v>
          </cell>
          <cell r="G769" t="str">
            <v>ボイラー点検整備,性能検査</v>
          </cell>
          <cell r="H769" t="str">
            <v>東京制缶</v>
          </cell>
          <cell r="I769">
            <v>270000</v>
          </cell>
          <cell r="J769">
            <v>310500</v>
          </cell>
          <cell r="K769">
            <v>1</v>
          </cell>
          <cell r="L769">
            <v>0</v>
          </cell>
          <cell r="M769">
            <v>0</v>
          </cell>
          <cell r="N769">
            <v>310500</v>
          </cell>
          <cell r="O769">
            <v>0</v>
          </cell>
          <cell r="P769">
            <v>0</v>
          </cell>
          <cell r="Q769">
            <v>0</v>
          </cell>
          <cell r="R769">
            <v>0</v>
          </cell>
          <cell r="S769">
            <v>0</v>
          </cell>
          <cell r="T769">
            <v>0</v>
          </cell>
          <cell r="U769">
            <v>0</v>
          </cell>
          <cell r="V769">
            <v>0</v>
          </cell>
          <cell r="W769">
            <v>0</v>
          </cell>
          <cell r="X769" t="str">
            <v/>
          </cell>
          <cell r="Y769" t="str">
            <v/>
          </cell>
          <cell r="Z769" t="str">
            <v>⑥</v>
          </cell>
          <cell r="AA769" t="str">
            <v/>
          </cell>
          <cell r="AB769" t="str">
            <v/>
          </cell>
          <cell r="AC769" t="str">
            <v/>
          </cell>
          <cell r="AD769" t="str">
            <v/>
          </cell>
          <cell r="AE769" t="str">
            <v/>
          </cell>
          <cell r="AF769" t="str">
            <v/>
          </cell>
          <cell r="AG769" t="str">
            <v/>
          </cell>
          <cell r="AH769" t="str">
            <v/>
          </cell>
          <cell r="AI769" t="str">
            <v/>
          </cell>
          <cell r="AJ769" t="str">
            <v>追</v>
          </cell>
        </row>
        <row r="770">
          <cell r="B770">
            <v>4701</v>
          </cell>
          <cell r="C770">
            <v>47</v>
          </cell>
          <cell r="D770">
            <v>1</v>
          </cell>
          <cell r="F770" t="str">
            <v>八王子</v>
          </cell>
          <cell r="G770" t="str">
            <v>昇降機設備保守</v>
          </cell>
          <cell r="H770" t="str">
            <v>三菱電機ﾋﾞﾙﾃｸﾉｻｰﾋﾞｽ</v>
          </cell>
          <cell r="I770">
            <v>141400</v>
          </cell>
          <cell r="J770">
            <v>144228</v>
          </cell>
          <cell r="K770">
            <v>12</v>
          </cell>
          <cell r="L770">
            <v>144228</v>
          </cell>
          <cell r="M770">
            <v>144228</v>
          </cell>
          <cell r="N770">
            <v>144228</v>
          </cell>
          <cell r="O770">
            <v>144228</v>
          </cell>
          <cell r="P770">
            <v>144228</v>
          </cell>
          <cell r="Q770">
            <v>144228</v>
          </cell>
          <cell r="R770">
            <v>144228</v>
          </cell>
          <cell r="S770">
            <v>144228</v>
          </cell>
          <cell r="T770">
            <v>144228</v>
          </cell>
          <cell r="U770">
            <v>144228</v>
          </cell>
          <cell r="V770">
            <v>144228</v>
          </cell>
          <cell r="W770">
            <v>144228</v>
          </cell>
          <cell r="X770" t="str">
            <v>④</v>
          </cell>
          <cell r="Y770" t="str">
            <v>⑤</v>
          </cell>
          <cell r="Z770" t="str">
            <v>⑥</v>
          </cell>
          <cell r="AA770" t="str">
            <v>⑦</v>
          </cell>
          <cell r="AB770" t="str">
            <v>⑧</v>
          </cell>
          <cell r="AC770" t="str">
            <v>⑨</v>
          </cell>
          <cell r="AD770" t="str">
            <v>⑩</v>
          </cell>
          <cell r="AE770" t="str">
            <v>⑪</v>
          </cell>
          <cell r="AF770" t="str">
            <v>⑫</v>
          </cell>
          <cell r="AG770" t="str">
            <v>①</v>
          </cell>
          <cell r="AH770" t="str">
            <v>②</v>
          </cell>
          <cell r="AI770" t="str">
            <v>③</v>
          </cell>
        </row>
        <row r="771">
          <cell r="B771">
            <v>4702</v>
          </cell>
          <cell r="C771">
            <v>47</v>
          </cell>
          <cell r="D771">
            <v>2</v>
          </cell>
          <cell r="F771" t="str">
            <v>八王子</v>
          </cell>
          <cell r="G771" t="str">
            <v>ﾊﾛｹﾞﾝ化物設備保守(外観)</v>
          </cell>
          <cell r="H771" t="str">
            <v>川重防災工業</v>
          </cell>
          <cell r="I771">
            <v>65000</v>
          </cell>
          <cell r="J771">
            <v>66300</v>
          </cell>
          <cell r="K771">
            <v>1</v>
          </cell>
          <cell r="L771">
            <v>0</v>
          </cell>
          <cell r="M771">
            <v>0</v>
          </cell>
          <cell r="N771">
            <v>0</v>
          </cell>
          <cell r="O771">
            <v>0</v>
          </cell>
          <cell r="P771">
            <v>0</v>
          </cell>
          <cell r="Q771">
            <v>0</v>
          </cell>
          <cell r="R771">
            <v>0</v>
          </cell>
          <cell r="S771">
            <v>0</v>
          </cell>
          <cell r="T771">
            <v>66300</v>
          </cell>
          <cell r="U771">
            <v>0</v>
          </cell>
          <cell r="V771">
            <v>0</v>
          </cell>
          <cell r="W771">
            <v>0</v>
          </cell>
          <cell r="X771" t="str">
            <v/>
          </cell>
          <cell r="Y771" t="str">
            <v/>
          </cell>
          <cell r="Z771" t="str">
            <v/>
          </cell>
          <cell r="AA771" t="str">
            <v/>
          </cell>
          <cell r="AB771" t="str">
            <v/>
          </cell>
          <cell r="AC771" t="str">
            <v/>
          </cell>
          <cell r="AD771" t="str">
            <v/>
          </cell>
          <cell r="AE771" t="str">
            <v/>
          </cell>
          <cell r="AF771" t="str">
            <v>⑫</v>
          </cell>
          <cell r="AG771" t="str">
            <v/>
          </cell>
          <cell r="AH771" t="str">
            <v/>
          </cell>
          <cell r="AI771" t="str">
            <v/>
          </cell>
        </row>
        <row r="772">
          <cell r="B772">
            <v>4703</v>
          </cell>
          <cell r="C772">
            <v>47</v>
          </cell>
          <cell r="D772">
            <v>3</v>
          </cell>
          <cell r="F772" t="str">
            <v>八王子</v>
          </cell>
          <cell r="G772" t="str">
            <v>ﾊﾛｹﾞﾝ化物設備保守(総合)</v>
          </cell>
          <cell r="H772" t="str">
            <v>川重防災工業</v>
          </cell>
          <cell r="I772">
            <v>145000</v>
          </cell>
          <cell r="J772">
            <v>147900</v>
          </cell>
          <cell r="K772">
            <v>1</v>
          </cell>
          <cell r="L772">
            <v>0</v>
          </cell>
          <cell r="M772">
            <v>0</v>
          </cell>
          <cell r="N772">
            <v>147900</v>
          </cell>
          <cell r="O772">
            <v>0</v>
          </cell>
          <cell r="P772">
            <v>0</v>
          </cell>
          <cell r="Q772">
            <v>0</v>
          </cell>
          <cell r="R772">
            <v>0</v>
          </cell>
          <cell r="S772">
            <v>0</v>
          </cell>
          <cell r="T772">
            <v>0</v>
          </cell>
          <cell r="U772">
            <v>0</v>
          </cell>
          <cell r="V772">
            <v>0</v>
          </cell>
          <cell r="W772">
            <v>0</v>
          </cell>
          <cell r="X772" t="str">
            <v/>
          </cell>
          <cell r="Y772" t="str">
            <v/>
          </cell>
          <cell r="Z772" t="str">
            <v>⑥</v>
          </cell>
          <cell r="AA772" t="str">
            <v/>
          </cell>
          <cell r="AB772" t="str">
            <v/>
          </cell>
          <cell r="AC772" t="str">
            <v/>
          </cell>
          <cell r="AD772" t="str">
            <v/>
          </cell>
          <cell r="AE772" t="str">
            <v/>
          </cell>
          <cell r="AF772" t="str">
            <v/>
          </cell>
          <cell r="AG772" t="str">
            <v/>
          </cell>
          <cell r="AH772" t="str">
            <v/>
          </cell>
          <cell r="AI772" t="str">
            <v/>
          </cell>
        </row>
        <row r="773">
          <cell r="B773">
            <v>4704</v>
          </cell>
          <cell r="C773">
            <v>47</v>
          </cell>
          <cell r="D773">
            <v>4</v>
          </cell>
          <cell r="F773" t="str">
            <v>八王子</v>
          </cell>
          <cell r="G773" t="str">
            <v>自動火災報知設備(外観)</v>
          </cell>
          <cell r="H773" t="str">
            <v>ホーチキ</v>
          </cell>
          <cell r="I773">
            <v>52000</v>
          </cell>
          <cell r="J773">
            <v>53040</v>
          </cell>
          <cell r="K773">
            <v>1</v>
          </cell>
          <cell r="L773">
            <v>0</v>
          </cell>
          <cell r="M773">
            <v>0</v>
          </cell>
          <cell r="N773">
            <v>0</v>
          </cell>
          <cell r="O773">
            <v>0</v>
          </cell>
          <cell r="P773">
            <v>0</v>
          </cell>
          <cell r="Q773">
            <v>0</v>
          </cell>
          <cell r="R773">
            <v>0</v>
          </cell>
          <cell r="S773">
            <v>0</v>
          </cell>
          <cell r="T773">
            <v>53040</v>
          </cell>
          <cell r="U773">
            <v>0</v>
          </cell>
          <cell r="V773">
            <v>0</v>
          </cell>
          <cell r="W773">
            <v>0</v>
          </cell>
          <cell r="X773" t="str">
            <v/>
          </cell>
          <cell r="Y773" t="str">
            <v/>
          </cell>
          <cell r="Z773" t="str">
            <v/>
          </cell>
          <cell r="AA773" t="str">
            <v/>
          </cell>
          <cell r="AB773" t="str">
            <v/>
          </cell>
          <cell r="AC773" t="str">
            <v/>
          </cell>
          <cell r="AD773" t="str">
            <v/>
          </cell>
          <cell r="AE773" t="str">
            <v/>
          </cell>
          <cell r="AF773" t="str">
            <v>⑫</v>
          </cell>
          <cell r="AG773" t="str">
            <v/>
          </cell>
          <cell r="AH773" t="str">
            <v/>
          </cell>
          <cell r="AI773" t="str">
            <v/>
          </cell>
        </row>
        <row r="774">
          <cell r="B774">
            <v>4705</v>
          </cell>
          <cell r="C774">
            <v>47</v>
          </cell>
          <cell r="D774">
            <v>5</v>
          </cell>
          <cell r="F774" t="str">
            <v>八王子</v>
          </cell>
          <cell r="G774" t="str">
            <v>自動火災報知設備(総合)</v>
          </cell>
          <cell r="H774" t="str">
            <v>ホーチキ</v>
          </cell>
          <cell r="I774">
            <v>153000</v>
          </cell>
          <cell r="J774">
            <v>156060</v>
          </cell>
          <cell r="K774">
            <v>1</v>
          </cell>
          <cell r="L774">
            <v>0</v>
          </cell>
          <cell r="M774">
            <v>0</v>
          </cell>
          <cell r="N774">
            <v>156060</v>
          </cell>
          <cell r="O774">
            <v>0</v>
          </cell>
          <cell r="P774">
            <v>0</v>
          </cell>
          <cell r="Q774">
            <v>0</v>
          </cell>
          <cell r="R774">
            <v>0</v>
          </cell>
          <cell r="S774">
            <v>0</v>
          </cell>
          <cell r="T774">
            <v>0</v>
          </cell>
          <cell r="U774">
            <v>0</v>
          </cell>
          <cell r="V774">
            <v>0</v>
          </cell>
          <cell r="W774">
            <v>0</v>
          </cell>
          <cell r="X774" t="str">
            <v/>
          </cell>
          <cell r="Y774" t="str">
            <v/>
          </cell>
          <cell r="Z774" t="str">
            <v>⑥</v>
          </cell>
          <cell r="AA774" t="str">
            <v/>
          </cell>
          <cell r="AB774" t="str">
            <v/>
          </cell>
          <cell r="AC774" t="str">
            <v/>
          </cell>
          <cell r="AD774" t="str">
            <v/>
          </cell>
          <cell r="AE774" t="str">
            <v/>
          </cell>
          <cell r="AF774" t="str">
            <v/>
          </cell>
          <cell r="AG774" t="str">
            <v/>
          </cell>
          <cell r="AH774" t="str">
            <v/>
          </cell>
          <cell r="AI774" t="str">
            <v/>
          </cell>
        </row>
        <row r="775">
          <cell r="B775">
            <v>4706</v>
          </cell>
          <cell r="C775">
            <v>47</v>
          </cell>
          <cell r="D775">
            <v>6</v>
          </cell>
          <cell r="F775" t="str">
            <v>八王子</v>
          </cell>
          <cell r="G775" t="str">
            <v>非常放送(外観)</v>
          </cell>
          <cell r="H775" t="str">
            <v>ホーチキ</v>
          </cell>
          <cell r="I775">
            <v>41000</v>
          </cell>
          <cell r="J775">
            <v>41820</v>
          </cell>
          <cell r="K775">
            <v>1</v>
          </cell>
          <cell r="L775">
            <v>0</v>
          </cell>
          <cell r="M775">
            <v>0</v>
          </cell>
          <cell r="N775">
            <v>0</v>
          </cell>
          <cell r="O775">
            <v>0</v>
          </cell>
          <cell r="P775">
            <v>0</v>
          </cell>
          <cell r="Q775">
            <v>0</v>
          </cell>
          <cell r="R775">
            <v>0</v>
          </cell>
          <cell r="S775">
            <v>0</v>
          </cell>
          <cell r="T775">
            <v>41820</v>
          </cell>
          <cell r="U775">
            <v>0</v>
          </cell>
          <cell r="V775">
            <v>0</v>
          </cell>
          <cell r="W775">
            <v>0</v>
          </cell>
          <cell r="X775" t="str">
            <v/>
          </cell>
          <cell r="Y775" t="str">
            <v/>
          </cell>
          <cell r="Z775" t="str">
            <v/>
          </cell>
          <cell r="AA775" t="str">
            <v/>
          </cell>
          <cell r="AB775" t="str">
            <v/>
          </cell>
          <cell r="AC775" t="str">
            <v/>
          </cell>
          <cell r="AD775" t="str">
            <v/>
          </cell>
          <cell r="AE775" t="str">
            <v/>
          </cell>
          <cell r="AF775" t="str">
            <v>⑫</v>
          </cell>
          <cell r="AG775" t="str">
            <v/>
          </cell>
          <cell r="AH775" t="str">
            <v/>
          </cell>
          <cell r="AI775" t="str">
            <v/>
          </cell>
        </row>
        <row r="776">
          <cell r="B776">
            <v>4707</v>
          </cell>
          <cell r="C776">
            <v>47</v>
          </cell>
          <cell r="D776">
            <v>7</v>
          </cell>
          <cell r="F776" t="str">
            <v>八王子</v>
          </cell>
          <cell r="G776" t="str">
            <v>非常放送(総合)</v>
          </cell>
          <cell r="H776" t="str">
            <v>ホーチキ</v>
          </cell>
          <cell r="I776">
            <v>42000</v>
          </cell>
          <cell r="J776">
            <v>42840</v>
          </cell>
          <cell r="K776">
            <v>1</v>
          </cell>
          <cell r="L776">
            <v>0</v>
          </cell>
          <cell r="M776">
            <v>0</v>
          </cell>
          <cell r="N776">
            <v>42840</v>
          </cell>
          <cell r="O776">
            <v>0</v>
          </cell>
          <cell r="P776">
            <v>0</v>
          </cell>
          <cell r="Q776">
            <v>0</v>
          </cell>
          <cell r="R776">
            <v>0</v>
          </cell>
          <cell r="S776">
            <v>0</v>
          </cell>
          <cell r="T776">
            <v>0</v>
          </cell>
          <cell r="U776">
            <v>0</v>
          </cell>
          <cell r="V776">
            <v>0</v>
          </cell>
          <cell r="W776">
            <v>0</v>
          </cell>
          <cell r="X776" t="str">
            <v/>
          </cell>
          <cell r="Y776" t="str">
            <v/>
          </cell>
          <cell r="Z776" t="str">
            <v>⑥</v>
          </cell>
          <cell r="AA776" t="str">
            <v/>
          </cell>
          <cell r="AB776" t="str">
            <v/>
          </cell>
          <cell r="AC776" t="str">
            <v/>
          </cell>
          <cell r="AD776" t="str">
            <v/>
          </cell>
          <cell r="AE776" t="str">
            <v/>
          </cell>
          <cell r="AF776" t="str">
            <v/>
          </cell>
          <cell r="AG776" t="str">
            <v/>
          </cell>
          <cell r="AH776" t="str">
            <v/>
          </cell>
          <cell r="AI776" t="str">
            <v/>
          </cell>
        </row>
        <row r="777">
          <cell r="B777">
            <v>4708</v>
          </cell>
          <cell r="C777">
            <v>47</v>
          </cell>
          <cell r="D777">
            <v>8</v>
          </cell>
          <cell r="F777" t="str">
            <v>八王子</v>
          </cell>
          <cell r="G777" t="str">
            <v>防排煙制御(外観)</v>
          </cell>
          <cell r="H777" t="str">
            <v>ホーチキ</v>
          </cell>
          <cell r="I777">
            <v>43200</v>
          </cell>
          <cell r="J777">
            <v>44064</v>
          </cell>
          <cell r="K777">
            <v>1</v>
          </cell>
          <cell r="L777">
            <v>0</v>
          </cell>
          <cell r="M777">
            <v>0</v>
          </cell>
          <cell r="N777">
            <v>0</v>
          </cell>
          <cell r="O777">
            <v>0</v>
          </cell>
          <cell r="P777">
            <v>0</v>
          </cell>
          <cell r="Q777">
            <v>0</v>
          </cell>
          <cell r="R777">
            <v>0</v>
          </cell>
          <cell r="S777">
            <v>0</v>
          </cell>
          <cell r="T777">
            <v>44064</v>
          </cell>
          <cell r="U777">
            <v>0</v>
          </cell>
          <cell r="V777">
            <v>0</v>
          </cell>
          <cell r="W777">
            <v>0</v>
          </cell>
          <cell r="X777" t="str">
            <v/>
          </cell>
          <cell r="Y777" t="str">
            <v/>
          </cell>
          <cell r="Z777" t="str">
            <v/>
          </cell>
          <cell r="AA777" t="str">
            <v/>
          </cell>
          <cell r="AB777" t="str">
            <v/>
          </cell>
          <cell r="AC777" t="str">
            <v/>
          </cell>
          <cell r="AD777" t="str">
            <v/>
          </cell>
          <cell r="AE777" t="str">
            <v/>
          </cell>
          <cell r="AF777" t="str">
            <v>⑫</v>
          </cell>
          <cell r="AG777" t="str">
            <v/>
          </cell>
          <cell r="AH777" t="str">
            <v/>
          </cell>
          <cell r="AI777" t="str">
            <v/>
          </cell>
        </row>
        <row r="778">
          <cell r="B778">
            <v>4709</v>
          </cell>
          <cell r="C778">
            <v>47</v>
          </cell>
          <cell r="D778">
            <v>9</v>
          </cell>
          <cell r="F778" t="str">
            <v>八王子</v>
          </cell>
          <cell r="G778" t="str">
            <v>防排煙制御(総合)</v>
          </cell>
          <cell r="H778" t="str">
            <v>ホーチキ</v>
          </cell>
          <cell r="I778">
            <v>43200</v>
          </cell>
          <cell r="J778">
            <v>44064</v>
          </cell>
          <cell r="K778">
            <v>1</v>
          </cell>
          <cell r="L778">
            <v>0</v>
          </cell>
          <cell r="M778">
            <v>0</v>
          </cell>
          <cell r="N778">
            <v>44064</v>
          </cell>
          <cell r="O778">
            <v>0</v>
          </cell>
          <cell r="P778">
            <v>0</v>
          </cell>
          <cell r="Q778">
            <v>0</v>
          </cell>
          <cell r="R778">
            <v>0</v>
          </cell>
          <cell r="S778">
            <v>0</v>
          </cell>
          <cell r="T778">
            <v>0</v>
          </cell>
          <cell r="U778">
            <v>0</v>
          </cell>
          <cell r="V778">
            <v>0</v>
          </cell>
          <cell r="W778">
            <v>0</v>
          </cell>
          <cell r="X778" t="str">
            <v/>
          </cell>
          <cell r="Y778" t="str">
            <v/>
          </cell>
          <cell r="Z778" t="str">
            <v>⑥</v>
          </cell>
          <cell r="AA778" t="str">
            <v/>
          </cell>
          <cell r="AB778" t="str">
            <v/>
          </cell>
          <cell r="AC778" t="str">
            <v/>
          </cell>
          <cell r="AD778" t="str">
            <v/>
          </cell>
          <cell r="AE778" t="str">
            <v/>
          </cell>
          <cell r="AF778" t="str">
            <v/>
          </cell>
          <cell r="AG778" t="str">
            <v/>
          </cell>
          <cell r="AH778" t="str">
            <v/>
          </cell>
          <cell r="AI778" t="str">
            <v/>
          </cell>
        </row>
        <row r="779">
          <cell r="B779">
            <v>4710</v>
          </cell>
          <cell r="C779">
            <v>47</v>
          </cell>
          <cell r="D779">
            <v>10</v>
          </cell>
          <cell r="F779" t="str">
            <v>八王子</v>
          </cell>
          <cell r="G779" t="str">
            <v>消火器設備保守(外観)</v>
          </cell>
          <cell r="H779" t="str">
            <v>防災サービスセンター</v>
          </cell>
          <cell r="I779">
            <v>18200</v>
          </cell>
          <cell r="J779">
            <v>18564</v>
          </cell>
          <cell r="K779">
            <v>2</v>
          </cell>
          <cell r="L779">
            <v>0</v>
          </cell>
          <cell r="M779">
            <v>0</v>
          </cell>
          <cell r="N779">
            <v>18564</v>
          </cell>
          <cell r="O779">
            <v>0</v>
          </cell>
          <cell r="P779">
            <v>0</v>
          </cell>
          <cell r="Q779">
            <v>0</v>
          </cell>
          <cell r="R779">
            <v>0</v>
          </cell>
          <cell r="S779">
            <v>0</v>
          </cell>
          <cell r="T779">
            <v>18564</v>
          </cell>
          <cell r="U779">
            <v>0</v>
          </cell>
          <cell r="V779">
            <v>0</v>
          </cell>
          <cell r="W779">
            <v>0</v>
          </cell>
          <cell r="X779" t="str">
            <v/>
          </cell>
          <cell r="Y779" t="str">
            <v/>
          </cell>
          <cell r="Z779" t="str">
            <v>⑥</v>
          </cell>
          <cell r="AA779" t="str">
            <v/>
          </cell>
          <cell r="AB779" t="str">
            <v/>
          </cell>
          <cell r="AC779" t="str">
            <v/>
          </cell>
          <cell r="AD779" t="str">
            <v/>
          </cell>
          <cell r="AE779" t="str">
            <v/>
          </cell>
          <cell r="AF779" t="str">
            <v>⑫</v>
          </cell>
          <cell r="AG779" t="str">
            <v/>
          </cell>
          <cell r="AH779" t="str">
            <v/>
          </cell>
          <cell r="AI779" t="str">
            <v/>
          </cell>
        </row>
        <row r="780">
          <cell r="B780">
            <v>4711</v>
          </cell>
          <cell r="C780">
            <v>47</v>
          </cell>
          <cell r="D780">
            <v>11</v>
          </cell>
          <cell r="F780" t="str">
            <v>八王子</v>
          </cell>
          <cell r="G780" t="str">
            <v>消火栓設備保守(外観)</v>
          </cell>
          <cell r="H780" t="str">
            <v>防災サービスセンター</v>
          </cell>
          <cell r="I780">
            <v>29750</v>
          </cell>
          <cell r="J780">
            <v>30345</v>
          </cell>
          <cell r="K780">
            <v>1</v>
          </cell>
          <cell r="L780">
            <v>0</v>
          </cell>
          <cell r="M780">
            <v>0</v>
          </cell>
          <cell r="N780">
            <v>0</v>
          </cell>
          <cell r="O780">
            <v>0</v>
          </cell>
          <cell r="P780">
            <v>0</v>
          </cell>
          <cell r="Q780">
            <v>0</v>
          </cell>
          <cell r="R780">
            <v>0</v>
          </cell>
          <cell r="S780">
            <v>0</v>
          </cell>
          <cell r="T780">
            <v>30345</v>
          </cell>
          <cell r="U780">
            <v>0</v>
          </cell>
          <cell r="V780">
            <v>0</v>
          </cell>
          <cell r="W780">
            <v>0</v>
          </cell>
          <cell r="X780" t="str">
            <v/>
          </cell>
          <cell r="Y780" t="str">
            <v/>
          </cell>
          <cell r="Z780" t="str">
            <v/>
          </cell>
          <cell r="AA780" t="str">
            <v/>
          </cell>
          <cell r="AB780" t="str">
            <v/>
          </cell>
          <cell r="AC780" t="str">
            <v/>
          </cell>
          <cell r="AD780" t="str">
            <v/>
          </cell>
          <cell r="AE780" t="str">
            <v/>
          </cell>
          <cell r="AF780" t="str">
            <v>⑫</v>
          </cell>
          <cell r="AG780" t="str">
            <v/>
          </cell>
          <cell r="AH780" t="str">
            <v/>
          </cell>
          <cell r="AI780" t="str">
            <v/>
          </cell>
        </row>
        <row r="781">
          <cell r="B781">
            <v>4712</v>
          </cell>
          <cell r="C781">
            <v>47</v>
          </cell>
          <cell r="D781">
            <v>12</v>
          </cell>
          <cell r="F781" t="str">
            <v>八王子</v>
          </cell>
          <cell r="G781" t="str">
            <v>消火栓設備保守(総合)</v>
          </cell>
          <cell r="H781" t="str">
            <v>防災サービスセンター</v>
          </cell>
          <cell r="I781">
            <v>45600</v>
          </cell>
          <cell r="J781">
            <v>46512</v>
          </cell>
          <cell r="K781">
            <v>1</v>
          </cell>
          <cell r="L781">
            <v>0</v>
          </cell>
          <cell r="M781">
            <v>0</v>
          </cell>
          <cell r="N781">
            <v>46512</v>
          </cell>
          <cell r="O781">
            <v>0</v>
          </cell>
          <cell r="P781">
            <v>0</v>
          </cell>
          <cell r="Q781">
            <v>0</v>
          </cell>
          <cell r="R781">
            <v>0</v>
          </cell>
          <cell r="S781">
            <v>0</v>
          </cell>
          <cell r="T781">
            <v>0</v>
          </cell>
          <cell r="U781">
            <v>0</v>
          </cell>
          <cell r="V781">
            <v>0</v>
          </cell>
          <cell r="W781">
            <v>0</v>
          </cell>
          <cell r="X781" t="str">
            <v/>
          </cell>
          <cell r="Y781" t="str">
            <v/>
          </cell>
          <cell r="Z781" t="str">
            <v>⑥</v>
          </cell>
          <cell r="AA781" t="str">
            <v/>
          </cell>
          <cell r="AB781" t="str">
            <v/>
          </cell>
          <cell r="AC781" t="str">
            <v/>
          </cell>
          <cell r="AD781" t="str">
            <v/>
          </cell>
          <cell r="AE781" t="str">
            <v/>
          </cell>
          <cell r="AF781" t="str">
            <v/>
          </cell>
          <cell r="AG781" t="str">
            <v/>
          </cell>
          <cell r="AH781" t="str">
            <v/>
          </cell>
          <cell r="AI781" t="str">
            <v/>
          </cell>
        </row>
        <row r="782">
          <cell r="B782">
            <v>4713</v>
          </cell>
          <cell r="C782">
            <v>47</v>
          </cell>
          <cell r="D782">
            <v>13</v>
          </cell>
          <cell r="F782" t="str">
            <v>八王子</v>
          </cell>
          <cell r="G782" t="str">
            <v>誘導灯設備保守(外観)</v>
          </cell>
          <cell r="H782" t="str">
            <v>防災サービスセンター</v>
          </cell>
          <cell r="I782">
            <v>22750</v>
          </cell>
          <cell r="J782">
            <v>23205</v>
          </cell>
          <cell r="K782">
            <v>1</v>
          </cell>
          <cell r="L782">
            <v>0</v>
          </cell>
          <cell r="M782">
            <v>0</v>
          </cell>
          <cell r="N782">
            <v>0</v>
          </cell>
          <cell r="O782">
            <v>0</v>
          </cell>
          <cell r="P782">
            <v>0</v>
          </cell>
          <cell r="Q782">
            <v>0</v>
          </cell>
          <cell r="R782">
            <v>0</v>
          </cell>
          <cell r="S782">
            <v>0</v>
          </cell>
          <cell r="T782">
            <v>23205</v>
          </cell>
          <cell r="U782">
            <v>0</v>
          </cell>
          <cell r="V782">
            <v>0</v>
          </cell>
          <cell r="W782">
            <v>0</v>
          </cell>
          <cell r="X782" t="str">
            <v/>
          </cell>
          <cell r="Y782" t="str">
            <v/>
          </cell>
          <cell r="Z782" t="str">
            <v/>
          </cell>
          <cell r="AA782" t="str">
            <v/>
          </cell>
          <cell r="AB782" t="str">
            <v/>
          </cell>
          <cell r="AC782" t="str">
            <v/>
          </cell>
          <cell r="AD782" t="str">
            <v/>
          </cell>
          <cell r="AE782" t="str">
            <v/>
          </cell>
          <cell r="AF782" t="str">
            <v>⑫</v>
          </cell>
          <cell r="AG782" t="str">
            <v/>
          </cell>
          <cell r="AH782" t="str">
            <v/>
          </cell>
          <cell r="AI782" t="str">
            <v/>
          </cell>
        </row>
        <row r="783">
          <cell r="B783">
            <v>4714</v>
          </cell>
          <cell r="C783">
            <v>47</v>
          </cell>
          <cell r="D783">
            <v>14</v>
          </cell>
          <cell r="F783" t="str">
            <v>八王子</v>
          </cell>
          <cell r="G783" t="str">
            <v>誘導灯設備保守(総合)</v>
          </cell>
          <cell r="H783" t="str">
            <v>防災サービスセンター</v>
          </cell>
          <cell r="I783">
            <v>24500</v>
          </cell>
          <cell r="J783">
            <v>24990</v>
          </cell>
          <cell r="K783">
            <v>1</v>
          </cell>
          <cell r="L783">
            <v>0</v>
          </cell>
          <cell r="M783">
            <v>0</v>
          </cell>
          <cell r="N783">
            <v>24990</v>
          </cell>
          <cell r="O783">
            <v>0</v>
          </cell>
          <cell r="P783">
            <v>0</v>
          </cell>
          <cell r="Q783">
            <v>0</v>
          </cell>
          <cell r="R783">
            <v>0</v>
          </cell>
          <cell r="S783">
            <v>0</v>
          </cell>
          <cell r="T783">
            <v>0</v>
          </cell>
          <cell r="U783">
            <v>0</v>
          </cell>
          <cell r="V783">
            <v>0</v>
          </cell>
          <cell r="W783">
            <v>0</v>
          </cell>
          <cell r="X783" t="str">
            <v/>
          </cell>
          <cell r="Y783" t="str">
            <v/>
          </cell>
          <cell r="Z783" t="str">
            <v>⑥</v>
          </cell>
          <cell r="AA783" t="str">
            <v/>
          </cell>
          <cell r="AB783" t="str">
            <v/>
          </cell>
          <cell r="AC783" t="str">
            <v/>
          </cell>
          <cell r="AD783" t="str">
            <v/>
          </cell>
          <cell r="AE783" t="str">
            <v/>
          </cell>
          <cell r="AF783" t="str">
            <v/>
          </cell>
          <cell r="AG783" t="str">
            <v/>
          </cell>
          <cell r="AH783" t="str">
            <v/>
          </cell>
          <cell r="AI783" t="str">
            <v/>
          </cell>
        </row>
        <row r="784">
          <cell r="B784">
            <v>4715</v>
          </cell>
          <cell r="C784">
            <v>47</v>
          </cell>
          <cell r="D784">
            <v>15</v>
          </cell>
          <cell r="F784" t="str">
            <v>八王子</v>
          </cell>
          <cell r="G784" t="str">
            <v>連結送水管設備保守(外観)</v>
          </cell>
          <cell r="H784" t="str">
            <v>防災サービスセンター</v>
          </cell>
          <cell r="I784">
            <v>9750</v>
          </cell>
          <cell r="J784">
            <v>9945</v>
          </cell>
          <cell r="K784">
            <v>1</v>
          </cell>
          <cell r="L784">
            <v>0</v>
          </cell>
          <cell r="M784">
            <v>0</v>
          </cell>
          <cell r="N784">
            <v>0</v>
          </cell>
          <cell r="O784">
            <v>0</v>
          </cell>
          <cell r="P784">
            <v>0</v>
          </cell>
          <cell r="Q784">
            <v>0</v>
          </cell>
          <cell r="R784">
            <v>0</v>
          </cell>
          <cell r="S784">
            <v>0</v>
          </cell>
          <cell r="T784">
            <v>9945</v>
          </cell>
          <cell r="U784">
            <v>0</v>
          </cell>
          <cell r="V784">
            <v>0</v>
          </cell>
          <cell r="W784">
            <v>0</v>
          </cell>
          <cell r="X784" t="str">
            <v/>
          </cell>
          <cell r="Y784" t="str">
            <v/>
          </cell>
          <cell r="Z784" t="str">
            <v/>
          </cell>
          <cell r="AA784" t="str">
            <v/>
          </cell>
          <cell r="AB784" t="str">
            <v/>
          </cell>
          <cell r="AC784" t="str">
            <v/>
          </cell>
          <cell r="AD784" t="str">
            <v/>
          </cell>
          <cell r="AE784" t="str">
            <v/>
          </cell>
          <cell r="AF784" t="str">
            <v>⑫</v>
          </cell>
          <cell r="AG784" t="str">
            <v/>
          </cell>
          <cell r="AH784" t="str">
            <v/>
          </cell>
          <cell r="AI784" t="str">
            <v/>
          </cell>
        </row>
        <row r="785">
          <cell r="B785">
            <v>4716</v>
          </cell>
          <cell r="C785">
            <v>47</v>
          </cell>
          <cell r="D785">
            <v>16</v>
          </cell>
          <cell r="F785" t="str">
            <v>八王子</v>
          </cell>
          <cell r="G785" t="str">
            <v>連結送水管設備保守(総合)</v>
          </cell>
          <cell r="H785" t="str">
            <v>防災サービスセンター</v>
          </cell>
          <cell r="I785">
            <v>9750</v>
          </cell>
          <cell r="J785">
            <v>9945</v>
          </cell>
          <cell r="K785">
            <v>1</v>
          </cell>
          <cell r="L785">
            <v>0</v>
          </cell>
          <cell r="M785">
            <v>0</v>
          </cell>
          <cell r="N785">
            <v>9945</v>
          </cell>
          <cell r="O785">
            <v>0</v>
          </cell>
          <cell r="P785">
            <v>0</v>
          </cell>
          <cell r="Q785">
            <v>0</v>
          </cell>
          <cell r="R785">
            <v>0</v>
          </cell>
          <cell r="S785">
            <v>0</v>
          </cell>
          <cell r="T785">
            <v>0</v>
          </cell>
          <cell r="U785">
            <v>0</v>
          </cell>
          <cell r="V785">
            <v>0</v>
          </cell>
          <cell r="W785">
            <v>0</v>
          </cell>
          <cell r="X785" t="str">
            <v/>
          </cell>
          <cell r="Y785" t="str">
            <v/>
          </cell>
          <cell r="Z785" t="str">
            <v>⑥</v>
          </cell>
          <cell r="AA785" t="str">
            <v/>
          </cell>
          <cell r="AB785" t="str">
            <v/>
          </cell>
          <cell r="AC785" t="str">
            <v/>
          </cell>
          <cell r="AD785" t="str">
            <v/>
          </cell>
          <cell r="AE785" t="str">
            <v/>
          </cell>
          <cell r="AF785" t="str">
            <v/>
          </cell>
          <cell r="AG785" t="str">
            <v/>
          </cell>
          <cell r="AH785" t="str">
            <v/>
          </cell>
          <cell r="AI785" t="str">
            <v/>
          </cell>
        </row>
        <row r="786">
          <cell r="B786">
            <v>4717</v>
          </cell>
          <cell r="C786">
            <v>47</v>
          </cell>
          <cell r="D786">
            <v>17</v>
          </cell>
          <cell r="F786" t="str">
            <v>八王子</v>
          </cell>
          <cell r="G786" t="str">
            <v>非常発電機設備保守(外観)</v>
          </cell>
          <cell r="H786" t="str">
            <v>防災サービスセンター</v>
          </cell>
          <cell r="I786">
            <v>56200</v>
          </cell>
          <cell r="J786">
            <v>57324</v>
          </cell>
          <cell r="K786">
            <v>1</v>
          </cell>
          <cell r="L786">
            <v>0</v>
          </cell>
          <cell r="M786">
            <v>0</v>
          </cell>
          <cell r="N786">
            <v>0</v>
          </cell>
          <cell r="O786">
            <v>0</v>
          </cell>
          <cell r="P786">
            <v>0</v>
          </cell>
          <cell r="Q786">
            <v>0</v>
          </cell>
          <cell r="R786">
            <v>0</v>
          </cell>
          <cell r="S786">
            <v>0</v>
          </cell>
          <cell r="T786">
            <v>57324</v>
          </cell>
          <cell r="U786">
            <v>0</v>
          </cell>
          <cell r="V786">
            <v>0</v>
          </cell>
          <cell r="W786">
            <v>0</v>
          </cell>
          <cell r="X786" t="str">
            <v/>
          </cell>
          <cell r="Y786" t="str">
            <v/>
          </cell>
          <cell r="Z786" t="str">
            <v/>
          </cell>
          <cell r="AA786" t="str">
            <v/>
          </cell>
          <cell r="AB786" t="str">
            <v/>
          </cell>
          <cell r="AC786" t="str">
            <v/>
          </cell>
          <cell r="AD786" t="str">
            <v/>
          </cell>
          <cell r="AE786" t="str">
            <v/>
          </cell>
          <cell r="AF786" t="str">
            <v>⑫</v>
          </cell>
          <cell r="AG786" t="str">
            <v/>
          </cell>
          <cell r="AH786" t="str">
            <v/>
          </cell>
          <cell r="AI786" t="str">
            <v/>
          </cell>
        </row>
        <row r="787">
          <cell r="B787">
            <v>4718</v>
          </cell>
          <cell r="C787">
            <v>47</v>
          </cell>
          <cell r="D787">
            <v>18</v>
          </cell>
          <cell r="F787" t="str">
            <v>八王子</v>
          </cell>
          <cell r="G787" t="str">
            <v>非常発電機設備保守(総合)</v>
          </cell>
          <cell r="H787" t="str">
            <v>防災サービスセンター</v>
          </cell>
          <cell r="I787">
            <v>71800</v>
          </cell>
          <cell r="J787">
            <v>73236</v>
          </cell>
          <cell r="K787">
            <v>1</v>
          </cell>
          <cell r="L787">
            <v>0</v>
          </cell>
          <cell r="M787">
            <v>0</v>
          </cell>
          <cell r="N787">
            <v>73236</v>
          </cell>
          <cell r="O787">
            <v>0</v>
          </cell>
          <cell r="P787">
            <v>0</v>
          </cell>
          <cell r="Q787">
            <v>0</v>
          </cell>
          <cell r="R787">
            <v>0</v>
          </cell>
          <cell r="S787">
            <v>0</v>
          </cell>
          <cell r="T787">
            <v>0</v>
          </cell>
          <cell r="U787">
            <v>0</v>
          </cell>
          <cell r="V787">
            <v>0</v>
          </cell>
          <cell r="W787">
            <v>0</v>
          </cell>
          <cell r="X787" t="str">
            <v/>
          </cell>
          <cell r="Y787" t="str">
            <v/>
          </cell>
          <cell r="Z787" t="str">
            <v>⑥</v>
          </cell>
          <cell r="AA787" t="str">
            <v/>
          </cell>
          <cell r="AB787" t="str">
            <v/>
          </cell>
          <cell r="AC787" t="str">
            <v/>
          </cell>
          <cell r="AD787" t="str">
            <v/>
          </cell>
          <cell r="AE787" t="str">
            <v/>
          </cell>
          <cell r="AF787" t="str">
            <v/>
          </cell>
          <cell r="AG787" t="str">
            <v/>
          </cell>
          <cell r="AH787" t="str">
            <v/>
          </cell>
          <cell r="AI787" t="str">
            <v/>
          </cell>
        </row>
        <row r="788">
          <cell r="B788">
            <v>4719</v>
          </cell>
          <cell r="C788">
            <v>47</v>
          </cell>
          <cell r="D788">
            <v>19</v>
          </cell>
          <cell r="F788" t="str">
            <v>八王子</v>
          </cell>
          <cell r="G788" t="str">
            <v>立体駐車場装置保守</v>
          </cell>
          <cell r="H788" t="str">
            <v>三菱重工ﾊﾟｰｷﾝｸﾞ建設</v>
          </cell>
          <cell r="I788">
            <v>119000</v>
          </cell>
          <cell r="J788">
            <v>121380</v>
          </cell>
          <cell r="K788">
            <v>12</v>
          </cell>
          <cell r="L788">
            <v>121380</v>
          </cell>
          <cell r="M788">
            <v>121380</v>
          </cell>
          <cell r="N788">
            <v>121380</v>
          </cell>
          <cell r="O788">
            <v>121380</v>
          </cell>
          <cell r="P788">
            <v>121380</v>
          </cell>
          <cell r="Q788">
            <v>121380</v>
          </cell>
          <cell r="R788">
            <v>121380</v>
          </cell>
          <cell r="S788">
            <v>121380</v>
          </cell>
          <cell r="T788">
            <v>121380</v>
          </cell>
          <cell r="U788">
            <v>121380</v>
          </cell>
          <cell r="V788">
            <v>121380</v>
          </cell>
          <cell r="W788">
            <v>121380</v>
          </cell>
          <cell r="X788" t="str">
            <v>④</v>
          </cell>
          <cell r="Y788" t="str">
            <v>⑤</v>
          </cell>
          <cell r="Z788" t="str">
            <v>⑥</v>
          </cell>
          <cell r="AA788" t="str">
            <v>⑦</v>
          </cell>
          <cell r="AB788" t="str">
            <v>⑧</v>
          </cell>
          <cell r="AC788" t="str">
            <v>⑨</v>
          </cell>
          <cell r="AD788" t="str">
            <v>⑩</v>
          </cell>
          <cell r="AE788" t="str">
            <v>⑪</v>
          </cell>
          <cell r="AF788" t="str">
            <v>⑫</v>
          </cell>
          <cell r="AG788" t="str">
            <v>①</v>
          </cell>
          <cell r="AH788" t="str">
            <v>②</v>
          </cell>
          <cell r="AI788" t="str">
            <v>③</v>
          </cell>
        </row>
        <row r="789">
          <cell r="B789">
            <v>4720</v>
          </cell>
          <cell r="C789">
            <v>47</v>
          </cell>
          <cell r="D789">
            <v>20</v>
          </cell>
          <cell r="F789" t="str">
            <v>八王子</v>
          </cell>
          <cell r="G789" t="str">
            <v>害虫駆除</v>
          </cell>
          <cell r="H789" t="str">
            <v>シーアイシー</v>
          </cell>
          <cell r="I789">
            <v>152500</v>
          </cell>
          <cell r="J789">
            <v>167750</v>
          </cell>
          <cell r="K789">
            <v>2</v>
          </cell>
          <cell r="L789">
            <v>0</v>
          </cell>
          <cell r="M789">
            <v>167750</v>
          </cell>
          <cell r="N789">
            <v>0</v>
          </cell>
          <cell r="O789">
            <v>0</v>
          </cell>
          <cell r="P789">
            <v>0</v>
          </cell>
          <cell r="Q789">
            <v>0</v>
          </cell>
          <cell r="R789">
            <v>0</v>
          </cell>
          <cell r="S789">
            <v>167750</v>
          </cell>
          <cell r="T789">
            <v>0</v>
          </cell>
          <cell r="U789">
            <v>0</v>
          </cell>
          <cell r="V789">
            <v>0</v>
          </cell>
          <cell r="W789">
            <v>0</v>
          </cell>
          <cell r="X789" t="str">
            <v/>
          </cell>
          <cell r="Y789" t="str">
            <v>⑤</v>
          </cell>
          <cell r="Z789" t="str">
            <v/>
          </cell>
          <cell r="AA789" t="str">
            <v/>
          </cell>
          <cell r="AB789" t="str">
            <v/>
          </cell>
          <cell r="AC789" t="str">
            <v/>
          </cell>
          <cell r="AD789" t="str">
            <v/>
          </cell>
          <cell r="AE789" t="str">
            <v>⑪</v>
          </cell>
          <cell r="AF789" t="str">
            <v/>
          </cell>
          <cell r="AG789" t="str">
            <v/>
          </cell>
          <cell r="AH789" t="str">
            <v/>
          </cell>
          <cell r="AI789" t="str">
            <v/>
          </cell>
        </row>
        <row r="790">
          <cell r="B790">
            <v>4721</v>
          </cell>
          <cell r="C790">
            <v>47</v>
          </cell>
          <cell r="D790">
            <v>21</v>
          </cell>
          <cell r="F790" t="str">
            <v>八王子</v>
          </cell>
          <cell r="G790" t="str">
            <v>受水槽清掃(含む高架水槽)</v>
          </cell>
          <cell r="H790" t="str">
            <v>杉田商工</v>
          </cell>
          <cell r="I790">
            <v>96000</v>
          </cell>
          <cell r="J790">
            <v>108480</v>
          </cell>
          <cell r="K790">
            <v>1</v>
          </cell>
          <cell r="L790">
            <v>0</v>
          </cell>
          <cell r="M790">
            <v>108480</v>
          </cell>
          <cell r="N790">
            <v>0</v>
          </cell>
          <cell r="O790">
            <v>0</v>
          </cell>
          <cell r="P790">
            <v>0</v>
          </cell>
          <cell r="Q790">
            <v>0</v>
          </cell>
          <cell r="R790">
            <v>0</v>
          </cell>
          <cell r="S790">
            <v>0</v>
          </cell>
          <cell r="T790">
            <v>0</v>
          </cell>
          <cell r="U790">
            <v>0</v>
          </cell>
          <cell r="V790">
            <v>0</v>
          </cell>
          <cell r="W790">
            <v>0</v>
          </cell>
          <cell r="X790" t="str">
            <v/>
          </cell>
          <cell r="Y790" t="str">
            <v>⑤</v>
          </cell>
          <cell r="Z790" t="str">
            <v/>
          </cell>
          <cell r="AA790" t="str">
            <v/>
          </cell>
          <cell r="AB790" t="str">
            <v/>
          </cell>
          <cell r="AC790" t="str">
            <v/>
          </cell>
          <cell r="AD790" t="str">
            <v/>
          </cell>
          <cell r="AE790" t="str">
            <v/>
          </cell>
          <cell r="AF790" t="str">
            <v/>
          </cell>
          <cell r="AG790" t="str">
            <v/>
          </cell>
          <cell r="AH790" t="str">
            <v/>
          </cell>
          <cell r="AI790" t="str">
            <v/>
          </cell>
        </row>
        <row r="791">
          <cell r="B791">
            <v>4722</v>
          </cell>
          <cell r="C791">
            <v>47</v>
          </cell>
          <cell r="D791">
            <v>22</v>
          </cell>
          <cell r="F791" t="str">
            <v>八王子</v>
          </cell>
          <cell r="G791" t="str">
            <v>空調機設備保守</v>
          </cell>
          <cell r="H791" t="str">
            <v>三菱電機ﾋﾞﾙﾃｸﾉｻｰﾋﾞｽ</v>
          </cell>
          <cell r="I791">
            <v>254450</v>
          </cell>
          <cell r="J791">
            <v>259539</v>
          </cell>
          <cell r="K791">
            <v>2</v>
          </cell>
          <cell r="L791">
            <v>259539</v>
          </cell>
          <cell r="M791">
            <v>0</v>
          </cell>
          <cell r="N791">
            <v>0</v>
          </cell>
          <cell r="O791">
            <v>259539</v>
          </cell>
          <cell r="P791">
            <v>0</v>
          </cell>
          <cell r="Q791">
            <v>0</v>
          </cell>
          <cell r="R791">
            <v>0</v>
          </cell>
          <cell r="S791">
            <v>0</v>
          </cell>
          <cell r="T791">
            <v>0</v>
          </cell>
          <cell r="U791">
            <v>0</v>
          </cell>
          <cell r="V791">
            <v>0</v>
          </cell>
          <cell r="W791">
            <v>0</v>
          </cell>
          <cell r="X791" t="str">
            <v>④</v>
          </cell>
          <cell r="Y791" t="str">
            <v/>
          </cell>
          <cell r="Z791" t="str">
            <v/>
          </cell>
          <cell r="AA791" t="str">
            <v>⑦</v>
          </cell>
          <cell r="AB791" t="str">
            <v/>
          </cell>
          <cell r="AC791" t="str">
            <v/>
          </cell>
          <cell r="AD791" t="str">
            <v/>
          </cell>
          <cell r="AE791" t="str">
            <v/>
          </cell>
          <cell r="AF791" t="str">
            <v/>
          </cell>
          <cell r="AG791" t="str">
            <v/>
          </cell>
          <cell r="AH791" t="str">
            <v/>
          </cell>
          <cell r="AI791" t="str">
            <v/>
          </cell>
        </row>
        <row r="792">
          <cell r="B792">
            <v>4723</v>
          </cell>
          <cell r="C792">
            <v>47</v>
          </cell>
          <cell r="D792">
            <v>23</v>
          </cell>
          <cell r="F792" t="str">
            <v>八王子</v>
          </cell>
          <cell r="G792" t="str">
            <v>空調機設備保守</v>
          </cell>
          <cell r="H792" t="str">
            <v>三菱電機ﾋﾞﾙﾃｸﾉｻｰﾋﾞｽ</v>
          </cell>
          <cell r="I792">
            <v>255450</v>
          </cell>
          <cell r="J792">
            <v>260559</v>
          </cell>
          <cell r="K792">
            <v>2</v>
          </cell>
          <cell r="L792">
            <v>0</v>
          </cell>
          <cell r="M792">
            <v>0</v>
          </cell>
          <cell r="N792">
            <v>0</v>
          </cell>
          <cell r="O792">
            <v>0</v>
          </cell>
          <cell r="P792">
            <v>0</v>
          </cell>
          <cell r="Q792">
            <v>0</v>
          </cell>
          <cell r="R792">
            <v>260559</v>
          </cell>
          <cell r="S792">
            <v>0</v>
          </cell>
          <cell r="T792">
            <v>0</v>
          </cell>
          <cell r="U792">
            <v>260559</v>
          </cell>
          <cell r="V792">
            <v>0</v>
          </cell>
          <cell r="W792">
            <v>0</v>
          </cell>
          <cell r="X792" t="str">
            <v/>
          </cell>
          <cell r="Y792" t="str">
            <v/>
          </cell>
          <cell r="Z792" t="str">
            <v/>
          </cell>
          <cell r="AA792" t="str">
            <v/>
          </cell>
          <cell r="AB792" t="str">
            <v/>
          </cell>
          <cell r="AC792" t="str">
            <v/>
          </cell>
          <cell r="AD792" t="str">
            <v>⑩</v>
          </cell>
          <cell r="AE792" t="str">
            <v/>
          </cell>
          <cell r="AF792" t="str">
            <v/>
          </cell>
          <cell r="AG792" t="str">
            <v>①</v>
          </cell>
          <cell r="AH792" t="str">
            <v/>
          </cell>
          <cell r="AI792" t="str">
            <v/>
          </cell>
        </row>
        <row r="793">
          <cell r="B793">
            <v>4724</v>
          </cell>
          <cell r="C793">
            <v>47</v>
          </cell>
          <cell r="D793">
            <v>24</v>
          </cell>
          <cell r="F793" t="str">
            <v>八王子</v>
          </cell>
          <cell r="G793" t="str">
            <v>自動ドアー保守</v>
          </cell>
          <cell r="H793" t="str">
            <v>ナブコシステム</v>
          </cell>
          <cell r="I793">
            <v>20000</v>
          </cell>
          <cell r="J793">
            <v>20400</v>
          </cell>
          <cell r="K793">
            <v>4</v>
          </cell>
          <cell r="L793">
            <v>20400</v>
          </cell>
          <cell r="M793">
            <v>0</v>
          </cell>
          <cell r="N793">
            <v>0</v>
          </cell>
          <cell r="O793">
            <v>20400</v>
          </cell>
          <cell r="P793">
            <v>0</v>
          </cell>
          <cell r="Q793">
            <v>0</v>
          </cell>
          <cell r="R793">
            <v>20400</v>
          </cell>
          <cell r="S793">
            <v>0</v>
          </cell>
          <cell r="T793">
            <v>0</v>
          </cell>
          <cell r="U793">
            <v>20400</v>
          </cell>
          <cell r="V793">
            <v>0</v>
          </cell>
          <cell r="W793">
            <v>0</v>
          </cell>
          <cell r="X793" t="str">
            <v>④</v>
          </cell>
          <cell r="Y793" t="str">
            <v/>
          </cell>
          <cell r="Z793" t="str">
            <v/>
          </cell>
          <cell r="AA793" t="str">
            <v>⑦</v>
          </cell>
          <cell r="AB793" t="str">
            <v/>
          </cell>
          <cell r="AC793" t="str">
            <v/>
          </cell>
          <cell r="AD793" t="str">
            <v>⑩</v>
          </cell>
          <cell r="AE793" t="str">
            <v/>
          </cell>
          <cell r="AF793" t="str">
            <v/>
          </cell>
          <cell r="AG793" t="str">
            <v>①</v>
          </cell>
          <cell r="AH793" t="str">
            <v/>
          </cell>
          <cell r="AI793" t="str">
            <v/>
          </cell>
        </row>
        <row r="794">
          <cell r="B794">
            <v>4725</v>
          </cell>
          <cell r="C794">
            <v>47</v>
          </cell>
          <cell r="D794">
            <v>25</v>
          </cell>
          <cell r="F794" t="str">
            <v>八王子</v>
          </cell>
          <cell r="G794" t="str">
            <v>植栽管理</v>
          </cell>
          <cell r="H794" t="str">
            <v>つるのフラワーチェーン</v>
          </cell>
          <cell r="I794">
            <v>25000</v>
          </cell>
          <cell r="J794">
            <v>25500</v>
          </cell>
          <cell r="K794">
            <v>2</v>
          </cell>
          <cell r="L794">
            <v>0</v>
          </cell>
          <cell r="M794">
            <v>25500</v>
          </cell>
          <cell r="N794">
            <v>0</v>
          </cell>
          <cell r="O794">
            <v>0</v>
          </cell>
          <cell r="P794">
            <v>0</v>
          </cell>
          <cell r="Q794">
            <v>0</v>
          </cell>
          <cell r="R794">
            <v>0</v>
          </cell>
          <cell r="S794">
            <v>25500</v>
          </cell>
          <cell r="T794">
            <v>0</v>
          </cell>
          <cell r="U794">
            <v>0</v>
          </cell>
          <cell r="V794">
            <v>0</v>
          </cell>
          <cell r="W794">
            <v>0</v>
          </cell>
          <cell r="X794" t="str">
            <v/>
          </cell>
          <cell r="Y794" t="str">
            <v>⑤</v>
          </cell>
          <cell r="Z794" t="str">
            <v/>
          </cell>
          <cell r="AA794" t="str">
            <v/>
          </cell>
          <cell r="AB794" t="str">
            <v/>
          </cell>
          <cell r="AC794" t="str">
            <v/>
          </cell>
          <cell r="AD794" t="str">
            <v/>
          </cell>
          <cell r="AE794" t="str">
            <v>⑪</v>
          </cell>
          <cell r="AF794" t="str">
            <v/>
          </cell>
          <cell r="AG794" t="str">
            <v/>
          </cell>
          <cell r="AH794" t="str">
            <v/>
          </cell>
          <cell r="AI794" t="str">
            <v/>
          </cell>
        </row>
        <row r="795">
          <cell r="B795">
            <v>4726</v>
          </cell>
          <cell r="C795">
            <v>47</v>
          </cell>
          <cell r="D795">
            <v>26</v>
          </cell>
          <cell r="F795" t="str">
            <v>八王子</v>
          </cell>
          <cell r="G795" t="str">
            <v>貸鉢代(貸植木)</v>
          </cell>
          <cell r="H795" t="str">
            <v>つるのフラワーチェーン</v>
          </cell>
          <cell r="I795">
            <v>6000</v>
          </cell>
          <cell r="J795">
            <v>6120</v>
          </cell>
          <cell r="K795">
            <v>12</v>
          </cell>
          <cell r="L795">
            <v>6120</v>
          </cell>
          <cell r="M795">
            <v>6120</v>
          </cell>
          <cell r="N795">
            <v>6120</v>
          </cell>
          <cell r="O795">
            <v>6120</v>
          </cell>
          <cell r="P795">
            <v>6120</v>
          </cell>
          <cell r="Q795">
            <v>6120</v>
          </cell>
          <cell r="R795">
            <v>6120</v>
          </cell>
          <cell r="S795">
            <v>6120</v>
          </cell>
          <cell r="T795">
            <v>6120</v>
          </cell>
          <cell r="U795">
            <v>6120</v>
          </cell>
          <cell r="V795">
            <v>6120</v>
          </cell>
          <cell r="W795">
            <v>6120</v>
          </cell>
          <cell r="X795" t="str">
            <v>④</v>
          </cell>
          <cell r="Y795" t="str">
            <v>⑤</v>
          </cell>
          <cell r="Z795" t="str">
            <v>⑥</v>
          </cell>
          <cell r="AA795" t="str">
            <v>⑦</v>
          </cell>
          <cell r="AB795" t="str">
            <v>⑧</v>
          </cell>
          <cell r="AC795" t="str">
            <v>⑨</v>
          </cell>
          <cell r="AD795" t="str">
            <v>⑩</v>
          </cell>
          <cell r="AE795" t="str">
            <v>⑪</v>
          </cell>
          <cell r="AF795" t="str">
            <v>⑫</v>
          </cell>
          <cell r="AG795" t="str">
            <v>①</v>
          </cell>
          <cell r="AH795" t="str">
            <v>②</v>
          </cell>
          <cell r="AI795" t="str">
            <v>③</v>
          </cell>
        </row>
        <row r="796">
          <cell r="B796">
            <v>4727</v>
          </cell>
          <cell r="C796">
            <v>47</v>
          </cell>
          <cell r="D796">
            <v>27</v>
          </cell>
          <cell r="F796" t="str">
            <v>八王子</v>
          </cell>
          <cell r="G796" t="str">
            <v>全熱交換機ﾛｰﾙﾌｨﾙﾀｰ洗浄交換</v>
          </cell>
          <cell r="H796" t="str">
            <v>東洋製作所</v>
          </cell>
          <cell r="I796">
            <v>70500</v>
          </cell>
          <cell r="J796">
            <v>81075</v>
          </cell>
          <cell r="K796">
            <v>1</v>
          </cell>
          <cell r="L796">
            <v>0</v>
          </cell>
          <cell r="M796">
            <v>0</v>
          </cell>
          <cell r="N796">
            <v>0</v>
          </cell>
          <cell r="O796">
            <v>0</v>
          </cell>
          <cell r="P796">
            <v>81075</v>
          </cell>
          <cell r="Q796">
            <v>0</v>
          </cell>
          <cell r="R796">
            <v>0</v>
          </cell>
          <cell r="S796">
            <v>0</v>
          </cell>
          <cell r="T796">
            <v>0</v>
          </cell>
          <cell r="U796">
            <v>0</v>
          </cell>
          <cell r="V796">
            <v>0</v>
          </cell>
          <cell r="W796">
            <v>0</v>
          </cell>
          <cell r="X796" t="str">
            <v/>
          </cell>
          <cell r="Y796" t="str">
            <v/>
          </cell>
          <cell r="Z796" t="str">
            <v/>
          </cell>
          <cell r="AA796" t="str">
            <v/>
          </cell>
          <cell r="AB796" t="str">
            <v>⑧</v>
          </cell>
          <cell r="AC796" t="str">
            <v/>
          </cell>
          <cell r="AD796" t="str">
            <v/>
          </cell>
          <cell r="AE796" t="str">
            <v/>
          </cell>
          <cell r="AF796" t="str">
            <v/>
          </cell>
          <cell r="AG796" t="str">
            <v/>
          </cell>
          <cell r="AH796" t="str">
            <v/>
          </cell>
          <cell r="AI796" t="str">
            <v/>
          </cell>
          <cell r="AJ796" t="str">
            <v>追</v>
          </cell>
        </row>
        <row r="797">
          <cell r="B797">
            <v>4728</v>
          </cell>
          <cell r="C797">
            <v>47</v>
          </cell>
          <cell r="D797">
            <v>28</v>
          </cell>
          <cell r="F797" t="str">
            <v>八王子</v>
          </cell>
          <cell r="G797" t="str">
            <v>電気集塵機･加湿装置点検整備</v>
          </cell>
          <cell r="H797" t="str">
            <v>三菱電機ﾋﾞﾙﾃｸﾉｻｰﾋﾞｽ</v>
          </cell>
          <cell r="I797">
            <v>350000</v>
          </cell>
          <cell r="J797">
            <v>402500</v>
          </cell>
          <cell r="K797">
            <v>1</v>
          </cell>
          <cell r="L797">
            <v>0</v>
          </cell>
          <cell r="M797">
            <v>0</v>
          </cell>
          <cell r="N797">
            <v>0</v>
          </cell>
          <cell r="O797">
            <v>0</v>
          </cell>
          <cell r="P797">
            <v>0</v>
          </cell>
          <cell r="Q797">
            <v>0</v>
          </cell>
          <cell r="R797">
            <v>0</v>
          </cell>
          <cell r="S797">
            <v>402500</v>
          </cell>
          <cell r="T797">
            <v>0</v>
          </cell>
          <cell r="U797">
            <v>0</v>
          </cell>
          <cell r="V797">
            <v>0</v>
          </cell>
          <cell r="W797">
            <v>0</v>
          </cell>
          <cell r="X797" t="str">
            <v/>
          </cell>
          <cell r="Y797" t="str">
            <v/>
          </cell>
          <cell r="Z797" t="str">
            <v/>
          </cell>
          <cell r="AA797" t="str">
            <v/>
          </cell>
          <cell r="AB797" t="str">
            <v/>
          </cell>
          <cell r="AC797" t="str">
            <v/>
          </cell>
          <cell r="AD797" t="str">
            <v/>
          </cell>
          <cell r="AE797" t="str">
            <v>⑪</v>
          </cell>
          <cell r="AF797" t="str">
            <v/>
          </cell>
          <cell r="AG797" t="str">
            <v/>
          </cell>
          <cell r="AH797" t="str">
            <v/>
          </cell>
          <cell r="AI797" t="str">
            <v/>
          </cell>
          <cell r="AJ797" t="str">
            <v>追</v>
          </cell>
        </row>
        <row r="798">
          <cell r="B798">
            <v>4729</v>
          </cell>
          <cell r="C798">
            <v>47</v>
          </cell>
          <cell r="D798">
            <v>29</v>
          </cell>
          <cell r="F798" t="str">
            <v>八王子</v>
          </cell>
          <cell r="G798" t="str">
            <v>電気湯沸器点検整備</v>
          </cell>
          <cell r="H798" t="str">
            <v>東管ビルサポート㈱</v>
          </cell>
          <cell r="I798">
            <v>45320</v>
          </cell>
          <cell r="J798">
            <v>52118</v>
          </cell>
          <cell r="K798">
            <v>1</v>
          </cell>
          <cell r="L798">
            <v>0</v>
          </cell>
          <cell r="M798">
            <v>0</v>
          </cell>
          <cell r="N798">
            <v>0</v>
          </cell>
          <cell r="O798">
            <v>0</v>
          </cell>
          <cell r="P798">
            <v>52118</v>
          </cell>
          <cell r="Q798">
            <v>0</v>
          </cell>
          <cell r="R798">
            <v>0</v>
          </cell>
          <cell r="S798">
            <v>0</v>
          </cell>
          <cell r="T798">
            <v>0</v>
          </cell>
          <cell r="U798">
            <v>0</v>
          </cell>
          <cell r="V798">
            <v>0</v>
          </cell>
          <cell r="W798">
            <v>0</v>
          </cell>
          <cell r="X798" t="str">
            <v/>
          </cell>
          <cell r="Y798" t="str">
            <v/>
          </cell>
          <cell r="Z798" t="str">
            <v/>
          </cell>
          <cell r="AA798" t="str">
            <v/>
          </cell>
          <cell r="AB798" t="str">
            <v>⑧</v>
          </cell>
          <cell r="AC798" t="str">
            <v/>
          </cell>
          <cell r="AD798" t="str">
            <v/>
          </cell>
          <cell r="AE798" t="str">
            <v/>
          </cell>
          <cell r="AF798" t="str">
            <v/>
          </cell>
          <cell r="AG798" t="str">
            <v/>
          </cell>
          <cell r="AH798" t="str">
            <v/>
          </cell>
          <cell r="AI798" t="str">
            <v/>
          </cell>
          <cell r="AJ798" t="str">
            <v>追</v>
          </cell>
        </row>
        <row r="799">
          <cell r="B799">
            <v>4730</v>
          </cell>
          <cell r="C799">
            <v>47</v>
          </cell>
          <cell r="D799">
            <v>30</v>
          </cell>
          <cell r="F799" t="str">
            <v>八王子</v>
          </cell>
          <cell r="G799" t="str">
            <v>空調機ﾛｰﾙﾌｨﾙﾀｰ</v>
          </cell>
          <cell r="H799" t="str">
            <v>映光産業㈱</v>
          </cell>
          <cell r="I799">
            <v>126900</v>
          </cell>
          <cell r="J799">
            <v>145935</v>
          </cell>
          <cell r="K799">
            <v>1</v>
          </cell>
          <cell r="L799">
            <v>0</v>
          </cell>
          <cell r="M799">
            <v>145935</v>
          </cell>
          <cell r="N799">
            <v>0</v>
          </cell>
          <cell r="O799">
            <v>0</v>
          </cell>
          <cell r="P799">
            <v>0</v>
          </cell>
          <cell r="Q799">
            <v>0</v>
          </cell>
          <cell r="R799">
            <v>0</v>
          </cell>
          <cell r="S799">
            <v>0</v>
          </cell>
          <cell r="T799">
            <v>0</v>
          </cell>
          <cell r="U799">
            <v>0</v>
          </cell>
          <cell r="V799">
            <v>0</v>
          </cell>
          <cell r="W799">
            <v>0</v>
          </cell>
          <cell r="X799" t="str">
            <v/>
          </cell>
          <cell r="Y799" t="str">
            <v>⑤</v>
          </cell>
          <cell r="Z799" t="str">
            <v/>
          </cell>
          <cell r="AA799" t="str">
            <v/>
          </cell>
          <cell r="AB799" t="str">
            <v/>
          </cell>
          <cell r="AC799" t="str">
            <v/>
          </cell>
          <cell r="AD799" t="str">
            <v/>
          </cell>
          <cell r="AE799" t="str">
            <v/>
          </cell>
          <cell r="AF799" t="str">
            <v/>
          </cell>
          <cell r="AG799" t="str">
            <v/>
          </cell>
          <cell r="AH799" t="str">
            <v/>
          </cell>
          <cell r="AI799" t="str">
            <v/>
          </cell>
          <cell r="AJ799" t="str">
            <v>追</v>
          </cell>
        </row>
        <row r="800">
          <cell r="B800">
            <v>4731</v>
          </cell>
          <cell r="C800">
            <v>47</v>
          </cell>
          <cell r="D800">
            <v>31</v>
          </cell>
          <cell r="F800" t="str">
            <v>八王子</v>
          </cell>
          <cell r="G800" t="str">
            <v>空調機ﾛｰﾙﾌｨﾙﾀｰ</v>
          </cell>
          <cell r="H800" t="str">
            <v>映光産業㈱</v>
          </cell>
          <cell r="I800">
            <v>106900</v>
          </cell>
          <cell r="J800">
            <v>122935</v>
          </cell>
          <cell r="K800">
            <v>1</v>
          </cell>
          <cell r="L800">
            <v>0</v>
          </cell>
          <cell r="M800">
            <v>0</v>
          </cell>
          <cell r="N800">
            <v>0</v>
          </cell>
          <cell r="O800">
            <v>0</v>
          </cell>
          <cell r="P800">
            <v>122935</v>
          </cell>
          <cell r="Q800">
            <v>0</v>
          </cell>
          <cell r="R800">
            <v>0</v>
          </cell>
          <cell r="S800">
            <v>0</v>
          </cell>
          <cell r="T800">
            <v>0</v>
          </cell>
          <cell r="U800">
            <v>0</v>
          </cell>
          <cell r="V800">
            <v>0</v>
          </cell>
          <cell r="W800">
            <v>0</v>
          </cell>
          <cell r="X800" t="str">
            <v/>
          </cell>
          <cell r="Y800" t="str">
            <v/>
          </cell>
          <cell r="Z800" t="str">
            <v/>
          </cell>
          <cell r="AA800" t="str">
            <v/>
          </cell>
          <cell r="AB800" t="str">
            <v>⑧</v>
          </cell>
          <cell r="AC800" t="str">
            <v/>
          </cell>
          <cell r="AD800" t="str">
            <v/>
          </cell>
          <cell r="AE800" t="str">
            <v/>
          </cell>
          <cell r="AF800" t="str">
            <v/>
          </cell>
          <cell r="AG800" t="str">
            <v/>
          </cell>
          <cell r="AH800" t="str">
            <v/>
          </cell>
          <cell r="AI800" t="str">
            <v/>
          </cell>
          <cell r="AJ800" t="str">
            <v>追</v>
          </cell>
        </row>
        <row r="801">
          <cell r="B801">
            <v>4801</v>
          </cell>
          <cell r="C801">
            <v>48</v>
          </cell>
          <cell r="D801">
            <v>1</v>
          </cell>
          <cell r="F801" t="str">
            <v>立川</v>
          </cell>
          <cell r="G801" t="str">
            <v>昇降機設備保守</v>
          </cell>
          <cell r="H801" t="str">
            <v>三菱電機ﾋﾞﾙﾃｸﾉｻｰﾋﾞｽ</v>
          </cell>
          <cell r="I801">
            <v>72800</v>
          </cell>
          <cell r="J801">
            <v>74256</v>
          </cell>
          <cell r="K801">
            <v>12</v>
          </cell>
          <cell r="L801">
            <v>74256</v>
          </cell>
          <cell r="M801">
            <v>74256</v>
          </cell>
          <cell r="N801">
            <v>74256</v>
          </cell>
          <cell r="O801">
            <v>74256</v>
          </cell>
          <cell r="P801">
            <v>74256</v>
          </cell>
          <cell r="Q801">
            <v>74256</v>
          </cell>
          <cell r="R801">
            <v>74256</v>
          </cell>
          <cell r="S801">
            <v>74256</v>
          </cell>
          <cell r="T801">
            <v>74256</v>
          </cell>
          <cell r="U801">
            <v>74256</v>
          </cell>
          <cell r="V801">
            <v>74256</v>
          </cell>
          <cell r="W801">
            <v>74256</v>
          </cell>
          <cell r="X801" t="str">
            <v>④</v>
          </cell>
          <cell r="Y801" t="str">
            <v>⑤</v>
          </cell>
          <cell r="Z801" t="str">
            <v>⑥</v>
          </cell>
          <cell r="AA801" t="str">
            <v>⑦</v>
          </cell>
          <cell r="AB801" t="str">
            <v>⑧</v>
          </cell>
          <cell r="AC801" t="str">
            <v>⑨</v>
          </cell>
          <cell r="AD801" t="str">
            <v>⑩</v>
          </cell>
          <cell r="AE801" t="str">
            <v>⑪</v>
          </cell>
          <cell r="AF801" t="str">
            <v>⑫</v>
          </cell>
          <cell r="AG801" t="str">
            <v>①</v>
          </cell>
          <cell r="AH801" t="str">
            <v>②</v>
          </cell>
          <cell r="AI801" t="str">
            <v>③</v>
          </cell>
        </row>
        <row r="802">
          <cell r="B802">
            <v>4802</v>
          </cell>
          <cell r="C802">
            <v>48</v>
          </cell>
          <cell r="D802">
            <v>2</v>
          </cell>
          <cell r="F802" t="str">
            <v>立川</v>
          </cell>
          <cell r="G802" t="str">
            <v>ハロゲン消火(外観)</v>
          </cell>
          <cell r="H802" t="str">
            <v>ホーチキ</v>
          </cell>
          <cell r="I802">
            <v>60000</v>
          </cell>
          <cell r="J802">
            <v>61200</v>
          </cell>
          <cell r="K802">
            <v>1</v>
          </cell>
          <cell r="L802">
            <v>0</v>
          </cell>
          <cell r="M802">
            <v>0</v>
          </cell>
          <cell r="N802">
            <v>0</v>
          </cell>
          <cell r="O802">
            <v>61200</v>
          </cell>
          <cell r="P802">
            <v>0</v>
          </cell>
          <cell r="Q802">
            <v>0</v>
          </cell>
          <cell r="R802">
            <v>0</v>
          </cell>
          <cell r="S802">
            <v>0</v>
          </cell>
          <cell r="T802">
            <v>0</v>
          </cell>
          <cell r="U802">
            <v>0</v>
          </cell>
          <cell r="V802">
            <v>0</v>
          </cell>
          <cell r="W802">
            <v>0</v>
          </cell>
          <cell r="X802" t="str">
            <v/>
          </cell>
          <cell r="Y802" t="str">
            <v/>
          </cell>
          <cell r="Z802" t="str">
            <v/>
          </cell>
          <cell r="AA802" t="str">
            <v>⑦</v>
          </cell>
          <cell r="AB802" t="str">
            <v/>
          </cell>
          <cell r="AC802" t="str">
            <v/>
          </cell>
          <cell r="AD802" t="str">
            <v/>
          </cell>
          <cell r="AE802" t="str">
            <v/>
          </cell>
          <cell r="AF802" t="str">
            <v/>
          </cell>
          <cell r="AG802" t="str">
            <v/>
          </cell>
          <cell r="AH802" t="str">
            <v/>
          </cell>
          <cell r="AI802" t="str">
            <v/>
          </cell>
        </row>
        <row r="803">
          <cell r="B803">
            <v>4803</v>
          </cell>
          <cell r="C803">
            <v>48</v>
          </cell>
          <cell r="D803">
            <v>3</v>
          </cell>
          <cell r="F803" t="str">
            <v>立川</v>
          </cell>
          <cell r="G803" t="str">
            <v>ハロゲン消火(総合)</v>
          </cell>
          <cell r="H803" t="str">
            <v>ホーチキ</v>
          </cell>
          <cell r="I803">
            <v>114000</v>
          </cell>
          <cell r="J803">
            <v>116280</v>
          </cell>
          <cell r="K803">
            <v>1</v>
          </cell>
          <cell r="L803">
            <v>0</v>
          </cell>
          <cell r="M803">
            <v>0</v>
          </cell>
          <cell r="N803">
            <v>0</v>
          </cell>
          <cell r="O803">
            <v>0</v>
          </cell>
          <cell r="P803">
            <v>0</v>
          </cell>
          <cell r="Q803">
            <v>0</v>
          </cell>
          <cell r="R803">
            <v>0</v>
          </cell>
          <cell r="S803">
            <v>0</v>
          </cell>
          <cell r="T803">
            <v>0</v>
          </cell>
          <cell r="U803">
            <v>116280</v>
          </cell>
          <cell r="V803">
            <v>0</v>
          </cell>
          <cell r="W803">
            <v>0</v>
          </cell>
          <cell r="X803" t="str">
            <v/>
          </cell>
          <cell r="Y803" t="str">
            <v/>
          </cell>
          <cell r="Z803" t="str">
            <v/>
          </cell>
          <cell r="AA803" t="str">
            <v/>
          </cell>
          <cell r="AB803" t="str">
            <v/>
          </cell>
          <cell r="AC803" t="str">
            <v/>
          </cell>
          <cell r="AD803" t="str">
            <v/>
          </cell>
          <cell r="AE803" t="str">
            <v/>
          </cell>
          <cell r="AF803" t="str">
            <v/>
          </cell>
          <cell r="AG803" t="str">
            <v>①</v>
          </cell>
          <cell r="AH803" t="str">
            <v/>
          </cell>
          <cell r="AI803" t="str">
            <v/>
          </cell>
        </row>
        <row r="804">
          <cell r="B804">
            <v>4804</v>
          </cell>
          <cell r="C804">
            <v>48</v>
          </cell>
          <cell r="D804">
            <v>4</v>
          </cell>
          <cell r="F804" t="str">
            <v>立川</v>
          </cell>
          <cell r="G804" t="str">
            <v>自動火災報知設備(外観)</v>
          </cell>
          <cell r="H804" t="str">
            <v>ホーチキ</v>
          </cell>
          <cell r="I804">
            <v>21000</v>
          </cell>
          <cell r="J804">
            <v>21420</v>
          </cell>
          <cell r="K804">
            <v>1</v>
          </cell>
          <cell r="L804">
            <v>0</v>
          </cell>
          <cell r="M804">
            <v>0</v>
          </cell>
          <cell r="N804">
            <v>0</v>
          </cell>
          <cell r="O804">
            <v>21420</v>
          </cell>
          <cell r="P804">
            <v>0</v>
          </cell>
          <cell r="Q804">
            <v>0</v>
          </cell>
          <cell r="R804">
            <v>0</v>
          </cell>
          <cell r="S804">
            <v>0</v>
          </cell>
          <cell r="T804">
            <v>0</v>
          </cell>
          <cell r="U804">
            <v>0</v>
          </cell>
          <cell r="V804">
            <v>0</v>
          </cell>
          <cell r="W804">
            <v>0</v>
          </cell>
          <cell r="X804" t="str">
            <v/>
          </cell>
          <cell r="Y804" t="str">
            <v/>
          </cell>
          <cell r="Z804" t="str">
            <v/>
          </cell>
          <cell r="AA804" t="str">
            <v>⑦</v>
          </cell>
          <cell r="AB804" t="str">
            <v/>
          </cell>
          <cell r="AC804" t="str">
            <v/>
          </cell>
          <cell r="AD804" t="str">
            <v/>
          </cell>
          <cell r="AE804" t="str">
            <v/>
          </cell>
          <cell r="AF804" t="str">
            <v/>
          </cell>
          <cell r="AG804" t="str">
            <v/>
          </cell>
          <cell r="AH804" t="str">
            <v/>
          </cell>
          <cell r="AI804" t="str">
            <v/>
          </cell>
        </row>
        <row r="805">
          <cell r="B805">
            <v>4805</v>
          </cell>
          <cell r="C805">
            <v>48</v>
          </cell>
          <cell r="D805">
            <v>5</v>
          </cell>
          <cell r="F805" t="str">
            <v>立川</v>
          </cell>
          <cell r="G805" t="str">
            <v>自動火災報知設備(総合)</v>
          </cell>
          <cell r="H805" t="str">
            <v>ホーチキ</v>
          </cell>
          <cell r="I805">
            <v>42300</v>
          </cell>
          <cell r="J805">
            <v>43146</v>
          </cell>
          <cell r="K805">
            <v>1</v>
          </cell>
          <cell r="L805">
            <v>0</v>
          </cell>
          <cell r="M805">
            <v>0</v>
          </cell>
          <cell r="N805">
            <v>0</v>
          </cell>
          <cell r="O805">
            <v>0</v>
          </cell>
          <cell r="P805">
            <v>0</v>
          </cell>
          <cell r="Q805">
            <v>0</v>
          </cell>
          <cell r="R805">
            <v>0</v>
          </cell>
          <cell r="S805">
            <v>0</v>
          </cell>
          <cell r="T805">
            <v>0</v>
          </cell>
          <cell r="U805">
            <v>43146</v>
          </cell>
          <cell r="V805">
            <v>0</v>
          </cell>
          <cell r="W805">
            <v>0</v>
          </cell>
          <cell r="X805" t="str">
            <v/>
          </cell>
          <cell r="Y805" t="str">
            <v/>
          </cell>
          <cell r="Z805" t="str">
            <v/>
          </cell>
          <cell r="AA805" t="str">
            <v/>
          </cell>
          <cell r="AB805" t="str">
            <v/>
          </cell>
          <cell r="AC805" t="str">
            <v/>
          </cell>
          <cell r="AD805" t="str">
            <v/>
          </cell>
          <cell r="AE805" t="str">
            <v/>
          </cell>
          <cell r="AF805" t="str">
            <v/>
          </cell>
          <cell r="AG805" t="str">
            <v>①</v>
          </cell>
          <cell r="AH805" t="str">
            <v/>
          </cell>
          <cell r="AI805" t="str">
            <v/>
          </cell>
        </row>
        <row r="806">
          <cell r="B806">
            <v>4806</v>
          </cell>
          <cell r="C806">
            <v>48</v>
          </cell>
          <cell r="D806">
            <v>6</v>
          </cell>
          <cell r="F806" t="str">
            <v>立川</v>
          </cell>
          <cell r="G806" t="str">
            <v>非常放送(外観)</v>
          </cell>
          <cell r="H806" t="str">
            <v>ホーチキ</v>
          </cell>
          <cell r="I806">
            <v>32000</v>
          </cell>
          <cell r="J806">
            <v>32640</v>
          </cell>
          <cell r="K806">
            <v>1</v>
          </cell>
          <cell r="L806">
            <v>0</v>
          </cell>
          <cell r="M806">
            <v>0</v>
          </cell>
          <cell r="N806">
            <v>0</v>
          </cell>
          <cell r="O806">
            <v>32640</v>
          </cell>
          <cell r="P806">
            <v>0</v>
          </cell>
          <cell r="Q806">
            <v>0</v>
          </cell>
          <cell r="R806">
            <v>0</v>
          </cell>
          <cell r="S806">
            <v>0</v>
          </cell>
          <cell r="T806">
            <v>0</v>
          </cell>
          <cell r="U806">
            <v>0</v>
          </cell>
          <cell r="V806">
            <v>0</v>
          </cell>
          <cell r="W806">
            <v>0</v>
          </cell>
          <cell r="X806" t="str">
            <v/>
          </cell>
          <cell r="Y806" t="str">
            <v/>
          </cell>
          <cell r="Z806" t="str">
            <v/>
          </cell>
          <cell r="AA806" t="str">
            <v>⑦</v>
          </cell>
          <cell r="AB806" t="str">
            <v/>
          </cell>
          <cell r="AC806" t="str">
            <v/>
          </cell>
          <cell r="AD806" t="str">
            <v/>
          </cell>
          <cell r="AE806" t="str">
            <v/>
          </cell>
          <cell r="AF806" t="str">
            <v/>
          </cell>
          <cell r="AG806" t="str">
            <v/>
          </cell>
          <cell r="AH806" t="str">
            <v/>
          </cell>
          <cell r="AI806" t="str">
            <v/>
          </cell>
        </row>
        <row r="807">
          <cell r="B807">
            <v>4807</v>
          </cell>
          <cell r="C807">
            <v>48</v>
          </cell>
          <cell r="D807">
            <v>7</v>
          </cell>
          <cell r="F807" t="str">
            <v>立川</v>
          </cell>
          <cell r="G807" t="str">
            <v>非常放送(総合)</v>
          </cell>
          <cell r="H807" t="str">
            <v>ホーチキ</v>
          </cell>
          <cell r="I807">
            <v>32000</v>
          </cell>
          <cell r="J807">
            <v>32640</v>
          </cell>
          <cell r="K807">
            <v>1</v>
          </cell>
          <cell r="L807">
            <v>0</v>
          </cell>
          <cell r="M807">
            <v>0</v>
          </cell>
          <cell r="N807">
            <v>0</v>
          </cell>
          <cell r="O807">
            <v>0</v>
          </cell>
          <cell r="P807">
            <v>0</v>
          </cell>
          <cell r="Q807">
            <v>0</v>
          </cell>
          <cell r="R807">
            <v>0</v>
          </cell>
          <cell r="S807">
            <v>0</v>
          </cell>
          <cell r="T807">
            <v>0</v>
          </cell>
          <cell r="U807">
            <v>32640</v>
          </cell>
          <cell r="V807">
            <v>0</v>
          </cell>
          <cell r="W807">
            <v>0</v>
          </cell>
          <cell r="X807" t="str">
            <v/>
          </cell>
          <cell r="Y807" t="str">
            <v/>
          </cell>
          <cell r="Z807" t="str">
            <v/>
          </cell>
          <cell r="AA807" t="str">
            <v/>
          </cell>
          <cell r="AB807" t="str">
            <v/>
          </cell>
          <cell r="AC807" t="str">
            <v/>
          </cell>
          <cell r="AD807" t="str">
            <v/>
          </cell>
          <cell r="AE807" t="str">
            <v/>
          </cell>
          <cell r="AF807" t="str">
            <v/>
          </cell>
          <cell r="AG807" t="str">
            <v>①</v>
          </cell>
          <cell r="AH807" t="str">
            <v/>
          </cell>
          <cell r="AI807" t="str">
            <v/>
          </cell>
        </row>
        <row r="808">
          <cell r="B808">
            <v>4808</v>
          </cell>
          <cell r="C808">
            <v>48</v>
          </cell>
          <cell r="D808">
            <v>8</v>
          </cell>
          <cell r="F808" t="str">
            <v>立川</v>
          </cell>
          <cell r="G808" t="str">
            <v>防排煙制御(外観)</v>
          </cell>
          <cell r="H808" t="str">
            <v>ホーチキ</v>
          </cell>
          <cell r="I808">
            <v>60000</v>
          </cell>
          <cell r="J808">
            <v>61200</v>
          </cell>
          <cell r="K808">
            <v>1</v>
          </cell>
          <cell r="L808">
            <v>0</v>
          </cell>
          <cell r="M808">
            <v>0</v>
          </cell>
          <cell r="N808">
            <v>0</v>
          </cell>
          <cell r="O808">
            <v>61200</v>
          </cell>
          <cell r="P808">
            <v>0</v>
          </cell>
          <cell r="Q808">
            <v>0</v>
          </cell>
          <cell r="R808">
            <v>0</v>
          </cell>
          <cell r="S808">
            <v>0</v>
          </cell>
          <cell r="T808">
            <v>0</v>
          </cell>
          <cell r="U808">
            <v>0</v>
          </cell>
          <cell r="V808">
            <v>0</v>
          </cell>
          <cell r="W808">
            <v>0</v>
          </cell>
          <cell r="X808" t="str">
            <v/>
          </cell>
          <cell r="Y808" t="str">
            <v/>
          </cell>
          <cell r="Z808" t="str">
            <v/>
          </cell>
          <cell r="AA808" t="str">
            <v>⑦</v>
          </cell>
          <cell r="AB808" t="str">
            <v/>
          </cell>
          <cell r="AC808" t="str">
            <v/>
          </cell>
          <cell r="AD808" t="str">
            <v/>
          </cell>
          <cell r="AE808" t="str">
            <v/>
          </cell>
          <cell r="AF808" t="str">
            <v/>
          </cell>
          <cell r="AG808" t="str">
            <v/>
          </cell>
          <cell r="AH808" t="str">
            <v/>
          </cell>
          <cell r="AI808" t="str">
            <v/>
          </cell>
        </row>
        <row r="809">
          <cell r="B809">
            <v>4809</v>
          </cell>
          <cell r="C809">
            <v>48</v>
          </cell>
          <cell r="D809">
            <v>9</v>
          </cell>
          <cell r="F809" t="str">
            <v>立川</v>
          </cell>
          <cell r="G809" t="str">
            <v>防排煙制御(総合)</v>
          </cell>
          <cell r="H809" t="str">
            <v>ホーチキ</v>
          </cell>
          <cell r="I809">
            <v>86000</v>
          </cell>
          <cell r="J809">
            <v>87720</v>
          </cell>
          <cell r="K809">
            <v>1</v>
          </cell>
          <cell r="L809">
            <v>0</v>
          </cell>
          <cell r="M809">
            <v>0</v>
          </cell>
          <cell r="N809">
            <v>0</v>
          </cell>
          <cell r="O809">
            <v>0</v>
          </cell>
          <cell r="P809">
            <v>0</v>
          </cell>
          <cell r="Q809">
            <v>0</v>
          </cell>
          <cell r="R809">
            <v>0</v>
          </cell>
          <cell r="S809">
            <v>0</v>
          </cell>
          <cell r="T809">
            <v>0</v>
          </cell>
          <cell r="U809">
            <v>87720</v>
          </cell>
          <cell r="V809">
            <v>0</v>
          </cell>
          <cell r="W809">
            <v>0</v>
          </cell>
          <cell r="X809" t="str">
            <v/>
          </cell>
          <cell r="Y809" t="str">
            <v/>
          </cell>
          <cell r="Z809" t="str">
            <v/>
          </cell>
          <cell r="AA809" t="str">
            <v/>
          </cell>
          <cell r="AB809" t="str">
            <v/>
          </cell>
          <cell r="AC809" t="str">
            <v/>
          </cell>
          <cell r="AD809" t="str">
            <v/>
          </cell>
          <cell r="AE809" t="str">
            <v/>
          </cell>
          <cell r="AF809" t="str">
            <v/>
          </cell>
          <cell r="AG809" t="str">
            <v>①</v>
          </cell>
          <cell r="AH809" t="str">
            <v/>
          </cell>
          <cell r="AI809" t="str">
            <v/>
          </cell>
        </row>
        <row r="810">
          <cell r="B810">
            <v>4810</v>
          </cell>
          <cell r="C810">
            <v>48</v>
          </cell>
          <cell r="D810">
            <v>10</v>
          </cell>
          <cell r="F810" t="str">
            <v>立川</v>
          </cell>
          <cell r="G810" t="str">
            <v>消火器設備保守(外観)</v>
          </cell>
          <cell r="H810" t="str">
            <v>防災サービスセンター</v>
          </cell>
          <cell r="I810">
            <v>11000</v>
          </cell>
          <cell r="J810">
            <v>11220</v>
          </cell>
          <cell r="K810">
            <v>2</v>
          </cell>
          <cell r="L810">
            <v>0</v>
          </cell>
          <cell r="M810">
            <v>0</v>
          </cell>
          <cell r="N810">
            <v>0</v>
          </cell>
          <cell r="O810">
            <v>11220</v>
          </cell>
          <cell r="P810">
            <v>0</v>
          </cell>
          <cell r="Q810">
            <v>0</v>
          </cell>
          <cell r="R810">
            <v>0</v>
          </cell>
          <cell r="S810">
            <v>0</v>
          </cell>
          <cell r="T810">
            <v>0</v>
          </cell>
          <cell r="U810">
            <v>11220</v>
          </cell>
          <cell r="V810">
            <v>0</v>
          </cell>
          <cell r="W810">
            <v>0</v>
          </cell>
          <cell r="X810" t="str">
            <v/>
          </cell>
          <cell r="Y810" t="str">
            <v/>
          </cell>
          <cell r="Z810" t="str">
            <v/>
          </cell>
          <cell r="AA810" t="str">
            <v>⑦</v>
          </cell>
          <cell r="AB810" t="str">
            <v/>
          </cell>
          <cell r="AC810" t="str">
            <v/>
          </cell>
          <cell r="AD810" t="str">
            <v/>
          </cell>
          <cell r="AE810" t="str">
            <v/>
          </cell>
          <cell r="AF810" t="str">
            <v/>
          </cell>
          <cell r="AG810" t="str">
            <v>①</v>
          </cell>
          <cell r="AH810" t="str">
            <v/>
          </cell>
          <cell r="AI810" t="str">
            <v/>
          </cell>
        </row>
        <row r="811">
          <cell r="B811">
            <v>4811</v>
          </cell>
          <cell r="C811">
            <v>48</v>
          </cell>
          <cell r="D811">
            <v>11</v>
          </cell>
          <cell r="F811" t="str">
            <v>立川</v>
          </cell>
          <cell r="G811" t="str">
            <v>消火栓設備保守(外観)</v>
          </cell>
          <cell r="H811" t="str">
            <v>防災サービスセンター</v>
          </cell>
          <cell r="I811">
            <v>28100</v>
          </cell>
          <cell r="J811">
            <v>28662</v>
          </cell>
          <cell r="K811">
            <v>1</v>
          </cell>
          <cell r="L811">
            <v>0</v>
          </cell>
          <cell r="M811">
            <v>0</v>
          </cell>
          <cell r="N811">
            <v>0</v>
          </cell>
          <cell r="O811">
            <v>28662</v>
          </cell>
          <cell r="P811">
            <v>0</v>
          </cell>
          <cell r="Q811">
            <v>0</v>
          </cell>
          <cell r="R811">
            <v>0</v>
          </cell>
          <cell r="S811">
            <v>0</v>
          </cell>
          <cell r="T811">
            <v>0</v>
          </cell>
          <cell r="U811">
            <v>0</v>
          </cell>
          <cell r="V811">
            <v>0</v>
          </cell>
          <cell r="W811">
            <v>0</v>
          </cell>
          <cell r="X811" t="str">
            <v/>
          </cell>
          <cell r="Y811" t="str">
            <v/>
          </cell>
          <cell r="Z811" t="str">
            <v/>
          </cell>
          <cell r="AA811" t="str">
            <v>⑦</v>
          </cell>
          <cell r="AB811" t="str">
            <v/>
          </cell>
          <cell r="AC811" t="str">
            <v/>
          </cell>
          <cell r="AD811" t="str">
            <v/>
          </cell>
          <cell r="AE811" t="str">
            <v/>
          </cell>
          <cell r="AF811" t="str">
            <v/>
          </cell>
          <cell r="AG811" t="str">
            <v/>
          </cell>
          <cell r="AH811" t="str">
            <v/>
          </cell>
          <cell r="AI811" t="str">
            <v/>
          </cell>
        </row>
        <row r="812">
          <cell r="B812">
            <v>4812</v>
          </cell>
          <cell r="C812">
            <v>48</v>
          </cell>
          <cell r="D812">
            <v>12</v>
          </cell>
          <cell r="F812" t="str">
            <v>立川</v>
          </cell>
          <cell r="G812" t="str">
            <v>消火栓設備保守(総合)</v>
          </cell>
          <cell r="H812" t="str">
            <v>防災サービスセンター</v>
          </cell>
          <cell r="I812">
            <v>44500</v>
          </cell>
          <cell r="J812">
            <v>45390</v>
          </cell>
          <cell r="K812">
            <v>1</v>
          </cell>
          <cell r="L812">
            <v>0</v>
          </cell>
          <cell r="M812">
            <v>0</v>
          </cell>
          <cell r="N812">
            <v>0</v>
          </cell>
          <cell r="O812">
            <v>0</v>
          </cell>
          <cell r="P812">
            <v>0</v>
          </cell>
          <cell r="Q812">
            <v>0</v>
          </cell>
          <cell r="R812">
            <v>0</v>
          </cell>
          <cell r="S812">
            <v>0</v>
          </cell>
          <cell r="T812">
            <v>0</v>
          </cell>
          <cell r="U812">
            <v>45390</v>
          </cell>
          <cell r="V812">
            <v>0</v>
          </cell>
          <cell r="W812">
            <v>0</v>
          </cell>
          <cell r="X812" t="str">
            <v/>
          </cell>
          <cell r="Y812" t="str">
            <v/>
          </cell>
          <cell r="Z812" t="str">
            <v/>
          </cell>
          <cell r="AA812" t="str">
            <v/>
          </cell>
          <cell r="AB812" t="str">
            <v/>
          </cell>
          <cell r="AC812" t="str">
            <v/>
          </cell>
          <cell r="AD812" t="str">
            <v/>
          </cell>
          <cell r="AE812" t="str">
            <v/>
          </cell>
          <cell r="AF812" t="str">
            <v/>
          </cell>
          <cell r="AG812" t="str">
            <v>①</v>
          </cell>
          <cell r="AH812" t="str">
            <v/>
          </cell>
          <cell r="AI812" t="str">
            <v/>
          </cell>
        </row>
        <row r="813">
          <cell r="B813">
            <v>4813</v>
          </cell>
          <cell r="C813">
            <v>48</v>
          </cell>
          <cell r="D813">
            <v>13</v>
          </cell>
          <cell r="F813" t="str">
            <v>立川</v>
          </cell>
          <cell r="G813" t="str">
            <v>誘導灯設備保守(外観)</v>
          </cell>
          <cell r="H813" t="str">
            <v>防災サービスセンター</v>
          </cell>
          <cell r="I813">
            <v>18400</v>
          </cell>
          <cell r="J813">
            <v>18768</v>
          </cell>
          <cell r="K813">
            <v>1</v>
          </cell>
          <cell r="L813">
            <v>0</v>
          </cell>
          <cell r="M813">
            <v>0</v>
          </cell>
          <cell r="N813">
            <v>0</v>
          </cell>
          <cell r="O813">
            <v>18768</v>
          </cell>
          <cell r="P813">
            <v>0</v>
          </cell>
          <cell r="Q813">
            <v>0</v>
          </cell>
          <cell r="R813">
            <v>0</v>
          </cell>
          <cell r="S813">
            <v>0</v>
          </cell>
          <cell r="T813">
            <v>0</v>
          </cell>
          <cell r="U813">
            <v>0</v>
          </cell>
          <cell r="V813">
            <v>0</v>
          </cell>
          <cell r="W813">
            <v>0</v>
          </cell>
          <cell r="X813" t="str">
            <v/>
          </cell>
          <cell r="Y813" t="str">
            <v/>
          </cell>
          <cell r="Z813" t="str">
            <v/>
          </cell>
          <cell r="AA813" t="str">
            <v>⑦</v>
          </cell>
          <cell r="AB813" t="str">
            <v/>
          </cell>
          <cell r="AC813" t="str">
            <v/>
          </cell>
          <cell r="AD813" t="str">
            <v/>
          </cell>
          <cell r="AE813" t="str">
            <v/>
          </cell>
          <cell r="AF813" t="str">
            <v/>
          </cell>
          <cell r="AG813" t="str">
            <v/>
          </cell>
          <cell r="AH813" t="str">
            <v/>
          </cell>
          <cell r="AI813" t="str">
            <v/>
          </cell>
        </row>
        <row r="814">
          <cell r="B814">
            <v>4814</v>
          </cell>
          <cell r="C814">
            <v>48</v>
          </cell>
          <cell r="D814">
            <v>14</v>
          </cell>
          <cell r="F814" t="str">
            <v>立川</v>
          </cell>
          <cell r="G814" t="str">
            <v>誘導灯設備保守(総合)</v>
          </cell>
          <cell r="H814" t="str">
            <v>防災サービスセンター</v>
          </cell>
          <cell r="I814">
            <v>20000</v>
          </cell>
          <cell r="J814">
            <v>20400</v>
          </cell>
          <cell r="K814">
            <v>1</v>
          </cell>
          <cell r="L814">
            <v>0</v>
          </cell>
          <cell r="M814">
            <v>0</v>
          </cell>
          <cell r="N814">
            <v>0</v>
          </cell>
          <cell r="O814">
            <v>0</v>
          </cell>
          <cell r="P814">
            <v>0</v>
          </cell>
          <cell r="Q814">
            <v>0</v>
          </cell>
          <cell r="R814">
            <v>0</v>
          </cell>
          <cell r="S814">
            <v>0</v>
          </cell>
          <cell r="T814">
            <v>0</v>
          </cell>
          <cell r="U814">
            <v>20400</v>
          </cell>
          <cell r="V814">
            <v>0</v>
          </cell>
          <cell r="W814">
            <v>0</v>
          </cell>
          <cell r="X814" t="str">
            <v/>
          </cell>
          <cell r="Y814" t="str">
            <v/>
          </cell>
          <cell r="Z814" t="str">
            <v/>
          </cell>
          <cell r="AA814" t="str">
            <v/>
          </cell>
          <cell r="AB814" t="str">
            <v/>
          </cell>
          <cell r="AC814" t="str">
            <v/>
          </cell>
          <cell r="AD814" t="str">
            <v/>
          </cell>
          <cell r="AE814" t="str">
            <v/>
          </cell>
          <cell r="AF814" t="str">
            <v/>
          </cell>
          <cell r="AG814" t="str">
            <v>①</v>
          </cell>
          <cell r="AH814" t="str">
            <v/>
          </cell>
          <cell r="AI814" t="str">
            <v/>
          </cell>
        </row>
        <row r="815">
          <cell r="B815">
            <v>4815</v>
          </cell>
          <cell r="C815">
            <v>48</v>
          </cell>
          <cell r="D815">
            <v>15</v>
          </cell>
          <cell r="F815" t="str">
            <v>立川</v>
          </cell>
          <cell r="G815" t="str">
            <v>連結送水管設備保守(外観)</v>
          </cell>
          <cell r="H815" t="str">
            <v>防災サービスセンター</v>
          </cell>
          <cell r="I815">
            <v>9800</v>
          </cell>
          <cell r="J815">
            <v>9996</v>
          </cell>
          <cell r="K815">
            <v>1</v>
          </cell>
          <cell r="L815">
            <v>0</v>
          </cell>
          <cell r="M815">
            <v>0</v>
          </cell>
          <cell r="N815">
            <v>0</v>
          </cell>
          <cell r="O815">
            <v>9996</v>
          </cell>
          <cell r="P815">
            <v>0</v>
          </cell>
          <cell r="Q815">
            <v>0</v>
          </cell>
          <cell r="R815">
            <v>0</v>
          </cell>
          <cell r="S815">
            <v>0</v>
          </cell>
          <cell r="T815">
            <v>0</v>
          </cell>
          <cell r="U815">
            <v>0</v>
          </cell>
          <cell r="V815">
            <v>0</v>
          </cell>
          <cell r="W815">
            <v>0</v>
          </cell>
          <cell r="X815" t="str">
            <v/>
          </cell>
          <cell r="Y815" t="str">
            <v/>
          </cell>
          <cell r="Z815" t="str">
            <v/>
          </cell>
          <cell r="AA815" t="str">
            <v>⑦</v>
          </cell>
          <cell r="AB815" t="str">
            <v/>
          </cell>
          <cell r="AC815" t="str">
            <v/>
          </cell>
          <cell r="AD815" t="str">
            <v/>
          </cell>
          <cell r="AE815" t="str">
            <v/>
          </cell>
          <cell r="AF815" t="str">
            <v/>
          </cell>
          <cell r="AG815" t="str">
            <v/>
          </cell>
          <cell r="AH815" t="str">
            <v/>
          </cell>
          <cell r="AI815" t="str">
            <v/>
          </cell>
        </row>
        <row r="816">
          <cell r="B816">
            <v>4816</v>
          </cell>
          <cell r="C816">
            <v>48</v>
          </cell>
          <cell r="D816">
            <v>16</v>
          </cell>
          <cell r="F816" t="str">
            <v>立川</v>
          </cell>
          <cell r="G816" t="str">
            <v>連結送水管設備保守(総合)</v>
          </cell>
          <cell r="H816" t="str">
            <v>防災サービスセンター</v>
          </cell>
          <cell r="I816">
            <v>9800</v>
          </cell>
          <cell r="J816">
            <v>9996</v>
          </cell>
          <cell r="K816">
            <v>1</v>
          </cell>
          <cell r="L816">
            <v>0</v>
          </cell>
          <cell r="M816">
            <v>0</v>
          </cell>
          <cell r="N816">
            <v>0</v>
          </cell>
          <cell r="O816">
            <v>0</v>
          </cell>
          <cell r="P816">
            <v>0</v>
          </cell>
          <cell r="Q816">
            <v>0</v>
          </cell>
          <cell r="R816">
            <v>0</v>
          </cell>
          <cell r="S816">
            <v>0</v>
          </cell>
          <cell r="T816">
            <v>0</v>
          </cell>
          <cell r="U816">
            <v>9996</v>
          </cell>
          <cell r="V816">
            <v>0</v>
          </cell>
          <cell r="W816">
            <v>0</v>
          </cell>
          <cell r="X816" t="str">
            <v/>
          </cell>
          <cell r="Y816" t="str">
            <v/>
          </cell>
          <cell r="Z816" t="str">
            <v/>
          </cell>
          <cell r="AA816" t="str">
            <v/>
          </cell>
          <cell r="AB816" t="str">
            <v/>
          </cell>
          <cell r="AC816" t="str">
            <v/>
          </cell>
          <cell r="AD816" t="str">
            <v/>
          </cell>
          <cell r="AE816" t="str">
            <v/>
          </cell>
          <cell r="AF816" t="str">
            <v/>
          </cell>
          <cell r="AG816" t="str">
            <v>①</v>
          </cell>
          <cell r="AH816" t="str">
            <v/>
          </cell>
          <cell r="AI816" t="str">
            <v/>
          </cell>
        </row>
        <row r="817">
          <cell r="B817">
            <v>4817</v>
          </cell>
          <cell r="C817">
            <v>48</v>
          </cell>
          <cell r="D817">
            <v>17</v>
          </cell>
          <cell r="F817" t="str">
            <v>立川</v>
          </cell>
          <cell r="G817" t="str">
            <v>立体駐車場装置保守</v>
          </cell>
          <cell r="H817" t="str">
            <v>三菱重工ﾊﾟｰｷﾝｸﾞ建設</v>
          </cell>
          <cell r="I817">
            <v>107000</v>
          </cell>
          <cell r="J817">
            <v>109140</v>
          </cell>
          <cell r="K817">
            <v>12</v>
          </cell>
          <cell r="L817">
            <v>109140</v>
          </cell>
          <cell r="M817">
            <v>109140</v>
          </cell>
          <cell r="N817">
            <v>109140</v>
          </cell>
          <cell r="O817">
            <v>109140</v>
          </cell>
          <cell r="P817">
            <v>109140</v>
          </cell>
          <cell r="Q817">
            <v>109140</v>
          </cell>
          <cell r="R817">
            <v>109140</v>
          </cell>
          <cell r="S817">
            <v>109140</v>
          </cell>
          <cell r="T817">
            <v>109140</v>
          </cell>
          <cell r="U817">
            <v>109140</v>
          </cell>
          <cell r="V817">
            <v>109140</v>
          </cell>
          <cell r="W817">
            <v>109140</v>
          </cell>
          <cell r="X817" t="str">
            <v>④</v>
          </cell>
          <cell r="Y817" t="str">
            <v>⑤</v>
          </cell>
          <cell r="Z817" t="str">
            <v>⑥</v>
          </cell>
          <cell r="AA817" t="str">
            <v>⑦</v>
          </cell>
          <cell r="AB817" t="str">
            <v>⑧</v>
          </cell>
          <cell r="AC817" t="str">
            <v>⑨</v>
          </cell>
          <cell r="AD817" t="str">
            <v>⑩</v>
          </cell>
          <cell r="AE817" t="str">
            <v>⑪</v>
          </cell>
          <cell r="AF817" t="str">
            <v>⑫</v>
          </cell>
          <cell r="AG817" t="str">
            <v>①</v>
          </cell>
          <cell r="AH817" t="str">
            <v>②</v>
          </cell>
          <cell r="AI817" t="str">
            <v>③</v>
          </cell>
        </row>
        <row r="818">
          <cell r="B818">
            <v>4818</v>
          </cell>
          <cell r="C818">
            <v>48</v>
          </cell>
          <cell r="D818">
            <v>18</v>
          </cell>
          <cell r="F818" t="str">
            <v>立川</v>
          </cell>
          <cell r="G818" t="str">
            <v>害虫駆除</v>
          </cell>
          <cell r="H818" t="str">
            <v>シェル商事</v>
          </cell>
          <cell r="I818">
            <v>63700</v>
          </cell>
          <cell r="J818">
            <v>70070</v>
          </cell>
          <cell r="K818">
            <v>2</v>
          </cell>
          <cell r="L818">
            <v>0</v>
          </cell>
          <cell r="M818">
            <v>70070</v>
          </cell>
          <cell r="N818">
            <v>0</v>
          </cell>
          <cell r="O818">
            <v>0</v>
          </cell>
          <cell r="P818">
            <v>0</v>
          </cell>
          <cell r="Q818">
            <v>0</v>
          </cell>
          <cell r="R818">
            <v>0</v>
          </cell>
          <cell r="S818">
            <v>70070</v>
          </cell>
          <cell r="T818">
            <v>0</v>
          </cell>
          <cell r="U818">
            <v>0</v>
          </cell>
          <cell r="V818">
            <v>0</v>
          </cell>
          <cell r="W818">
            <v>0</v>
          </cell>
          <cell r="X818" t="str">
            <v/>
          </cell>
          <cell r="Y818" t="str">
            <v>⑤</v>
          </cell>
          <cell r="Z818" t="str">
            <v/>
          </cell>
          <cell r="AA818" t="str">
            <v/>
          </cell>
          <cell r="AB818" t="str">
            <v/>
          </cell>
          <cell r="AC818" t="str">
            <v/>
          </cell>
          <cell r="AD818" t="str">
            <v/>
          </cell>
          <cell r="AE818" t="str">
            <v>⑪</v>
          </cell>
          <cell r="AF818" t="str">
            <v/>
          </cell>
          <cell r="AG818" t="str">
            <v/>
          </cell>
          <cell r="AH818" t="str">
            <v/>
          </cell>
          <cell r="AI818" t="str">
            <v/>
          </cell>
        </row>
        <row r="819">
          <cell r="B819">
            <v>4819</v>
          </cell>
          <cell r="C819">
            <v>48</v>
          </cell>
          <cell r="D819">
            <v>19</v>
          </cell>
          <cell r="F819" t="str">
            <v>立川</v>
          </cell>
          <cell r="G819" t="str">
            <v>受水槽清掃(含む高架水槽)</v>
          </cell>
          <cell r="H819" t="str">
            <v>杉田商工</v>
          </cell>
          <cell r="I819">
            <v>107000</v>
          </cell>
          <cell r="J819">
            <v>120910</v>
          </cell>
          <cell r="K819">
            <v>1</v>
          </cell>
          <cell r="L819">
            <v>0</v>
          </cell>
          <cell r="M819">
            <v>0</v>
          </cell>
          <cell r="N819">
            <v>0</v>
          </cell>
          <cell r="O819">
            <v>0</v>
          </cell>
          <cell r="P819">
            <v>0</v>
          </cell>
          <cell r="Q819">
            <v>0</v>
          </cell>
          <cell r="R819">
            <v>120910</v>
          </cell>
          <cell r="S819">
            <v>0</v>
          </cell>
          <cell r="T819">
            <v>0</v>
          </cell>
          <cell r="U819">
            <v>0</v>
          </cell>
          <cell r="V819">
            <v>0</v>
          </cell>
          <cell r="W819">
            <v>0</v>
          </cell>
          <cell r="X819" t="str">
            <v/>
          </cell>
          <cell r="Y819" t="str">
            <v/>
          </cell>
          <cell r="Z819" t="str">
            <v/>
          </cell>
          <cell r="AA819" t="str">
            <v/>
          </cell>
          <cell r="AB819" t="str">
            <v/>
          </cell>
          <cell r="AC819" t="str">
            <v/>
          </cell>
          <cell r="AD819" t="str">
            <v>⑩</v>
          </cell>
          <cell r="AE819" t="str">
            <v/>
          </cell>
          <cell r="AF819" t="str">
            <v/>
          </cell>
          <cell r="AG819" t="str">
            <v/>
          </cell>
          <cell r="AH819" t="str">
            <v/>
          </cell>
          <cell r="AI819" t="str">
            <v/>
          </cell>
        </row>
        <row r="820">
          <cell r="B820">
            <v>4820</v>
          </cell>
          <cell r="C820">
            <v>48</v>
          </cell>
          <cell r="D820">
            <v>20</v>
          </cell>
          <cell r="F820" t="str">
            <v>立川</v>
          </cell>
          <cell r="G820" t="str">
            <v>空調機設備保守(水冷マルチ)</v>
          </cell>
          <cell r="H820" t="str">
            <v>東京三菱重工東日本販売</v>
          </cell>
          <cell r="I820">
            <v>203800</v>
          </cell>
          <cell r="J820">
            <v>207876</v>
          </cell>
          <cell r="K820">
            <v>1</v>
          </cell>
          <cell r="L820">
            <v>207876</v>
          </cell>
          <cell r="M820">
            <v>0</v>
          </cell>
          <cell r="N820">
            <v>0</v>
          </cell>
          <cell r="O820">
            <v>0</v>
          </cell>
          <cell r="P820">
            <v>0</v>
          </cell>
          <cell r="Q820">
            <v>0</v>
          </cell>
          <cell r="R820">
            <v>0</v>
          </cell>
          <cell r="S820">
            <v>0</v>
          </cell>
          <cell r="T820">
            <v>0</v>
          </cell>
          <cell r="U820">
            <v>0</v>
          </cell>
          <cell r="V820">
            <v>0</v>
          </cell>
          <cell r="W820">
            <v>0</v>
          </cell>
          <cell r="X820" t="str">
            <v>④</v>
          </cell>
          <cell r="Y820" t="str">
            <v/>
          </cell>
          <cell r="Z820" t="str">
            <v/>
          </cell>
          <cell r="AA820" t="str">
            <v/>
          </cell>
          <cell r="AB820" t="str">
            <v/>
          </cell>
          <cell r="AC820" t="str">
            <v/>
          </cell>
          <cell r="AD820" t="str">
            <v/>
          </cell>
          <cell r="AE820" t="str">
            <v/>
          </cell>
          <cell r="AF820" t="str">
            <v/>
          </cell>
          <cell r="AG820" t="str">
            <v/>
          </cell>
          <cell r="AH820" t="str">
            <v/>
          </cell>
          <cell r="AI820" t="str">
            <v/>
          </cell>
        </row>
        <row r="821">
          <cell r="B821">
            <v>4821</v>
          </cell>
          <cell r="C821">
            <v>48</v>
          </cell>
          <cell r="D821">
            <v>21</v>
          </cell>
          <cell r="F821" t="str">
            <v>立川</v>
          </cell>
          <cell r="G821" t="str">
            <v>空調機設備保守(水冷マルチ)</v>
          </cell>
          <cell r="H821" t="str">
            <v>東京三菱重工東日本販売</v>
          </cell>
          <cell r="I821">
            <v>27300</v>
          </cell>
          <cell r="J821">
            <v>27846</v>
          </cell>
          <cell r="K821">
            <v>1</v>
          </cell>
          <cell r="L821">
            <v>0</v>
          </cell>
          <cell r="M821">
            <v>0</v>
          </cell>
          <cell r="N821">
            <v>0</v>
          </cell>
          <cell r="O821">
            <v>27846</v>
          </cell>
          <cell r="P821">
            <v>0</v>
          </cell>
          <cell r="Q821">
            <v>0</v>
          </cell>
          <cell r="R821">
            <v>0</v>
          </cell>
          <cell r="S821">
            <v>0</v>
          </cell>
          <cell r="T821">
            <v>0</v>
          </cell>
          <cell r="U821">
            <v>0</v>
          </cell>
          <cell r="V821">
            <v>0</v>
          </cell>
          <cell r="W821">
            <v>0</v>
          </cell>
          <cell r="X821" t="str">
            <v/>
          </cell>
          <cell r="Y821" t="str">
            <v/>
          </cell>
          <cell r="Z821" t="str">
            <v/>
          </cell>
          <cell r="AA821" t="str">
            <v>⑦</v>
          </cell>
          <cell r="AB821" t="str">
            <v/>
          </cell>
          <cell r="AC821" t="str">
            <v/>
          </cell>
          <cell r="AD821" t="str">
            <v/>
          </cell>
          <cell r="AE821" t="str">
            <v/>
          </cell>
          <cell r="AF821" t="str">
            <v/>
          </cell>
          <cell r="AG821" t="str">
            <v/>
          </cell>
          <cell r="AH821" t="str">
            <v/>
          </cell>
          <cell r="AI821" t="str">
            <v/>
          </cell>
        </row>
        <row r="822">
          <cell r="B822">
            <v>4822</v>
          </cell>
          <cell r="C822">
            <v>48</v>
          </cell>
          <cell r="D822">
            <v>22</v>
          </cell>
          <cell r="F822" t="str">
            <v>立川</v>
          </cell>
          <cell r="G822" t="str">
            <v>空調機設備保守(水冷マルチ)</v>
          </cell>
          <cell r="H822" t="str">
            <v>東京三菱重工東日本販売</v>
          </cell>
          <cell r="I822">
            <v>351000</v>
          </cell>
          <cell r="J822">
            <v>358020</v>
          </cell>
          <cell r="K822">
            <v>1</v>
          </cell>
          <cell r="L822">
            <v>0</v>
          </cell>
          <cell r="M822">
            <v>0</v>
          </cell>
          <cell r="N822">
            <v>0</v>
          </cell>
          <cell r="O822">
            <v>0</v>
          </cell>
          <cell r="P822">
            <v>0</v>
          </cell>
          <cell r="Q822">
            <v>0</v>
          </cell>
          <cell r="R822">
            <v>358020</v>
          </cell>
          <cell r="S822">
            <v>0</v>
          </cell>
          <cell r="T822">
            <v>0</v>
          </cell>
          <cell r="U822">
            <v>0</v>
          </cell>
          <cell r="V822">
            <v>0</v>
          </cell>
          <cell r="W822">
            <v>0</v>
          </cell>
          <cell r="X822" t="str">
            <v/>
          </cell>
          <cell r="Y822" t="str">
            <v/>
          </cell>
          <cell r="Z822" t="str">
            <v/>
          </cell>
          <cell r="AA822" t="str">
            <v/>
          </cell>
          <cell r="AB822" t="str">
            <v/>
          </cell>
          <cell r="AC822" t="str">
            <v/>
          </cell>
          <cell r="AD822" t="str">
            <v>⑩</v>
          </cell>
          <cell r="AE822" t="str">
            <v/>
          </cell>
          <cell r="AF822" t="str">
            <v/>
          </cell>
          <cell r="AG822" t="str">
            <v/>
          </cell>
          <cell r="AH822" t="str">
            <v/>
          </cell>
          <cell r="AI822" t="str">
            <v/>
          </cell>
        </row>
        <row r="823">
          <cell r="B823">
            <v>4823</v>
          </cell>
          <cell r="C823">
            <v>48</v>
          </cell>
          <cell r="D823">
            <v>23</v>
          </cell>
          <cell r="F823" t="str">
            <v>立川</v>
          </cell>
          <cell r="G823" t="str">
            <v>空調機設備保守(水冷マルチ)</v>
          </cell>
          <cell r="H823" t="str">
            <v>東京三菱重工東日本販売</v>
          </cell>
          <cell r="I823">
            <v>38500</v>
          </cell>
          <cell r="J823">
            <v>39270</v>
          </cell>
          <cell r="K823">
            <v>1</v>
          </cell>
          <cell r="L823">
            <v>0</v>
          </cell>
          <cell r="M823">
            <v>0</v>
          </cell>
          <cell r="N823">
            <v>0</v>
          </cell>
          <cell r="O823">
            <v>0</v>
          </cell>
          <cell r="P823">
            <v>0</v>
          </cell>
          <cell r="Q823">
            <v>0</v>
          </cell>
          <cell r="R823">
            <v>0</v>
          </cell>
          <cell r="S823">
            <v>0</v>
          </cell>
          <cell r="T823">
            <v>0</v>
          </cell>
          <cell r="U823">
            <v>39270</v>
          </cell>
          <cell r="V823">
            <v>0</v>
          </cell>
          <cell r="W823">
            <v>0</v>
          </cell>
          <cell r="X823" t="str">
            <v/>
          </cell>
          <cell r="Y823" t="str">
            <v/>
          </cell>
          <cell r="Z823" t="str">
            <v/>
          </cell>
          <cell r="AA823" t="str">
            <v/>
          </cell>
          <cell r="AB823" t="str">
            <v/>
          </cell>
          <cell r="AC823" t="str">
            <v/>
          </cell>
          <cell r="AD823" t="str">
            <v/>
          </cell>
          <cell r="AE823" t="str">
            <v/>
          </cell>
          <cell r="AF823" t="str">
            <v/>
          </cell>
          <cell r="AG823" t="str">
            <v>①</v>
          </cell>
          <cell r="AH823" t="str">
            <v/>
          </cell>
          <cell r="AI823" t="str">
            <v/>
          </cell>
        </row>
        <row r="824">
          <cell r="B824">
            <v>4824</v>
          </cell>
          <cell r="C824">
            <v>48</v>
          </cell>
          <cell r="D824">
            <v>24</v>
          </cell>
          <cell r="F824" t="str">
            <v>立川</v>
          </cell>
          <cell r="G824" t="str">
            <v>空調機設備保守(水冷マルチ)</v>
          </cell>
          <cell r="H824" t="str">
            <v>三菱電機ﾋﾞﾙﾃｸﾉｻｰﾋﾞｽ</v>
          </cell>
          <cell r="I824">
            <v>410800</v>
          </cell>
          <cell r="J824">
            <v>419016</v>
          </cell>
          <cell r="K824">
            <v>1</v>
          </cell>
          <cell r="L824">
            <v>419016</v>
          </cell>
          <cell r="M824">
            <v>0</v>
          </cell>
          <cell r="N824">
            <v>0</v>
          </cell>
          <cell r="O824">
            <v>0</v>
          </cell>
          <cell r="P824">
            <v>0</v>
          </cell>
          <cell r="Q824">
            <v>0</v>
          </cell>
          <cell r="R824">
            <v>0</v>
          </cell>
          <cell r="S824">
            <v>0</v>
          </cell>
          <cell r="T824">
            <v>0</v>
          </cell>
          <cell r="U824">
            <v>0</v>
          </cell>
          <cell r="V824">
            <v>0</v>
          </cell>
          <cell r="W824">
            <v>0</v>
          </cell>
          <cell r="X824" t="str">
            <v>④</v>
          </cell>
          <cell r="Y824" t="str">
            <v/>
          </cell>
          <cell r="Z824" t="str">
            <v/>
          </cell>
          <cell r="AA824" t="str">
            <v/>
          </cell>
          <cell r="AB824" t="str">
            <v/>
          </cell>
          <cell r="AC824" t="str">
            <v/>
          </cell>
          <cell r="AD824" t="str">
            <v/>
          </cell>
          <cell r="AE824" t="str">
            <v/>
          </cell>
          <cell r="AF824" t="str">
            <v/>
          </cell>
          <cell r="AG824" t="str">
            <v/>
          </cell>
          <cell r="AH824" t="str">
            <v/>
          </cell>
          <cell r="AI824" t="str">
            <v/>
          </cell>
        </row>
        <row r="825">
          <cell r="B825">
            <v>4825</v>
          </cell>
          <cell r="C825">
            <v>48</v>
          </cell>
          <cell r="D825">
            <v>25</v>
          </cell>
          <cell r="F825" t="str">
            <v>立川</v>
          </cell>
          <cell r="G825" t="str">
            <v>空調機設備保守(水冷マルチ)</v>
          </cell>
          <cell r="H825" t="str">
            <v>三菱電機ﾋﾞﾙﾃｸﾉｻｰﾋﾞｽ</v>
          </cell>
          <cell r="I825">
            <v>74300</v>
          </cell>
          <cell r="J825">
            <v>75786</v>
          </cell>
          <cell r="K825">
            <v>1</v>
          </cell>
          <cell r="L825">
            <v>0</v>
          </cell>
          <cell r="M825">
            <v>0</v>
          </cell>
          <cell r="N825">
            <v>0</v>
          </cell>
          <cell r="O825">
            <v>75786</v>
          </cell>
          <cell r="P825">
            <v>0</v>
          </cell>
          <cell r="Q825">
            <v>0</v>
          </cell>
          <cell r="R825">
            <v>0</v>
          </cell>
          <cell r="S825">
            <v>0</v>
          </cell>
          <cell r="T825">
            <v>0</v>
          </cell>
          <cell r="U825">
            <v>0</v>
          </cell>
          <cell r="V825">
            <v>0</v>
          </cell>
          <cell r="W825">
            <v>0</v>
          </cell>
          <cell r="X825" t="str">
            <v/>
          </cell>
          <cell r="Y825" t="str">
            <v/>
          </cell>
          <cell r="Z825" t="str">
            <v/>
          </cell>
          <cell r="AA825" t="str">
            <v>⑦</v>
          </cell>
          <cell r="AB825" t="str">
            <v/>
          </cell>
          <cell r="AC825" t="str">
            <v/>
          </cell>
          <cell r="AD825" t="str">
            <v/>
          </cell>
          <cell r="AE825" t="str">
            <v/>
          </cell>
          <cell r="AF825" t="str">
            <v/>
          </cell>
          <cell r="AG825" t="str">
            <v/>
          </cell>
          <cell r="AH825" t="str">
            <v/>
          </cell>
          <cell r="AI825" t="str">
            <v/>
          </cell>
        </row>
        <row r="826">
          <cell r="B826">
            <v>4826</v>
          </cell>
          <cell r="C826">
            <v>48</v>
          </cell>
          <cell r="D826">
            <v>26</v>
          </cell>
          <cell r="F826" t="str">
            <v>立川</v>
          </cell>
          <cell r="G826" t="str">
            <v>空調機設備保守(水冷マルチ)</v>
          </cell>
          <cell r="H826" t="str">
            <v>三菱電機ﾋﾞﾙﾃｸﾉｻｰﾋﾞｽ</v>
          </cell>
          <cell r="I826">
            <v>390800</v>
          </cell>
          <cell r="J826">
            <v>398616</v>
          </cell>
          <cell r="K826">
            <v>1</v>
          </cell>
          <cell r="L826">
            <v>0</v>
          </cell>
          <cell r="M826">
            <v>0</v>
          </cell>
          <cell r="N826">
            <v>0</v>
          </cell>
          <cell r="O826">
            <v>0</v>
          </cell>
          <cell r="P826">
            <v>0</v>
          </cell>
          <cell r="Q826">
            <v>0</v>
          </cell>
          <cell r="R826">
            <v>398616</v>
          </cell>
          <cell r="S826">
            <v>0</v>
          </cell>
          <cell r="T826">
            <v>0</v>
          </cell>
          <cell r="U826">
            <v>0</v>
          </cell>
          <cell r="V826">
            <v>0</v>
          </cell>
          <cell r="W826">
            <v>0</v>
          </cell>
          <cell r="X826" t="str">
            <v/>
          </cell>
          <cell r="Y826" t="str">
            <v/>
          </cell>
          <cell r="Z826" t="str">
            <v/>
          </cell>
          <cell r="AA826" t="str">
            <v/>
          </cell>
          <cell r="AB826" t="str">
            <v/>
          </cell>
          <cell r="AC826" t="str">
            <v/>
          </cell>
          <cell r="AD826" t="str">
            <v>⑩</v>
          </cell>
          <cell r="AE826" t="str">
            <v/>
          </cell>
          <cell r="AF826" t="str">
            <v/>
          </cell>
          <cell r="AG826" t="str">
            <v/>
          </cell>
          <cell r="AH826" t="str">
            <v/>
          </cell>
          <cell r="AI826" t="str">
            <v/>
          </cell>
        </row>
        <row r="827">
          <cell r="B827">
            <v>4827</v>
          </cell>
          <cell r="C827">
            <v>48</v>
          </cell>
          <cell r="D827">
            <v>27</v>
          </cell>
          <cell r="F827" t="str">
            <v>立川</v>
          </cell>
          <cell r="G827" t="str">
            <v>空調機設備保守(水冷マルチ)</v>
          </cell>
          <cell r="H827" t="str">
            <v>三菱電機ﾋﾞﾙﾃｸﾉｻｰﾋﾞｽ</v>
          </cell>
          <cell r="I827">
            <v>74300</v>
          </cell>
          <cell r="J827">
            <v>75786</v>
          </cell>
          <cell r="K827">
            <v>1</v>
          </cell>
          <cell r="L827">
            <v>0</v>
          </cell>
          <cell r="M827">
            <v>0</v>
          </cell>
          <cell r="N827">
            <v>0</v>
          </cell>
          <cell r="O827">
            <v>0</v>
          </cell>
          <cell r="P827">
            <v>0</v>
          </cell>
          <cell r="Q827">
            <v>0</v>
          </cell>
          <cell r="R827">
            <v>0</v>
          </cell>
          <cell r="S827">
            <v>0</v>
          </cell>
          <cell r="T827">
            <v>0</v>
          </cell>
          <cell r="U827">
            <v>75786</v>
          </cell>
          <cell r="V827">
            <v>0</v>
          </cell>
          <cell r="W827">
            <v>0</v>
          </cell>
          <cell r="X827" t="str">
            <v/>
          </cell>
          <cell r="Y827" t="str">
            <v/>
          </cell>
          <cell r="Z827" t="str">
            <v/>
          </cell>
          <cell r="AA827" t="str">
            <v/>
          </cell>
          <cell r="AB827" t="str">
            <v/>
          </cell>
          <cell r="AC827" t="str">
            <v/>
          </cell>
          <cell r="AD827" t="str">
            <v/>
          </cell>
          <cell r="AE827" t="str">
            <v/>
          </cell>
          <cell r="AF827" t="str">
            <v/>
          </cell>
          <cell r="AG827" t="str">
            <v>①</v>
          </cell>
          <cell r="AH827" t="str">
            <v/>
          </cell>
          <cell r="AI827" t="str">
            <v/>
          </cell>
        </row>
        <row r="828">
          <cell r="B828">
            <v>4828</v>
          </cell>
          <cell r="C828">
            <v>48</v>
          </cell>
          <cell r="D828">
            <v>28</v>
          </cell>
          <cell r="F828" t="str">
            <v>立川</v>
          </cell>
          <cell r="G828" t="str">
            <v>自動ドアー保守</v>
          </cell>
          <cell r="H828" t="str">
            <v>ナブコシステム</v>
          </cell>
          <cell r="I828">
            <v>10000</v>
          </cell>
          <cell r="J828">
            <v>10200</v>
          </cell>
          <cell r="K828">
            <v>4</v>
          </cell>
          <cell r="L828">
            <v>10200</v>
          </cell>
          <cell r="M828">
            <v>0</v>
          </cell>
          <cell r="N828">
            <v>0</v>
          </cell>
          <cell r="O828">
            <v>10200</v>
          </cell>
          <cell r="P828">
            <v>0</v>
          </cell>
          <cell r="Q828">
            <v>0</v>
          </cell>
          <cell r="R828">
            <v>10200</v>
          </cell>
          <cell r="S828">
            <v>0</v>
          </cell>
          <cell r="T828">
            <v>0</v>
          </cell>
          <cell r="U828">
            <v>10200</v>
          </cell>
          <cell r="V828">
            <v>0</v>
          </cell>
          <cell r="W828">
            <v>0</v>
          </cell>
          <cell r="X828" t="str">
            <v>④</v>
          </cell>
          <cell r="Y828" t="str">
            <v/>
          </cell>
          <cell r="Z828" t="str">
            <v/>
          </cell>
          <cell r="AA828" t="str">
            <v>⑦</v>
          </cell>
          <cell r="AB828" t="str">
            <v/>
          </cell>
          <cell r="AC828" t="str">
            <v/>
          </cell>
          <cell r="AD828" t="str">
            <v>⑩</v>
          </cell>
          <cell r="AE828" t="str">
            <v/>
          </cell>
          <cell r="AF828" t="str">
            <v/>
          </cell>
          <cell r="AG828" t="str">
            <v>①</v>
          </cell>
          <cell r="AH828" t="str">
            <v/>
          </cell>
          <cell r="AI828" t="str">
            <v/>
          </cell>
        </row>
        <row r="829">
          <cell r="B829">
            <v>4829</v>
          </cell>
          <cell r="C829">
            <v>48</v>
          </cell>
          <cell r="D829">
            <v>29</v>
          </cell>
          <cell r="F829" t="str">
            <v>立川</v>
          </cell>
          <cell r="G829" t="str">
            <v>貸鉢代(貸植木)</v>
          </cell>
          <cell r="H829" t="str">
            <v>指田園</v>
          </cell>
          <cell r="I829">
            <v>2000</v>
          </cell>
          <cell r="J829">
            <v>2040</v>
          </cell>
          <cell r="K829">
            <v>12</v>
          </cell>
          <cell r="L829">
            <v>2040</v>
          </cell>
          <cell r="M829">
            <v>2040</v>
          </cell>
          <cell r="N829">
            <v>2040</v>
          </cell>
          <cell r="O829">
            <v>2040</v>
          </cell>
          <cell r="P829">
            <v>2040</v>
          </cell>
          <cell r="Q829">
            <v>2040</v>
          </cell>
          <cell r="R829">
            <v>2040</v>
          </cell>
          <cell r="S829">
            <v>2040</v>
          </cell>
          <cell r="T829">
            <v>2040</v>
          </cell>
          <cell r="U829">
            <v>2040</v>
          </cell>
          <cell r="V829">
            <v>2040</v>
          </cell>
          <cell r="W829">
            <v>2040</v>
          </cell>
          <cell r="X829" t="str">
            <v>④</v>
          </cell>
          <cell r="Y829" t="str">
            <v>⑤</v>
          </cell>
          <cell r="Z829" t="str">
            <v>⑥</v>
          </cell>
          <cell r="AA829" t="str">
            <v>⑦</v>
          </cell>
          <cell r="AB829" t="str">
            <v>⑧</v>
          </cell>
          <cell r="AC829" t="str">
            <v>⑨</v>
          </cell>
          <cell r="AD829" t="str">
            <v>⑩</v>
          </cell>
          <cell r="AE829" t="str">
            <v>⑪</v>
          </cell>
          <cell r="AF829" t="str">
            <v>⑫</v>
          </cell>
          <cell r="AG829" t="str">
            <v>①</v>
          </cell>
          <cell r="AH829" t="str">
            <v>②</v>
          </cell>
          <cell r="AI829" t="str">
            <v>③</v>
          </cell>
        </row>
        <row r="830">
          <cell r="B830">
            <v>4830</v>
          </cell>
          <cell r="C830">
            <v>48</v>
          </cell>
          <cell r="D830">
            <v>30</v>
          </cell>
          <cell r="F830" t="str">
            <v>立川</v>
          </cell>
          <cell r="G830" t="str">
            <v>全熱交換機ﾛｰﾙﾌｨﾙﾀｰ洗浄交換</v>
          </cell>
          <cell r="H830" t="str">
            <v>映光産業㈱</v>
          </cell>
          <cell r="I830">
            <v>64000</v>
          </cell>
          <cell r="J830">
            <v>73600</v>
          </cell>
          <cell r="K830">
            <v>1</v>
          </cell>
          <cell r="L830">
            <v>73600</v>
          </cell>
          <cell r="M830">
            <v>0</v>
          </cell>
          <cell r="N830">
            <v>0</v>
          </cell>
          <cell r="O830">
            <v>0</v>
          </cell>
          <cell r="P830">
            <v>0</v>
          </cell>
          <cell r="Q830">
            <v>0</v>
          </cell>
          <cell r="R830">
            <v>0</v>
          </cell>
          <cell r="S830">
            <v>0</v>
          </cell>
          <cell r="T830">
            <v>0</v>
          </cell>
          <cell r="U830">
            <v>0</v>
          </cell>
          <cell r="V830">
            <v>0</v>
          </cell>
          <cell r="W830">
            <v>0</v>
          </cell>
          <cell r="X830" t="str">
            <v>④</v>
          </cell>
          <cell r="Y830" t="str">
            <v/>
          </cell>
          <cell r="Z830" t="str">
            <v/>
          </cell>
          <cell r="AA830" t="str">
            <v/>
          </cell>
          <cell r="AB830" t="str">
            <v/>
          </cell>
          <cell r="AC830" t="str">
            <v/>
          </cell>
          <cell r="AD830" t="str">
            <v/>
          </cell>
          <cell r="AE830" t="str">
            <v/>
          </cell>
          <cell r="AF830" t="str">
            <v/>
          </cell>
          <cell r="AG830" t="str">
            <v/>
          </cell>
          <cell r="AH830" t="str">
            <v/>
          </cell>
          <cell r="AI830" t="str">
            <v/>
          </cell>
          <cell r="AJ830" t="str">
            <v>追</v>
          </cell>
        </row>
        <row r="831">
          <cell r="B831">
            <v>4831</v>
          </cell>
          <cell r="C831">
            <v>48</v>
          </cell>
          <cell r="D831">
            <v>31</v>
          </cell>
          <cell r="F831" t="str">
            <v>立川</v>
          </cell>
          <cell r="G831" t="str">
            <v>加湿器イオン樹脂交換</v>
          </cell>
          <cell r="H831" t="str">
            <v>クリタビルテック</v>
          </cell>
          <cell r="I831">
            <v>62000</v>
          </cell>
          <cell r="J831">
            <v>71300</v>
          </cell>
          <cell r="K831">
            <v>2</v>
          </cell>
          <cell r="L831">
            <v>0</v>
          </cell>
          <cell r="M831">
            <v>0</v>
          </cell>
          <cell r="N831">
            <v>0</v>
          </cell>
          <cell r="O831">
            <v>0</v>
          </cell>
          <cell r="P831">
            <v>0</v>
          </cell>
          <cell r="Q831">
            <v>0</v>
          </cell>
          <cell r="R831">
            <v>0</v>
          </cell>
          <cell r="S831">
            <v>71300</v>
          </cell>
          <cell r="T831">
            <v>0</v>
          </cell>
          <cell r="U831">
            <v>0</v>
          </cell>
          <cell r="V831">
            <v>71300</v>
          </cell>
          <cell r="W831">
            <v>0</v>
          </cell>
          <cell r="X831" t="str">
            <v/>
          </cell>
          <cell r="Y831" t="str">
            <v/>
          </cell>
          <cell r="Z831" t="str">
            <v/>
          </cell>
          <cell r="AA831" t="str">
            <v/>
          </cell>
          <cell r="AB831" t="str">
            <v/>
          </cell>
          <cell r="AC831" t="str">
            <v/>
          </cell>
          <cell r="AD831" t="str">
            <v/>
          </cell>
          <cell r="AE831" t="str">
            <v>⑪</v>
          </cell>
          <cell r="AF831" t="str">
            <v/>
          </cell>
          <cell r="AG831" t="str">
            <v/>
          </cell>
          <cell r="AH831" t="str">
            <v>②</v>
          </cell>
          <cell r="AI831" t="str">
            <v/>
          </cell>
          <cell r="AJ831" t="str">
            <v>追</v>
          </cell>
        </row>
        <row r="832">
          <cell r="B832">
            <v>4832</v>
          </cell>
          <cell r="C832">
            <v>48</v>
          </cell>
          <cell r="D832">
            <v>32</v>
          </cell>
          <cell r="F832" t="str">
            <v>立川</v>
          </cell>
          <cell r="G832" t="str">
            <v>電気湯沸器点検整備</v>
          </cell>
          <cell r="H832" t="str">
            <v>東管ビルサポート㈱</v>
          </cell>
          <cell r="I832">
            <v>43560</v>
          </cell>
          <cell r="J832">
            <v>50094</v>
          </cell>
          <cell r="K832">
            <v>1</v>
          </cell>
          <cell r="L832">
            <v>0</v>
          </cell>
          <cell r="M832">
            <v>0</v>
          </cell>
          <cell r="N832">
            <v>0</v>
          </cell>
          <cell r="O832">
            <v>0</v>
          </cell>
          <cell r="P832">
            <v>0</v>
          </cell>
          <cell r="Q832">
            <v>0</v>
          </cell>
          <cell r="R832">
            <v>0</v>
          </cell>
          <cell r="S832">
            <v>0</v>
          </cell>
          <cell r="T832">
            <v>0</v>
          </cell>
          <cell r="U832">
            <v>50094</v>
          </cell>
          <cell r="V832">
            <v>0</v>
          </cell>
          <cell r="W832">
            <v>0</v>
          </cell>
          <cell r="X832" t="str">
            <v/>
          </cell>
          <cell r="Y832" t="str">
            <v/>
          </cell>
          <cell r="Z832" t="str">
            <v/>
          </cell>
          <cell r="AA832" t="str">
            <v/>
          </cell>
          <cell r="AB832" t="str">
            <v/>
          </cell>
          <cell r="AC832" t="str">
            <v/>
          </cell>
          <cell r="AD832" t="str">
            <v/>
          </cell>
          <cell r="AE832" t="str">
            <v/>
          </cell>
          <cell r="AF832" t="str">
            <v/>
          </cell>
          <cell r="AG832" t="str">
            <v>①</v>
          </cell>
          <cell r="AH832" t="str">
            <v/>
          </cell>
          <cell r="AI832" t="str">
            <v/>
          </cell>
          <cell r="AJ832" t="str">
            <v>追</v>
          </cell>
        </row>
        <row r="833">
          <cell r="B833">
            <v>4901</v>
          </cell>
          <cell r="C833">
            <v>49</v>
          </cell>
          <cell r="D833">
            <v>1</v>
          </cell>
          <cell r="F833" t="str">
            <v>芝</v>
          </cell>
          <cell r="G833" t="str">
            <v>昇降機設備保守</v>
          </cell>
          <cell r="H833" t="str">
            <v>東芝エレベータ</v>
          </cell>
          <cell r="I833">
            <v>160000</v>
          </cell>
          <cell r="J833">
            <v>166800</v>
          </cell>
          <cell r="K833">
            <v>12</v>
          </cell>
          <cell r="L833">
            <v>166800</v>
          </cell>
          <cell r="M833">
            <v>166800</v>
          </cell>
          <cell r="N833">
            <v>166800</v>
          </cell>
          <cell r="O833">
            <v>166800</v>
          </cell>
          <cell r="P833">
            <v>166800</v>
          </cell>
          <cell r="Q833">
            <v>166800</v>
          </cell>
          <cell r="R833">
            <v>166800</v>
          </cell>
          <cell r="S833">
            <v>166800</v>
          </cell>
          <cell r="T833">
            <v>166800</v>
          </cell>
          <cell r="U833">
            <v>166800</v>
          </cell>
          <cell r="V833">
            <v>166800</v>
          </cell>
          <cell r="W833">
            <v>166800</v>
          </cell>
          <cell r="X833" t="str">
            <v>④</v>
          </cell>
          <cell r="Y833" t="str">
            <v>⑤</v>
          </cell>
          <cell r="Z833" t="str">
            <v>⑥</v>
          </cell>
          <cell r="AA833" t="str">
            <v>⑦</v>
          </cell>
          <cell r="AB833" t="str">
            <v>⑧</v>
          </cell>
          <cell r="AC833" t="str">
            <v>⑨</v>
          </cell>
          <cell r="AD833" t="str">
            <v>⑩</v>
          </cell>
          <cell r="AE833" t="str">
            <v>⑪</v>
          </cell>
          <cell r="AF833" t="str">
            <v>⑫</v>
          </cell>
          <cell r="AG833" t="str">
            <v>①</v>
          </cell>
          <cell r="AH833" t="str">
            <v>②</v>
          </cell>
          <cell r="AI833" t="str">
            <v>③</v>
          </cell>
          <cell r="AJ833" t="str">
            <v>変</v>
          </cell>
        </row>
        <row r="834">
          <cell r="B834">
            <v>4902</v>
          </cell>
          <cell r="C834">
            <v>49</v>
          </cell>
          <cell r="D834">
            <v>2</v>
          </cell>
          <cell r="F834" t="str">
            <v>芝</v>
          </cell>
          <cell r="G834" t="str">
            <v>昇降機設備保守</v>
          </cell>
          <cell r="H834" t="str">
            <v>三菱電機ﾋﾞﾙﾃｸﾉｻｰﾋﾞｽ</v>
          </cell>
          <cell r="I834">
            <v>240100</v>
          </cell>
          <cell r="J834">
            <v>244902</v>
          </cell>
          <cell r="K834">
            <v>12</v>
          </cell>
          <cell r="L834">
            <v>244902</v>
          </cell>
          <cell r="M834">
            <v>244902</v>
          </cell>
          <cell r="N834">
            <v>244902</v>
          </cell>
          <cell r="O834">
            <v>244902</v>
          </cell>
          <cell r="P834">
            <v>244902</v>
          </cell>
          <cell r="Q834">
            <v>244902</v>
          </cell>
          <cell r="R834">
            <v>244902</v>
          </cell>
          <cell r="S834">
            <v>244902</v>
          </cell>
          <cell r="T834">
            <v>244902</v>
          </cell>
          <cell r="U834">
            <v>244902</v>
          </cell>
          <cell r="V834">
            <v>244902</v>
          </cell>
          <cell r="W834">
            <v>244902</v>
          </cell>
          <cell r="X834" t="str">
            <v>④</v>
          </cell>
          <cell r="Y834" t="str">
            <v>⑤</v>
          </cell>
          <cell r="Z834" t="str">
            <v>⑥</v>
          </cell>
          <cell r="AA834" t="str">
            <v>⑦</v>
          </cell>
          <cell r="AB834" t="str">
            <v>⑧</v>
          </cell>
          <cell r="AC834" t="str">
            <v>⑨</v>
          </cell>
          <cell r="AD834" t="str">
            <v>⑩</v>
          </cell>
          <cell r="AE834" t="str">
            <v>⑪</v>
          </cell>
          <cell r="AF834" t="str">
            <v>⑫</v>
          </cell>
          <cell r="AG834" t="str">
            <v>①</v>
          </cell>
          <cell r="AH834" t="str">
            <v>②</v>
          </cell>
          <cell r="AI834" t="str">
            <v>③</v>
          </cell>
        </row>
        <row r="835">
          <cell r="B835">
            <v>4903</v>
          </cell>
          <cell r="C835">
            <v>49</v>
          </cell>
          <cell r="D835">
            <v>3</v>
          </cell>
          <cell r="F835" t="str">
            <v>芝</v>
          </cell>
          <cell r="G835" t="str">
            <v>ｽﾌﾟﾘﾝｸﾗｰ設備(外観)</v>
          </cell>
          <cell r="H835" t="str">
            <v>ホーチキ</v>
          </cell>
          <cell r="I835">
            <v>52000</v>
          </cell>
          <cell r="J835">
            <v>53040</v>
          </cell>
          <cell r="K835">
            <v>1</v>
          </cell>
          <cell r="L835">
            <v>0</v>
          </cell>
          <cell r="M835">
            <v>0</v>
          </cell>
          <cell r="N835">
            <v>0</v>
          </cell>
          <cell r="O835">
            <v>53040</v>
          </cell>
          <cell r="P835">
            <v>0</v>
          </cell>
          <cell r="Q835">
            <v>0</v>
          </cell>
          <cell r="R835">
            <v>0</v>
          </cell>
          <cell r="S835">
            <v>0</v>
          </cell>
          <cell r="T835">
            <v>0</v>
          </cell>
          <cell r="U835">
            <v>0</v>
          </cell>
          <cell r="V835">
            <v>0</v>
          </cell>
          <cell r="W835">
            <v>0</v>
          </cell>
          <cell r="X835" t="str">
            <v/>
          </cell>
          <cell r="Y835" t="str">
            <v/>
          </cell>
          <cell r="Z835" t="str">
            <v/>
          </cell>
          <cell r="AA835" t="str">
            <v>⑦</v>
          </cell>
          <cell r="AB835" t="str">
            <v/>
          </cell>
          <cell r="AC835" t="str">
            <v/>
          </cell>
          <cell r="AD835" t="str">
            <v/>
          </cell>
          <cell r="AE835" t="str">
            <v/>
          </cell>
          <cell r="AF835" t="str">
            <v/>
          </cell>
          <cell r="AG835" t="str">
            <v/>
          </cell>
          <cell r="AH835" t="str">
            <v/>
          </cell>
          <cell r="AI835" t="str">
            <v/>
          </cell>
        </row>
        <row r="836">
          <cell r="B836">
            <v>4904</v>
          </cell>
          <cell r="C836">
            <v>49</v>
          </cell>
          <cell r="D836">
            <v>4</v>
          </cell>
          <cell r="F836" t="str">
            <v>芝</v>
          </cell>
          <cell r="G836" t="str">
            <v>ｽﾌﾟﾘﾝｸﾗｰ設備(総合)</v>
          </cell>
          <cell r="H836" t="str">
            <v>ホーチキ</v>
          </cell>
          <cell r="I836">
            <v>72000</v>
          </cell>
          <cell r="J836">
            <v>73440</v>
          </cell>
          <cell r="K836">
            <v>1</v>
          </cell>
          <cell r="L836">
            <v>0</v>
          </cell>
          <cell r="M836">
            <v>0</v>
          </cell>
          <cell r="N836">
            <v>0</v>
          </cell>
          <cell r="O836">
            <v>0</v>
          </cell>
          <cell r="P836">
            <v>0</v>
          </cell>
          <cell r="Q836">
            <v>0</v>
          </cell>
          <cell r="R836">
            <v>0</v>
          </cell>
          <cell r="S836">
            <v>0</v>
          </cell>
          <cell r="T836">
            <v>0</v>
          </cell>
          <cell r="U836">
            <v>73440</v>
          </cell>
          <cell r="V836">
            <v>0</v>
          </cell>
          <cell r="W836">
            <v>0</v>
          </cell>
          <cell r="X836" t="str">
            <v/>
          </cell>
          <cell r="Y836" t="str">
            <v/>
          </cell>
          <cell r="Z836" t="str">
            <v/>
          </cell>
          <cell r="AA836" t="str">
            <v/>
          </cell>
          <cell r="AB836" t="str">
            <v/>
          </cell>
          <cell r="AC836" t="str">
            <v/>
          </cell>
          <cell r="AD836" t="str">
            <v/>
          </cell>
          <cell r="AE836" t="str">
            <v/>
          </cell>
          <cell r="AF836" t="str">
            <v/>
          </cell>
          <cell r="AG836" t="str">
            <v>①</v>
          </cell>
          <cell r="AH836" t="str">
            <v/>
          </cell>
          <cell r="AI836" t="str">
            <v/>
          </cell>
        </row>
        <row r="837">
          <cell r="B837">
            <v>4905</v>
          </cell>
          <cell r="C837">
            <v>49</v>
          </cell>
          <cell r="D837">
            <v>5</v>
          </cell>
          <cell r="F837" t="str">
            <v>芝</v>
          </cell>
          <cell r="G837" t="str">
            <v>自動火災報知設備(外観)</v>
          </cell>
          <cell r="H837" t="str">
            <v>ホーチキ</v>
          </cell>
          <cell r="I837">
            <v>140000</v>
          </cell>
          <cell r="J837">
            <v>142800</v>
          </cell>
          <cell r="K837">
            <v>1</v>
          </cell>
          <cell r="L837">
            <v>0</v>
          </cell>
          <cell r="M837">
            <v>0</v>
          </cell>
          <cell r="N837">
            <v>0</v>
          </cell>
          <cell r="O837">
            <v>142800</v>
          </cell>
          <cell r="P837">
            <v>0</v>
          </cell>
          <cell r="Q837">
            <v>0</v>
          </cell>
          <cell r="R837">
            <v>0</v>
          </cell>
          <cell r="S837">
            <v>0</v>
          </cell>
          <cell r="T837">
            <v>0</v>
          </cell>
          <cell r="U837">
            <v>0</v>
          </cell>
          <cell r="V837">
            <v>0</v>
          </cell>
          <cell r="W837">
            <v>0</v>
          </cell>
          <cell r="X837" t="str">
            <v/>
          </cell>
          <cell r="Y837" t="str">
            <v/>
          </cell>
          <cell r="Z837" t="str">
            <v/>
          </cell>
          <cell r="AA837" t="str">
            <v>⑦</v>
          </cell>
          <cell r="AB837" t="str">
            <v/>
          </cell>
          <cell r="AC837" t="str">
            <v/>
          </cell>
          <cell r="AD837" t="str">
            <v/>
          </cell>
          <cell r="AE837" t="str">
            <v/>
          </cell>
          <cell r="AF837" t="str">
            <v/>
          </cell>
          <cell r="AG837" t="str">
            <v/>
          </cell>
          <cell r="AH837" t="str">
            <v/>
          </cell>
          <cell r="AI837" t="str">
            <v/>
          </cell>
        </row>
        <row r="838">
          <cell r="B838">
            <v>4906</v>
          </cell>
          <cell r="C838">
            <v>49</v>
          </cell>
          <cell r="D838">
            <v>6</v>
          </cell>
          <cell r="F838" t="str">
            <v>芝</v>
          </cell>
          <cell r="G838" t="str">
            <v>自動火災報知設備(総合)</v>
          </cell>
          <cell r="H838" t="str">
            <v>ホーチキ</v>
          </cell>
          <cell r="I838">
            <v>409000</v>
          </cell>
          <cell r="J838">
            <v>417180</v>
          </cell>
          <cell r="K838">
            <v>1</v>
          </cell>
          <cell r="L838">
            <v>0</v>
          </cell>
          <cell r="M838">
            <v>0</v>
          </cell>
          <cell r="N838">
            <v>0</v>
          </cell>
          <cell r="O838">
            <v>0</v>
          </cell>
          <cell r="P838">
            <v>0</v>
          </cell>
          <cell r="Q838">
            <v>0</v>
          </cell>
          <cell r="R838">
            <v>0</v>
          </cell>
          <cell r="S838">
            <v>0</v>
          </cell>
          <cell r="T838">
            <v>0</v>
          </cell>
          <cell r="U838">
            <v>417180</v>
          </cell>
          <cell r="V838">
            <v>0</v>
          </cell>
          <cell r="W838">
            <v>0</v>
          </cell>
          <cell r="X838" t="str">
            <v/>
          </cell>
          <cell r="Y838" t="str">
            <v/>
          </cell>
          <cell r="Z838" t="str">
            <v/>
          </cell>
          <cell r="AA838" t="str">
            <v/>
          </cell>
          <cell r="AB838" t="str">
            <v/>
          </cell>
          <cell r="AC838" t="str">
            <v/>
          </cell>
          <cell r="AD838" t="str">
            <v/>
          </cell>
          <cell r="AE838" t="str">
            <v/>
          </cell>
          <cell r="AF838" t="str">
            <v/>
          </cell>
          <cell r="AG838" t="str">
            <v>①</v>
          </cell>
          <cell r="AH838" t="str">
            <v/>
          </cell>
          <cell r="AI838" t="str">
            <v/>
          </cell>
        </row>
        <row r="839">
          <cell r="B839">
            <v>4907</v>
          </cell>
          <cell r="C839">
            <v>49</v>
          </cell>
          <cell r="D839">
            <v>7</v>
          </cell>
          <cell r="F839" t="str">
            <v>芝</v>
          </cell>
          <cell r="G839" t="str">
            <v>非常放送(外観)</v>
          </cell>
          <cell r="H839" t="str">
            <v>ホーチキ</v>
          </cell>
          <cell r="I839">
            <v>52000</v>
          </cell>
          <cell r="J839">
            <v>53040</v>
          </cell>
          <cell r="K839">
            <v>1</v>
          </cell>
          <cell r="L839">
            <v>0</v>
          </cell>
          <cell r="M839">
            <v>0</v>
          </cell>
          <cell r="N839">
            <v>0</v>
          </cell>
          <cell r="O839">
            <v>53040</v>
          </cell>
          <cell r="P839">
            <v>0</v>
          </cell>
          <cell r="Q839">
            <v>0</v>
          </cell>
          <cell r="R839">
            <v>0</v>
          </cell>
          <cell r="S839">
            <v>0</v>
          </cell>
          <cell r="T839">
            <v>0</v>
          </cell>
          <cell r="U839">
            <v>0</v>
          </cell>
          <cell r="V839">
            <v>0</v>
          </cell>
          <cell r="W839">
            <v>0</v>
          </cell>
          <cell r="X839" t="str">
            <v/>
          </cell>
          <cell r="Y839" t="str">
            <v/>
          </cell>
          <cell r="Z839" t="str">
            <v/>
          </cell>
          <cell r="AA839" t="str">
            <v>⑦</v>
          </cell>
          <cell r="AB839" t="str">
            <v/>
          </cell>
          <cell r="AC839" t="str">
            <v/>
          </cell>
          <cell r="AD839" t="str">
            <v/>
          </cell>
          <cell r="AE839" t="str">
            <v/>
          </cell>
          <cell r="AF839" t="str">
            <v/>
          </cell>
          <cell r="AG839" t="str">
            <v/>
          </cell>
          <cell r="AH839" t="str">
            <v/>
          </cell>
          <cell r="AI839" t="str">
            <v/>
          </cell>
        </row>
        <row r="840">
          <cell r="B840">
            <v>4908</v>
          </cell>
          <cell r="C840">
            <v>49</v>
          </cell>
          <cell r="D840">
            <v>8</v>
          </cell>
          <cell r="F840" t="str">
            <v>芝</v>
          </cell>
          <cell r="G840" t="str">
            <v>非常放送(総合)</v>
          </cell>
          <cell r="H840" t="str">
            <v>ホーチキ</v>
          </cell>
          <cell r="I840">
            <v>56000</v>
          </cell>
          <cell r="J840">
            <v>57120</v>
          </cell>
          <cell r="K840">
            <v>1</v>
          </cell>
          <cell r="L840">
            <v>0</v>
          </cell>
          <cell r="M840">
            <v>0</v>
          </cell>
          <cell r="N840">
            <v>0</v>
          </cell>
          <cell r="O840">
            <v>0</v>
          </cell>
          <cell r="P840">
            <v>0</v>
          </cell>
          <cell r="Q840">
            <v>0</v>
          </cell>
          <cell r="R840">
            <v>0</v>
          </cell>
          <cell r="S840">
            <v>0</v>
          </cell>
          <cell r="T840">
            <v>0</v>
          </cell>
          <cell r="U840">
            <v>57120</v>
          </cell>
          <cell r="V840">
            <v>0</v>
          </cell>
          <cell r="W840">
            <v>0</v>
          </cell>
          <cell r="X840" t="str">
            <v/>
          </cell>
          <cell r="Y840" t="str">
            <v/>
          </cell>
          <cell r="Z840" t="str">
            <v/>
          </cell>
          <cell r="AA840" t="str">
            <v/>
          </cell>
          <cell r="AB840" t="str">
            <v/>
          </cell>
          <cell r="AC840" t="str">
            <v/>
          </cell>
          <cell r="AD840" t="str">
            <v/>
          </cell>
          <cell r="AE840" t="str">
            <v/>
          </cell>
          <cell r="AF840" t="str">
            <v/>
          </cell>
          <cell r="AG840" t="str">
            <v>①</v>
          </cell>
          <cell r="AH840" t="str">
            <v/>
          </cell>
          <cell r="AI840" t="str">
            <v/>
          </cell>
        </row>
        <row r="841">
          <cell r="B841">
            <v>4909</v>
          </cell>
          <cell r="C841">
            <v>49</v>
          </cell>
          <cell r="D841">
            <v>9</v>
          </cell>
          <cell r="F841" t="str">
            <v>芝</v>
          </cell>
          <cell r="G841" t="str">
            <v>防排煙制御(外観)</v>
          </cell>
          <cell r="H841" t="str">
            <v>ホーチキ</v>
          </cell>
          <cell r="I841">
            <v>369000</v>
          </cell>
          <cell r="J841">
            <v>376380</v>
          </cell>
          <cell r="K841">
            <v>1</v>
          </cell>
          <cell r="L841">
            <v>0</v>
          </cell>
          <cell r="M841">
            <v>0</v>
          </cell>
          <cell r="N841">
            <v>0</v>
          </cell>
          <cell r="O841">
            <v>376380</v>
          </cell>
          <cell r="P841">
            <v>0</v>
          </cell>
          <cell r="Q841">
            <v>0</v>
          </cell>
          <cell r="R841">
            <v>0</v>
          </cell>
          <cell r="S841">
            <v>0</v>
          </cell>
          <cell r="T841">
            <v>0</v>
          </cell>
          <cell r="U841">
            <v>0</v>
          </cell>
          <cell r="V841">
            <v>0</v>
          </cell>
          <cell r="W841">
            <v>0</v>
          </cell>
          <cell r="X841" t="str">
            <v/>
          </cell>
          <cell r="Y841" t="str">
            <v/>
          </cell>
          <cell r="Z841" t="str">
            <v/>
          </cell>
          <cell r="AA841" t="str">
            <v>⑦</v>
          </cell>
          <cell r="AB841" t="str">
            <v/>
          </cell>
          <cell r="AC841" t="str">
            <v/>
          </cell>
          <cell r="AD841" t="str">
            <v/>
          </cell>
          <cell r="AE841" t="str">
            <v/>
          </cell>
          <cell r="AF841" t="str">
            <v/>
          </cell>
          <cell r="AG841" t="str">
            <v/>
          </cell>
          <cell r="AH841" t="str">
            <v/>
          </cell>
          <cell r="AI841" t="str">
            <v/>
          </cell>
        </row>
        <row r="842">
          <cell r="B842">
            <v>4910</v>
          </cell>
          <cell r="C842">
            <v>49</v>
          </cell>
          <cell r="D842">
            <v>10</v>
          </cell>
          <cell r="F842" t="str">
            <v>芝</v>
          </cell>
          <cell r="G842" t="str">
            <v>防排煙制御(総合)</v>
          </cell>
          <cell r="H842" t="str">
            <v>ホーチキ</v>
          </cell>
          <cell r="I842">
            <v>382000</v>
          </cell>
          <cell r="J842">
            <v>389640</v>
          </cell>
          <cell r="K842">
            <v>1</v>
          </cell>
          <cell r="L842">
            <v>0</v>
          </cell>
          <cell r="M842">
            <v>0</v>
          </cell>
          <cell r="N842">
            <v>0</v>
          </cell>
          <cell r="O842">
            <v>0</v>
          </cell>
          <cell r="P842">
            <v>0</v>
          </cell>
          <cell r="Q842">
            <v>0</v>
          </cell>
          <cell r="R842">
            <v>0</v>
          </cell>
          <cell r="S842">
            <v>0</v>
          </cell>
          <cell r="T842">
            <v>0</v>
          </cell>
          <cell r="U842">
            <v>389640</v>
          </cell>
          <cell r="V842">
            <v>0</v>
          </cell>
          <cell r="W842">
            <v>0</v>
          </cell>
          <cell r="X842" t="str">
            <v/>
          </cell>
          <cell r="Y842" t="str">
            <v/>
          </cell>
          <cell r="Z842" t="str">
            <v/>
          </cell>
          <cell r="AA842" t="str">
            <v/>
          </cell>
          <cell r="AB842" t="str">
            <v/>
          </cell>
          <cell r="AC842" t="str">
            <v/>
          </cell>
          <cell r="AD842" t="str">
            <v/>
          </cell>
          <cell r="AE842" t="str">
            <v/>
          </cell>
          <cell r="AF842" t="str">
            <v/>
          </cell>
          <cell r="AG842" t="str">
            <v>①</v>
          </cell>
          <cell r="AH842" t="str">
            <v/>
          </cell>
          <cell r="AI842" t="str">
            <v/>
          </cell>
        </row>
        <row r="843">
          <cell r="B843">
            <v>4911</v>
          </cell>
          <cell r="C843">
            <v>49</v>
          </cell>
          <cell r="D843">
            <v>11</v>
          </cell>
          <cell r="F843" t="str">
            <v>芝</v>
          </cell>
          <cell r="G843" t="str">
            <v>ガス漏火災警報(外観)</v>
          </cell>
          <cell r="H843" t="str">
            <v>ホーチキ</v>
          </cell>
          <cell r="I843">
            <v>22600</v>
          </cell>
          <cell r="J843">
            <v>23052</v>
          </cell>
          <cell r="K843">
            <v>1</v>
          </cell>
          <cell r="L843">
            <v>0</v>
          </cell>
          <cell r="M843">
            <v>0</v>
          </cell>
          <cell r="N843">
            <v>0</v>
          </cell>
          <cell r="O843">
            <v>23052</v>
          </cell>
          <cell r="P843">
            <v>0</v>
          </cell>
          <cell r="Q843">
            <v>0</v>
          </cell>
          <cell r="R843">
            <v>0</v>
          </cell>
          <cell r="S843">
            <v>0</v>
          </cell>
          <cell r="T843">
            <v>0</v>
          </cell>
          <cell r="U843">
            <v>0</v>
          </cell>
          <cell r="V843">
            <v>0</v>
          </cell>
          <cell r="W843">
            <v>0</v>
          </cell>
          <cell r="X843" t="str">
            <v/>
          </cell>
          <cell r="Y843" t="str">
            <v/>
          </cell>
          <cell r="Z843" t="str">
            <v/>
          </cell>
          <cell r="AA843" t="str">
            <v>⑦</v>
          </cell>
          <cell r="AB843" t="str">
            <v/>
          </cell>
          <cell r="AC843" t="str">
            <v/>
          </cell>
          <cell r="AD843" t="str">
            <v/>
          </cell>
          <cell r="AE843" t="str">
            <v/>
          </cell>
          <cell r="AF843" t="str">
            <v/>
          </cell>
          <cell r="AG843" t="str">
            <v/>
          </cell>
          <cell r="AH843" t="str">
            <v/>
          </cell>
          <cell r="AI843" t="str">
            <v/>
          </cell>
        </row>
        <row r="844">
          <cell r="B844">
            <v>4912</v>
          </cell>
          <cell r="C844">
            <v>49</v>
          </cell>
          <cell r="D844">
            <v>12</v>
          </cell>
          <cell r="F844" t="str">
            <v>芝</v>
          </cell>
          <cell r="G844" t="str">
            <v>ガス漏火災警報(総合)</v>
          </cell>
          <cell r="H844" t="str">
            <v>ホーチキ</v>
          </cell>
          <cell r="I844">
            <v>51000</v>
          </cell>
          <cell r="J844">
            <v>52020</v>
          </cell>
          <cell r="K844">
            <v>1</v>
          </cell>
          <cell r="L844">
            <v>0</v>
          </cell>
          <cell r="M844">
            <v>0</v>
          </cell>
          <cell r="N844">
            <v>0</v>
          </cell>
          <cell r="O844">
            <v>0</v>
          </cell>
          <cell r="P844">
            <v>0</v>
          </cell>
          <cell r="Q844">
            <v>0</v>
          </cell>
          <cell r="R844">
            <v>0</v>
          </cell>
          <cell r="S844">
            <v>0</v>
          </cell>
          <cell r="T844">
            <v>0</v>
          </cell>
          <cell r="U844">
            <v>52020</v>
          </cell>
          <cell r="V844">
            <v>0</v>
          </cell>
          <cell r="W844">
            <v>0</v>
          </cell>
          <cell r="X844" t="str">
            <v/>
          </cell>
          <cell r="Y844" t="str">
            <v/>
          </cell>
          <cell r="Z844" t="str">
            <v/>
          </cell>
          <cell r="AA844" t="str">
            <v/>
          </cell>
          <cell r="AB844" t="str">
            <v/>
          </cell>
          <cell r="AC844" t="str">
            <v/>
          </cell>
          <cell r="AD844" t="str">
            <v/>
          </cell>
          <cell r="AE844" t="str">
            <v/>
          </cell>
          <cell r="AF844" t="str">
            <v/>
          </cell>
          <cell r="AG844" t="str">
            <v>①</v>
          </cell>
          <cell r="AH844" t="str">
            <v/>
          </cell>
          <cell r="AI844" t="str">
            <v/>
          </cell>
        </row>
        <row r="845">
          <cell r="B845">
            <v>4913</v>
          </cell>
          <cell r="C845">
            <v>49</v>
          </cell>
          <cell r="D845">
            <v>13</v>
          </cell>
          <cell r="F845" t="str">
            <v>芝</v>
          </cell>
          <cell r="G845" t="str">
            <v>ﾊﾛｹﾞﾝ化物設備保守(外観)</v>
          </cell>
          <cell r="H845" t="str">
            <v>日本ドライケミカル</v>
          </cell>
          <cell r="I845">
            <v>132100</v>
          </cell>
          <cell r="J845">
            <v>134742</v>
          </cell>
          <cell r="K845">
            <v>1</v>
          </cell>
          <cell r="L845">
            <v>0</v>
          </cell>
          <cell r="M845">
            <v>0</v>
          </cell>
          <cell r="N845">
            <v>0</v>
          </cell>
          <cell r="O845">
            <v>134742</v>
          </cell>
          <cell r="P845">
            <v>0</v>
          </cell>
          <cell r="Q845">
            <v>0</v>
          </cell>
          <cell r="R845">
            <v>0</v>
          </cell>
          <cell r="S845">
            <v>0</v>
          </cell>
          <cell r="T845">
            <v>0</v>
          </cell>
          <cell r="U845">
            <v>0</v>
          </cell>
          <cell r="V845">
            <v>0</v>
          </cell>
          <cell r="W845">
            <v>0</v>
          </cell>
          <cell r="X845" t="str">
            <v/>
          </cell>
          <cell r="Y845" t="str">
            <v/>
          </cell>
          <cell r="Z845" t="str">
            <v/>
          </cell>
          <cell r="AA845" t="str">
            <v>⑦</v>
          </cell>
          <cell r="AB845" t="str">
            <v/>
          </cell>
          <cell r="AC845" t="str">
            <v/>
          </cell>
          <cell r="AD845" t="str">
            <v/>
          </cell>
          <cell r="AE845" t="str">
            <v/>
          </cell>
          <cell r="AF845" t="str">
            <v/>
          </cell>
          <cell r="AG845" t="str">
            <v/>
          </cell>
          <cell r="AH845" t="str">
            <v/>
          </cell>
          <cell r="AI845" t="str">
            <v/>
          </cell>
        </row>
        <row r="846">
          <cell r="B846">
            <v>4914</v>
          </cell>
          <cell r="C846">
            <v>49</v>
          </cell>
          <cell r="D846">
            <v>14</v>
          </cell>
          <cell r="F846" t="str">
            <v>芝</v>
          </cell>
          <cell r="G846" t="str">
            <v>ﾊﾛｹﾞﾝ化物設備保守(総合)</v>
          </cell>
          <cell r="H846" t="str">
            <v>日本ドライケミカル</v>
          </cell>
          <cell r="I846">
            <v>212600</v>
          </cell>
          <cell r="J846">
            <v>216852</v>
          </cell>
          <cell r="K846">
            <v>1</v>
          </cell>
          <cell r="L846">
            <v>0</v>
          </cell>
          <cell r="M846">
            <v>0</v>
          </cell>
          <cell r="N846">
            <v>0</v>
          </cell>
          <cell r="O846">
            <v>0</v>
          </cell>
          <cell r="P846">
            <v>0</v>
          </cell>
          <cell r="Q846">
            <v>0</v>
          </cell>
          <cell r="R846">
            <v>0</v>
          </cell>
          <cell r="S846">
            <v>0</v>
          </cell>
          <cell r="T846">
            <v>0</v>
          </cell>
          <cell r="U846">
            <v>216852</v>
          </cell>
          <cell r="V846">
            <v>0</v>
          </cell>
          <cell r="W846">
            <v>0</v>
          </cell>
          <cell r="X846" t="str">
            <v/>
          </cell>
          <cell r="Y846" t="str">
            <v/>
          </cell>
          <cell r="Z846" t="str">
            <v/>
          </cell>
          <cell r="AA846" t="str">
            <v/>
          </cell>
          <cell r="AB846" t="str">
            <v/>
          </cell>
          <cell r="AC846" t="str">
            <v/>
          </cell>
          <cell r="AD846" t="str">
            <v/>
          </cell>
          <cell r="AE846" t="str">
            <v/>
          </cell>
          <cell r="AF846" t="str">
            <v/>
          </cell>
          <cell r="AG846" t="str">
            <v>①</v>
          </cell>
          <cell r="AH846" t="str">
            <v/>
          </cell>
          <cell r="AI846" t="str">
            <v/>
          </cell>
        </row>
        <row r="847">
          <cell r="B847">
            <v>4915</v>
          </cell>
          <cell r="C847">
            <v>49</v>
          </cell>
          <cell r="D847">
            <v>15</v>
          </cell>
          <cell r="F847" t="str">
            <v>芝</v>
          </cell>
          <cell r="G847" t="str">
            <v>消火器設備保守(外観)</v>
          </cell>
          <cell r="H847" t="str">
            <v>防災サービスセンター</v>
          </cell>
          <cell r="I847">
            <v>38130</v>
          </cell>
          <cell r="J847">
            <v>38892</v>
          </cell>
          <cell r="K847">
            <v>1</v>
          </cell>
          <cell r="L847">
            <v>0</v>
          </cell>
          <cell r="M847">
            <v>0</v>
          </cell>
          <cell r="N847">
            <v>0</v>
          </cell>
          <cell r="O847">
            <v>38892</v>
          </cell>
          <cell r="P847">
            <v>0</v>
          </cell>
          <cell r="Q847">
            <v>0</v>
          </cell>
          <cell r="R847">
            <v>0</v>
          </cell>
          <cell r="S847">
            <v>0</v>
          </cell>
          <cell r="T847">
            <v>0</v>
          </cell>
          <cell r="U847">
            <v>0</v>
          </cell>
          <cell r="V847">
            <v>0</v>
          </cell>
          <cell r="W847">
            <v>0</v>
          </cell>
          <cell r="X847" t="str">
            <v/>
          </cell>
          <cell r="Y847" t="str">
            <v/>
          </cell>
          <cell r="Z847" t="str">
            <v/>
          </cell>
          <cell r="AA847" t="str">
            <v>⑦</v>
          </cell>
          <cell r="AB847" t="str">
            <v/>
          </cell>
          <cell r="AC847" t="str">
            <v/>
          </cell>
          <cell r="AD847" t="str">
            <v/>
          </cell>
          <cell r="AE847" t="str">
            <v/>
          </cell>
          <cell r="AF847" t="str">
            <v/>
          </cell>
          <cell r="AG847" t="str">
            <v/>
          </cell>
          <cell r="AH847" t="str">
            <v/>
          </cell>
          <cell r="AI847" t="str">
            <v/>
          </cell>
        </row>
        <row r="848">
          <cell r="B848">
            <v>4916</v>
          </cell>
          <cell r="C848">
            <v>49</v>
          </cell>
          <cell r="D848">
            <v>16</v>
          </cell>
          <cell r="F848" t="str">
            <v>芝</v>
          </cell>
          <cell r="G848" t="str">
            <v>消火器設備保守(外観)</v>
          </cell>
          <cell r="H848" t="str">
            <v>防災サービスセンター</v>
          </cell>
          <cell r="I848">
            <v>37230</v>
          </cell>
          <cell r="J848">
            <v>37974</v>
          </cell>
          <cell r="K848">
            <v>1</v>
          </cell>
          <cell r="L848">
            <v>0</v>
          </cell>
          <cell r="M848">
            <v>0</v>
          </cell>
          <cell r="N848">
            <v>0</v>
          </cell>
          <cell r="O848">
            <v>0</v>
          </cell>
          <cell r="P848">
            <v>0</v>
          </cell>
          <cell r="Q848">
            <v>0</v>
          </cell>
          <cell r="R848">
            <v>0</v>
          </cell>
          <cell r="S848">
            <v>0</v>
          </cell>
          <cell r="T848">
            <v>0</v>
          </cell>
          <cell r="U848">
            <v>37974</v>
          </cell>
          <cell r="V848">
            <v>0</v>
          </cell>
          <cell r="W848">
            <v>0</v>
          </cell>
          <cell r="X848" t="str">
            <v/>
          </cell>
          <cell r="Y848" t="str">
            <v/>
          </cell>
          <cell r="Z848" t="str">
            <v/>
          </cell>
          <cell r="AA848" t="str">
            <v/>
          </cell>
          <cell r="AB848" t="str">
            <v/>
          </cell>
          <cell r="AC848" t="str">
            <v/>
          </cell>
          <cell r="AD848" t="str">
            <v/>
          </cell>
          <cell r="AE848" t="str">
            <v/>
          </cell>
          <cell r="AF848" t="str">
            <v/>
          </cell>
          <cell r="AG848" t="str">
            <v>①</v>
          </cell>
          <cell r="AH848" t="str">
            <v/>
          </cell>
          <cell r="AI848" t="str">
            <v/>
          </cell>
        </row>
        <row r="849">
          <cell r="B849">
            <v>4917</v>
          </cell>
          <cell r="C849">
            <v>49</v>
          </cell>
          <cell r="D849">
            <v>17</v>
          </cell>
          <cell r="F849" t="str">
            <v>芝</v>
          </cell>
          <cell r="G849" t="str">
            <v>消火栓設備保守(外観)</v>
          </cell>
          <cell r="H849" t="str">
            <v>防災サービスセンター</v>
          </cell>
          <cell r="I849">
            <v>61730</v>
          </cell>
          <cell r="J849">
            <v>62964</v>
          </cell>
          <cell r="K849">
            <v>1</v>
          </cell>
          <cell r="L849">
            <v>0</v>
          </cell>
          <cell r="M849">
            <v>0</v>
          </cell>
          <cell r="N849">
            <v>0</v>
          </cell>
          <cell r="O849">
            <v>62964</v>
          </cell>
          <cell r="P849">
            <v>0</v>
          </cell>
          <cell r="Q849">
            <v>0</v>
          </cell>
          <cell r="R849">
            <v>0</v>
          </cell>
          <cell r="S849">
            <v>0</v>
          </cell>
          <cell r="T849">
            <v>0</v>
          </cell>
          <cell r="U849">
            <v>0</v>
          </cell>
          <cell r="V849">
            <v>0</v>
          </cell>
          <cell r="W849">
            <v>0</v>
          </cell>
          <cell r="X849" t="str">
            <v/>
          </cell>
          <cell r="Y849" t="str">
            <v/>
          </cell>
          <cell r="Z849" t="str">
            <v/>
          </cell>
          <cell r="AA849" t="str">
            <v>⑦</v>
          </cell>
          <cell r="AB849" t="str">
            <v/>
          </cell>
          <cell r="AC849" t="str">
            <v/>
          </cell>
          <cell r="AD849" t="str">
            <v/>
          </cell>
          <cell r="AE849" t="str">
            <v/>
          </cell>
          <cell r="AF849" t="str">
            <v/>
          </cell>
          <cell r="AG849" t="str">
            <v/>
          </cell>
          <cell r="AH849" t="str">
            <v/>
          </cell>
          <cell r="AI849" t="str">
            <v/>
          </cell>
        </row>
        <row r="850">
          <cell r="B850">
            <v>4918</v>
          </cell>
          <cell r="C850">
            <v>49</v>
          </cell>
          <cell r="D850">
            <v>18</v>
          </cell>
          <cell r="F850" t="str">
            <v>芝</v>
          </cell>
          <cell r="G850" t="str">
            <v>消火栓設備保守(総合)</v>
          </cell>
          <cell r="H850" t="str">
            <v>防災サービスセンター</v>
          </cell>
          <cell r="I850">
            <v>78500</v>
          </cell>
          <cell r="J850">
            <v>80070</v>
          </cell>
          <cell r="K850">
            <v>1</v>
          </cell>
          <cell r="L850">
            <v>0</v>
          </cell>
          <cell r="M850">
            <v>0</v>
          </cell>
          <cell r="N850">
            <v>0</v>
          </cell>
          <cell r="O850">
            <v>0</v>
          </cell>
          <cell r="P850">
            <v>0</v>
          </cell>
          <cell r="Q850">
            <v>0</v>
          </cell>
          <cell r="R850">
            <v>0</v>
          </cell>
          <cell r="S850">
            <v>0</v>
          </cell>
          <cell r="T850">
            <v>0</v>
          </cell>
          <cell r="U850">
            <v>80070</v>
          </cell>
          <cell r="V850">
            <v>0</v>
          </cell>
          <cell r="W850">
            <v>0</v>
          </cell>
          <cell r="X850" t="str">
            <v/>
          </cell>
          <cell r="Y850" t="str">
            <v/>
          </cell>
          <cell r="Z850" t="str">
            <v/>
          </cell>
          <cell r="AA850" t="str">
            <v/>
          </cell>
          <cell r="AB850" t="str">
            <v/>
          </cell>
          <cell r="AC850" t="str">
            <v/>
          </cell>
          <cell r="AD850" t="str">
            <v/>
          </cell>
          <cell r="AE850" t="str">
            <v/>
          </cell>
          <cell r="AF850" t="str">
            <v/>
          </cell>
          <cell r="AG850" t="str">
            <v>①</v>
          </cell>
          <cell r="AH850" t="str">
            <v/>
          </cell>
          <cell r="AI850" t="str">
            <v/>
          </cell>
        </row>
        <row r="851">
          <cell r="B851">
            <v>4919</v>
          </cell>
          <cell r="C851">
            <v>49</v>
          </cell>
          <cell r="D851">
            <v>19</v>
          </cell>
          <cell r="F851" t="str">
            <v>芝</v>
          </cell>
          <cell r="G851" t="str">
            <v>誘導灯設備保守(外観)</v>
          </cell>
          <cell r="H851" t="str">
            <v>防災サービスセンター</v>
          </cell>
          <cell r="I851">
            <v>83160</v>
          </cell>
          <cell r="J851">
            <v>84823</v>
          </cell>
          <cell r="K851">
            <v>1</v>
          </cell>
          <cell r="L851">
            <v>0</v>
          </cell>
          <cell r="M851">
            <v>0</v>
          </cell>
          <cell r="N851">
            <v>0</v>
          </cell>
          <cell r="O851">
            <v>84823</v>
          </cell>
          <cell r="P851">
            <v>0</v>
          </cell>
          <cell r="Q851">
            <v>0</v>
          </cell>
          <cell r="R851">
            <v>0</v>
          </cell>
          <cell r="S851">
            <v>0</v>
          </cell>
          <cell r="T851">
            <v>0</v>
          </cell>
          <cell r="U851">
            <v>0</v>
          </cell>
          <cell r="V851">
            <v>0</v>
          </cell>
          <cell r="W851">
            <v>0</v>
          </cell>
          <cell r="X851" t="str">
            <v/>
          </cell>
          <cell r="Y851" t="str">
            <v/>
          </cell>
          <cell r="Z851" t="str">
            <v/>
          </cell>
          <cell r="AA851" t="str">
            <v>⑦</v>
          </cell>
          <cell r="AB851" t="str">
            <v/>
          </cell>
          <cell r="AC851" t="str">
            <v/>
          </cell>
          <cell r="AD851" t="str">
            <v/>
          </cell>
          <cell r="AE851" t="str">
            <v/>
          </cell>
          <cell r="AF851" t="str">
            <v/>
          </cell>
          <cell r="AG851" t="str">
            <v/>
          </cell>
          <cell r="AH851" t="str">
            <v/>
          </cell>
          <cell r="AI851" t="str">
            <v/>
          </cell>
        </row>
        <row r="852">
          <cell r="B852">
            <v>4920</v>
          </cell>
          <cell r="C852">
            <v>49</v>
          </cell>
          <cell r="D852">
            <v>20</v>
          </cell>
          <cell r="F852" t="str">
            <v>芝</v>
          </cell>
          <cell r="G852" t="str">
            <v>誘導灯設備保守(総合)</v>
          </cell>
          <cell r="H852" t="str">
            <v>防災サービスセンター</v>
          </cell>
          <cell r="I852">
            <v>85320</v>
          </cell>
          <cell r="J852">
            <v>87026</v>
          </cell>
          <cell r="K852">
            <v>1</v>
          </cell>
          <cell r="L852">
            <v>0</v>
          </cell>
          <cell r="M852">
            <v>0</v>
          </cell>
          <cell r="N852">
            <v>0</v>
          </cell>
          <cell r="O852">
            <v>0</v>
          </cell>
          <cell r="P852">
            <v>0</v>
          </cell>
          <cell r="Q852">
            <v>0</v>
          </cell>
          <cell r="R852">
            <v>0</v>
          </cell>
          <cell r="S852">
            <v>0</v>
          </cell>
          <cell r="T852">
            <v>0</v>
          </cell>
          <cell r="U852">
            <v>87026</v>
          </cell>
          <cell r="V852">
            <v>0</v>
          </cell>
          <cell r="W852">
            <v>0</v>
          </cell>
          <cell r="X852" t="str">
            <v/>
          </cell>
          <cell r="Y852" t="str">
            <v/>
          </cell>
          <cell r="Z852" t="str">
            <v/>
          </cell>
          <cell r="AA852" t="str">
            <v/>
          </cell>
          <cell r="AB852" t="str">
            <v/>
          </cell>
          <cell r="AC852" t="str">
            <v/>
          </cell>
          <cell r="AD852" t="str">
            <v/>
          </cell>
          <cell r="AE852" t="str">
            <v/>
          </cell>
          <cell r="AF852" t="str">
            <v/>
          </cell>
          <cell r="AG852" t="str">
            <v>①</v>
          </cell>
          <cell r="AH852" t="str">
            <v/>
          </cell>
          <cell r="AI852" t="str">
            <v/>
          </cell>
        </row>
        <row r="853">
          <cell r="B853">
            <v>4921</v>
          </cell>
          <cell r="C853">
            <v>49</v>
          </cell>
          <cell r="D853">
            <v>21</v>
          </cell>
          <cell r="F853" t="str">
            <v>芝</v>
          </cell>
          <cell r="G853" t="str">
            <v>連結送水管設備保守(外観)</v>
          </cell>
          <cell r="H853" t="str">
            <v>防災サービスセンター</v>
          </cell>
          <cell r="I853">
            <v>9700</v>
          </cell>
          <cell r="J853">
            <v>9894</v>
          </cell>
          <cell r="K853">
            <v>1</v>
          </cell>
          <cell r="L853">
            <v>0</v>
          </cell>
          <cell r="M853">
            <v>0</v>
          </cell>
          <cell r="N853">
            <v>0</v>
          </cell>
          <cell r="O853">
            <v>9894</v>
          </cell>
          <cell r="P853">
            <v>0</v>
          </cell>
          <cell r="Q853">
            <v>0</v>
          </cell>
          <cell r="R853">
            <v>0</v>
          </cell>
          <cell r="S853">
            <v>0</v>
          </cell>
          <cell r="T853">
            <v>0</v>
          </cell>
          <cell r="U853">
            <v>0</v>
          </cell>
          <cell r="V853">
            <v>0</v>
          </cell>
          <cell r="W853">
            <v>0</v>
          </cell>
          <cell r="X853" t="str">
            <v/>
          </cell>
          <cell r="Y853" t="str">
            <v/>
          </cell>
          <cell r="Z853" t="str">
            <v/>
          </cell>
          <cell r="AA853" t="str">
            <v>⑦</v>
          </cell>
          <cell r="AB853" t="str">
            <v/>
          </cell>
          <cell r="AC853" t="str">
            <v/>
          </cell>
          <cell r="AD853" t="str">
            <v/>
          </cell>
          <cell r="AE853" t="str">
            <v/>
          </cell>
          <cell r="AF853" t="str">
            <v/>
          </cell>
          <cell r="AG853" t="str">
            <v/>
          </cell>
          <cell r="AH853" t="str">
            <v/>
          </cell>
          <cell r="AI853" t="str">
            <v/>
          </cell>
        </row>
        <row r="854">
          <cell r="B854">
            <v>4922</v>
          </cell>
          <cell r="C854">
            <v>49</v>
          </cell>
          <cell r="D854">
            <v>22</v>
          </cell>
          <cell r="F854" t="str">
            <v>芝</v>
          </cell>
          <cell r="G854" t="str">
            <v>連結送水管設備保守(総合)</v>
          </cell>
          <cell r="H854" t="str">
            <v>防災サービスセンター</v>
          </cell>
          <cell r="I854">
            <v>9700</v>
          </cell>
          <cell r="J854">
            <v>9894</v>
          </cell>
          <cell r="K854">
            <v>1</v>
          </cell>
          <cell r="L854">
            <v>0</v>
          </cell>
          <cell r="M854">
            <v>0</v>
          </cell>
          <cell r="N854">
            <v>0</v>
          </cell>
          <cell r="O854">
            <v>0</v>
          </cell>
          <cell r="P854">
            <v>0</v>
          </cell>
          <cell r="Q854">
            <v>0</v>
          </cell>
          <cell r="R854">
            <v>0</v>
          </cell>
          <cell r="S854">
            <v>0</v>
          </cell>
          <cell r="T854">
            <v>0</v>
          </cell>
          <cell r="U854">
            <v>9894</v>
          </cell>
          <cell r="V854">
            <v>0</v>
          </cell>
          <cell r="W854">
            <v>0</v>
          </cell>
          <cell r="X854" t="str">
            <v/>
          </cell>
          <cell r="Y854" t="str">
            <v/>
          </cell>
          <cell r="Z854" t="str">
            <v/>
          </cell>
          <cell r="AA854" t="str">
            <v/>
          </cell>
          <cell r="AB854" t="str">
            <v/>
          </cell>
          <cell r="AC854" t="str">
            <v/>
          </cell>
          <cell r="AD854" t="str">
            <v/>
          </cell>
          <cell r="AE854" t="str">
            <v/>
          </cell>
          <cell r="AF854" t="str">
            <v/>
          </cell>
          <cell r="AG854" t="str">
            <v>①</v>
          </cell>
          <cell r="AH854" t="str">
            <v/>
          </cell>
          <cell r="AI854" t="str">
            <v/>
          </cell>
        </row>
        <row r="855">
          <cell r="B855">
            <v>4923</v>
          </cell>
          <cell r="C855">
            <v>49</v>
          </cell>
          <cell r="D855">
            <v>23</v>
          </cell>
          <cell r="F855" t="str">
            <v>芝</v>
          </cell>
          <cell r="G855" t="str">
            <v>避難器具保守(外観)</v>
          </cell>
          <cell r="H855" t="str">
            <v>防災サービスセンター</v>
          </cell>
          <cell r="I855">
            <v>1430</v>
          </cell>
          <cell r="J855">
            <v>1458</v>
          </cell>
          <cell r="K855">
            <v>1</v>
          </cell>
          <cell r="L855">
            <v>0</v>
          </cell>
          <cell r="M855">
            <v>0</v>
          </cell>
          <cell r="N855">
            <v>0</v>
          </cell>
          <cell r="O855">
            <v>1458</v>
          </cell>
          <cell r="P855">
            <v>0</v>
          </cell>
          <cell r="Q855">
            <v>0</v>
          </cell>
          <cell r="R855">
            <v>0</v>
          </cell>
          <cell r="S855">
            <v>0</v>
          </cell>
          <cell r="T855">
            <v>0</v>
          </cell>
          <cell r="U855">
            <v>0</v>
          </cell>
          <cell r="V855">
            <v>0</v>
          </cell>
          <cell r="W855">
            <v>0</v>
          </cell>
          <cell r="X855" t="str">
            <v/>
          </cell>
          <cell r="Y855" t="str">
            <v/>
          </cell>
          <cell r="Z855" t="str">
            <v/>
          </cell>
          <cell r="AA855" t="str">
            <v>⑦</v>
          </cell>
          <cell r="AB855" t="str">
            <v/>
          </cell>
          <cell r="AC855" t="str">
            <v/>
          </cell>
          <cell r="AD855" t="str">
            <v/>
          </cell>
          <cell r="AE855" t="str">
            <v/>
          </cell>
          <cell r="AF855" t="str">
            <v/>
          </cell>
          <cell r="AG855" t="str">
            <v/>
          </cell>
          <cell r="AH855" t="str">
            <v/>
          </cell>
          <cell r="AI855" t="str">
            <v/>
          </cell>
        </row>
        <row r="856">
          <cell r="B856">
            <v>4924</v>
          </cell>
          <cell r="C856">
            <v>49</v>
          </cell>
          <cell r="D856">
            <v>24</v>
          </cell>
          <cell r="F856" t="str">
            <v>芝</v>
          </cell>
          <cell r="G856" t="str">
            <v>避難器具保守(総合)</v>
          </cell>
          <cell r="H856" t="str">
            <v>防災サービスセンター</v>
          </cell>
          <cell r="I856">
            <v>1800</v>
          </cell>
          <cell r="J856">
            <v>1836</v>
          </cell>
          <cell r="K856">
            <v>1</v>
          </cell>
          <cell r="L856">
            <v>0</v>
          </cell>
          <cell r="M856">
            <v>0</v>
          </cell>
          <cell r="N856">
            <v>0</v>
          </cell>
          <cell r="O856">
            <v>0</v>
          </cell>
          <cell r="P856">
            <v>0</v>
          </cell>
          <cell r="Q856">
            <v>0</v>
          </cell>
          <cell r="R856">
            <v>0</v>
          </cell>
          <cell r="S856">
            <v>0</v>
          </cell>
          <cell r="T856">
            <v>0</v>
          </cell>
          <cell r="U856">
            <v>1836</v>
          </cell>
          <cell r="V856">
            <v>0</v>
          </cell>
          <cell r="W856">
            <v>0</v>
          </cell>
          <cell r="X856" t="str">
            <v/>
          </cell>
          <cell r="Y856" t="str">
            <v/>
          </cell>
          <cell r="Z856" t="str">
            <v/>
          </cell>
          <cell r="AA856" t="str">
            <v/>
          </cell>
          <cell r="AB856" t="str">
            <v/>
          </cell>
          <cell r="AC856" t="str">
            <v/>
          </cell>
          <cell r="AD856" t="str">
            <v/>
          </cell>
          <cell r="AE856" t="str">
            <v/>
          </cell>
          <cell r="AF856" t="str">
            <v/>
          </cell>
          <cell r="AG856" t="str">
            <v>①</v>
          </cell>
          <cell r="AH856" t="str">
            <v/>
          </cell>
          <cell r="AI856" t="str">
            <v/>
          </cell>
        </row>
        <row r="857">
          <cell r="B857">
            <v>4925</v>
          </cell>
          <cell r="C857">
            <v>49</v>
          </cell>
          <cell r="D857">
            <v>25</v>
          </cell>
          <cell r="F857" t="str">
            <v>芝</v>
          </cell>
          <cell r="G857" t="str">
            <v>立体駐車場装置保守</v>
          </cell>
          <cell r="H857" t="str">
            <v>三菱重工ﾊﾟｰｷﾝｸﾞ建設</v>
          </cell>
          <cell r="I857">
            <v>111000</v>
          </cell>
          <cell r="J857">
            <v>113220</v>
          </cell>
          <cell r="K857">
            <v>12</v>
          </cell>
          <cell r="L857">
            <v>113220</v>
          </cell>
          <cell r="M857">
            <v>113220</v>
          </cell>
          <cell r="N857">
            <v>113220</v>
          </cell>
          <cell r="O857">
            <v>113220</v>
          </cell>
          <cell r="P857">
            <v>113220</v>
          </cell>
          <cell r="Q857">
            <v>113220</v>
          </cell>
          <cell r="R857">
            <v>113220</v>
          </cell>
          <cell r="S857">
            <v>113220</v>
          </cell>
          <cell r="T857">
            <v>113220</v>
          </cell>
          <cell r="U857">
            <v>113220</v>
          </cell>
          <cell r="V857">
            <v>113220</v>
          </cell>
          <cell r="W857">
            <v>113220</v>
          </cell>
          <cell r="X857" t="str">
            <v>④</v>
          </cell>
          <cell r="Y857" t="str">
            <v>⑤</v>
          </cell>
          <cell r="Z857" t="str">
            <v>⑥</v>
          </cell>
          <cell r="AA857" t="str">
            <v>⑦</v>
          </cell>
          <cell r="AB857" t="str">
            <v>⑧</v>
          </cell>
          <cell r="AC857" t="str">
            <v>⑨</v>
          </cell>
          <cell r="AD857" t="str">
            <v>⑩</v>
          </cell>
          <cell r="AE857" t="str">
            <v>⑪</v>
          </cell>
          <cell r="AF857" t="str">
            <v>⑫</v>
          </cell>
          <cell r="AG857" t="str">
            <v>①</v>
          </cell>
          <cell r="AH857" t="str">
            <v>②</v>
          </cell>
          <cell r="AI857" t="str">
            <v>③</v>
          </cell>
        </row>
        <row r="858">
          <cell r="B858">
            <v>4926</v>
          </cell>
          <cell r="C858">
            <v>49</v>
          </cell>
          <cell r="D858">
            <v>26</v>
          </cell>
          <cell r="F858" t="str">
            <v>芝</v>
          </cell>
          <cell r="G858" t="str">
            <v>害虫駆除</v>
          </cell>
          <cell r="H858" t="str">
            <v>セントラル商事</v>
          </cell>
          <cell r="I858">
            <v>354000</v>
          </cell>
          <cell r="J858">
            <v>389400</v>
          </cell>
          <cell r="K858">
            <v>2</v>
          </cell>
          <cell r="L858">
            <v>389400</v>
          </cell>
          <cell r="M858">
            <v>0</v>
          </cell>
          <cell r="N858">
            <v>0</v>
          </cell>
          <cell r="O858">
            <v>0</v>
          </cell>
          <cell r="P858">
            <v>0</v>
          </cell>
          <cell r="Q858">
            <v>0</v>
          </cell>
          <cell r="R858">
            <v>389400</v>
          </cell>
          <cell r="S858">
            <v>0</v>
          </cell>
          <cell r="T858">
            <v>0</v>
          </cell>
          <cell r="U858">
            <v>0</v>
          </cell>
          <cell r="V858">
            <v>0</v>
          </cell>
          <cell r="W858">
            <v>0</v>
          </cell>
          <cell r="X858" t="str">
            <v>④</v>
          </cell>
          <cell r="Y858" t="str">
            <v/>
          </cell>
          <cell r="Z858" t="str">
            <v/>
          </cell>
          <cell r="AA858" t="str">
            <v/>
          </cell>
          <cell r="AB858" t="str">
            <v/>
          </cell>
          <cell r="AC858" t="str">
            <v/>
          </cell>
          <cell r="AD858" t="str">
            <v>⑩</v>
          </cell>
          <cell r="AE858" t="str">
            <v/>
          </cell>
          <cell r="AF858" t="str">
            <v/>
          </cell>
          <cell r="AG858" t="str">
            <v/>
          </cell>
          <cell r="AH858" t="str">
            <v/>
          </cell>
          <cell r="AI858" t="str">
            <v/>
          </cell>
        </row>
        <row r="859">
          <cell r="B859">
            <v>4927</v>
          </cell>
          <cell r="C859">
            <v>49</v>
          </cell>
          <cell r="D859">
            <v>27</v>
          </cell>
          <cell r="F859" t="str">
            <v>芝</v>
          </cell>
          <cell r="G859" t="str">
            <v>汚水･雑排水槽清掃</v>
          </cell>
          <cell r="H859" t="str">
            <v>日本清管</v>
          </cell>
          <cell r="I859">
            <v>273400</v>
          </cell>
          <cell r="J859">
            <v>306208</v>
          </cell>
          <cell r="K859">
            <v>3</v>
          </cell>
          <cell r="L859">
            <v>306208</v>
          </cell>
          <cell r="M859">
            <v>0</v>
          </cell>
          <cell r="N859">
            <v>0</v>
          </cell>
          <cell r="O859">
            <v>0</v>
          </cell>
          <cell r="P859">
            <v>306208</v>
          </cell>
          <cell r="Q859">
            <v>0</v>
          </cell>
          <cell r="R859">
            <v>0</v>
          </cell>
          <cell r="S859">
            <v>0</v>
          </cell>
          <cell r="T859">
            <v>306208</v>
          </cell>
          <cell r="U859">
            <v>0</v>
          </cell>
          <cell r="V859">
            <v>0</v>
          </cell>
          <cell r="W859">
            <v>0</v>
          </cell>
          <cell r="X859" t="str">
            <v>④</v>
          </cell>
          <cell r="Y859" t="str">
            <v/>
          </cell>
          <cell r="Z859" t="str">
            <v/>
          </cell>
          <cell r="AA859" t="str">
            <v/>
          </cell>
          <cell r="AB859" t="str">
            <v>⑧</v>
          </cell>
          <cell r="AC859" t="str">
            <v/>
          </cell>
          <cell r="AD859" t="str">
            <v/>
          </cell>
          <cell r="AE859" t="str">
            <v/>
          </cell>
          <cell r="AF859" t="str">
            <v>⑫</v>
          </cell>
          <cell r="AG859" t="str">
            <v/>
          </cell>
          <cell r="AH859" t="str">
            <v/>
          </cell>
          <cell r="AI859" t="str">
            <v/>
          </cell>
        </row>
        <row r="860">
          <cell r="B860">
            <v>4928</v>
          </cell>
          <cell r="C860">
            <v>49</v>
          </cell>
          <cell r="D860">
            <v>28</v>
          </cell>
          <cell r="F860" t="str">
            <v>芝</v>
          </cell>
          <cell r="G860" t="str">
            <v>貯水槽清掃</v>
          </cell>
          <cell r="H860" t="str">
            <v>日本清管</v>
          </cell>
          <cell r="I860">
            <v>180000</v>
          </cell>
          <cell r="J860">
            <v>203400</v>
          </cell>
          <cell r="K860">
            <v>1</v>
          </cell>
          <cell r="L860">
            <v>0</v>
          </cell>
          <cell r="M860">
            <v>0</v>
          </cell>
          <cell r="N860">
            <v>0</v>
          </cell>
          <cell r="O860">
            <v>0</v>
          </cell>
          <cell r="P860">
            <v>0</v>
          </cell>
          <cell r="Q860">
            <v>0</v>
          </cell>
          <cell r="R860">
            <v>203400</v>
          </cell>
          <cell r="S860">
            <v>0</v>
          </cell>
          <cell r="T860">
            <v>0</v>
          </cell>
          <cell r="U860">
            <v>0</v>
          </cell>
          <cell r="V860">
            <v>0</v>
          </cell>
          <cell r="W860">
            <v>0</v>
          </cell>
          <cell r="X860" t="str">
            <v/>
          </cell>
          <cell r="Y860" t="str">
            <v/>
          </cell>
          <cell r="Z860" t="str">
            <v/>
          </cell>
          <cell r="AA860" t="str">
            <v/>
          </cell>
          <cell r="AB860" t="str">
            <v/>
          </cell>
          <cell r="AC860" t="str">
            <v/>
          </cell>
          <cell r="AD860" t="str">
            <v>⑩</v>
          </cell>
          <cell r="AE860" t="str">
            <v/>
          </cell>
          <cell r="AF860" t="str">
            <v/>
          </cell>
          <cell r="AG860" t="str">
            <v/>
          </cell>
          <cell r="AH860" t="str">
            <v/>
          </cell>
          <cell r="AI860" t="str">
            <v/>
          </cell>
        </row>
        <row r="861">
          <cell r="B861">
            <v>4929</v>
          </cell>
          <cell r="C861">
            <v>49</v>
          </cell>
          <cell r="D861">
            <v>29</v>
          </cell>
          <cell r="F861" t="str">
            <v>芝</v>
          </cell>
          <cell r="G861" t="str">
            <v>中央監視装置保守(空調)</v>
          </cell>
          <cell r="H861" t="str">
            <v>東京松下電工ｴﾝｼﾞﾆｱﾘﾝｸﾞ</v>
          </cell>
          <cell r="I861">
            <v>400000</v>
          </cell>
          <cell r="J861">
            <v>408000</v>
          </cell>
          <cell r="K861">
            <v>1</v>
          </cell>
          <cell r="L861">
            <v>408000</v>
          </cell>
          <cell r="M861">
            <v>0</v>
          </cell>
          <cell r="N861">
            <v>0</v>
          </cell>
          <cell r="O861">
            <v>0</v>
          </cell>
          <cell r="P861">
            <v>0</v>
          </cell>
          <cell r="Q861">
            <v>0</v>
          </cell>
          <cell r="R861">
            <v>0</v>
          </cell>
          <cell r="S861">
            <v>0</v>
          </cell>
          <cell r="T861">
            <v>0</v>
          </cell>
          <cell r="U861">
            <v>0</v>
          </cell>
          <cell r="V861">
            <v>0</v>
          </cell>
          <cell r="W861">
            <v>0</v>
          </cell>
          <cell r="X861" t="str">
            <v>④</v>
          </cell>
          <cell r="Y861" t="str">
            <v/>
          </cell>
          <cell r="Z861" t="str">
            <v/>
          </cell>
          <cell r="AA861" t="str">
            <v/>
          </cell>
          <cell r="AB861" t="str">
            <v/>
          </cell>
          <cell r="AC861" t="str">
            <v/>
          </cell>
          <cell r="AD861" t="str">
            <v/>
          </cell>
          <cell r="AE861" t="str">
            <v/>
          </cell>
          <cell r="AF861" t="str">
            <v/>
          </cell>
          <cell r="AG861" t="str">
            <v/>
          </cell>
          <cell r="AH861" t="str">
            <v/>
          </cell>
          <cell r="AI861" t="str">
            <v/>
          </cell>
        </row>
        <row r="862">
          <cell r="B862">
            <v>4930</v>
          </cell>
          <cell r="C862">
            <v>49</v>
          </cell>
          <cell r="D862">
            <v>30</v>
          </cell>
          <cell r="F862" t="str">
            <v>芝</v>
          </cell>
          <cell r="G862" t="str">
            <v>ターボ式冷凍機設備保守</v>
          </cell>
          <cell r="H862" t="str">
            <v>東洋製作所</v>
          </cell>
          <cell r="I862">
            <v>120000</v>
          </cell>
          <cell r="J862">
            <v>122400</v>
          </cell>
          <cell r="K862">
            <v>2</v>
          </cell>
          <cell r="L862">
            <v>0</v>
          </cell>
          <cell r="M862">
            <v>0</v>
          </cell>
          <cell r="N862">
            <v>122400</v>
          </cell>
          <cell r="O862">
            <v>0</v>
          </cell>
          <cell r="P862">
            <v>0</v>
          </cell>
          <cell r="Q862">
            <v>122400</v>
          </cell>
          <cell r="R862">
            <v>0</v>
          </cell>
          <cell r="S862">
            <v>0</v>
          </cell>
          <cell r="T862">
            <v>0</v>
          </cell>
          <cell r="U862">
            <v>0</v>
          </cell>
          <cell r="V862">
            <v>0</v>
          </cell>
          <cell r="W862">
            <v>0</v>
          </cell>
          <cell r="X862" t="str">
            <v/>
          </cell>
          <cell r="Z862" t="str">
            <v>⑥</v>
          </cell>
          <cell r="AA862" t="str">
            <v/>
          </cell>
          <cell r="AB862" t="str">
            <v/>
          </cell>
          <cell r="AC862" t="str">
            <v>⑨</v>
          </cell>
          <cell r="AD862" t="str">
            <v/>
          </cell>
          <cell r="AE862" t="str">
            <v/>
          </cell>
          <cell r="AF862" t="str">
            <v/>
          </cell>
          <cell r="AG862" t="str">
            <v/>
          </cell>
          <cell r="AH862" t="str">
            <v/>
          </cell>
          <cell r="AI862" t="str">
            <v/>
          </cell>
        </row>
        <row r="863">
          <cell r="B863">
            <v>4931</v>
          </cell>
          <cell r="C863">
            <v>49</v>
          </cell>
          <cell r="D863">
            <v>31</v>
          </cell>
          <cell r="F863" t="str">
            <v>芝</v>
          </cell>
          <cell r="G863" t="str">
            <v>ターボ式冷凍機設備保守</v>
          </cell>
          <cell r="H863" t="str">
            <v>東洋製作所</v>
          </cell>
          <cell r="I863">
            <v>300000</v>
          </cell>
          <cell r="J863">
            <v>306000</v>
          </cell>
          <cell r="K863">
            <v>1</v>
          </cell>
          <cell r="L863">
            <v>0</v>
          </cell>
          <cell r="M863">
            <v>0</v>
          </cell>
          <cell r="N863">
            <v>0</v>
          </cell>
          <cell r="O863">
            <v>0</v>
          </cell>
          <cell r="P863">
            <v>0</v>
          </cell>
          <cell r="Q863">
            <v>0</v>
          </cell>
          <cell r="R863">
            <v>0</v>
          </cell>
          <cell r="S863">
            <v>306000</v>
          </cell>
          <cell r="T863">
            <v>0</v>
          </cell>
          <cell r="U863">
            <v>0</v>
          </cell>
          <cell r="V863">
            <v>0</v>
          </cell>
          <cell r="W863">
            <v>0</v>
          </cell>
          <cell r="X863" t="str">
            <v/>
          </cell>
          <cell r="Y863" t="str">
            <v/>
          </cell>
          <cell r="Z863" t="str">
            <v/>
          </cell>
          <cell r="AA863" t="str">
            <v/>
          </cell>
          <cell r="AB863" t="str">
            <v/>
          </cell>
          <cell r="AC863" t="str">
            <v/>
          </cell>
          <cell r="AD863" t="str">
            <v/>
          </cell>
          <cell r="AE863" t="str">
            <v>⑪</v>
          </cell>
          <cell r="AG863" t="str">
            <v/>
          </cell>
          <cell r="AH863" t="str">
            <v/>
          </cell>
          <cell r="AI863" t="str">
            <v/>
          </cell>
        </row>
        <row r="864">
          <cell r="B864">
            <v>4932</v>
          </cell>
          <cell r="C864">
            <v>49</v>
          </cell>
          <cell r="D864">
            <v>32</v>
          </cell>
          <cell r="F864" t="str">
            <v>芝</v>
          </cell>
          <cell r="G864" t="str">
            <v>冷温水発生機設備保守</v>
          </cell>
          <cell r="H864" t="str">
            <v>東洋製作所</v>
          </cell>
          <cell r="I864">
            <v>180000</v>
          </cell>
          <cell r="J864">
            <v>183600</v>
          </cell>
          <cell r="K864">
            <v>2</v>
          </cell>
          <cell r="L864">
            <v>0</v>
          </cell>
          <cell r="M864">
            <v>0</v>
          </cell>
          <cell r="N864">
            <v>183600</v>
          </cell>
          <cell r="O864">
            <v>0</v>
          </cell>
          <cell r="P864">
            <v>0</v>
          </cell>
          <cell r="Q864">
            <v>183600</v>
          </cell>
          <cell r="R864">
            <v>0</v>
          </cell>
          <cell r="S864">
            <v>0</v>
          </cell>
          <cell r="T864">
            <v>0</v>
          </cell>
          <cell r="U864">
            <v>0</v>
          </cell>
          <cell r="V864">
            <v>0</v>
          </cell>
          <cell r="W864">
            <v>0</v>
          </cell>
          <cell r="X864" t="str">
            <v/>
          </cell>
          <cell r="Z864" t="str">
            <v>⑥</v>
          </cell>
          <cell r="AA864" t="str">
            <v/>
          </cell>
          <cell r="AB864" t="str">
            <v/>
          </cell>
          <cell r="AC864" t="str">
            <v>⑨</v>
          </cell>
          <cell r="AD864" t="str">
            <v/>
          </cell>
          <cell r="AE864" t="str">
            <v/>
          </cell>
          <cell r="AF864" t="str">
            <v/>
          </cell>
          <cell r="AG864" t="str">
            <v/>
          </cell>
          <cell r="AH864" t="str">
            <v/>
          </cell>
          <cell r="AI864" t="str">
            <v/>
          </cell>
        </row>
        <row r="865">
          <cell r="B865">
            <v>4933</v>
          </cell>
          <cell r="C865">
            <v>49</v>
          </cell>
          <cell r="D865">
            <v>33</v>
          </cell>
          <cell r="F865" t="str">
            <v>芝</v>
          </cell>
          <cell r="G865" t="str">
            <v>冷温水発生機設備保守</v>
          </cell>
          <cell r="H865" t="str">
            <v>東洋製作所</v>
          </cell>
          <cell r="I865">
            <v>650000</v>
          </cell>
          <cell r="J865">
            <v>663000</v>
          </cell>
          <cell r="K865">
            <v>1</v>
          </cell>
          <cell r="L865">
            <v>0</v>
          </cell>
          <cell r="M865">
            <v>0</v>
          </cell>
          <cell r="N865">
            <v>0</v>
          </cell>
          <cell r="O865">
            <v>0</v>
          </cell>
          <cell r="P865">
            <v>0</v>
          </cell>
          <cell r="Q865">
            <v>0</v>
          </cell>
          <cell r="R865">
            <v>0</v>
          </cell>
          <cell r="S865">
            <v>663000</v>
          </cell>
          <cell r="T865">
            <v>0</v>
          </cell>
          <cell r="U865">
            <v>0</v>
          </cell>
          <cell r="V865">
            <v>0</v>
          </cell>
          <cell r="W865">
            <v>0</v>
          </cell>
          <cell r="X865" t="str">
            <v/>
          </cell>
          <cell r="Y865" t="str">
            <v/>
          </cell>
          <cell r="Z865" t="str">
            <v/>
          </cell>
          <cell r="AA865" t="str">
            <v/>
          </cell>
          <cell r="AB865" t="str">
            <v/>
          </cell>
          <cell r="AC865" t="str">
            <v/>
          </cell>
          <cell r="AD865" t="str">
            <v/>
          </cell>
          <cell r="AE865" t="str">
            <v>⑪</v>
          </cell>
          <cell r="AF865" t="str">
            <v/>
          </cell>
          <cell r="AG865" t="str">
            <v/>
          </cell>
          <cell r="AH865" t="str">
            <v/>
          </cell>
          <cell r="AI865" t="str">
            <v/>
          </cell>
        </row>
        <row r="866">
          <cell r="B866">
            <v>4934</v>
          </cell>
          <cell r="C866">
            <v>49</v>
          </cell>
          <cell r="D866">
            <v>34</v>
          </cell>
          <cell r="F866" t="str">
            <v>芝</v>
          </cell>
          <cell r="G866" t="str">
            <v>冷温水発生機設備保守</v>
          </cell>
          <cell r="H866" t="str">
            <v>東洋製作所</v>
          </cell>
          <cell r="I866">
            <v>150000</v>
          </cell>
          <cell r="J866">
            <v>153000</v>
          </cell>
          <cell r="K866">
            <v>1</v>
          </cell>
          <cell r="L866">
            <v>0</v>
          </cell>
          <cell r="M866">
            <v>0</v>
          </cell>
          <cell r="N866">
            <v>0</v>
          </cell>
          <cell r="O866">
            <v>0</v>
          </cell>
          <cell r="P866">
            <v>0</v>
          </cell>
          <cell r="Q866">
            <v>0</v>
          </cell>
          <cell r="R866">
            <v>0</v>
          </cell>
          <cell r="S866">
            <v>0</v>
          </cell>
          <cell r="T866">
            <v>0</v>
          </cell>
          <cell r="U866">
            <v>0</v>
          </cell>
          <cell r="V866">
            <v>153000</v>
          </cell>
          <cell r="W866">
            <v>0</v>
          </cell>
          <cell r="X866" t="str">
            <v/>
          </cell>
          <cell r="Y866" t="str">
            <v/>
          </cell>
          <cell r="Z866" t="str">
            <v/>
          </cell>
          <cell r="AA866" t="str">
            <v/>
          </cell>
          <cell r="AB866" t="str">
            <v/>
          </cell>
          <cell r="AC866" t="str">
            <v/>
          </cell>
          <cell r="AD866" t="str">
            <v/>
          </cell>
          <cell r="AE866" t="str">
            <v/>
          </cell>
          <cell r="AF866" t="str">
            <v/>
          </cell>
          <cell r="AH866" t="str">
            <v>②</v>
          </cell>
          <cell r="AI866" t="str">
            <v/>
          </cell>
        </row>
        <row r="867">
          <cell r="B867">
            <v>4935</v>
          </cell>
          <cell r="C867">
            <v>49</v>
          </cell>
          <cell r="D867">
            <v>35</v>
          </cell>
          <cell r="F867" t="str">
            <v>芝</v>
          </cell>
          <cell r="G867" t="str">
            <v>空調用自動制御機器保守</v>
          </cell>
          <cell r="H867" t="str">
            <v>横河ｼﾞｮﾝｿﾝｺﾝﾄﾛｰﾙｽﾞ</v>
          </cell>
          <cell r="I867">
            <v>388361</v>
          </cell>
          <cell r="J867">
            <v>396128</v>
          </cell>
          <cell r="K867">
            <v>2</v>
          </cell>
          <cell r="L867">
            <v>396128</v>
          </cell>
          <cell r="M867">
            <v>0</v>
          </cell>
          <cell r="N867">
            <v>0</v>
          </cell>
          <cell r="O867">
            <v>0</v>
          </cell>
          <cell r="P867">
            <v>0</v>
          </cell>
          <cell r="Q867">
            <v>0</v>
          </cell>
          <cell r="R867">
            <v>396128</v>
          </cell>
          <cell r="S867">
            <v>0</v>
          </cell>
          <cell r="T867">
            <v>0</v>
          </cell>
          <cell r="U867">
            <v>0</v>
          </cell>
          <cell r="V867">
            <v>0</v>
          </cell>
          <cell r="W867">
            <v>0</v>
          </cell>
          <cell r="X867" t="str">
            <v>④</v>
          </cell>
          <cell r="Y867" t="str">
            <v/>
          </cell>
          <cell r="Z867" t="str">
            <v/>
          </cell>
          <cell r="AA867" t="str">
            <v/>
          </cell>
          <cell r="AB867" t="str">
            <v/>
          </cell>
          <cell r="AC867" t="str">
            <v/>
          </cell>
          <cell r="AD867" t="str">
            <v>⑩</v>
          </cell>
          <cell r="AE867" t="str">
            <v/>
          </cell>
          <cell r="AF867" t="str">
            <v/>
          </cell>
          <cell r="AG867" t="str">
            <v/>
          </cell>
          <cell r="AH867" t="str">
            <v/>
          </cell>
          <cell r="AI867" t="str">
            <v/>
          </cell>
        </row>
        <row r="868">
          <cell r="B868">
            <v>4936</v>
          </cell>
          <cell r="C868">
            <v>49</v>
          </cell>
          <cell r="D868">
            <v>36</v>
          </cell>
          <cell r="F868" t="str">
            <v>芝</v>
          </cell>
          <cell r="G868" t="str">
            <v>空調用自動制御機器保守</v>
          </cell>
          <cell r="H868" t="str">
            <v>横河ｼﾞｮﾝｿﾝｺﾝﾄﾛｰﾙｽﾞ</v>
          </cell>
          <cell r="I868">
            <v>158270</v>
          </cell>
          <cell r="J868">
            <v>161435</v>
          </cell>
          <cell r="K868">
            <v>1</v>
          </cell>
          <cell r="L868">
            <v>0</v>
          </cell>
          <cell r="M868">
            <v>0</v>
          </cell>
          <cell r="N868">
            <v>161435</v>
          </cell>
          <cell r="O868">
            <v>0</v>
          </cell>
          <cell r="P868">
            <v>0</v>
          </cell>
          <cell r="Q868">
            <v>0</v>
          </cell>
          <cell r="R868">
            <v>0</v>
          </cell>
          <cell r="S868">
            <v>0</v>
          </cell>
          <cell r="T868">
            <v>0</v>
          </cell>
          <cell r="U868">
            <v>0</v>
          </cell>
          <cell r="V868">
            <v>0</v>
          </cell>
          <cell r="W868">
            <v>0</v>
          </cell>
          <cell r="X868" t="str">
            <v/>
          </cell>
          <cell r="Y868" t="str">
            <v/>
          </cell>
          <cell r="Z868" t="str">
            <v>⑥</v>
          </cell>
          <cell r="AA868" t="str">
            <v/>
          </cell>
          <cell r="AB868" t="str">
            <v/>
          </cell>
          <cell r="AC868" t="str">
            <v/>
          </cell>
          <cell r="AD868" t="str">
            <v/>
          </cell>
          <cell r="AE868" t="str">
            <v/>
          </cell>
          <cell r="AF868" t="str">
            <v/>
          </cell>
          <cell r="AG868" t="str">
            <v/>
          </cell>
          <cell r="AH868" t="str">
            <v/>
          </cell>
          <cell r="AI868" t="str">
            <v/>
          </cell>
        </row>
        <row r="869">
          <cell r="B869">
            <v>4937</v>
          </cell>
          <cell r="C869">
            <v>49</v>
          </cell>
          <cell r="D869">
            <v>37</v>
          </cell>
          <cell r="F869" t="str">
            <v>芝</v>
          </cell>
          <cell r="G869" t="str">
            <v>空調用自動制御機器保守</v>
          </cell>
          <cell r="H869" t="str">
            <v>横河ｼﾞｮﾝｿﾝｺﾝﾄﾛｰﾙｽﾞ</v>
          </cell>
          <cell r="I869">
            <v>208810</v>
          </cell>
          <cell r="J869">
            <v>212986</v>
          </cell>
          <cell r="K869">
            <v>1</v>
          </cell>
          <cell r="L869">
            <v>0</v>
          </cell>
          <cell r="M869">
            <v>0</v>
          </cell>
          <cell r="N869">
            <v>0</v>
          </cell>
          <cell r="O869">
            <v>0</v>
          </cell>
          <cell r="P869">
            <v>212986</v>
          </cell>
          <cell r="Q869">
            <v>0</v>
          </cell>
          <cell r="R869">
            <v>0</v>
          </cell>
          <cell r="S869">
            <v>0</v>
          </cell>
          <cell r="T869">
            <v>0</v>
          </cell>
          <cell r="U869">
            <v>0</v>
          </cell>
          <cell r="V869">
            <v>0</v>
          </cell>
          <cell r="W869">
            <v>0</v>
          </cell>
          <cell r="X869" t="str">
            <v/>
          </cell>
          <cell r="Y869" t="str">
            <v/>
          </cell>
          <cell r="Z869" t="str">
            <v/>
          </cell>
          <cell r="AA869" t="str">
            <v/>
          </cell>
          <cell r="AB869" t="str">
            <v>⑧</v>
          </cell>
          <cell r="AC869" t="str">
            <v/>
          </cell>
          <cell r="AD869" t="str">
            <v/>
          </cell>
          <cell r="AE869" t="str">
            <v/>
          </cell>
          <cell r="AF869" t="str">
            <v/>
          </cell>
          <cell r="AG869" t="str">
            <v/>
          </cell>
          <cell r="AH869" t="str">
            <v/>
          </cell>
          <cell r="AI869" t="str">
            <v/>
          </cell>
        </row>
        <row r="870">
          <cell r="B870">
            <v>4938</v>
          </cell>
          <cell r="C870">
            <v>49</v>
          </cell>
          <cell r="D870">
            <v>38</v>
          </cell>
          <cell r="F870" t="str">
            <v>芝</v>
          </cell>
          <cell r="G870" t="str">
            <v>空調用自動制御機器保守</v>
          </cell>
          <cell r="H870" t="str">
            <v>横河ｼﾞｮﾝｿﾝｺﾝﾄﾛｰﾙｽﾞ</v>
          </cell>
          <cell r="I870">
            <v>134330</v>
          </cell>
          <cell r="J870">
            <v>137016</v>
          </cell>
          <cell r="K870">
            <v>1</v>
          </cell>
          <cell r="L870">
            <v>0</v>
          </cell>
          <cell r="M870">
            <v>0</v>
          </cell>
          <cell r="N870">
            <v>0</v>
          </cell>
          <cell r="O870">
            <v>0</v>
          </cell>
          <cell r="P870">
            <v>0</v>
          </cell>
          <cell r="Q870">
            <v>0</v>
          </cell>
          <cell r="R870">
            <v>0</v>
          </cell>
          <cell r="S870">
            <v>0</v>
          </cell>
          <cell r="T870">
            <v>137016</v>
          </cell>
          <cell r="U870">
            <v>0</v>
          </cell>
          <cell r="V870">
            <v>0</v>
          </cell>
          <cell r="W870">
            <v>0</v>
          </cell>
          <cell r="X870" t="str">
            <v/>
          </cell>
          <cell r="Y870" t="str">
            <v/>
          </cell>
          <cell r="Z870" t="str">
            <v/>
          </cell>
          <cell r="AA870" t="str">
            <v/>
          </cell>
          <cell r="AB870" t="str">
            <v/>
          </cell>
          <cell r="AC870" t="str">
            <v/>
          </cell>
          <cell r="AD870" t="str">
            <v/>
          </cell>
          <cell r="AE870" t="str">
            <v/>
          </cell>
          <cell r="AF870" t="str">
            <v>⑫</v>
          </cell>
          <cell r="AG870" t="str">
            <v/>
          </cell>
          <cell r="AH870" t="str">
            <v/>
          </cell>
          <cell r="AI870" t="str">
            <v/>
          </cell>
        </row>
        <row r="871">
          <cell r="B871">
            <v>4939</v>
          </cell>
          <cell r="C871">
            <v>49</v>
          </cell>
          <cell r="D871">
            <v>39</v>
          </cell>
          <cell r="F871" t="str">
            <v>芝</v>
          </cell>
          <cell r="G871" t="str">
            <v>空調用自動制御機器保守</v>
          </cell>
          <cell r="H871" t="str">
            <v>横河ｼﾞｮﾝｿﾝｺﾝﾄﾛｰﾙｽﾞ</v>
          </cell>
          <cell r="I871">
            <v>51870</v>
          </cell>
          <cell r="J871">
            <v>52907</v>
          </cell>
          <cell r="K871">
            <v>1</v>
          </cell>
          <cell r="L871">
            <v>0</v>
          </cell>
          <cell r="M871">
            <v>0</v>
          </cell>
          <cell r="N871">
            <v>0</v>
          </cell>
          <cell r="O871">
            <v>0</v>
          </cell>
          <cell r="P871">
            <v>0</v>
          </cell>
          <cell r="Q871">
            <v>0</v>
          </cell>
          <cell r="R871">
            <v>0</v>
          </cell>
          <cell r="S871">
            <v>0</v>
          </cell>
          <cell r="T871">
            <v>0</v>
          </cell>
          <cell r="U871">
            <v>52907</v>
          </cell>
          <cell r="V871">
            <v>0</v>
          </cell>
          <cell r="W871">
            <v>0</v>
          </cell>
          <cell r="X871" t="str">
            <v/>
          </cell>
          <cell r="Y871" t="str">
            <v/>
          </cell>
          <cell r="Z871" t="str">
            <v/>
          </cell>
          <cell r="AA871" t="str">
            <v/>
          </cell>
          <cell r="AB871" t="str">
            <v/>
          </cell>
          <cell r="AC871" t="str">
            <v/>
          </cell>
          <cell r="AD871" t="str">
            <v/>
          </cell>
          <cell r="AE871" t="str">
            <v/>
          </cell>
          <cell r="AF871" t="str">
            <v/>
          </cell>
          <cell r="AG871" t="str">
            <v>①</v>
          </cell>
          <cell r="AH871" t="str">
            <v/>
          </cell>
          <cell r="AI871" t="str">
            <v/>
          </cell>
        </row>
        <row r="872">
          <cell r="B872">
            <v>4940</v>
          </cell>
          <cell r="C872">
            <v>49</v>
          </cell>
          <cell r="D872">
            <v>40</v>
          </cell>
          <cell r="F872" t="str">
            <v>芝</v>
          </cell>
          <cell r="G872" t="str">
            <v>自動ドアー保守</v>
          </cell>
          <cell r="H872" t="str">
            <v>ナブコシステム</v>
          </cell>
          <cell r="I872">
            <v>21000</v>
          </cell>
          <cell r="J872">
            <v>21420</v>
          </cell>
          <cell r="K872">
            <v>4</v>
          </cell>
          <cell r="L872">
            <v>21420</v>
          </cell>
          <cell r="M872">
            <v>0</v>
          </cell>
          <cell r="N872">
            <v>0</v>
          </cell>
          <cell r="O872">
            <v>21420</v>
          </cell>
          <cell r="P872">
            <v>0</v>
          </cell>
          <cell r="Q872">
            <v>0</v>
          </cell>
          <cell r="R872">
            <v>21420</v>
          </cell>
          <cell r="S872">
            <v>0</v>
          </cell>
          <cell r="T872">
            <v>0</v>
          </cell>
          <cell r="U872">
            <v>21420</v>
          </cell>
          <cell r="V872">
            <v>0</v>
          </cell>
          <cell r="W872">
            <v>0</v>
          </cell>
          <cell r="X872" t="str">
            <v>④</v>
          </cell>
          <cell r="Y872" t="str">
            <v/>
          </cell>
          <cell r="Z872" t="str">
            <v/>
          </cell>
          <cell r="AA872" t="str">
            <v>⑦</v>
          </cell>
          <cell r="AB872" t="str">
            <v/>
          </cell>
          <cell r="AC872" t="str">
            <v/>
          </cell>
          <cell r="AD872" t="str">
            <v>⑩</v>
          </cell>
          <cell r="AE872" t="str">
            <v/>
          </cell>
          <cell r="AF872" t="str">
            <v/>
          </cell>
          <cell r="AG872" t="str">
            <v>①</v>
          </cell>
          <cell r="AH872" t="str">
            <v/>
          </cell>
          <cell r="AI872" t="str">
            <v/>
          </cell>
        </row>
        <row r="873">
          <cell r="B873">
            <v>4941</v>
          </cell>
          <cell r="C873">
            <v>49</v>
          </cell>
          <cell r="D873">
            <v>41</v>
          </cell>
          <cell r="F873" t="str">
            <v>芝</v>
          </cell>
          <cell r="G873" t="str">
            <v>植栽管理</v>
          </cell>
          <cell r="H873" t="str">
            <v>王子緑化</v>
          </cell>
          <cell r="I873">
            <v>35000</v>
          </cell>
          <cell r="J873">
            <v>35700</v>
          </cell>
          <cell r="K873">
            <v>1</v>
          </cell>
          <cell r="L873">
            <v>0</v>
          </cell>
          <cell r="M873">
            <v>35700</v>
          </cell>
          <cell r="N873">
            <v>0</v>
          </cell>
          <cell r="O873">
            <v>0</v>
          </cell>
          <cell r="P873">
            <v>0</v>
          </cell>
          <cell r="Q873">
            <v>0</v>
          </cell>
          <cell r="R873">
            <v>0</v>
          </cell>
          <cell r="S873">
            <v>0</v>
          </cell>
          <cell r="T873">
            <v>0</v>
          </cell>
          <cell r="U873">
            <v>0</v>
          </cell>
          <cell r="V873">
            <v>0</v>
          </cell>
          <cell r="W873">
            <v>0</v>
          </cell>
          <cell r="X873" t="str">
            <v/>
          </cell>
          <cell r="Y873" t="str">
            <v>⑤</v>
          </cell>
          <cell r="Z873" t="str">
            <v/>
          </cell>
          <cell r="AA873" t="str">
            <v/>
          </cell>
          <cell r="AB873" t="str">
            <v/>
          </cell>
          <cell r="AC873" t="str">
            <v/>
          </cell>
          <cell r="AD873" t="str">
            <v/>
          </cell>
          <cell r="AE873" t="str">
            <v/>
          </cell>
          <cell r="AF873" t="str">
            <v/>
          </cell>
          <cell r="AG873" t="str">
            <v/>
          </cell>
          <cell r="AH873" t="str">
            <v/>
          </cell>
          <cell r="AI873" t="str">
            <v/>
          </cell>
        </row>
        <row r="874">
          <cell r="B874">
            <v>4942</v>
          </cell>
          <cell r="C874">
            <v>49</v>
          </cell>
          <cell r="D874">
            <v>42</v>
          </cell>
          <cell r="F874" t="str">
            <v>芝</v>
          </cell>
          <cell r="G874" t="str">
            <v>植栽管理</v>
          </cell>
          <cell r="H874" t="str">
            <v>王子緑化</v>
          </cell>
          <cell r="I874">
            <v>150000</v>
          </cell>
          <cell r="J874">
            <v>153000</v>
          </cell>
          <cell r="K874">
            <v>1</v>
          </cell>
          <cell r="L874">
            <v>0</v>
          </cell>
          <cell r="M874">
            <v>0</v>
          </cell>
          <cell r="N874">
            <v>0</v>
          </cell>
          <cell r="O874">
            <v>153000</v>
          </cell>
          <cell r="P874">
            <v>0</v>
          </cell>
          <cell r="Q874">
            <v>0</v>
          </cell>
          <cell r="R874">
            <v>0</v>
          </cell>
          <cell r="S874">
            <v>0</v>
          </cell>
          <cell r="T874">
            <v>0</v>
          </cell>
          <cell r="U874">
            <v>0</v>
          </cell>
          <cell r="V874">
            <v>0</v>
          </cell>
          <cell r="W874">
            <v>0</v>
          </cell>
          <cell r="X874" t="str">
            <v/>
          </cell>
          <cell r="Y874" t="str">
            <v/>
          </cell>
          <cell r="Z874" t="str">
            <v/>
          </cell>
          <cell r="AA874" t="str">
            <v>⑦</v>
          </cell>
          <cell r="AB874" t="str">
            <v/>
          </cell>
          <cell r="AC874" t="str">
            <v/>
          </cell>
          <cell r="AD874" t="str">
            <v/>
          </cell>
          <cell r="AE874" t="str">
            <v/>
          </cell>
          <cell r="AF874" t="str">
            <v/>
          </cell>
          <cell r="AG874" t="str">
            <v/>
          </cell>
          <cell r="AH874" t="str">
            <v/>
          </cell>
          <cell r="AI874" t="str">
            <v/>
          </cell>
        </row>
        <row r="875">
          <cell r="B875">
            <v>4943</v>
          </cell>
          <cell r="C875">
            <v>49</v>
          </cell>
          <cell r="D875">
            <v>43</v>
          </cell>
          <cell r="F875" t="str">
            <v>芝</v>
          </cell>
          <cell r="G875" t="str">
            <v>植栽管理</v>
          </cell>
          <cell r="H875" t="str">
            <v>王子緑化</v>
          </cell>
          <cell r="I875">
            <v>170000</v>
          </cell>
          <cell r="J875">
            <v>173400</v>
          </cell>
          <cell r="K875">
            <v>1</v>
          </cell>
          <cell r="L875">
            <v>0</v>
          </cell>
          <cell r="M875">
            <v>0</v>
          </cell>
          <cell r="N875">
            <v>0</v>
          </cell>
          <cell r="O875">
            <v>0</v>
          </cell>
          <cell r="P875">
            <v>173400</v>
          </cell>
          <cell r="Q875">
            <v>0</v>
          </cell>
          <cell r="R875">
            <v>0</v>
          </cell>
          <cell r="S875">
            <v>0</v>
          </cell>
          <cell r="T875">
            <v>0</v>
          </cell>
          <cell r="U875">
            <v>0</v>
          </cell>
          <cell r="V875">
            <v>0</v>
          </cell>
          <cell r="W875">
            <v>0</v>
          </cell>
          <cell r="X875" t="str">
            <v/>
          </cell>
          <cell r="Y875" t="str">
            <v/>
          </cell>
          <cell r="Z875" t="str">
            <v/>
          </cell>
          <cell r="AA875" t="str">
            <v/>
          </cell>
          <cell r="AB875" t="str">
            <v>⑧</v>
          </cell>
          <cell r="AC875" t="str">
            <v/>
          </cell>
          <cell r="AD875" t="str">
            <v/>
          </cell>
          <cell r="AE875" t="str">
            <v/>
          </cell>
          <cell r="AF875" t="str">
            <v/>
          </cell>
          <cell r="AG875" t="str">
            <v/>
          </cell>
          <cell r="AH875" t="str">
            <v/>
          </cell>
          <cell r="AI875" t="str">
            <v/>
          </cell>
        </row>
        <row r="876">
          <cell r="B876">
            <v>4944</v>
          </cell>
          <cell r="C876">
            <v>49</v>
          </cell>
          <cell r="D876">
            <v>44</v>
          </cell>
          <cell r="F876" t="str">
            <v>芝</v>
          </cell>
          <cell r="G876" t="str">
            <v>植栽管理</v>
          </cell>
          <cell r="H876" t="str">
            <v>王子緑化</v>
          </cell>
          <cell r="I876">
            <v>100000</v>
          </cell>
          <cell r="J876">
            <v>102000</v>
          </cell>
          <cell r="K876">
            <v>1</v>
          </cell>
          <cell r="L876">
            <v>0</v>
          </cell>
          <cell r="M876">
            <v>0</v>
          </cell>
          <cell r="N876">
            <v>0</v>
          </cell>
          <cell r="O876">
            <v>0</v>
          </cell>
          <cell r="P876">
            <v>0</v>
          </cell>
          <cell r="Q876">
            <v>0</v>
          </cell>
          <cell r="R876">
            <v>0</v>
          </cell>
          <cell r="S876">
            <v>102000</v>
          </cell>
          <cell r="T876">
            <v>0</v>
          </cell>
          <cell r="U876">
            <v>0</v>
          </cell>
          <cell r="V876">
            <v>0</v>
          </cell>
          <cell r="W876">
            <v>0</v>
          </cell>
          <cell r="X876" t="str">
            <v/>
          </cell>
          <cell r="Y876" t="str">
            <v/>
          </cell>
          <cell r="Z876" t="str">
            <v/>
          </cell>
          <cell r="AA876" t="str">
            <v/>
          </cell>
          <cell r="AB876" t="str">
            <v/>
          </cell>
          <cell r="AC876" t="str">
            <v/>
          </cell>
          <cell r="AD876" t="str">
            <v/>
          </cell>
          <cell r="AE876" t="str">
            <v>⑪</v>
          </cell>
          <cell r="AF876" t="str">
            <v/>
          </cell>
          <cell r="AG876" t="str">
            <v/>
          </cell>
          <cell r="AH876" t="str">
            <v/>
          </cell>
          <cell r="AI876" t="str">
            <v/>
          </cell>
        </row>
        <row r="877">
          <cell r="B877">
            <v>4945</v>
          </cell>
          <cell r="C877">
            <v>49</v>
          </cell>
          <cell r="D877">
            <v>45</v>
          </cell>
          <cell r="F877" t="str">
            <v>芝</v>
          </cell>
          <cell r="G877" t="str">
            <v>植栽管理</v>
          </cell>
          <cell r="H877" t="str">
            <v>王子緑化</v>
          </cell>
          <cell r="I877">
            <v>45000</v>
          </cell>
          <cell r="J877">
            <v>45900</v>
          </cell>
          <cell r="K877">
            <v>1</v>
          </cell>
          <cell r="L877">
            <v>0</v>
          </cell>
          <cell r="M877">
            <v>0</v>
          </cell>
          <cell r="N877">
            <v>0</v>
          </cell>
          <cell r="O877">
            <v>0</v>
          </cell>
          <cell r="P877">
            <v>0</v>
          </cell>
          <cell r="Q877">
            <v>0</v>
          </cell>
          <cell r="R877">
            <v>0</v>
          </cell>
          <cell r="S877">
            <v>0</v>
          </cell>
          <cell r="T877">
            <v>0</v>
          </cell>
          <cell r="U877">
            <v>45900</v>
          </cell>
          <cell r="V877">
            <v>0</v>
          </cell>
          <cell r="W877">
            <v>0</v>
          </cell>
          <cell r="X877" t="str">
            <v/>
          </cell>
          <cell r="Y877" t="str">
            <v/>
          </cell>
          <cell r="Z877" t="str">
            <v/>
          </cell>
          <cell r="AA877" t="str">
            <v/>
          </cell>
          <cell r="AB877" t="str">
            <v/>
          </cell>
          <cell r="AC877" t="str">
            <v/>
          </cell>
          <cell r="AD877" t="str">
            <v/>
          </cell>
          <cell r="AE877" t="str">
            <v/>
          </cell>
          <cell r="AF877" t="str">
            <v/>
          </cell>
          <cell r="AG877" t="str">
            <v>①</v>
          </cell>
          <cell r="AH877" t="str">
            <v/>
          </cell>
          <cell r="AI877" t="str">
            <v/>
          </cell>
        </row>
        <row r="878">
          <cell r="B878">
            <v>4946</v>
          </cell>
          <cell r="C878">
            <v>49</v>
          </cell>
          <cell r="D878">
            <v>46</v>
          </cell>
          <cell r="F878" t="str">
            <v>芝</v>
          </cell>
          <cell r="G878" t="str">
            <v>貸鉢代(貸植木)</v>
          </cell>
          <cell r="H878" t="str">
            <v>富士植木</v>
          </cell>
          <cell r="I878">
            <v>20000</v>
          </cell>
          <cell r="J878">
            <v>20400</v>
          </cell>
          <cell r="K878">
            <v>12</v>
          </cell>
          <cell r="L878">
            <v>20400</v>
          </cell>
          <cell r="M878">
            <v>20400</v>
          </cell>
          <cell r="N878">
            <v>20400</v>
          </cell>
          <cell r="O878">
            <v>20400</v>
          </cell>
          <cell r="P878">
            <v>20400</v>
          </cell>
          <cell r="Q878">
            <v>20400</v>
          </cell>
          <cell r="R878">
            <v>20400</v>
          </cell>
          <cell r="S878">
            <v>20400</v>
          </cell>
          <cell r="T878">
            <v>20400</v>
          </cell>
          <cell r="U878">
            <v>20400</v>
          </cell>
          <cell r="V878">
            <v>20400</v>
          </cell>
          <cell r="W878">
            <v>20400</v>
          </cell>
          <cell r="X878" t="str">
            <v>④</v>
          </cell>
          <cell r="Y878" t="str">
            <v>⑤</v>
          </cell>
          <cell r="Z878" t="str">
            <v>⑥</v>
          </cell>
          <cell r="AA878" t="str">
            <v>⑦</v>
          </cell>
          <cell r="AB878" t="str">
            <v>⑧</v>
          </cell>
          <cell r="AC878" t="str">
            <v>⑨</v>
          </cell>
          <cell r="AD878" t="str">
            <v>⑩</v>
          </cell>
          <cell r="AE878" t="str">
            <v>⑪</v>
          </cell>
          <cell r="AF878" t="str">
            <v>⑫</v>
          </cell>
          <cell r="AG878" t="str">
            <v>①</v>
          </cell>
          <cell r="AH878" t="str">
            <v>②</v>
          </cell>
          <cell r="AI878" t="str">
            <v>③</v>
          </cell>
        </row>
        <row r="879">
          <cell r="B879">
            <v>5001</v>
          </cell>
          <cell r="C879">
            <v>50</v>
          </cell>
          <cell r="D879">
            <v>1</v>
          </cell>
          <cell r="F879" t="str">
            <v>赤坂</v>
          </cell>
          <cell r="G879" t="str">
            <v>昇降機設備保守</v>
          </cell>
          <cell r="H879" t="str">
            <v>三菱電機ﾋﾞﾙﾃｸﾉｻｰﾋﾞｽ</v>
          </cell>
          <cell r="I879">
            <v>64900</v>
          </cell>
          <cell r="J879">
            <v>66198</v>
          </cell>
          <cell r="K879">
            <v>12</v>
          </cell>
          <cell r="L879">
            <v>66198</v>
          </cell>
          <cell r="M879">
            <v>66198</v>
          </cell>
          <cell r="N879">
            <v>66198</v>
          </cell>
          <cell r="O879">
            <v>66198</v>
          </cell>
          <cell r="P879">
            <v>66198</v>
          </cell>
          <cell r="Q879">
            <v>66198</v>
          </cell>
          <cell r="R879">
            <v>66198</v>
          </cell>
          <cell r="S879">
            <v>66198</v>
          </cell>
          <cell r="T879">
            <v>66198</v>
          </cell>
          <cell r="U879">
            <v>66198</v>
          </cell>
          <cell r="V879">
            <v>66198</v>
          </cell>
          <cell r="W879">
            <v>66198</v>
          </cell>
          <cell r="X879" t="str">
            <v>④</v>
          </cell>
          <cell r="Y879" t="str">
            <v>⑤</v>
          </cell>
          <cell r="Z879" t="str">
            <v>⑥</v>
          </cell>
          <cell r="AA879" t="str">
            <v>⑦</v>
          </cell>
          <cell r="AB879" t="str">
            <v>⑧</v>
          </cell>
          <cell r="AC879" t="str">
            <v>⑨</v>
          </cell>
          <cell r="AD879" t="str">
            <v>⑩</v>
          </cell>
          <cell r="AE879" t="str">
            <v>⑪</v>
          </cell>
          <cell r="AF879" t="str">
            <v>⑫</v>
          </cell>
          <cell r="AG879" t="str">
            <v>①</v>
          </cell>
          <cell r="AH879" t="str">
            <v>②</v>
          </cell>
          <cell r="AI879" t="str">
            <v>③</v>
          </cell>
        </row>
        <row r="880">
          <cell r="B880">
            <v>5002</v>
          </cell>
          <cell r="C880">
            <v>50</v>
          </cell>
          <cell r="D880">
            <v>2</v>
          </cell>
          <cell r="F880" t="str">
            <v>赤坂</v>
          </cell>
          <cell r="G880" t="str">
            <v>自動火災報知設備(外観)</v>
          </cell>
          <cell r="H880" t="str">
            <v>防災サービスセンター</v>
          </cell>
          <cell r="I880">
            <v>22348</v>
          </cell>
          <cell r="J880">
            <v>22794</v>
          </cell>
          <cell r="K880">
            <v>1</v>
          </cell>
          <cell r="L880">
            <v>0</v>
          </cell>
          <cell r="M880">
            <v>0</v>
          </cell>
          <cell r="N880">
            <v>0</v>
          </cell>
          <cell r="O880">
            <v>0</v>
          </cell>
          <cell r="P880">
            <v>0</v>
          </cell>
          <cell r="Q880">
            <v>0</v>
          </cell>
          <cell r="R880">
            <v>0</v>
          </cell>
          <cell r="S880">
            <v>0</v>
          </cell>
          <cell r="T880">
            <v>0</v>
          </cell>
          <cell r="U880">
            <v>0</v>
          </cell>
          <cell r="V880">
            <v>22794</v>
          </cell>
          <cell r="W880">
            <v>0</v>
          </cell>
          <cell r="X880" t="str">
            <v/>
          </cell>
          <cell r="Y880" t="str">
            <v/>
          </cell>
          <cell r="Z880" t="str">
            <v/>
          </cell>
          <cell r="AA880" t="str">
            <v/>
          </cell>
          <cell r="AB880" t="str">
            <v/>
          </cell>
          <cell r="AC880" t="str">
            <v/>
          </cell>
          <cell r="AD880" t="str">
            <v/>
          </cell>
          <cell r="AE880" t="str">
            <v/>
          </cell>
          <cell r="AF880" t="str">
            <v/>
          </cell>
          <cell r="AG880" t="str">
            <v/>
          </cell>
          <cell r="AH880" t="str">
            <v>②</v>
          </cell>
        </row>
        <row r="881">
          <cell r="B881">
            <v>5003</v>
          </cell>
          <cell r="C881">
            <v>50</v>
          </cell>
          <cell r="D881">
            <v>3</v>
          </cell>
          <cell r="F881" t="str">
            <v>赤坂</v>
          </cell>
          <cell r="G881" t="str">
            <v>自動火災報知設備(総合)</v>
          </cell>
          <cell r="H881" t="str">
            <v>防災サービスセンター</v>
          </cell>
          <cell r="I881">
            <v>53286</v>
          </cell>
          <cell r="J881">
            <v>54351</v>
          </cell>
          <cell r="K881">
            <v>1</v>
          </cell>
          <cell r="L881">
            <v>0</v>
          </cell>
          <cell r="M881">
            <v>0</v>
          </cell>
          <cell r="N881">
            <v>0</v>
          </cell>
          <cell r="O881">
            <v>0</v>
          </cell>
          <cell r="P881">
            <v>54351</v>
          </cell>
          <cell r="Q881">
            <v>0</v>
          </cell>
          <cell r="R881">
            <v>0</v>
          </cell>
          <cell r="S881">
            <v>0</v>
          </cell>
          <cell r="T881">
            <v>0</v>
          </cell>
          <cell r="U881">
            <v>0</v>
          </cell>
          <cell r="V881">
            <v>0</v>
          </cell>
          <cell r="W881">
            <v>0</v>
          </cell>
          <cell r="X881" t="str">
            <v/>
          </cell>
          <cell r="Y881" t="str">
            <v/>
          </cell>
          <cell r="Z881" t="str">
            <v/>
          </cell>
          <cell r="AA881" t="str">
            <v/>
          </cell>
          <cell r="AB881" t="str">
            <v>⑧</v>
          </cell>
          <cell r="AD881" t="str">
            <v/>
          </cell>
          <cell r="AE881" t="str">
            <v/>
          </cell>
          <cell r="AF881" t="str">
            <v/>
          </cell>
          <cell r="AG881" t="str">
            <v/>
          </cell>
          <cell r="AH881" t="str">
            <v/>
          </cell>
          <cell r="AI881" t="str">
            <v/>
          </cell>
        </row>
        <row r="882">
          <cell r="B882">
            <v>5004</v>
          </cell>
          <cell r="C882">
            <v>50</v>
          </cell>
          <cell r="D882">
            <v>4</v>
          </cell>
          <cell r="F882" t="str">
            <v>赤坂</v>
          </cell>
          <cell r="G882" t="str">
            <v>消火器設備保守(外観)</v>
          </cell>
          <cell r="H882" t="str">
            <v>防災サービスセンター</v>
          </cell>
          <cell r="I882">
            <v>7147</v>
          </cell>
          <cell r="J882">
            <v>7289</v>
          </cell>
          <cell r="K882">
            <v>1</v>
          </cell>
          <cell r="L882">
            <v>0</v>
          </cell>
          <cell r="M882">
            <v>0</v>
          </cell>
          <cell r="N882">
            <v>0</v>
          </cell>
          <cell r="O882">
            <v>0</v>
          </cell>
          <cell r="P882">
            <v>0</v>
          </cell>
          <cell r="Q882">
            <v>0</v>
          </cell>
          <cell r="R882">
            <v>0</v>
          </cell>
          <cell r="S882">
            <v>0</v>
          </cell>
          <cell r="T882">
            <v>0</v>
          </cell>
          <cell r="U882">
            <v>0</v>
          </cell>
          <cell r="V882">
            <v>7289</v>
          </cell>
          <cell r="W882">
            <v>0</v>
          </cell>
          <cell r="X882" t="str">
            <v/>
          </cell>
          <cell r="Y882" t="str">
            <v/>
          </cell>
          <cell r="Z882" t="str">
            <v/>
          </cell>
          <cell r="AA882" t="str">
            <v/>
          </cell>
          <cell r="AB882" t="str">
            <v/>
          </cell>
          <cell r="AC882" t="str">
            <v/>
          </cell>
          <cell r="AD882" t="str">
            <v/>
          </cell>
          <cell r="AE882" t="str">
            <v/>
          </cell>
          <cell r="AF882" t="str">
            <v/>
          </cell>
          <cell r="AG882" t="str">
            <v/>
          </cell>
          <cell r="AH882" t="str">
            <v>②</v>
          </cell>
        </row>
        <row r="883">
          <cell r="B883">
            <v>5005</v>
          </cell>
          <cell r="C883">
            <v>50</v>
          </cell>
          <cell r="D883">
            <v>5</v>
          </cell>
          <cell r="F883" t="str">
            <v>赤坂</v>
          </cell>
          <cell r="G883" t="str">
            <v>消火器設備保守(総合)</v>
          </cell>
          <cell r="H883" t="str">
            <v>防災サービスセンター</v>
          </cell>
          <cell r="I883">
            <v>7147</v>
          </cell>
          <cell r="J883">
            <v>7289</v>
          </cell>
          <cell r="K883">
            <v>1</v>
          </cell>
          <cell r="L883">
            <v>0</v>
          </cell>
          <cell r="M883">
            <v>0</v>
          </cell>
          <cell r="N883">
            <v>0</v>
          </cell>
          <cell r="O883">
            <v>0</v>
          </cell>
          <cell r="P883">
            <v>7289</v>
          </cell>
          <cell r="Q883">
            <v>0</v>
          </cell>
          <cell r="R883">
            <v>0</v>
          </cell>
          <cell r="S883">
            <v>0</v>
          </cell>
          <cell r="T883">
            <v>0</v>
          </cell>
          <cell r="U883">
            <v>0</v>
          </cell>
          <cell r="V883">
            <v>0</v>
          </cell>
          <cell r="W883">
            <v>0</v>
          </cell>
          <cell r="X883" t="str">
            <v/>
          </cell>
          <cell r="Y883" t="str">
            <v/>
          </cell>
          <cell r="Z883" t="str">
            <v/>
          </cell>
          <cell r="AA883" t="str">
            <v/>
          </cell>
          <cell r="AB883" t="str">
            <v>⑧</v>
          </cell>
          <cell r="AD883" t="str">
            <v/>
          </cell>
          <cell r="AE883" t="str">
            <v/>
          </cell>
          <cell r="AF883" t="str">
            <v/>
          </cell>
          <cell r="AG883" t="str">
            <v/>
          </cell>
          <cell r="AH883" t="str">
            <v/>
          </cell>
          <cell r="AI883" t="str">
            <v/>
          </cell>
        </row>
        <row r="884">
          <cell r="B884">
            <v>5006</v>
          </cell>
          <cell r="C884">
            <v>50</v>
          </cell>
          <cell r="D884">
            <v>6</v>
          </cell>
          <cell r="F884" t="str">
            <v>赤坂</v>
          </cell>
          <cell r="G884" t="str">
            <v>避難器具保守(外観)</v>
          </cell>
          <cell r="H884" t="str">
            <v>防災サービスセンター</v>
          </cell>
          <cell r="I884">
            <v>7105</v>
          </cell>
          <cell r="J884">
            <v>7247</v>
          </cell>
          <cell r="K884">
            <v>1</v>
          </cell>
          <cell r="L884">
            <v>0</v>
          </cell>
          <cell r="M884">
            <v>0</v>
          </cell>
          <cell r="N884">
            <v>0</v>
          </cell>
          <cell r="O884">
            <v>0</v>
          </cell>
          <cell r="P884">
            <v>0</v>
          </cell>
          <cell r="Q884">
            <v>0</v>
          </cell>
          <cell r="R884">
            <v>0</v>
          </cell>
          <cell r="S884">
            <v>0</v>
          </cell>
          <cell r="T884">
            <v>0</v>
          </cell>
          <cell r="U884">
            <v>0</v>
          </cell>
          <cell r="V884">
            <v>7247</v>
          </cell>
          <cell r="W884">
            <v>0</v>
          </cell>
          <cell r="X884" t="str">
            <v/>
          </cell>
          <cell r="Y884" t="str">
            <v/>
          </cell>
          <cell r="Z884" t="str">
            <v/>
          </cell>
          <cell r="AA884" t="str">
            <v/>
          </cell>
          <cell r="AB884" t="str">
            <v/>
          </cell>
          <cell r="AC884" t="str">
            <v/>
          </cell>
          <cell r="AD884" t="str">
            <v/>
          </cell>
          <cell r="AE884" t="str">
            <v/>
          </cell>
          <cell r="AF884" t="str">
            <v/>
          </cell>
          <cell r="AG884" t="str">
            <v/>
          </cell>
          <cell r="AH884" t="str">
            <v>②</v>
          </cell>
        </row>
        <row r="885">
          <cell r="B885">
            <v>5007</v>
          </cell>
          <cell r="C885">
            <v>50</v>
          </cell>
          <cell r="D885">
            <v>7</v>
          </cell>
          <cell r="F885" t="str">
            <v>赤坂</v>
          </cell>
          <cell r="G885" t="str">
            <v>避難器具保守(総合)</v>
          </cell>
          <cell r="H885" t="str">
            <v>防災サービスセンター</v>
          </cell>
          <cell r="I885">
            <v>8567</v>
          </cell>
          <cell r="J885">
            <v>8738</v>
          </cell>
          <cell r="K885">
            <v>1</v>
          </cell>
          <cell r="L885">
            <v>0</v>
          </cell>
          <cell r="M885">
            <v>0</v>
          </cell>
          <cell r="N885">
            <v>0</v>
          </cell>
          <cell r="O885">
            <v>0</v>
          </cell>
          <cell r="P885">
            <v>8738</v>
          </cell>
          <cell r="Q885">
            <v>0</v>
          </cell>
          <cell r="R885">
            <v>0</v>
          </cell>
          <cell r="S885">
            <v>0</v>
          </cell>
          <cell r="T885">
            <v>0</v>
          </cell>
          <cell r="U885">
            <v>0</v>
          </cell>
          <cell r="V885">
            <v>0</v>
          </cell>
          <cell r="W885">
            <v>0</v>
          </cell>
          <cell r="X885" t="str">
            <v/>
          </cell>
          <cell r="Y885" t="str">
            <v/>
          </cell>
          <cell r="Z885" t="str">
            <v/>
          </cell>
          <cell r="AA885" t="str">
            <v/>
          </cell>
          <cell r="AB885" t="str">
            <v>⑧</v>
          </cell>
          <cell r="AD885" t="str">
            <v/>
          </cell>
          <cell r="AE885" t="str">
            <v/>
          </cell>
          <cell r="AF885" t="str">
            <v/>
          </cell>
          <cell r="AG885" t="str">
            <v/>
          </cell>
          <cell r="AH885" t="str">
            <v/>
          </cell>
          <cell r="AI885" t="str">
            <v/>
          </cell>
        </row>
        <row r="886">
          <cell r="B886">
            <v>5008</v>
          </cell>
          <cell r="C886">
            <v>50</v>
          </cell>
          <cell r="D886">
            <v>8</v>
          </cell>
          <cell r="F886" t="str">
            <v>赤坂</v>
          </cell>
          <cell r="G886" t="str">
            <v>防火扉防排煙設備(外観)</v>
          </cell>
          <cell r="H886" t="str">
            <v>防災サービスセンター</v>
          </cell>
          <cell r="I886">
            <v>23900</v>
          </cell>
          <cell r="J886">
            <v>24378</v>
          </cell>
          <cell r="K886">
            <v>1</v>
          </cell>
          <cell r="L886">
            <v>0</v>
          </cell>
          <cell r="M886">
            <v>0</v>
          </cell>
          <cell r="N886">
            <v>0</v>
          </cell>
          <cell r="O886">
            <v>0</v>
          </cell>
          <cell r="P886">
            <v>0</v>
          </cell>
          <cell r="Q886">
            <v>0</v>
          </cell>
          <cell r="R886">
            <v>0</v>
          </cell>
          <cell r="S886">
            <v>0</v>
          </cell>
          <cell r="T886">
            <v>0</v>
          </cell>
          <cell r="U886">
            <v>0</v>
          </cell>
          <cell r="V886">
            <v>24378</v>
          </cell>
          <cell r="W886">
            <v>0</v>
          </cell>
          <cell r="X886" t="str">
            <v/>
          </cell>
          <cell r="Y886" t="str">
            <v/>
          </cell>
          <cell r="Z886" t="str">
            <v/>
          </cell>
          <cell r="AA886" t="str">
            <v/>
          </cell>
          <cell r="AB886" t="str">
            <v/>
          </cell>
          <cell r="AC886" t="str">
            <v/>
          </cell>
          <cell r="AD886" t="str">
            <v/>
          </cell>
          <cell r="AE886" t="str">
            <v/>
          </cell>
          <cell r="AF886" t="str">
            <v/>
          </cell>
          <cell r="AG886" t="str">
            <v/>
          </cell>
          <cell r="AH886" t="str">
            <v>②</v>
          </cell>
        </row>
        <row r="887">
          <cell r="B887">
            <v>5009</v>
          </cell>
          <cell r="C887">
            <v>50</v>
          </cell>
          <cell r="D887">
            <v>9</v>
          </cell>
          <cell r="F887" t="str">
            <v>赤坂</v>
          </cell>
          <cell r="G887" t="str">
            <v>防火扉防排煙設備(総合)</v>
          </cell>
          <cell r="H887" t="str">
            <v>防災サービスセンター</v>
          </cell>
          <cell r="I887">
            <v>28000</v>
          </cell>
          <cell r="J887">
            <v>28560</v>
          </cell>
          <cell r="K887">
            <v>1</v>
          </cell>
          <cell r="L887">
            <v>0</v>
          </cell>
          <cell r="M887">
            <v>0</v>
          </cell>
          <cell r="N887">
            <v>0</v>
          </cell>
          <cell r="O887">
            <v>0</v>
          </cell>
          <cell r="P887">
            <v>28560</v>
          </cell>
          <cell r="Q887">
            <v>0</v>
          </cell>
          <cell r="R887">
            <v>0</v>
          </cell>
          <cell r="S887">
            <v>0</v>
          </cell>
          <cell r="T887">
            <v>0</v>
          </cell>
          <cell r="U887">
            <v>0</v>
          </cell>
          <cell r="V887">
            <v>0</v>
          </cell>
          <cell r="W887">
            <v>0</v>
          </cell>
          <cell r="X887" t="str">
            <v/>
          </cell>
          <cell r="Y887" t="str">
            <v/>
          </cell>
          <cell r="Z887" t="str">
            <v/>
          </cell>
          <cell r="AA887" t="str">
            <v/>
          </cell>
          <cell r="AB887" t="str">
            <v>⑧</v>
          </cell>
          <cell r="AD887" t="str">
            <v/>
          </cell>
          <cell r="AE887" t="str">
            <v/>
          </cell>
          <cell r="AF887" t="str">
            <v/>
          </cell>
          <cell r="AG887" t="str">
            <v/>
          </cell>
          <cell r="AH887" t="str">
            <v/>
          </cell>
          <cell r="AI887" t="str">
            <v/>
          </cell>
        </row>
        <row r="888">
          <cell r="B888">
            <v>5010</v>
          </cell>
          <cell r="C888">
            <v>50</v>
          </cell>
          <cell r="D888">
            <v>10</v>
          </cell>
          <cell r="F888" t="str">
            <v>赤坂</v>
          </cell>
          <cell r="G888" t="str">
            <v>害虫駆除</v>
          </cell>
          <cell r="H888" t="str">
            <v>シェル商事</v>
          </cell>
          <cell r="I888">
            <v>45000</v>
          </cell>
          <cell r="J888">
            <v>49500</v>
          </cell>
          <cell r="K888">
            <v>2</v>
          </cell>
          <cell r="L888">
            <v>0</v>
          </cell>
          <cell r="M888">
            <v>49500</v>
          </cell>
          <cell r="N888">
            <v>0</v>
          </cell>
          <cell r="O888">
            <v>0</v>
          </cell>
          <cell r="P888">
            <v>0</v>
          </cell>
          <cell r="Q888">
            <v>0</v>
          </cell>
          <cell r="R888">
            <v>0</v>
          </cell>
          <cell r="S888">
            <v>49500</v>
          </cell>
          <cell r="T888">
            <v>0</v>
          </cell>
          <cell r="U888">
            <v>0</v>
          </cell>
          <cell r="V888">
            <v>0</v>
          </cell>
          <cell r="W888">
            <v>0</v>
          </cell>
          <cell r="X888" t="str">
            <v/>
          </cell>
          <cell r="Y888" t="str">
            <v>⑤</v>
          </cell>
          <cell r="Z888" t="str">
            <v/>
          </cell>
          <cell r="AA888" t="str">
            <v/>
          </cell>
          <cell r="AB888" t="str">
            <v/>
          </cell>
          <cell r="AC888" t="str">
            <v/>
          </cell>
          <cell r="AD888" t="str">
            <v/>
          </cell>
          <cell r="AE888" t="str">
            <v>⑪</v>
          </cell>
          <cell r="AF888" t="str">
            <v/>
          </cell>
          <cell r="AG888" t="str">
            <v/>
          </cell>
          <cell r="AH888" t="str">
            <v/>
          </cell>
          <cell r="AI888" t="str">
            <v/>
          </cell>
        </row>
        <row r="889">
          <cell r="B889">
            <v>5011</v>
          </cell>
          <cell r="C889">
            <v>50</v>
          </cell>
          <cell r="D889">
            <v>11</v>
          </cell>
          <cell r="F889" t="str">
            <v>赤坂</v>
          </cell>
          <cell r="G889" t="str">
            <v>汚水･雑排水槽清掃</v>
          </cell>
          <cell r="H889" t="str">
            <v>東管ｴﾝｼﾞﾆｱﾘﾝｸﾞ</v>
          </cell>
          <cell r="I889">
            <v>220000</v>
          </cell>
          <cell r="J889">
            <v>246400</v>
          </cell>
          <cell r="K889">
            <v>1</v>
          </cell>
          <cell r="L889">
            <v>0</v>
          </cell>
          <cell r="M889">
            <v>0</v>
          </cell>
          <cell r="N889">
            <v>0</v>
          </cell>
          <cell r="O889">
            <v>0</v>
          </cell>
          <cell r="P889">
            <v>0</v>
          </cell>
          <cell r="Q889">
            <v>0</v>
          </cell>
          <cell r="R889">
            <v>246400</v>
          </cell>
          <cell r="S889">
            <v>0</v>
          </cell>
          <cell r="T889">
            <v>0</v>
          </cell>
          <cell r="U889">
            <v>0</v>
          </cell>
          <cell r="V889">
            <v>0</v>
          </cell>
          <cell r="W889">
            <v>0</v>
          </cell>
          <cell r="X889" t="str">
            <v/>
          </cell>
          <cell r="Y889" t="str">
            <v/>
          </cell>
          <cell r="Z889" t="str">
            <v/>
          </cell>
          <cell r="AA889" t="str">
            <v/>
          </cell>
          <cell r="AB889" t="str">
            <v/>
          </cell>
          <cell r="AC889" t="str">
            <v/>
          </cell>
          <cell r="AD889" t="str">
            <v>⑩</v>
          </cell>
          <cell r="AE889" t="str">
            <v/>
          </cell>
          <cell r="AF889" t="str">
            <v/>
          </cell>
          <cell r="AG889" t="str">
            <v/>
          </cell>
          <cell r="AH889" t="str">
            <v/>
          </cell>
          <cell r="AI889" t="str">
            <v/>
          </cell>
        </row>
        <row r="890">
          <cell r="B890">
            <v>5012</v>
          </cell>
          <cell r="C890">
            <v>50</v>
          </cell>
          <cell r="D890">
            <v>12</v>
          </cell>
          <cell r="F890" t="str">
            <v>赤坂</v>
          </cell>
          <cell r="G890" t="str">
            <v>受水槽清掃</v>
          </cell>
          <cell r="H890" t="str">
            <v>東管ｴﾝｼﾞﾆｱﾘﾝｸﾞ</v>
          </cell>
          <cell r="I890">
            <v>85000</v>
          </cell>
          <cell r="J890">
            <v>96050</v>
          </cell>
          <cell r="K890">
            <v>1</v>
          </cell>
          <cell r="L890">
            <v>0</v>
          </cell>
          <cell r="M890">
            <v>0</v>
          </cell>
          <cell r="N890">
            <v>0</v>
          </cell>
          <cell r="O890">
            <v>0</v>
          </cell>
          <cell r="P890">
            <v>0</v>
          </cell>
          <cell r="Q890">
            <v>0</v>
          </cell>
          <cell r="R890">
            <v>96050</v>
          </cell>
          <cell r="S890">
            <v>0</v>
          </cell>
          <cell r="T890">
            <v>0</v>
          </cell>
          <cell r="U890">
            <v>0</v>
          </cell>
          <cell r="V890">
            <v>0</v>
          </cell>
          <cell r="W890">
            <v>0</v>
          </cell>
          <cell r="X890" t="str">
            <v/>
          </cell>
          <cell r="Y890" t="str">
            <v/>
          </cell>
          <cell r="Z890" t="str">
            <v/>
          </cell>
          <cell r="AA890" t="str">
            <v/>
          </cell>
          <cell r="AB890" t="str">
            <v/>
          </cell>
          <cell r="AC890" t="str">
            <v/>
          </cell>
          <cell r="AD890" t="str">
            <v>⑩</v>
          </cell>
          <cell r="AE890" t="str">
            <v/>
          </cell>
          <cell r="AF890" t="str">
            <v/>
          </cell>
          <cell r="AG890" t="str">
            <v/>
          </cell>
          <cell r="AH890" t="str">
            <v/>
          </cell>
          <cell r="AI890" t="str">
            <v/>
          </cell>
        </row>
        <row r="891">
          <cell r="B891">
            <v>5013</v>
          </cell>
          <cell r="C891">
            <v>50</v>
          </cell>
          <cell r="D891">
            <v>13</v>
          </cell>
          <cell r="F891" t="str">
            <v>赤坂</v>
          </cell>
          <cell r="G891" t="str">
            <v>空冷ﾊﾟｯｹｰｼﾞ設備保守</v>
          </cell>
          <cell r="H891" t="str">
            <v>三菱電機ﾋﾞﾙﾃｸﾉｻｰﾋﾞｽ</v>
          </cell>
          <cell r="I891">
            <v>250500</v>
          </cell>
          <cell r="J891">
            <v>255510</v>
          </cell>
          <cell r="K891">
            <v>4</v>
          </cell>
          <cell r="L891">
            <v>0</v>
          </cell>
          <cell r="M891">
            <v>0</v>
          </cell>
          <cell r="N891">
            <v>255510</v>
          </cell>
          <cell r="O891">
            <v>0</v>
          </cell>
          <cell r="P891">
            <v>0</v>
          </cell>
          <cell r="Q891">
            <v>255510</v>
          </cell>
          <cell r="R891">
            <v>0</v>
          </cell>
          <cell r="S891">
            <v>0</v>
          </cell>
          <cell r="T891">
            <v>255510</v>
          </cell>
          <cell r="U891">
            <v>0</v>
          </cell>
          <cell r="V891">
            <v>0</v>
          </cell>
          <cell r="W891">
            <v>255510</v>
          </cell>
          <cell r="X891" t="str">
            <v/>
          </cell>
          <cell r="Y891" t="str">
            <v/>
          </cell>
          <cell r="Z891" t="str">
            <v>⑥</v>
          </cell>
          <cell r="AA891" t="str">
            <v/>
          </cell>
          <cell r="AB891" t="str">
            <v/>
          </cell>
          <cell r="AC891" t="str">
            <v>⑨</v>
          </cell>
          <cell r="AD891" t="str">
            <v/>
          </cell>
          <cell r="AE891" t="str">
            <v/>
          </cell>
          <cell r="AF891" t="str">
            <v>⑫</v>
          </cell>
          <cell r="AG891" t="str">
            <v/>
          </cell>
          <cell r="AH891" t="str">
            <v/>
          </cell>
          <cell r="AI891" t="str">
            <v>③</v>
          </cell>
        </row>
        <row r="892">
          <cell r="B892">
            <v>5014</v>
          </cell>
          <cell r="C892">
            <v>50</v>
          </cell>
          <cell r="D892">
            <v>14</v>
          </cell>
          <cell r="F892" t="str">
            <v>赤坂</v>
          </cell>
          <cell r="G892" t="str">
            <v>空調機ﾌｨﾙﾀｰ洗浄</v>
          </cell>
          <cell r="H892" t="str">
            <v>三菱電機ﾋﾞﾙﾃｸﾉｻｰﾋﾞｽ</v>
          </cell>
          <cell r="I892">
            <v>87000</v>
          </cell>
          <cell r="J892">
            <v>88740</v>
          </cell>
          <cell r="K892">
            <v>4</v>
          </cell>
          <cell r="L892">
            <v>0</v>
          </cell>
          <cell r="M892">
            <v>0</v>
          </cell>
          <cell r="N892">
            <v>88740</v>
          </cell>
          <cell r="O892">
            <v>0</v>
          </cell>
          <cell r="P892">
            <v>0</v>
          </cell>
          <cell r="Q892">
            <v>88740</v>
          </cell>
          <cell r="R892">
            <v>0</v>
          </cell>
          <cell r="S892">
            <v>0</v>
          </cell>
          <cell r="T892">
            <v>88740</v>
          </cell>
          <cell r="U892">
            <v>0</v>
          </cell>
          <cell r="V892">
            <v>0</v>
          </cell>
          <cell r="W892">
            <v>88740</v>
          </cell>
          <cell r="X892" t="str">
            <v/>
          </cell>
          <cell r="Y892" t="str">
            <v/>
          </cell>
          <cell r="Z892" t="str">
            <v>⑥</v>
          </cell>
          <cell r="AA892" t="str">
            <v/>
          </cell>
          <cell r="AB892" t="str">
            <v/>
          </cell>
          <cell r="AC892" t="str">
            <v>⑨</v>
          </cell>
          <cell r="AD892" t="str">
            <v/>
          </cell>
          <cell r="AE892" t="str">
            <v/>
          </cell>
          <cell r="AF892" t="str">
            <v>⑫</v>
          </cell>
          <cell r="AG892" t="str">
            <v/>
          </cell>
          <cell r="AH892" t="str">
            <v/>
          </cell>
          <cell r="AI892" t="str">
            <v>③</v>
          </cell>
        </row>
        <row r="893">
          <cell r="B893">
            <v>5015</v>
          </cell>
          <cell r="C893">
            <v>50</v>
          </cell>
          <cell r="D893">
            <v>15</v>
          </cell>
          <cell r="F893" t="str">
            <v>赤坂</v>
          </cell>
          <cell r="G893" t="str">
            <v>貸鉢代(貸植木)</v>
          </cell>
          <cell r="H893" t="str">
            <v>日比谷アメニス</v>
          </cell>
          <cell r="I893">
            <v>12000</v>
          </cell>
          <cell r="J893">
            <v>12240</v>
          </cell>
          <cell r="K893">
            <v>12</v>
          </cell>
          <cell r="L893">
            <v>12240</v>
          </cell>
          <cell r="M893">
            <v>12240</v>
          </cell>
          <cell r="N893">
            <v>12240</v>
          </cell>
          <cell r="O893">
            <v>12240</v>
          </cell>
          <cell r="P893">
            <v>12240</v>
          </cell>
          <cell r="Q893">
            <v>12240</v>
          </cell>
          <cell r="R893">
            <v>12240</v>
          </cell>
          <cell r="S893">
            <v>12240</v>
          </cell>
          <cell r="T893">
            <v>12240</v>
          </cell>
          <cell r="U893">
            <v>12240</v>
          </cell>
          <cell r="V893">
            <v>12240</v>
          </cell>
          <cell r="W893">
            <v>12240</v>
          </cell>
          <cell r="X893" t="str">
            <v>④</v>
          </cell>
          <cell r="Y893" t="str">
            <v>⑤</v>
          </cell>
          <cell r="Z893" t="str">
            <v>⑥</v>
          </cell>
          <cell r="AA893" t="str">
            <v>⑦</v>
          </cell>
          <cell r="AB893" t="str">
            <v>⑧</v>
          </cell>
          <cell r="AC893" t="str">
            <v>⑨</v>
          </cell>
          <cell r="AD893" t="str">
            <v>⑩</v>
          </cell>
          <cell r="AE893" t="str">
            <v>⑪</v>
          </cell>
          <cell r="AF893" t="str">
            <v>⑫</v>
          </cell>
          <cell r="AG893" t="str">
            <v>①</v>
          </cell>
          <cell r="AH893" t="str">
            <v>②</v>
          </cell>
          <cell r="AI893" t="str">
            <v>③</v>
          </cell>
        </row>
        <row r="894">
          <cell r="B894">
            <v>5016</v>
          </cell>
          <cell r="C894">
            <v>50</v>
          </cell>
          <cell r="D894">
            <v>16</v>
          </cell>
          <cell r="F894" t="str">
            <v>赤坂</v>
          </cell>
          <cell r="G894" t="str">
            <v>植栽管理</v>
          </cell>
          <cell r="H894" t="str">
            <v>東光園緑化</v>
          </cell>
          <cell r="I894">
            <v>55560</v>
          </cell>
          <cell r="J894">
            <v>56671</v>
          </cell>
          <cell r="K894">
            <v>2</v>
          </cell>
          <cell r="L894">
            <v>0</v>
          </cell>
          <cell r="M894">
            <v>0</v>
          </cell>
          <cell r="N894">
            <v>56671</v>
          </cell>
          <cell r="O894">
            <v>0</v>
          </cell>
          <cell r="P894">
            <v>0</v>
          </cell>
          <cell r="Q894">
            <v>56671</v>
          </cell>
          <cell r="R894">
            <v>0</v>
          </cell>
          <cell r="S894">
            <v>0</v>
          </cell>
          <cell r="T894">
            <v>0</v>
          </cell>
          <cell r="U894">
            <v>0</v>
          </cell>
          <cell r="V894">
            <v>0</v>
          </cell>
          <cell r="W894">
            <v>0</v>
          </cell>
          <cell r="X894" t="str">
            <v/>
          </cell>
          <cell r="Y894" t="str">
            <v/>
          </cell>
          <cell r="Z894" t="str">
            <v>⑥</v>
          </cell>
          <cell r="AA894" t="str">
            <v/>
          </cell>
          <cell r="AB894" t="str">
            <v/>
          </cell>
          <cell r="AC894" t="str">
            <v>⑨</v>
          </cell>
          <cell r="AD894" t="str">
            <v/>
          </cell>
          <cell r="AE894" t="str">
            <v/>
          </cell>
          <cell r="AF894" t="str">
            <v/>
          </cell>
          <cell r="AG894" t="str">
            <v/>
          </cell>
          <cell r="AH894" t="str">
            <v/>
          </cell>
          <cell r="AI894" t="str">
            <v/>
          </cell>
        </row>
        <row r="895">
          <cell r="B895">
            <v>5017</v>
          </cell>
          <cell r="C895">
            <v>50</v>
          </cell>
          <cell r="D895">
            <v>17</v>
          </cell>
          <cell r="F895" t="str">
            <v>赤坂</v>
          </cell>
          <cell r="G895" t="str">
            <v>植栽管理</v>
          </cell>
          <cell r="H895" t="str">
            <v>東光園緑化</v>
          </cell>
          <cell r="I895">
            <v>24660</v>
          </cell>
          <cell r="J895">
            <v>25153</v>
          </cell>
          <cell r="K895">
            <v>1</v>
          </cell>
          <cell r="L895">
            <v>0</v>
          </cell>
          <cell r="M895">
            <v>0</v>
          </cell>
          <cell r="N895">
            <v>0</v>
          </cell>
          <cell r="O895">
            <v>25153</v>
          </cell>
          <cell r="P895">
            <v>0</v>
          </cell>
          <cell r="Q895">
            <v>0</v>
          </cell>
          <cell r="R895">
            <v>0</v>
          </cell>
          <cell r="S895">
            <v>0</v>
          </cell>
          <cell r="T895">
            <v>0</v>
          </cell>
          <cell r="U895">
            <v>0</v>
          </cell>
          <cell r="V895">
            <v>0</v>
          </cell>
          <cell r="W895">
            <v>0</v>
          </cell>
          <cell r="X895" t="str">
            <v/>
          </cell>
          <cell r="Y895" t="str">
            <v/>
          </cell>
          <cell r="Z895" t="str">
            <v/>
          </cell>
          <cell r="AA895" t="str">
            <v>⑦</v>
          </cell>
          <cell r="AB895" t="str">
            <v/>
          </cell>
          <cell r="AC895" t="str">
            <v/>
          </cell>
          <cell r="AD895" t="str">
            <v/>
          </cell>
          <cell r="AE895" t="str">
            <v/>
          </cell>
          <cell r="AF895" t="str">
            <v/>
          </cell>
          <cell r="AG895" t="str">
            <v/>
          </cell>
          <cell r="AH895" t="str">
            <v/>
          </cell>
          <cell r="AI895" t="str">
            <v/>
          </cell>
        </row>
        <row r="896">
          <cell r="B896">
            <v>5018</v>
          </cell>
          <cell r="C896">
            <v>50</v>
          </cell>
          <cell r="D896">
            <v>18</v>
          </cell>
          <cell r="F896" t="str">
            <v>赤坂</v>
          </cell>
          <cell r="G896" t="str">
            <v>植栽管理</v>
          </cell>
          <cell r="H896" t="str">
            <v>東光園緑化</v>
          </cell>
          <cell r="I896">
            <v>44560</v>
          </cell>
          <cell r="J896">
            <v>45451</v>
          </cell>
          <cell r="K896">
            <v>1</v>
          </cell>
          <cell r="L896">
            <v>0</v>
          </cell>
          <cell r="M896">
            <v>0</v>
          </cell>
          <cell r="N896">
            <v>0</v>
          </cell>
          <cell r="O896">
            <v>0</v>
          </cell>
          <cell r="P896">
            <v>0</v>
          </cell>
          <cell r="Q896">
            <v>0</v>
          </cell>
          <cell r="R896">
            <v>0</v>
          </cell>
          <cell r="S896">
            <v>45451</v>
          </cell>
          <cell r="T896">
            <v>0</v>
          </cell>
          <cell r="U896">
            <v>0</v>
          </cell>
          <cell r="V896">
            <v>0</v>
          </cell>
          <cell r="W896">
            <v>0</v>
          </cell>
          <cell r="X896" t="str">
            <v/>
          </cell>
          <cell r="Y896" t="str">
            <v/>
          </cell>
          <cell r="Z896" t="str">
            <v/>
          </cell>
          <cell r="AA896" t="str">
            <v/>
          </cell>
          <cell r="AB896" t="str">
            <v/>
          </cell>
          <cell r="AC896" t="str">
            <v/>
          </cell>
          <cell r="AD896" t="str">
            <v/>
          </cell>
          <cell r="AE896" t="str">
            <v>⑪</v>
          </cell>
          <cell r="AF896" t="str">
            <v/>
          </cell>
          <cell r="AG896" t="str">
            <v/>
          </cell>
          <cell r="AH896" t="str">
            <v/>
          </cell>
          <cell r="AI896" t="str">
            <v/>
          </cell>
        </row>
        <row r="897">
          <cell r="B897">
            <v>5019</v>
          </cell>
          <cell r="C897">
            <v>50</v>
          </cell>
          <cell r="D897">
            <v>19</v>
          </cell>
          <cell r="F897" t="str">
            <v>赤坂</v>
          </cell>
          <cell r="G897" t="str">
            <v>植栽管理</v>
          </cell>
          <cell r="H897" t="str">
            <v>東光園緑化</v>
          </cell>
          <cell r="I897">
            <v>59660</v>
          </cell>
          <cell r="J897">
            <v>60853</v>
          </cell>
          <cell r="K897">
            <v>1</v>
          </cell>
          <cell r="L897">
            <v>0</v>
          </cell>
          <cell r="M897">
            <v>0</v>
          </cell>
          <cell r="N897">
            <v>0</v>
          </cell>
          <cell r="O897">
            <v>0</v>
          </cell>
          <cell r="P897">
            <v>0</v>
          </cell>
          <cell r="Q897">
            <v>0</v>
          </cell>
          <cell r="R897">
            <v>0</v>
          </cell>
          <cell r="S897">
            <v>0</v>
          </cell>
          <cell r="T897">
            <v>0</v>
          </cell>
          <cell r="U897">
            <v>0</v>
          </cell>
          <cell r="V897">
            <v>60853</v>
          </cell>
          <cell r="W897">
            <v>0</v>
          </cell>
          <cell r="X897" t="str">
            <v/>
          </cell>
          <cell r="Y897" t="str">
            <v/>
          </cell>
          <cell r="Z897" t="str">
            <v/>
          </cell>
          <cell r="AA897" t="str">
            <v/>
          </cell>
          <cell r="AB897" t="str">
            <v/>
          </cell>
          <cell r="AC897" t="str">
            <v/>
          </cell>
          <cell r="AD897" t="str">
            <v/>
          </cell>
          <cell r="AE897" t="str">
            <v/>
          </cell>
          <cell r="AF897" t="str">
            <v/>
          </cell>
          <cell r="AG897" t="str">
            <v/>
          </cell>
          <cell r="AH897" t="str">
            <v>②</v>
          </cell>
          <cell r="AI897" t="str">
            <v/>
          </cell>
        </row>
        <row r="898">
          <cell r="B898">
            <v>5101</v>
          </cell>
          <cell r="C898">
            <v>51</v>
          </cell>
          <cell r="D898">
            <v>1</v>
          </cell>
          <cell r="F898" t="str">
            <v>幕張</v>
          </cell>
          <cell r="G898" t="str">
            <v>昇降機設備保守</v>
          </cell>
          <cell r="H898" t="str">
            <v>三菱電機ﾋﾞﾙﾃｸﾉｻｰﾋﾞｽ</v>
          </cell>
          <cell r="I898">
            <v>1323100</v>
          </cell>
          <cell r="J898">
            <v>1349562</v>
          </cell>
          <cell r="K898">
            <v>12</v>
          </cell>
          <cell r="L898">
            <v>1349562</v>
          </cell>
          <cell r="M898">
            <v>1349562</v>
          </cell>
          <cell r="N898">
            <v>1349562</v>
          </cell>
          <cell r="O898">
            <v>1349562</v>
          </cell>
          <cell r="P898">
            <v>1349562</v>
          </cell>
          <cell r="Q898">
            <v>1349562</v>
          </cell>
          <cell r="R898">
            <v>1349562</v>
          </cell>
          <cell r="S898">
            <v>1349562</v>
          </cell>
          <cell r="T898">
            <v>1349562</v>
          </cell>
          <cell r="U898">
            <v>1349562</v>
          </cell>
          <cell r="V898">
            <v>1349562</v>
          </cell>
          <cell r="W898">
            <v>1349562</v>
          </cell>
          <cell r="X898" t="str">
            <v>④</v>
          </cell>
          <cell r="Y898" t="str">
            <v>⑤</v>
          </cell>
          <cell r="Z898" t="str">
            <v>⑥</v>
          </cell>
          <cell r="AA898" t="str">
            <v>⑦</v>
          </cell>
          <cell r="AB898" t="str">
            <v>⑧</v>
          </cell>
          <cell r="AC898" t="str">
            <v>⑨</v>
          </cell>
          <cell r="AD898" t="str">
            <v>⑩</v>
          </cell>
          <cell r="AE898" t="str">
            <v>⑪</v>
          </cell>
          <cell r="AF898" t="str">
            <v>⑫</v>
          </cell>
          <cell r="AG898" t="str">
            <v>①</v>
          </cell>
          <cell r="AH898" t="str">
            <v>②</v>
          </cell>
          <cell r="AI898" t="str">
            <v>③</v>
          </cell>
        </row>
        <row r="899">
          <cell r="B899">
            <v>5102</v>
          </cell>
          <cell r="C899">
            <v>51</v>
          </cell>
          <cell r="D899">
            <v>2</v>
          </cell>
          <cell r="F899" t="str">
            <v>幕張</v>
          </cell>
          <cell r="G899" t="str">
            <v>エスカレーター設備保守</v>
          </cell>
          <cell r="H899" t="str">
            <v>三菱電機ﾋﾞﾙﾃｸﾉｻｰﾋﾞｽ</v>
          </cell>
          <cell r="I899">
            <v>303000</v>
          </cell>
          <cell r="J899">
            <v>309060</v>
          </cell>
          <cell r="K899">
            <v>12</v>
          </cell>
          <cell r="L899">
            <v>309060</v>
          </cell>
          <cell r="M899">
            <v>309060</v>
          </cell>
          <cell r="N899">
            <v>309060</v>
          </cell>
          <cell r="O899">
            <v>309060</v>
          </cell>
          <cell r="P899">
            <v>309060</v>
          </cell>
          <cell r="Q899">
            <v>309060</v>
          </cell>
          <cell r="R899">
            <v>309060</v>
          </cell>
          <cell r="S899">
            <v>309060</v>
          </cell>
          <cell r="T899">
            <v>309060</v>
          </cell>
          <cell r="U899">
            <v>309060</v>
          </cell>
          <cell r="V899">
            <v>309060</v>
          </cell>
          <cell r="W899">
            <v>309060</v>
          </cell>
          <cell r="X899" t="str">
            <v>④</v>
          </cell>
          <cell r="Y899" t="str">
            <v>⑤</v>
          </cell>
          <cell r="Z899" t="str">
            <v>⑥</v>
          </cell>
          <cell r="AA899" t="str">
            <v>⑦</v>
          </cell>
          <cell r="AB899" t="str">
            <v>⑧</v>
          </cell>
          <cell r="AC899" t="str">
            <v>⑨</v>
          </cell>
          <cell r="AD899" t="str">
            <v>⑩</v>
          </cell>
          <cell r="AE899" t="str">
            <v>⑪</v>
          </cell>
          <cell r="AF899" t="str">
            <v>⑫</v>
          </cell>
          <cell r="AG899" t="str">
            <v>①</v>
          </cell>
          <cell r="AH899" t="str">
            <v>②</v>
          </cell>
          <cell r="AI899" t="str">
            <v>③</v>
          </cell>
        </row>
        <row r="900">
          <cell r="B900">
            <v>5103</v>
          </cell>
          <cell r="C900">
            <v>51</v>
          </cell>
          <cell r="D900">
            <v>3</v>
          </cell>
          <cell r="F900" t="str">
            <v>幕張</v>
          </cell>
          <cell r="G900" t="str">
            <v>ゴンドラ設備保守</v>
          </cell>
          <cell r="H900" t="str">
            <v>日本ゴンドラ</v>
          </cell>
          <cell r="I900">
            <v>151200</v>
          </cell>
          <cell r="J900">
            <v>154224</v>
          </cell>
          <cell r="K900">
            <v>12</v>
          </cell>
          <cell r="L900">
            <v>154224</v>
          </cell>
          <cell r="M900">
            <v>154224</v>
          </cell>
          <cell r="N900">
            <v>154224</v>
          </cell>
          <cell r="O900">
            <v>154224</v>
          </cell>
          <cell r="P900">
            <v>154224</v>
          </cell>
          <cell r="Q900">
            <v>154224</v>
          </cell>
          <cell r="R900">
            <v>154224</v>
          </cell>
          <cell r="S900">
            <v>154224</v>
          </cell>
          <cell r="T900">
            <v>154224</v>
          </cell>
          <cell r="U900">
            <v>154224</v>
          </cell>
          <cell r="V900">
            <v>154224</v>
          </cell>
          <cell r="W900">
            <v>154224</v>
          </cell>
          <cell r="X900" t="str">
            <v>④</v>
          </cell>
          <cell r="Y900" t="str">
            <v>⑤</v>
          </cell>
          <cell r="Z900" t="str">
            <v>⑥</v>
          </cell>
          <cell r="AA900" t="str">
            <v>⑦</v>
          </cell>
          <cell r="AB900" t="str">
            <v>⑧</v>
          </cell>
          <cell r="AC900" t="str">
            <v>⑨</v>
          </cell>
          <cell r="AD900" t="str">
            <v>⑩</v>
          </cell>
          <cell r="AE900" t="str">
            <v>⑪</v>
          </cell>
          <cell r="AF900" t="str">
            <v>⑫</v>
          </cell>
          <cell r="AG900" t="str">
            <v>①</v>
          </cell>
          <cell r="AH900" t="str">
            <v>②</v>
          </cell>
          <cell r="AI900" t="str">
            <v>③</v>
          </cell>
        </row>
        <row r="901">
          <cell r="B901">
            <v>5104</v>
          </cell>
          <cell r="C901">
            <v>51</v>
          </cell>
          <cell r="D901">
            <v>4</v>
          </cell>
          <cell r="F901" t="str">
            <v>幕張</v>
          </cell>
          <cell r="G901" t="str">
            <v>シャッター設備保守</v>
          </cell>
          <cell r="H901" t="str">
            <v>文化シャッターｻｰﾋﾞｽ</v>
          </cell>
          <cell r="I901">
            <v>118000</v>
          </cell>
          <cell r="J901">
            <v>122328</v>
          </cell>
          <cell r="K901">
            <v>2</v>
          </cell>
          <cell r="L901">
            <v>0</v>
          </cell>
          <cell r="M901">
            <v>0</v>
          </cell>
          <cell r="N901">
            <v>122328</v>
          </cell>
          <cell r="O901">
            <v>0</v>
          </cell>
          <cell r="P901">
            <v>0</v>
          </cell>
          <cell r="Q901">
            <v>0</v>
          </cell>
          <cell r="R901">
            <v>0</v>
          </cell>
          <cell r="S901">
            <v>0</v>
          </cell>
          <cell r="T901">
            <v>122328</v>
          </cell>
          <cell r="U901">
            <v>0</v>
          </cell>
          <cell r="V901">
            <v>0</v>
          </cell>
          <cell r="W901">
            <v>0</v>
          </cell>
          <cell r="X901" t="str">
            <v/>
          </cell>
          <cell r="Y901" t="str">
            <v/>
          </cell>
          <cell r="Z901" t="str">
            <v>⑥</v>
          </cell>
          <cell r="AA901" t="str">
            <v/>
          </cell>
          <cell r="AB901" t="str">
            <v/>
          </cell>
          <cell r="AC901" t="str">
            <v/>
          </cell>
          <cell r="AD901" t="str">
            <v/>
          </cell>
          <cell r="AE901" t="str">
            <v/>
          </cell>
          <cell r="AF901" t="str">
            <v>⑫</v>
          </cell>
          <cell r="AG901" t="str">
            <v/>
          </cell>
          <cell r="AH901" t="str">
            <v/>
          </cell>
          <cell r="AI901" t="str">
            <v/>
          </cell>
          <cell r="AJ901" t="str">
            <v>変</v>
          </cell>
        </row>
        <row r="902">
          <cell r="B902">
            <v>5105</v>
          </cell>
          <cell r="C902">
            <v>51</v>
          </cell>
          <cell r="D902">
            <v>5</v>
          </cell>
          <cell r="F902" t="str">
            <v>幕張</v>
          </cell>
          <cell r="G902" t="str">
            <v>シャッター設備保守</v>
          </cell>
          <cell r="H902" t="str">
            <v>三和シャッター工業</v>
          </cell>
          <cell r="I902">
            <v>160000</v>
          </cell>
          <cell r="J902">
            <v>168804</v>
          </cell>
          <cell r="K902">
            <v>2</v>
          </cell>
          <cell r="L902">
            <v>0</v>
          </cell>
          <cell r="M902">
            <v>0</v>
          </cell>
          <cell r="N902">
            <v>168804</v>
          </cell>
          <cell r="O902">
            <v>0</v>
          </cell>
          <cell r="P902">
            <v>0</v>
          </cell>
          <cell r="Q902">
            <v>0</v>
          </cell>
          <cell r="R902">
            <v>0</v>
          </cell>
          <cell r="S902">
            <v>0</v>
          </cell>
          <cell r="T902">
            <v>168804</v>
          </cell>
          <cell r="U902">
            <v>0</v>
          </cell>
          <cell r="V902">
            <v>0</v>
          </cell>
          <cell r="W902">
            <v>0</v>
          </cell>
          <cell r="X902" t="str">
            <v/>
          </cell>
          <cell r="Y902" t="str">
            <v/>
          </cell>
          <cell r="Z902" t="str">
            <v>⑥</v>
          </cell>
          <cell r="AA902" t="str">
            <v/>
          </cell>
          <cell r="AB902" t="str">
            <v/>
          </cell>
          <cell r="AC902" t="str">
            <v/>
          </cell>
          <cell r="AD902" t="str">
            <v/>
          </cell>
          <cell r="AE902" t="str">
            <v/>
          </cell>
          <cell r="AF902" t="str">
            <v>⑫</v>
          </cell>
          <cell r="AG902" t="str">
            <v/>
          </cell>
          <cell r="AH902" t="str">
            <v/>
          </cell>
          <cell r="AI902" t="str">
            <v/>
          </cell>
          <cell r="AJ902" t="str">
            <v>変</v>
          </cell>
        </row>
        <row r="903">
          <cell r="B903">
            <v>5106</v>
          </cell>
          <cell r="C903">
            <v>51</v>
          </cell>
          <cell r="D903">
            <v>6</v>
          </cell>
          <cell r="F903" t="str">
            <v>幕張</v>
          </cell>
          <cell r="G903" t="str">
            <v>非常発電機設備保守(総合)</v>
          </cell>
          <cell r="H903" t="str">
            <v>関電工</v>
          </cell>
          <cell r="I903">
            <v>1705000</v>
          </cell>
          <cell r="J903">
            <v>1739100</v>
          </cell>
          <cell r="K903">
            <v>1</v>
          </cell>
          <cell r="L903">
            <v>0</v>
          </cell>
          <cell r="M903">
            <v>0</v>
          </cell>
          <cell r="N903">
            <v>0</v>
          </cell>
          <cell r="O903">
            <v>0</v>
          </cell>
          <cell r="P903">
            <v>0</v>
          </cell>
          <cell r="Q903">
            <v>0</v>
          </cell>
          <cell r="R903">
            <v>0</v>
          </cell>
          <cell r="S903">
            <v>0</v>
          </cell>
          <cell r="T903">
            <v>0</v>
          </cell>
          <cell r="U903">
            <v>0</v>
          </cell>
          <cell r="V903">
            <v>1739100</v>
          </cell>
          <cell r="W903">
            <v>0</v>
          </cell>
          <cell r="X903" t="str">
            <v/>
          </cell>
          <cell r="Y903" t="str">
            <v/>
          </cell>
          <cell r="Z903" t="str">
            <v/>
          </cell>
          <cell r="AA903" t="str">
            <v/>
          </cell>
          <cell r="AB903" t="str">
            <v/>
          </cell>
          <cell r="AC903" t="str">
            <v/>
          </cell>
          <cell r="AD903" t="str">
            <v/>
          </cell>
          <cell r="AE903" t="str">
            <v/>
          </cell>
          <cell r="AF903" t="str">
            <v/>
          </cell>
          <cell r="AG903" t="str">
            <v/>
          </cell>
          <cell r="AH903" t="str">
            <v>②</v>
          </cell>
          <cell r="AI903" t="str">
            <v/>
          </cell>
        </row>
        <row r="904">
          <cell r="B904">
            <v>5107</v>
          </cell>
          <cell r="C904">
            <v>51</v>
          </cell>
          <cell r="D904">
            <v>7</v>
          </cell>
          <cell r="F904" t="str">
            <v>幕張</v>
          </cell>
          <cell r="G904" t="str">
            <v>ｽﾌﾟﾘﾝｸﾗｰ設備(外観)</v>
          </cell>
          <cell r="H904" t="str">
            <v>共立防災サービス</v>
          </cell>
          <cell r="I904">
            <v>282660</v>
          </cell>
          <cell r="J904">
            <v>292203</v>
          </cell>
          <cell r="K904">
            <v>1</v>
          </cell>
          <cell r="L904">
            <v>0</v>
          </cell>
          <cell r="M904">
            <v>0</v>
          </cell>
          <cell r="N904">
            <v>0</v>
          </cell>
          <cell r="O904">
            <v>0</v>
          </cell>
          <cell r="P904">
            <v>0</v>
          </cell>
          <cell r="Q904">
            <v>0</v>
          </cell>
          <cell r="R904">
            <v>0</v>
          </cell>
          <cell r="S904">
            <v>292203</v>
          </cell>
          <cell r="T904">
            <v>0</v>
          </cell>
          <cell r="U904">
            <v>0</v>
          </cell>
          <cell r="V904">
            <v>0</v>
          </cell>
          <cell r="W904">
            <v>0</v>
          </cell>
          <cell r="X904" t="str">
            <v/>
          </cell>
          <cell r="Y904" t="str">
            <v/>
          </cell>
          <cell r="Z904" t="str">
            <v/>
          </cell>
          <cell r="AA904" t="str">
            <v/>
          </cell>
          <cell r="AB904" t="str">
            <v/>
          </cell>
          <cell r="AC904" t="str">
            <v/>
          </cell>
          <cell r="AD904" t="str">
            <v/>
          </cell>
          <cell r="AE904" t="str">
            <v>⑪</v>
          </cell>
          <cell r="AF904" t="str">
            <v/>
          </cell>
          <cell r="AG904" t="str">
            <v/>
          </cell>
          <cell r="AH904" t="str">
            <v/>
          </cell>
          <cell r="AI904" t="str">
            <v/>
          </cell>
          <cell r="AJ904" t="str">
            <v>変</v>
          </cell>
        </row>
        <row r="905">
          <cell r="B905">
            <v>5108</v>
          </cell>
          <cell r="C905">
            <v>51</v>
          </cell>
          <cell r="D905">
            <v>8</v>
          </cell>
          <cell r="F905" t="str">
            <v>幕張</v>
          </cell>
          <cell r="G905" t="str">
            <v>ｽﾌﾟﾘﾝｸﾗｰ設備(総合)</v>
          </cell>
          <cell r="H905" t="str">
            <v>共立防災サービス</v>
          </cell>
          <cell r="I905">
            <v>377000</v>
          </cell>
          <cell r="J905">
            <v>384540</v>
          </cell>
          <cell r="K905">
            <v>1</v>
          </cell>
          <cell r="L905">
            <v>0</v>
          </cell>
          <cell r="M905">
            <v>384540</v>
          </cell>
          <cell r="N905">
            <v>0</v>
          </cell>
          <cell r="O905">
            <v>0</v>
          </cell>
          <cell r="P905">
            <v>0</v>
          </cell>
          <cell r="Q905">
            <v>0</v>
          </cell>
          <cell r="R905">
            <v>0</v>
          </cell>
          <cell r="S905">
            <v>0</v>
          </cell>
          <cell r="T905">
            <v>0</v>
          </cell>
          <cell r="U905">
            <v>0</v>
          </cell>
          <cell r="V905">
            <v>0</v>
          </cell>
          <cell r="W905">
            <v>0</v>
          </cell>
          <cell r="X905" t="str">
            <v/>
          </cell>
          <cell r="Y905" t="str">
            <v>⑤</v>
          </cell>
          <cell r="Z905" t="str">
            <v/>
          </cell>
          <cell r="AA905" t="str">
            <v/>
          </cell>
          <cell r="AB905" t="str">
            <v/>
          </cell>
          <cell r="AC905" t="str">
            <v/>
          </cell>
          <cell r="AD905" t="str">
            <v/>
          </cell>
          <cell r="AE905" t="str">
            <v/>
          </cell>
          <cell r="AF905" t="str">
            <v/>
          </cell>
          <cell r="AG905" t="str">
            <v/>
          </cell>
          <cell r="AH905" t="str">
            <v/>
          </cell>
          <cell r="AI905" t="str">
            <v/>
          </cell>
          <cell r="AJ905" t="str">
            <v>変</v>
          </cell>
        </row>
        <row r="906">
          <cell r="B906">
            <v>5109</v>
          </cell>
          <cell r="C906">
            <v>51</v>
          </cell>
          <cell r="D906">
            <v>9</v>
          </cell>
          <cell r="F906" t="str">
            <v>幕張</v>
          </cell>
          <cell r="G906" t="str">
            <v>ﾊﾛｹﾞﾝ化物設備保守(外観)</v>
          </cell>
          <cell r="H906" t="str">
            <v>共立防災サービス</v>
          </cell>
          <cell r="I906">
            <v>142330</v>
          </cell>
          <cell r="J906">
            <v>147135</v>
          </cell>
          <cell r="K906">
            <v>1</v>
          </cell>
          <cell r="L906">
            <v>0</v>
          </cell>
          <cell r="M906">
            <v>0</v>
          </cell>
          <cell r="N906">
            <v>0</v>
          </cell>
          <cell r="O906">
            <v>0</v>
          </cell>
          <cell r="P906">
            <v>0</v>
          </cell>
          <cell r="Q906">
            <v>0</v>
          </cell>
          <cell r="R906">
            <v>0</v>
          </cell>
          <cell r="S906">
            <v>147135</v>
          </cell>
          <cell r="T906">
            <v>0</v>
          </cell>
          <cell r="U906">
            <v>0</v>
          </cell>
          <cell r="V906">
            <v>0</v>
          </cell>
          <cell r="W906">
            <v>0</v>
          </cell>
          <cell r="X906" t="str">
            <v/>
          </cell>
          <cell r="Y906" t="str">
            <v/>
          </cell>
          <cell r="Z906" t="str">
            <v/>
          </cell>
          <cell r="AA906" t="str">
            <v/>
          </cell>
          <cell r="AB906" t="str">
            <v/>
          </cell>
          <cell r="AC906" t="str">
            <v/>
          </cell>
          <cell r="AD906" t="str">
            <v/>
          </cell>
          <cell r="AE906" t="str">
            <v>⑪</v>
          </cell>
          <cell r="AF906" t="str">
            <v/>
          </cell>
          <cell r="AG906" t="str">
            <v/>
          </cell>
          <cell r="AH906" t="str">
            <v/>
          </cell>
          <cell r="AI906" t="str">
            <v/>
          </cell>
          <cell r="AJ906" t="str">
            <v>変</v>
          </cell>
        </row>
        <row r="907">
          <cell r="B907">
            <v>5110</v>
          </cell>
          <cell r="C907">
            <v>51</v>
          </cell>
          <cell r="D907">
            <v>10</v>
          </cell>
          <cell r="F907" t="str">
            <v>幕張</v>
          </cell>
          <cell r="G907" t="str">
            <v>ﾊﾛｹﾞﾝ化物設備保守(総合)</v>
          </cell>
          <cell r="H907" t="str">
            <v>共立防災サービス</v>
          </cell>
          <cell r="I907">
            <v>227000</v>
          </cell>
          <cell r="J907">
            <v>231540</v>
          </cell>
          <cell r="K907">
            <v>1</v>
          </cell>
          <cell r="L907">
            <v>0</v>
          </cell>
          <cell r="M907">
            <v>231540</v>
          </cell>
          <cell r="N907">
            <v>0</v>
          </cell>
          <cell r="O907">
            <v>0</v>
          </cell>
          <cell r="P907">
            <v>0</v>
          </cell>
          <cell r="Q907">
            <v>0</v>
          </cell>
          <cell r="R907">
            <v>0</v>
          </cell>
          <cell r="S907">
            <v>0</v>
          </cell>
          <cell r="T907">
            <v>0</v>
          </cell>
          <cell r="U907">
            <v>0</v>
          </cell>
          <cell r="V907">
            <v>0</v>
          </cell>
          <cell r="W907">
            <v>0</v>
          </cell>
          <cell r="X907" t="str">
            <v/>
          </cell>
          <cell r="Y907" t="str">
            <v>⑤</v>
          </cell>
          <cell r="Z907" t="str">
            <v/>
          </cell>
          <cell r="AA907" t="str">
            <v/>
          </cell>
          <cell r="AB907" t="str">
            <v/>
          </cell>
          <cell r="AC907" t="str">
            <v/>
          </cell>
          <cell r="AD907" t="str">
            <v/>
          </cell>
          <cell r="AE907" t="str">
            <v/>
          </cell>
          <cell r="AF907" t="str">
            <v/>
          </cell>
          <cell r="AG907" t="str">
            <v/>
          </cell>
          <cell r="AH907" t="str">
            <v/>
          </cell>
          <cell r="AI907" t="str">
            <v/>
          </cell>
          <cell r="AJ907" t="str">
            <v>変</v>
          </cell>
        </row>
        <row r="908">
          <cell r="B908">
            <v>5111</v>
          </cell>
          <cell r="C908">
            <v>51</v>
          </cell>
          <cell r="D908">
            <v>11</v>
          </cell>
          <cell r="F908" t="str">
            <v>幕張</v>
          </cell>
          <cell r="G908" t="str">
            <v>消火器設備保守(外観)</v>
          </cell>
          <cell r="H908" t="str">
            <v>共立防災サービス</v>
          </cell>
          <cell r="I908">
            <v>97650</v>
          </cell>
          <cell r="J908">
            <v>100947</v>
          </cell>
          <cell r="K908">
            <v>1</v>
          </cell>
          <cell r="L908">
            <v>0</v>
          </cell>
          <cell r="M908">
            <v>0</v>
          </cell>
          <cell r="N908">
            <v>0</v>
          </cell>
          <cell r="O908">
            <v>0</v>
          </cell>
          <cell r="P908">
            <v>0</v>
          </cell>
          <cell r="Q908">
            <v>0</v>
          </cell>
          <cell r="R908">
            <v>0</v>
          </cell>
          <cell r="S908">
            <v>100947</v>
          </cell>
          <cell r="T908">
            <v>0</v>
          </cell>
          <cell r="U908">
            <v>0</v>
          </cell>
          <cell r="V908">
            <v>0</v>
          </cell>
          <cell r="W908">
            <v>0</v>
          </cell>
          <cell r="X908" t="str">
            <v/>
          </cell>
          <cell r="Y908" t="str">
            <v/>
          </cell>
          <cell r="Z908" t="str">
            <v/>
          </cell>
          <cell r="AA908" t="str">
            <v/>
          </cell>
          <cell r="AB908" t="str">
            <v/>
          </cell>
          <cell r="AC908" t="str">
            <v/>
          </cell>
          <cell r="AD908" t="str">
            <v/>
          </cell>
          <cell r="AE908" t="str">
            <v>⑪</v>
          </cell>
          <cell r="AF908" t="str">
            <v/>
          </cell>
          <cell r="AG908" t="str">
            <v/>
          </cell>
          <cell r="AH908" t="str">
            <v/>
          </cell>
          <cell r="AI908" t="str">
            <v/>
          </cell>
          <cell r="AJ908" t="str">
            <v>変</v>
          </cell>
        </row>
        <row r="909">
          <cell r="B909">
            <v>5112</v>
          </cell>
          <cell r="C909">
            <v>51</v>
          </cell>
          <cell r="D909">
            <v>12</v>
          </cell>
          <cell r="F909" t="str">
            <v>幕張</v>
          </cell>
          <cell r="G909" t="str">
            <v>消火器設備保守(総合)</v>
          </cell>
          <cell r="H909" t="str">
            <v>共立防災サービス</v>
          </cell>
          <cell r="I909">
            <v>176500</v>
          </cell>
          <cell r="J909">
            <v>180030</v>
          </cell>
          <cell r="K909">
            <v>1</v>
          </cell>
          <cell r="L909">
            <v>0</v>
          </cell>
          <cell r="M909">
            <v>180030</v>
          </cell>
          <cell r="N909">
            <v>0</v>
          </cell>
          <cell r="O909">
            <v>0</v>
          </cell>
          <cell r="P909">
            <v>0</v>
          </cell>
          <cell r="Q909">
            <v>0</v>
          </cell>
          <cell r="R909">
            <v>0</v>
          </cell>
          <cell r="S909">
            <v>0</v>
          </cell>
          <cell r="T909">
            <v>0</v>
          </cell>
          <cell r="U909">
            <v>0</v>
          </cell>
          <cell r="V909">
            <v>0</v>
          </cell>
          <cell r="W909">
            <v>0</v>
          </cell>
          <cell r="X909" t="str">
            <v/>
          </cell>
          <cell r="Y909" t="str">
            <v>⑤</v>
          </cell>
          <cell r="Z909" t="str">
            <v/>
          </cell>
          <cell r="AA909" t="str">
            <v/>
          </cell>
          <cell r="AB909" t="str">
            <v/>
          </cell>
          <cell r="AC909" t="str">
            <v/>
          </cell>
          <cell r="AD909" t="str">
            <v/>
          </cell>
          <cell r="AE909" t="str">
            <v/>
          </cell>
          <cell r="AF909" t="str">
            <v/>
          </cell>
          <cell r="AG909" t="str">
            <v/>
          </cell>
          <cell r="AH909" t="str">
            <v/>
          </cell>
          <cell r="AI909" t="str">
            <v/>
          </cell>
          <cell r="AJ909" t="str">
            <v>変</v>
          </cell>
        </row>
        <row r="910">
          <cell r="B910">
            <v>5113</v>
          </cell>
          <cell r="C910">
            <v>51</v>
          </cell>
          <cell r="D910">
            <v>13</v>
          </cell>
          <cell r="F910" t="str">
            <v>幕張</v>
          </cell>
          <cell r="G910" t="str">
            <v>消火栓設備保守(外観)</v>
          </cell>
          <cell r="H910" t="str">
            <v>共立防災サービス</v>
          </cell>
          <cell r="I910">
            <v>150090</v>
          </cell>
          <cell r="J910">
            <v>155157</v>
          </cell>
          <cell r="K910">
            <v>1</v>
          </cell>
          <cell r="L910">
            <v>0</v>
          </cell>
          <cell r="M910">
            <v>0</v>
          </cell>
          <cell r="N910">
            <v>0</v>
          </cell>
          <cell r="O910">
            <v>0</v>
          </cell>
          <cell r="P910">
            <v>0</v>
          </cell>
          <cell r="Q910">
            <v>0</v>
          </cell>
          <cell r="R910">
            <v>0</v>
          </cell>
          <cell r="S910">
            <v>155157</v>
          </cell>
          <cell r="T910">
            <v>0</v>
          </cell>
          <cell r="U910">
            <v>0</v>
          </cell>
          <cell r="V910">
            <v>0</v>
          </cell>
          <cell r="W910">
            <v>0</v>
          </cell>
          <cell r="X910" t="str">
            <v/>
          </cell>
          <cell r="Y910" t="str">
            <v/>
          </cell>
          <cell r="Z910" t="str">
            <v/>
          </cell>
          <cell r="AA910" t="str">
            <v/>
          </cell>
          <cell r="AB910" t="str">
            <v/>
          </cell>
          <cell r="AC910" t="str">
            <v/>
          </cell>
          <cell r="AD910" t="str">
            <v/>
          </cell>
          <cell r="AE910" t="str">
            <v>⑪</v>
          </cell>
          <cell r="AF910" t="str">
            <v/>
          </cell>
          <cell r="AG910" t="str">
            <v/>
          </cell>
          <cell r="AH910" t="str">
            <v/>
          </cell>
          <cell r="AI910" t="str">
            <v/>
          </cell>
          <cell r="AJ910" t="str">
            <v>変</v>
          </cell>
        </row>
        <row r="911">
          <cell r="B911">
            <v>5114</v>
          </cell>
          <cell r="C911">
            <v>51</v>
          </cell>
          <cell r="D911">
            <v>14</v>
          </cell>
          <cell r="F911" t="str">
            <v>幕張</v>
          </cell>
          <cell r="G911" t="str">
            <v>消火栓設備保守(総合)</v>
          </cell>
          <cell r="H911" t="str">
            <v>共立防災サービス</v>
          </cell>
          <cell r="I911">
            <v>195500</v>
          </cell>
          <cell r="J911">
            <v>199410</v>
          </cell>
          <cell r="K911">
            <v>1</v>
          </cell>
          <cell r="L911">
            <v>0</v>
          </cell>
          <cell r="M911">
            <v>199410</v>
          </cell>
          <cell r="N911">
            <v>0</v>
          </cell>
          <cell r="O911">
            <v>0</v>
          </cell>
          <cell r="P911">
            <v>0</v>
          </cell>
          <cell r="Q911">
            <v>0</v>
          </cell>
          <cell r="R911">
            <v>0</v>
          </cell>
          <cell r="S911">
            <v>0</v>
          </cell>
          <cell r="T911">
            <v>0</v>
          </cell>
          <cell r="U911">
            <v>0</v>
          </cell>
          <cell r="V911">
            <v>0</v>
          </cell>
          <cell r="W911">
            <v>0</v>
          </cell>
          <cell r="X911" t="str">
            <v/>
          </cell>
          <cell r="Y911" t="str">
            <v>⑤</v>
          </cell>
          <cell r="Z911" t="str">
            <v/>
          </cell>
          <cell r="AA911" t="str">
            <v/>
          </cell>
          <cell r="AB911" t="str">
            <v/>
          </cell>
          <cell r="AC911" t="str">
            <v/>
          </cell>
          <cell r="AD911" t="str">
            <v/>
          </cell>
          <cell r="AE911" t="str">
            <v/>
          </cell>
          <cell r="AF911" t="str">
            <v/>
          </cell>
          <cell r="AG911" t="str">
            <v/>
          </cell>
          <cell r="AH911" t="str">
            <v/>
          </cell>
          <cell r="AI911" t="str">
            <v/>
          </cell>
          <cell r="AJ911" t="str">
            <v>変</v>
          </cell>
        </row>
        <row r="912">
          <cell r="B912">
            <v>5115</v>
          </cell>
          <cell r="C912">
            <v>51</v>
          </cell>
          <cell r="D912">
            <v>15</v>
          </cell>
          <cell r="F912" t="str">
            <v>幕張</v>
          </cell>
          <cell r="G912" t="str">
            <v>非常ｺﾝｾﾝﾄ設備保守(外観)</v>
          </cell>
          <cell r="H912" t="str">
            <v>共立防災サービス</v>
          </cell>
          <cell r="I912">
            <v>31900</v>
          </cell>
          <cell r="J912">
            <v>32977</v>
          </cell>
          <cell r="K912">
            <v>1</v>
          </cell>
          <cell r="L912">
            <v>0</v>
          </cell>
          <cell r="M912">
            <v>0</v>
          </cell>
          <cell r="N912">
            <v>0</v>
          </cell>
          <cell r="O912">
            <v>0</v>
          </cell>
          <cell r="P912">
            <v>0</v>
          </cell>
          <cell r="Q912">
            <v>0</v>
          </cell>
          <cell r="R912">
            <v>0</v>
          </cell>
          <cell r="S912">
            <v>32977</v>
          </cell>
          <cell r="T912">
            <v>0</v>
          </cell>
          <cell r="U912">
            <v>0</v>
          </cell>
          <cell r="V912">
            <v>0</v>
          </cell>
          <cell r="W912">
            <v>0</v>
          </cell>
          <cell r="X912" t="str">
            <v/>
          </cell>
          <cell r="Y912" t="str">
            <v/>
          </cell>
          <cell r="Z912" t="str">
            <v/>
          </cell>
          <cell r="AA912" t="str">
            <v/>
          </cell>
          <cell r="AB912" t="str">
            <v/>
          </cell>
          <cell r="AC912" t="str">
            <v/>
          </cell>
          <cell r="AD912" t="str">
            <v/>
          </cell>
          <cell r="AE912" t="str">
            <v>⑪</v>
          </cell>
          <cell r="AF912" t="str">
            <v/>
          </cell>
          <cell r="AG912" t="str">
            <v/>
          </cell>
          <cell r="AH912" t="str">
            <v/>
          </cell>
          <cell r="AI912" t="str">
            <v/>
          </cell>
          <cell r="AJ912" t="str">
            <v>変</v>
          </cell>
        </row>
        <row r="913">
          <cell r="B913">
            <v>5116</v>
          </cell>
          <cell r="C913">
            <v>51</v>
          </cell>
          <cell r="D913">
            <v>16</v>
          </cell>
          <cell r="F913" t="str">
            <v>幕張</v>
          </cell>
          <cell r="G913" t="str">
            <v>非常ｺﾝｾﾝﾄ設備保守(外観)</v>
          </cell>
          <cell r="H913" t="str">
            <v>共立防災サービス</v>
          </cell>
          <cell r="I913">
            <v>21500</v>
          </cell>
          <cell r="J913">
            <v>21930</v>
          </cell>
          <cell r="K913">
            <v>1</v>
          </cell>
          <cell r="L913">
            <v>0</v>
          </cell>
          <cell r="M913">
            <v>21930</v>
          </cell>
          <cell r="N913">
            <v>0</v>
          </cell>
          <cell r="O913">
            <v>0</v>
          </cell>
          <cell r="P913">
            <v>0</v>
          </cell>
          <cell r="Q913">
            <v>0</v>
          </cell>
          <cell r="R913">
            <v>0</v>
          </cell>
          <cell r="S913">
            <v>0</v>
          </cell>
          <cell r="T913">
            <v>0</v>
          </cell>
          <cell r="U913">
            <v>0</v>
          </cell>
          <cell r="V913">
            <v>0</v>
          </cell>
          <cell r="W913">
            <v>0</v>
          </cell>
          <cell r="X913" t="str">
            <v/>
          </cell>
          <cell r="Y913" t="str">
            <v>⑤</v>
          </cell>
          <cell r="Z913" t="str">
            <v/>
          </cell>
          <cell r="AA913" t="str">
            <v/>
          </cell>
          <cell r="AB913" t="str">
            <v/>
          </cell>
          <cell r="AC913" t="str">
            <v/>
          </cell>
          <cell r="AD913" t="str">
            <v/>
          </cell>
          <cell r="AE913" t="str">
            <v/>
          </cell>
          <cell r="AF913" t="str">
            <v/>
          </cell>
          <cell r="AG913" t="str">
            <v/>
          </cell>
          <cell r="AH913" t="str">
            <v/>
          </cell>
          <cell r="AI913" t="str">
            <v/>
          </cell>
          <cell r="AJ913" t="str">
            <v>変</v>
          </cell>
        </row>
        <row r="914">
          <cell r="B914">
            <v>5117</v>
          </cell>
          <cell r="C914">
            <v>51</v>
          </cell>
          <cell r="D914">
            <v>17</v>
          </cell>
          <cell r="F914" t="str">
            <v>幕張</v>
          </cell>
          <cell r="G914" t="str">
            <v>消防用水設備保守(外観)</v>
          </cell>
          <cell r="H914" t="str">
            <v>共立防災サービス</v>
          </cell>
          <cell r="I914">
            <v>26690</v>
          </cell>
          <cell r="J914">
            <v>27591</v>
          </cell>
          <cell r="K914">
            <v>1</v>
          </cell>
          <cell r="L914">
            <v>0</v>
          </cell>
          <cell r="M914">
            <v>0</v>
          </cell>
          <cell r="N914">
            <v>0</v>
          </cell>
          <cell r="O914">
            <v>0</v>
          </cell>
          <cell r="P914">
            <v>0</v>
          </cell>
          <cell r="Q914">
            <v>0</v>
          </cell>
          <cell r="R914">
            <v>0</v>
          </cell>
          <cell r="S914">
            <v>27591</v>
          </cell>
          <cell r="T914">
            <v>0</v>
          </cell>
          <cell r="U914">
            <v>0</v>
          </cell>
          <cell r="V914">
            <v>0</v>
          </cell>
          <cell r="W914">
            <v>0</v>
          </cell>
          <cell r="X914" t="str">
            <v/>
          </cell>
          <cell r="Y914" t="str">
            <v/>
          </cell>
          <cell r="Z914" t="str">
            <v/>
          </cell>
          <cell r="AA914" t="str">
            <v/>
          </cell>
          <cell r="AB914" t="str">
            <v/>
          </cell>
          <cell r="AC914" t="str">
            <v/>
          </cell>
          <cell r="AD914" t="str">
            <v/>
          </cell>
          <cell r="AE914" t="str">
            <v>⑪</v>
          </cell>
          <cell r="AF914" t="str">
            <v/>
          </cell>
          <cell r="AG914" t="str">
            <v/>
          </cell>
          <cell r="AH914" t="str">
            <v/>
          </cell>
          <cell r="AI914" t="str">
            <v/>
          </cell>
          <cell r="AJ914" t="str">
            <v>変</v>
          </cell>
        </row>
        <row r="915">
          <cell r="B915">
            <v>5118</v>
          </cell>
          <cell r="C915">
            <v>51</v>
          </cell>
          <cell r="D915">
            <v>18</v>
          </cell>
          <cell r="F915" t="str">
            <v>幕張</v>
          </cell>
          <cell r="G915" t="str">
            <v>消防用水設備保守(総合)</v>
          </cell>
          <cell r="H915" t="str">
            <v>共立防災サービス</v>
          </cell>
          <cell r="I915">
            <v>31000</v>
          </cell>
          <cell r="J915">
            <v>31620</v>
          </cell>
          <cell r="K915">
            <v>1</v>
          </cell>
          <cell r="L915">
            <v>0</v>
          </cell>
          <cell r="M915">
            <v>31620</v>
          </cell>
          <cell r="N915">
            <v>0</v>
          </cell>
          <cell r="O915">
            <v>0</v>
          </cell>
          <cell r="P915">
            <v>0</v>
          </cell>
          <cell r="Q915">
            <v>0</v>
          </cell>
          <cell r="R915">
            <v>0</v>
          </cell>
          <cell r="S915">
            <v>0</v>
          </cell>
          <cell r="T915">
            <v>0</v>
          </cell>
          <cell r="U915">
            <v>0</v>
          </cell>
          <cell r="V915">
            <v>0</v>
          </cell>
          <cell r="W915">
            <v>0</v>
          </cell>
          <cell r="X915" t="str">
            <v/>
          </cell>
          <cell r="Y915" t="str">
            <v>⑤</v>
          </cell>
          <cell r="Z915" t="str">
            <v/>
          </cell>
          <cell r="AA915" t="str">
            <v/>
          </cell>
          <cell r="AB915" t="str">
            <v/>
          </cell>
          <cell r="AC915" t="str">
            <v/>
          </cell>
          <cell r="AD915" t="str">
            <v/>
          </cell>
          <cell r="AE915" t="str">
            <v/>
          </cell>
          <cell r="AF915" t="str">
            <v/>
          </cell>
          <cell r="AG915" t="str">
            <v/>
          </cell>
          <cell r="AH915" t="str">
            <v/>
          </cell>
          <cell r="AI915" t="str">
            <v/>
          </cell>
          <cell r="AJ915" t="str">
            <v>変</v>
          </cell>
        </row>
        <row r="916">
          <cell r="B916">
            <v>5119</v>
          </cell>
          <cell r="C916">
            <v>51</v>
          </cell>
          <cell r="D916">
            <v>19</v>
          </cell>
          <cell r="F916" t="str">
            <v>幕張</v>
          </cell>
          <cell r="G916" t="str">
            <v>誘導灯設備保守(外観)</v>
          </cell>
          <cell r="H916" t="str">
            <v>共立防災サービス</v>
          </cell>
          <cell r="I916">
            <v>210670</v>
          </cell>
          <cell r="J916">
            <v>217782</v>
          </cell>
          <cell r="K916">
            <v>1</v>
          </cell>
          <cell r="L916">
            <v>0</v>
          </cell>
          <cell r="M916">
            <v>0</v>
          </cell>
          <cell r="N916">
            <v>0</v>
          </cell>
          <cell r="O916">
            <v>0</v>
          </cell>
          <cell r="P916">
            <v>0</v>
          </cell>
          <cell r="Q916">
            <v>0</v>
          </cell>
          <cell r="R916">
            <v>0</v>
          </cell>
          <cell r="S916">
            <v>217782</v>
          </cell>
          <cell r="T916">
            <v>0</v>
          </cell>
          <cell r="U916">
            <v>0</v>
          </cell>
          <cell r="V916">
            <v>0</v>
          </cell>
          <cell r="W916">
            <v>0</v>
          </cell>
          <cell r="X916" t="str">
            <v/>
          </cell>
          <cell r="Y916" t="str">
            <v/>
          </cell>
          <cell r="Z916" t="str">
            <v/>
          </cell>
          <cell r="AA916" t="str">
            <v/>
          </cell>
          <cell r="AB916" t="str">
            <v/>
          </cell>
          <cell r="AC916" t="str">
            <v/>
          </cell>
          <cell r="AD916" t="str">
            <v/>
          </cell>
          <cell r="AE916" t="str">
            <v>⑪</v>
          </cell>
          <cell r="AF916" t="str">
            <v/>
          </cell>
          <cell r="AG916" t="str">
            <v/>
          </cell>
          <cell r="AH916" t="str">
            <v/>
          </cell>
          <cell r="AI916" t="str">
            <v/>
          </cell>
          <cell r="AJ916" t="str">
            <v>変</v>
          </cell>
        </row>
        <row r="917">
          <cell r="B917">
            <v>5120</v>
          </cell>
          <cell r="C917">
            <v>51</v>
          </cell>
          <cell r="D917">
            <v>20</v>
          </cell>
          <cell r="F917" t="str">
            <v>幕張</v>
          </cell>
          <cell r="G917" t="str">
            <v>誘導灯設備保守(総合)</v>
          </cell>
          <cell r="H917" t="str">
            <v>共立防災サービス</v>
          </cell>
          <cell r="I917">
            <v>243500</v>
          </cell>
          <cell r="J917">
            <v>248370</v>
          </cell>
          <cell r="K917">
            <v>1</v>
          </cell>
          <cell r="L917">
            <v>0</v>
          </cell>
          <cell r="M917">
            <v>248370</v>
          </cell>
          <cell r="N917">
            <v>0</v>
          </cell>
          <cell r="O917">
            <v>0</v>
          </cell>
          <cell r="P917">
            <v>0</v>
          </cell>
          <cell r="Q917">
            <v>0</v>
          </cell>
          <cell r="R917">
            <v>0</v>
          </cell>
          <cell r="S917">
            <v>0</v>
          </cell>
          <cell r="T917">
            <v>0</v>
          </cell>
          <cell r="U917">
            <v>0</v>
          </cell>
          <cell r="V917">
            <v>0</v>
          </cell>
          <cell r="W917">
            <v>0</v>
          </cell>
          <cell r="X917" t="str">
            <v/>
          </cell>
          <cell r="Y917" t="str">
            <v>⑤</v>
          </cell>
          <cell r="Z917" t="str">
            <v/>
          </cell>
          <cell r="AA917" t="str">
            <v/>
          </cell>
          <cell r="AB917" t="str">
            <v/>
          </cell>
          <cell r="AC917" t="str">
            <v/>
          </cell>
          <cell r="AD917" t="str">
            <v/>
          </cell>
          <cell r="AE917" t="str">
            <v/>
          </cell>
          <cell r="AF917" t="str">
            <v/>
          </cell>
          <cell r="AG917" t="str">
            <v/>
          </cell>
          <cell r="AH917" t="str">
            <v/>
          </cell>
          <cell r="AI917" t="str">
            <v/>
          </cell>
          <cell r="AJ917" t="str">
            <v>変</v>
          </cell>
        </row>
        <row r="918">
          <cell r="B918">
            <v>5121</v>
          </cell>
          <cell r="C918">
            <v>51</v>
          </cell>
          <cell r="D918">
            <v>21</v>
          </cell>
          <cell r="F918" t="str">
            <v>幕張</v>
          </cell>
          <cell r="G918" t="str">
            <v>連結送水管設備保守(外観)</v>
          </cell>
          <cell r="H918" t="str">
            <v>共立防災サービス</v>
          </cell>
          <cell r="I918">
            <v>42350</v>
          </cell>
          <cell r="J918">
            <v>43780</v>
          </cell>
          <cell r="K918">
            <v>1</v>
          </cell>
          <cell r="L918">
            <v>0</v>
          </cell>
          <cell r="M918">
            <v>0</v>
          </cell>
          <cell r="N918">
            <v>0</v>
          </cell>
          <cell r="O918">
            <v>0</v>
          </cell>
          <cell r="P918">
            <v>0</v>
          </cell>
          <cell r="Q918">
            <v>0</v>
          </cell>
          <cell r="R918">
            <v>0</v>
          </cell>
          <cell r="S918">
            <v>43780</v>
          </cell>
          <cell r="T918">
            <v>0</v>
          </cell>
          <cell r="U918">
            <v>0</v>
          </cell>
          <cell r="V918">
            <v>0</v>
          </cell>
          <cell r="W918">
            <v>0</v>
          </cell>
          <cell r="X918" t="str">
            <v/>
          </cell>
          <cell r="Y918" t="str">
            <v/>
          </cell>
          <cell r="Z918" t="str">
            <v/>
          </cell>
          <cell r="AA918" t="str">
            <v/>
          </cell>
          <cell r="AB918" t="str">
            <v/>
          </cell>
          <cell r="AC918" t="str">
            <v/>
          </cell>
          <cell r="AD918" t="str">
            <v/>
          </cell>
          <cell r="AE918" t="str">
            <v>⑪</v>
          </cell>
          <cell r="AF918" t="str">
            <v/>
          </cell>
          <cell r="AG918" t="str">
            <v/>
          </cell>
          <cell r="AH918" t="str">
            <v/>
          </cell>
          <cell r="AI918" t="str">
            <v/>
          </cell>
          <cell r="AJ918" t="str">
            <v>変</v>
          </cell>
        </row>
        <row r="919">
          <cell r="B919">
            <v>5122</v>
          </cell>
          <cell r="C919">
            <v>51</v>
          </cell>
          <cell r="D919">
            <v>22</v>
          </cell>
          <cell r="F919" t="str">
            <v>幕張</v>
          </cell>
          <cell r="G919" t="str">
            <v>連結送水管設備保守(総合)</v>
          </cell>
          <cell r="H919" t="str">
            <v>共立防災サービス</v>
          </cell>
          <cell r="I919">
            <v>48000</v>
          </cell>
          <cell r="J919">
            <v>48960</v>
          </cell>
          <cell r="K919">
            <v>1</v>
          </cell>
          <cell r="L919">
            <v>0</v>
          </cell>
          <cell r="M919">
            <v>48960</v>
          </cell>
          <cell r="N919">
            <v>0</v>
          </cell>
          <cell r="O919">
            <v>0</v>
          </cell>
          <cell r="P919">
            <v>0</v>
          </cell>
          <cell r="Q919">
            <v>0</v>
          </cell>
          <cell r="R919">
            <v>0</v>
          </cell>
          <cell r="S919">
            <v>0</v>
          </cell>
          <cell r="T919">
            <v>0</v>
          </cell>
          <cell r="U919">
            <v>0</v>
          </cell>
          <cell r="V919">
            <v>0</v>
          </cell>
          <cell r="W919">
            <v>0</v>
          </cell>
          <cell r="X919" t="str">
            <v/>
          </cell>
          <cell r="Y919" t="str">
            <v>⑤</v>
          </cell>
          <cell r="Z919" t="str">
            <v/>
          </cell>
          <cell r="AA919" t="str">
            <v/>
          </cell>
          <cell r="AB919" t="str">
            <v/>
          </cell>
          <cell r="AC919" t="str">
            <v/>
          </cell>
          <cell r="AD919" t="str">
            <v/>
          </cell>
          <cell r="AE919" t="str">
            <v/>
          </cell>
          <cell r="AF919" t="str">
            <v/>
          </cell>
          <cell r="AG919" t="str">
            <v/>
          </cell>
          <cell r="AH919" t="str">
            <v/>
          </cell>
          <cell r="AI919" t="str">
            <v/>
          </cell>
          <cell r="AJ919" t="str">
            <v>変</v>
          </cell>
        </row>
        <row r="920">
          <cell r="B920">
            <v>5123</v>
          </cell>
          <cell r="C920">
            <v>51</v>
          </cell>
          <cell r="D920">
            <v>23</v>
          </cell>
          <cell r="F920" t="str">
            <v>幕張</v>
          </cell>
          <cell r="G920" t="str">
            <v>泡消火設備保守(駐車場)外観</v>
          </cell>
          <cell r="H920" t="str">
            <v>共立防災サービス</v>
          </cell>
          <cell r="I920">
            <v>229990</v>
          </cell>
          <cell r="J920">
            <v>237755</v>
          </cell>
          <cell r="K920">
            <v>1</v>
          </cell>
          <cell r="L920">
            <v>0</v>
          </cell>
          <cell r="M920">
            <v>0</v>
          </cell>
          <cell r="N920">
            <v>0</v>
          </cell>
          <cell r="O920">
            <v>0</v>
          </cell>
          <cell r="P920">
            <v>0</v>
          </cell>
          <cell r="Q920">
            <v>0</v>
          </cell>
          <cell r="R920">
            <v>0</v>
          </cell>
          <cell r="S920">
            <v>237755</v>
          </cell>
          <cell r="T920">
            <v>0</v>
          </cell>
          <cell r="U920">
            <v>0</v>
          </cell>
          <cell r="V920">
            <v>0</v>
          </cell>
          <cell r="W920">
            <v>0</v>
          </cell>
          <cell r="X920" t="str">
            <v/>
          </cell>
          <cell r="Y920" t="str">
            <v/>
          </cell>
          <cell r="Z920" t="str">
            <v/>
          </cell>
          <cell r="AA920" t="str">
            <v/>
          </cell>
          <cell r="AB920" t="str">
            <v/>
          </cell>
          <cell r="AC920" t="str">
            <v/>
          </cell>
          <cell r="AD920" t="str">
            <v/>
          </cell>
          <cell r="AE920" t="str">
            <v>⑪</v>
          </cell>
          <cell r="AF920" t="str">
            <v/>
          </cell>
          <cell r="AG920" t="str">
            <v/>
          </cell>
          <cell r="AH920" t="str">
            <v/>
          </cell>
          <cell r="AI920" t="str">
            <v/>
          </cell>
          <cell r="AJ920" t="str">
            <v>変</v>
          </cell>
        </row>
        <row r="921">
          <cell r="B921">
            <v>5124</v>
          </cell>
          <cell r="C921">
            <v>51</v>
          </cell>
          <cell r="D921">
            <v>24</v>
          </cell>
          <cell r="F921" t="str">
            <v>幕張</v>
          </cell>
          <cell r="G921" t="str">
            <v>泡消火設備保守(駐車場)総合</v>
          </cell>
          <cell r="H921" t="str">
            <v>共立防災サービス</v>
          </cell>
          <cell r="I921">
            <v>355000</v>
          </cell>
          <cell r="J921">
            <v>362100</v>
          </cell>
          <cell r="K921">
            <v>1</v>
          </cell>
          <cell r="L921">
            <v>0</v>
          </cell>
          <cell r="M921">
            <v>362100</v>
          </cell>
          <cell r="N921">
            <v>0</v>
          </cell>
          <cell r="O921">
            <v>0</v>
          </cell>
          <cell r="P921">
            <v>0</v>
          </cell>
          <cell r="Q921">
            <v>0</v>
          </cell>
          <cell r="R921">
            <v>0</v>
          </cell>
          <cell r="S921">
            <v>0</v>
          </cell>
          <cell r="T921">
            <v>0</v>
          </cell>
          <cell r="U921">
            <v>0</v>
          </cell>
          <cell r="V921">
            <v>0</v>
          </cell>
          <cell r="W921">
            <v>0</v>
          </cell>
          <cell r="X921" t="str">
            <v/>
          </cell>
          <cell r="Y921" t="str">
            <v>⑤</v>
          </cell>
          <cell r="Z921" t="str">
            <v/>
          </cell>
          <cell r="AA921" t="str">
            <v/>
          </cell>
          <cell r="AB921" t="str">
            <v/>
          </cell>
          <cell r="AC921" t="str">
            <v/>
          </cell>
          <cell r="AD921" t="str">
            <v/>
          </cell>
          <cell r="AE921" t="str">
            <v/>
          </cell>
          <cell r="AF921" t="str">
            <v/>
          </cell>
          <cell r="AG921" t="str">
            <v/>
          </cell>
          <cell r="AH921" t="str">
            <v/>
          </cell>
          <cell r="AI921" t="str">
            <v/>
          </cell>
          <cell r="AJ921" t="str">
            <v>変</v>
          </cell>
        </row>
        <row r="922">
          <cell r="B922">
            <v>5125</v>
          </cell>
          <cell r="C922">
            <v>51</v>
          </cell>
          <cell r="D922">
            <v>25</v>
          </cell>
          <cell r="F922" t="str">
            <v>幕張</v>
          </cell>
          <cell r="G922" t="str">
            <v>粉末消火(外観)</v>
          </cell>
          <cell r="H922" t="str">
            <v>共立防災サービス</v>
          </cell>
          <cell r="I922">
            <v>29670</v>
          </cell>
          <cell r="J922">
            <v>30672</v>
          </cell>
          <cell r="K922">
            <v>1</v>
          </cell>
          <cell r="L922">
            <v>0</v>
          </cell>
          <cell r="M922">
            <v>0</v>
          </cell>
          <cell r="N922">
            <v>0</v>
          </cell>
          <cell r="O922">
            <v>0</v>
          </cell>
          <cell r="P922">
            <v>0</v>
          </cell>
          <cell r="Q922">
            <v>0</v>
          </cell>
          <cell r="R922">
            <v>0</v>
          </cell>
          <cell r="S922">
            <v>30672</v>
          </cell>
          <cell r="T922">
            <v>0</v>
          </cell>
          <cell r="U922">
            <v>0</v>
          </cell>
          <cell r="V922">
            <v>0</v>
          </cell>
          <cell r="W922">
            <v>0</v>
          </cell>
          <cell r="X922" t="str">
            <v/>
          </cell>
          <cell r="Z922" t="str">
            <v/>
          </cell>
          <cell r="AA922" t="str">
            <v/>
          </cell>
          <cell r="AB922" t="str">
            <v/>
          </cell>
          <cell r="AC922" t="str">
            <v/>
          </cell>
          <cell r="AD922" t="str">
            <v/>
          </cell>
          <cell r="AE922" t="str">
            <v>⑪</v>
          </cell>
          <cell r="AF922" t="str">
            <v/>
          </cell>
          <cell r="AG922" t="str">
            <v/>
          </cell>
          <cell r="AH922" t="str">
            <v/>
          </cell>
          <cell r="AI922" t="str">
            <v/>
          </cell>
          <cell r="AJ922" t="str">
            <v>変</v>
          </cell>
        </row>
        <row r="923">
          <cell r="B923">
            <v>5126</v>
          </cell>
          <cell r="C923">
            <v>51</v>
          </cell>
          <cell r="D923">
            <v>26</v>
          </cell>
          <cell r="F923" t="str">
            <v>幕張</v>
          </cell>
          <cell r="G923" t="str">
            <v>非常放送設備保守(外観)</v>
          </cell>
          <cell r="H923" t="str">
            <v>通信機工事</v>
          </cell>
          <cell r="I923">
            <v>480000</v>
          </cell>
          <cell r="J923">
            <v>493200</v>
          </cell>
          <cell r="K923">
            <v>1</v>
          </cell>
          <cell r="L923">
            <v>0</v>
          </cell>
          <cell r="M923">
            <v>0</v>
          </cell>
          <cell r="N923">
            <v>0</v>
          </cell>
          <cell r="O923">
            <v>0</v>
          </cell>
          <cell r="P923">
            <v>0</v>
          </cell>
          <cell r="Q923">
            <v>0</v>
          </cell>
          <cell r="R923">
            <v>493200</v>
          </cell>
          <cell r="S923">
            <v>0</v>
          </cell>
          <cell r="T923">
            <v>0</v>
          </cell>
          <cell r="U923">
            <v>0</v>
          </cell>
          <cell r="V923">
            <v>0</v>
          </cell>
          <cell r="W923">
            <v>0</v>
          </cell>
          <cell r="X923" t="str">
            <v/>
          </cell>
          <cell r="Y923" t="str">
            <v/>
          </cell>
          <cell r="Z923" t="str">
            <v/>
          </cell>
          <cell r="AA923" t="str">
            <v/>
          </cell>
          <cell r="AB923" t="str">
            <v/>
          </cell>
          <cell r="AC923" t="str">
            <v/>
          </cell>
          <cell r="AD923" t="str">
            <v>⑩</v>
          </cell>
          <cell r="AE923" t="str">
            <v/>
          </cell>
          <cell r="AF923" t="str">
            <v/>
          </cell>
          <cell r="AG923" t="str">
            <v/>
          </cell>
          <cell r="AH923" t="str">
            <v/>
          </cell>
          <cell r="AI923" t="str">
            <v/>
          </cell>
          <cell r="AJ923" t="str">
            <v>変</v>
          </cell>
        </row>
        <row r="924">
          <cell r="B924">
            <v>5127</v>
          </cell>
          <cell r="C924">
            <v>51</v>
          </cell>
          <cell r="D924">
            <v>27</v>
          </cell>
          <cell r="F924" t="str">
            <v>幕張</v>
          </cell>
          <cell r="G924" t="str">
            <v>非常放送設備保守(総合)</v>
          </cell>
          <cell r="H924" t="str">
            <v>通信機工事</v>
          </cell>
          <cell r="I924">
            <v>510000</v>
          </cell>
          <cell r="J924">
            <v>520200</v>
          </cell>
          <cell r="K924">
            <v>1</v>
          </cell>
          <cell r="L924">
            <v>520200</v>
          </cell>
          <cell r="M924">
            <v>0</v>
          </cell>
          <cell r="N924">
            <v>0</v>
          </cell>
          <cell r="O924">
            <v>0</v>
          </cell>
          <cell r="P924">
            <v>0</v>
          </cell>
          <cell r="Q924">
            <v>0</v>
          </cell>
          <cell r="R924">
            <v>0</v>
          </cell>
          <cell r="S924">
            <v>0</v>
          </cell>
          <cell r="T924">
            <v>0</v>
          </cell>
          <cell r="U924">
            <v>0</v>
          </cell>
          <cell r="V924">
            <v>0</v>
          </cell>
          <cell r="W924">
            <v>0</v>
          </cell>
          <cell r="X924" t="str">
            <v>④</v>
          </cell>
          <cell r="Y924" t="str">
            <v/>
          </cell>
          <cell r="Z924" t="str">
            <v/>
          </cell>
          <cell r="AA924" t="str">
            <v/>
          </cell>
          <cell r="AB924" t="str">
            <v/>
          </cell>
          <cell r="AC924" t="str">
            <v/>
          </cell>
          <cell r="AD924" t="str">
            <v/>
          </cell>
          <cell r="AE924" t="str">
            <v/>
          </cell>
          <cell r="AF924" t="str">
            <v/>
          </cell>
          <cell r="AG924" t="str">
            <v/>
          </cell>
          <cell r="AH924" t="str">
            <v/>
          </cell>
          <cell r="AI924" t="str">
            <v/>
          </cell>
        </row>
        <row r="925">
          <cell r="B925">
            <v>5128</v>
          </cell>
          <cell r="C925">
            <v>51</v>
          </cell>
          <cell r="D925">
            <v>28</v>
          </cell>
          <cell r="F925" t="str">
            <v>幕張</v>
          </cell>
          <cell r="G925" t="str">
            <v>ガス漏火災警報(外観)</v>
          </cell>
          <cell r="H925" t="str">
            <v>東京松下電工ｴﾝｼﾞﾆｱﾘﾝｸﾞ</v>
          </cell>
          <cell r="I925">
            <v>65000</v>
          </cell>
          <cell r="J925">
            <v>66300</v>
          </cell>
          <cell r="K925">
            <v>1</v>
          </cell>
          <cell r="L925">
            <v>0</v>
          </cell>
          <cell r="M925">
            <v>0</v>
          </cell>
          <cell r="N925">
            <v>0</v>
          </cell>
          <cell r="O925">
            <v>0</v>
          </cell>
          <cell r="P925">
            <v>0</v>
          </cell>
          <cell r="Q925">
            <v>0</v>
          </cell>
          <cell r="R925">
            <v>66300</v>
          </cell>
          <cell r="S925">
            <v>0</v>
          </cell>
          <cell r="T925">
            <v>0</v>
          </cell>
          <cell r="U925">
            <v>0</v>
          </cell>
          <cell r="V925">
            <v>0</v>
          </cell>
          <cell r="W925">
            <v>0</v>
          </cell>
          <cell r="X925" t="str">
            <v/>
          </cell>
          <cell r="Y925" t="str">
            <v/>
          </cell>
          <cell r="Z925" t="str">
            <v/>
          </cell>
          <cell r="AA925" t="str">
            <v/>
          </cell>
          <cell r="AB925" t="str">
            <v/>
          </cell>
          <cell r="AC925" t="str">
            <v/>
          </cell>
          <cell r="AD925" t="str">
            <v>⑩</v>
          </cell>
          <cell r="AE925" t="str">
            <v/>
          </cell>
          <cell r="AF925" t="str">
            <v/>
          </cell>
          <cell r="AG925" t="str">
            <v/>
          </cell>
          <cell r="AH925" t="str">
            <v/>
          </cell>
          <cell r="AI925" t="str">
            <v/>
          </cell>
        </row>
        <row r="926">
          <cell r="B926">
            <v>5129</v>
          </cell>
          <cell r="C926">
            <v>51</v>
          </cell>
          <cell r="D926">
            <v>29</v>
          </cell>
          <cell r="F926" t="str">
            <v>幕張</v>
          </cell>
          <cell r="G926" t="str">
            <v>ガス漏火災警報(総合)</v>
          </cell>
          <cell r="H926" t="str">
            <v>東京松下電工ｴﾝｼﾞﾆｱﾘﾝｸﾞ</v>
          </cell>
          <cell r="I926">
            <v>68000</v>
          </cell>
          <cell r="J926">
            <v>69360</v>
          </cell>
          <cell r="K926">
            <v>1</v>
          </cell>
          <cell r="L926">
            <v>69360</v>
          </cell>
          <cell r="M926">
            <v>0</v>
          </cell>
          <cell r="N926">
            <v>0</v>
          </cell>
          <cell r="O926">
            <v>0</v>
          </cell>
          <cell r="P926">
            <v>0</v>
          </cell>
          <cell r="Q926">
            <v>0</v>
          </cell>
          <cell r="R926">
            <v>0</v>
          </cell>
          <cell r="S926">
            <v>0</v>
          </cell>
          <cell r="T926">
            <v>0</v>
          </cell>
          <cell r="U926">
            <v>0</v>
          </cell>
          <cell r="V926">
            <v>0</v>
          </cell>
          <cell r="W926">
            <v>0</v>
          </cell>
          <cell r="X926" t="str">
            <v>④</v>
          </cell>
          <cell r="Y926" t="str">
            <v/>
          </cell>
          <cell r="Z926" t="str">
            <v/>
          </cell>
          <cell r="AA926" t="str">
            <v/>
          </cell>
          <cell r="AB926" t="str">
            <v/>
          </cell>
          <cell r="AC926" t="str">
            <v/>
          </cell>
          <cell r="AD926" t="str">
            <v/>
          </cell>
          <cell r="AE926" t="str">
            <v/>
          </cell>
          <cell r="AF926" t="str">
            <v/>
          </cell>
          <cell r="AG926" t="str">
            <v/>
          </cell>
          <cell r="AH926" t="str">
            <v/>
          </cell>
          <cell r="AI926" t="str">
            <v/>
          </cell>
        </row>
        <row r="927">
          <cell r="B927">
            <v>5130</v>
          </cell>
          <cell r="C927">
            <v>51</v>
          </cell>
          <cell r="D927">
            <v>30</v>
          </cell>
          <cell r="F927" t="str">
            <v>幕張</v>
          </cell>
          <cell r="G927" t="str">
            <v>自動火災報知設備(外観)</v>
          </cell>
          <cell r="H927" t="str">
            <v>東京松下電工ｴﾝｼﾞﾆｱﾘﾝｸﾞ</v>
          </cell>
          <cell r="I927">
            <v>455000</v>
          </cell>
          <cell r="J927">
            <v>464100</v>
          </cell>
          <cell r="K927">
            <v>1</v>
          </cell>
          <cell r="L927">
            <v>0</v>
          </cell>
          <cell r="M927">
            <v>0</v>
          </cell>
          <cell r="N927">
            <v>0</v>
          </cell>
          <cell r="O927">
            <v>0</v>
          </cell>
          <cell r="P927">
            <v>0</v>
          </cell>
          <cell r="Q927">
            <v>0</v>
          </cell>
          <cell r="R927">
            <v>464100</v>
          </cell>
          <cell r="S927">
            <v>0</v>
          </cell>
          <cell r="T927">
            <v>0</v>
          </cell>
          <cell r="U927">
            <v>0</v>
          </cell>
          <cell r="V927">
            <v>0</v>
          </cell>
          <cell r="W927">
            <v>0</v>
          </cell>
          <cell r="X927" t="str">
            <v/>
          </cell>
          <cell r="Y927" t="str">
            <v/>
          </cell>
          <cell r="Z927" t="str">
            <v/>
          </cell>
          <cell r="AA927" t="str">
            <v/>
          </cell>
          <cell r="AB927" t="str">
            <v/>
          </cell>
          <cell r="AC927" t="str">
            <v/>
          </cell>
          <cell r="AD927" t="str">
            <v>⑩</v>
          </cell>
          <cell r="AE927" t="str">
            <v/>
          </cell>
          <cell r="AF927" t="str">
            <v/>
          </cell>
          <cell r="AG927" t="str">
            <v/>
          </cell>
          <cell r="AH927" t="str">
            <v/>
          </cell>
          <cell r="AI927" t="str">
            <v/>
          </cell>
        </row>
        <row r="928">
          <cell r="B928">
            <v>5131</v>
          </cell>
          <cell r="C928">
            <v>51</v>
          </cell>
          <cell r="D928">
            <v>31</v>
          </cell>
          <cell r="F928" t="str">
            <v>幕張</v>
          </cell>
          <cell r="G928" t="str">
            <v>自動火災報知設備(総合)</v>
          </cell>
          <cell r="H928" t="str">
            <v>東京松下電工ｴﾝｼﾞﾆｱﾘﾝｸﾞ</v>
          </cell>
          <cell r="I928">
            <v>1075000</v>
          </cell>
          <cell r="J928">
            <v>1096500</v>
          </cell>
          <cell r="K928">
            <v>1</v>
          </cell>
          <cell r="L928">
            <v>1096500</v>
          </cell>
          <cell r="M928">
            <v>0</v>
          </cell>
          <cell r="N928">
            <v>0</v>
          </cell>
          <cell r="O928">
            <v>0</v>
          </cell>
          <cell r="P928">
            <v>0</v>
          </cell>
          <cell r="Q928">
            <v>0</v>
          </cell>
          <cell r="R928">
            <v>0</v>
          </cell>
          <cell r="S928">
            <v>0</v>
          </cell>
          <cell r="T928">
            <v>0</v>
          </cell>
          <cell r="U928">
            <v>0</v>
          </cell>
          <cell r="V928">
            <v>0</v>
          </cell>
          <cell r="W928">
            <v>0</v>
          </cell>
          <cell r="X928" t="str">
            <v>④</v>
          </cell>
          <cell r="Y928" t="str">
            <v/>
          </cell>
          <cell r="Z928" t="str">
            <v/>
          </cell>
          <cell r="AA928" t="str">
            <v/>
          </cell>
          <cell r="AB928" t="str">
            <v/>
          </cell>
          <cell r="AC928" t="str">
            <v/>
          </cell>
          <cell r="AD928" t="str">
            <v/>
          </cell>
          <cell r="AE928" t="str">
            <v/>
          </cell>
          <cell r="AF928" t="str">
            <v/>
          </cell>
          <cell r="AG928" t="str">
            <v/>
          </cell>
          <cell r="AH928" t="str">
            <v/>
          </cell>
          <cell r="AI928" t="str">
            <v/>
          </cell>
        </row>
        <row r="929">
          <cell r="B929">
            <v>5132</v>
          </cell>
          <cell r="C929">
            <v>51</v>
          </cell>
          <cell r="D929">
            <v>32</v>
          </cell>
          <cell r="F929" t="str">
            <v>幕張</v>
          </cell>
          <cell r="G929" t="str">
            <v>非常電話設備保守(外観)</v>
          </cell>
          <cell r="H929" t="str">
            <v>東京松下電工ｴﾝｼﾞﾆｱﾘﾝｸﾞ</v>
          </cell>
          <cell r="I929">
            <v>23000</v>
          </cell>
          <cell r="J929">
            <v>23460</v>
          </cell>
          <cell r="K929">
            <v>1</v>
          </cell>
          <cell r="L929">
            <v>0</v>
          </cell>
          <cell r="M929">
            <v>0</v>
          </cell>
          <cell r="N929">
            <v>0</v>
          </cell>
          <cell r="O929">
            <v>0</v>
          </cell>
          <cell r="P929">
            <v>0</v>
          </cell>
          <cell r="Q929">
            <v>0</v>
          </cell>
          <cell r="R929">
            <v>23460</v>
          </cell>
          <cell r="S929">
            <v>0</v>
          </cell>
          <cell r="T929">
            <v>0</v>
          </cell>
          <cell r="U929">
            <v>0</v>
          </cell>
          <cell r="V929">
            <v>0</v>
          </cell>
          <cell r="W929">
            <v>0</v>
          </cell>
          <cell r="X929" t="str">
            <v/>
          </cell>
          <cell r="Y929" t="str">
            <v/>
          </cell>
          <cell r="Z929" t="str">
            <v/>
          </cell>
          <cell r="AA929" t="str">
            <v/>
          </cell>
          <cell r="AB929" t="str">
            <v/>
          </cell>
          <cell r="AC929" t="str">
            <v/>
          </cell>
          <cell r="AD929" t="str">
            <v>⑩</v>
          </cell>
          <cell r="AE929" t="str">
            <v/>
          </cell>
          <cell r="AF929" t="str">
            <v/>
          </cell>
          <cell r="AG929" t="str">
            <v/>
          </cell>
          <cell r="AH929" t="str">
            <v/>
          </cell>
          <cell r="AI929" t="str">
            <v/>
          </cell>
        </row>
        <row r="930">
          <cell r="B930">
            <v>5133</v>
          </cell>
          <cell r="C930">
            <v>51</v>
          </cell>
          <cell r="D930">
            <v>33</v>
          </cell>
          <cell r="F930" t="str">
            <v>幕張</v>
          </cell>
          <cell r="G930" t="str">
            <v>非常電話設備保守(総合)</v>
          </cell>
          <cell r="H930" t="str">
            <v>東京松下電工ｴﾝｼﾞﾆｱﾘﾝｸﾞ</v>
          </cell>
          <cell r="I930">
            <v>35000</v>
          </cell>
          <cell r="J930">
            <v>35700</v>
          </cell>
          <cell r="K930">
            <v>1</v>
          </cell>
          <cell r="L930">
            <v>35700</v>
          </cell>
          <cell r="M930">
            <v>0</v>
          </cell>
          <cell r="N930">
            <v>0</v>
          </cell>
          <cell r="O930">
            <v>0</v>
          </cell>
          <cell r="P930">
            <v>0</v>
          </cell>
          <cell r="Q930">
            <v>0</v>
          </cell>
          <cell r="R930">
            <v>0</v>
          </cell>
          <cell r="S930">
            <v>0</v>
          </cell>
          <cell r="T930">
            <v>0</v>
          </cell>
          <cell r="U930">
            <v>0</v>
          </cell>
          <cell r="V930">
            <v>0</v>
          </cell>
          <cell r="W930">
            <v>0</v>
          </cell>
          <cell r="X930" t="str">
            <v>④</v>
          </cell>
          <cell r="Y930" t="str">
            <v/>
          </cell>
          <cell r="Z930" t="str">
            <v/>
          </cell>
          <cell r="AA930" t="str">
            <v/>
          </cell>
          <cell r="AB930" t="str">
            <v/>
          </cell>
          <cell r="AC930" t="str">
            <v/>
          </cell>
          <cell r="AD930" t="str">
            <v/>
          </cell>
          <cell r="AE930" t="str">
            <v/>
          </cell>
          <cell r="AF930" t="str">
            <v/>
          </cell>
          <cell r="AG930" t="str">
            <v/>
          </cell>
          <cell r="AH930" t="str">
            <v/>
          </cell>
          <cell r="AI930" t="str">
            <v/>
          </cell>
        </row>
        <row r="931">
          <cell r="B931">
            <v>5134</v>
          </cell>
          <cell r="C931">
            <v>51</v>
          </cell>
          <cell r="D931">
            <v>34</v>
          </cell>
          <cell r="F931" t="str">
            <v>幕張</v>
          </cell>
          <cell r="G931" t="str">
            <v>防排煙設備保守(外観)</v>
          </cell>
          <cell r="H931" t="str">
            <v>東京松下電工ｴﾝｼﾞﾆｱﾘﾝｸﾞ</v>
          </cell>
          <cell r="I931">
            <v>770000</v>
          </cell>
          <cell r="J931">
            <v>785400</v>
          </cell>
          <cell r="K931">
            <v>1</v>
          </cell>
          <cell r="L931">
            <v>0</v>
          </cell>
          <cell r="M931">
            <v>0</v>
          </cell>
          <cell r="N931">
            <v>0</v>
          </cell>
          <cell r="O931">
            <v>0</v>
          </cell>
          <cell r="P931">
            <v>0</v>
          </cell>
          <cell r="Q931">
            <v>0</v>
          </cell>
          <cell r="R931">
            <v>785400</v>
          </cell>
          <cell r="S931">
            <v>0</v>
          </cell>
          <cell r="T931">
            <v>0</v>
          </cell>
          <cell r="U931">
            <v>0</v>
          </cell>
          <cell r="V931">
            <v>0</v>
          </cell>
          <cell r="W931">
            <v>0</v>
          </cell>
          <cell r="X931" t="str">
            <v/>
          </cell>
          <cell r="Y931" t="str">
            <v/>
          </cell>
          <cell r="Z931" t="str">
            <v/>
          </cell>
          <cell r="AA931" t="str">
            <v/>
          </cell>
          <cell r="AB931" t="str">
            <v/>
          </cell>
          <cell r="AC931" t="str">
            <v/>
          </cell>
          <cell r="AD931" t="str">
            <v>⑩</v>
          </cell>
          <cell r="AE931" t="str">
            <v/>
          </cell>
          <cell r="AF931" t="str">
            <v/>
          </cell>
          <cell r="AG931" t="str">
            <v/>
          </cell>
          <cell r="AH931" t="str">
            <v/>
          </cell>
          <cell r="AI931" t="str">
            <v/>
          </cell>
        </row>
        <row r="932">
          <cell r="B932">
            <v>5135</v>
          </cell>
          <cell r="C932">
            <v>51</v>
          </cell>
          <cell r="D932">
            <v>35</v>
          </cell>
          <cell r="F932" t="str">
            <v>幕張</v>
          </cell>
          <cell r="G932" t="str">
            <v>防排煙設備保守(総合)</v>
          </cell>
          <cell r="H932" t="str">
            <v>東京松下電工ｴﾝｼﾞﾆｱﾘﾝｸﾞ</v>
          </cell>
          <cell r="I932">
            <v>942000</v>
          </cell>
          <cell r="J932">
            <v>960840</v>
          </cell>
          <cell r="K932">
            <v>1</v>
          </cell>
          <cell r="L932">
            <v>960840</v>
          </cell>
          <cell r="M932">
            <v>0</v>
          </cell>
          <cell r="N932">
            <v>0</v>
          </cell>
          <cell r="O932">
            <v>0</v>
          </cell>
          <cell r="P932">
            <v>0</v>
          </cell>
          <cell r="Q932">
            <v>0</v>
          </cell>
          <cell r="R932">
            <v>0</v>
          </cell>
          <cell r="S932">
            <v>0</v>
          </cell>
          <cell r="T932">
            <v>0</v>
          </cell>
          <cell r="U932">
            <v>0</v>
          </cell>
          <cell r="V932">
            <v>0</v>
          </cell>
          <cell r="W932">
            <v>0</v>
          </cell>
          <cell r="X932" t="str">
            <v>④</v>
          </cell>
          <cell r="Y932" t="str">
            <v/>
          </cell>
          <cell r="Z932" t="str">
            <v/>
          </cell>
          <cell r="AA932" t="str">
            <v/>
          </cell>
          <cell r="AB932" t="str">
            <v/>
          </cell>
          <cell r="AC932" t="str">
            <v/>
          </cell>
          <cell r="AD932" t="str">
            <v/>
          </cell>
          <cell r="AE932" t="str">
            <v/>
          </cell>
          <cell r="AF932" t="str">
            <v/>
          </cell>
          <cell r="AG932" t="str">
            <v/>
          </cell>
          <cell r="AH932" t="str">
            <v/>
          </cell>
          <cell r="AI932" t="str">
            <v/>
          </cell>
        </row>
        <row r="933">
          <cell r="B933">
            <v>5136</v>
          </cell>
          <cell r="C933">
            <v>51</v>
          </cell>
          <cell r="D933">
            <v>36</v>
          </cell>
          <cell r="F933" t="str">
            <v>幕張</v>
          </cell>
          <cell r="G933" t="str">
            <v>防災盤(CRT)設備保守(外観)</v>
          </cell>
          <cell r="H933" t="str">
            <v>東京松下電工ｴﾝｼﾞﾆｱﾘﾝｸﾞ</v>
          </cell>
          <cell r="I933">
            <v>427000</v>
          </cell>
          <cell r="J933">
            <v>435540</v>
          </cell>
          <cell r="K933">
            <v>1</v>
          </cell>
          <cell r="L933">
            <v>0</v>
          </cell>
          <cell r="M933">
            <v>0</v>
          </cell>
          <cell r="N933">
            <v>0</v>
          </cell>
          <cell r="O933">
            <v>0</v>
          </cell>
          <cell r="P933">
            <v>0</v>
          </cell>
          <cell r="Q933">
            <v>0</v>
          </cell>
          <cell r="R933">
            <v>435540</v>
          </cell>
          <cell r="S933">
            <v>0</v>
          </cell>
          <cell r="T933">
            <v>0</v>
          </cell>
          <cell r="U933">
            <v>0</v>
          </cell>
          <cell r="V933">
            <v>0</v>
          </cell>
          <cell r="W933">
            <v>0</v>
          </cell>
          <cell r="X933" t="str">
            <v/>
          </cell>
          <cell r="Y933" t="str">
            <v/>
          </cell>
          <cell r="Z933" t="str">
            <v/>
          </cell>
          <cell r="AA933" t="str">
            <v/>
          </cell>
          <cell r="AB933" t="str">
            <v/>
          </cell>
          <cell r="AC933" t="str">
            <v/>
          </cell>
          <cell r="AD933" t="str">
            <v>⑩</v>
          </cell>
          <cell r="AE933" t="str">
            <v/>
          </cell>
          <cell r="AF933" t="str">
            <v/>
          </cell>
          <cell r="AG933" t="str">
            <v/>
          </cell>
          <cell r="AH933" t="str">
            <v/>
          </cell>
          <cell r="AI933" t="str">
            <v/>
          </cell>
        </row>
        <row r="934">
          <cell r="B934">
            <v>5137</v>
          </cell>
          <cell r="C934">
            <v>51</v>
          </cell>
          <cell r="D934">
            <v>37</v>
          </cell>
          <cell r="F934" t="str">
            <v>幕張</v>
          </cell>
          <cell r="G934" t="str">
            <v>防災盤(CRT)設備保守(総合)</v>
          </cell>
          <cell r="H934" t="str">
            <v>東京松下電工ｴﾝｼﾞﾆｱﾘﾝｸﾞ</v>
          </cell>
          <cell r="I934">
            <v>640000</v>
          </cell>
          <cell r="J934">
            <v>652800</v>
          </cell>
          <cell r="K934">
            <v>1</v>
          </cell>
          <cell r="L934">
            <v>652800</v>
          </cell>
          <cell r="M934">
            <v>0</v>
          </cell>
          <cell r="N934">
            <v>0</v>
          </cell>
          <cell r="O934">
            <v>0</v>
          </cell>
          <cell r="P934">
            <v>0</v>
          </cell>
          <cell r="Q934">
            <v>0</v>
          </cell>
          <cell r="R934">
            <v>0</v>
          </cell>
          <cell r="S934">
            <v>0</v>
          </cell>
          <cell r="T934">
            <v>0</v>
          </cell>
          <cell r="U934">
            <v>0</v>
          </cell>
          <cell r="V934">
            <v>0</v>
          </cell>
          <cell r="W934">
            <v>0</v>
          </cell>
          <cell r="X934" t="str">
            <v>④</v>
          </cell>
          <cell r="Y934" t="str">
            <v/>
          </cell>
          <cell r="Z934" t="str">
            <v/>
          </cell>
          <cell r="AA934" t="str">
            <v/>
          </cell>
          <cell r="AB934" t="str">
            <v/>
          </cell>
          <cell r="AC934" t="str">
            <v/>
          </cell>
          <cell r="AD934" t="str">
            <v/>
          </cell>
          <cell r="AE934" t="str">
            <v/>
          </cell>
          <cell r="AF934" t="str">
            <v/>
          </cell>
          <cell r="AG934" t="str">
            <v/>
          </cell>
          <cell r="AH934" t="str">
            <v/>
          </cell>
          <cell r="AI934" t="str">
            <v/>
          </cell>
        </row>
        <row r="935">
          <cell r="B935">
            <v>5138</v>
          </cell>
          <cell r="C935">
            <v>51</v>
          </cell>
          <cell r="D935">
            <v>38</v>
          </cell>
          <cell r="F935" t="str">
            <v>幕張</v>
          </cell>
          <cell r="G935" t="str">
            <v>機械式駐車場設備保守</v>
          </cell>
          <cell r="H935" t="str">
            <v>三菱重工ﾊﾟｰｷﾝｸﾞ建設</v>
          </cell>
          <cell r="I935">
            <v>283000</v>
          </cell>
          <cell r="J935">
            <v>288660</v>
          </cell>
          <cell r="K935">
            <v>12</v>
          </cell>
          <cell r="L935">
            <v>288660</v>
          </cell>
          <cell r="M935">
            <v>288660</v>
          </cell>
          <cell r="N935">
            <v>288660</v>
          </cell>
          <cell r="O935">
            <v>288660</v>
          </cell>
          <cell r="P935">
            <v>288660</v>
          </cell>
          <cell r="Q935">
            <v>288660</v>
          </cell>
          <cell r="R935">
            <v>288660</v>
          </cell>
          <cell r="S935">
            <v>288660</v>
          </cell>
          <cell r="T935">
            <v>288660</v>
          </cell>
          <cell r="U935">
            <v>288660</v>
          </cell>
          <cell r="V935">
            <v>288660</v>
          </cell>
          <cell r="W935">
            <v>288660</v>
          </cell>
          <cell r="X935" t="str">
            <v>④</v>
          </cell>
          <cell r="Y935" t="str">
            <v>⑤</v>
          </cell>
          <cell r="Z935" t="str">
            <v>⑥</v>
          </cell>
          <cell r="AA935" t="str">
            <v>⑦</v>
          </cell>
          <cell r="AB935" t="str">
            <v>⑧</v>
          </cell>
          <cell r="AC935" t="str">
            <v>⑨</v>
          </cell>
          <cell r="AD935" t="str">
            <v>⑩</v>
          </cell>
          <cell r="AE935" t="str">
            <v>⑪</v>
          </cell>
          <cell r="AF935" t="str">
            <v>⑫</v>
          </cell>
          <cell r="AG935" t="str">
            <v>①</v>
          </cell>
          <cell r="AH935" t="str">
            <v>②</v>
          </cell>
          <cell r="AI935" t="str">
            <v>③</v>
          </cell>
        </row>
        <row r="936">
          <cell r="B936">
            <v>5139</v>
          </cell>
          <cell r="C936">
            <v>51</v>
          </cell>
          <cell r="D936">
            <v>39</v>
          </cell>
          <cell r="F936" t="str">
            <v>幕張</v>
          </cell>
          <cell r="G936" t="str">
            <v>害虫駆除</v>
          </cell>
          <cell r="H936" t="str">
            <v>シェル商事</v>
          </cell>
          <cell r="I936">
            <v>915000</v>
          </cell>
          <cell r="J936">
            <v>1006500</v>
          </cell>
          <cell r="K936">
            <v>2</v>
          </cell>
          <cell r="L936">
            <v>0</v>
          </cell>
          <cell r="M936">
            <v>0</v>
          </cell>
          <cell r="N936">
            <v>1006500</v>
          </cell>
          <cell r="O936">
            <v>0</v>
          </cell>
          <cell r="P936">
            <v>0</v>
          </cell>
          <cell r="Q936">
            <v>0</v>
          </cell>
          <cell r="R936">
            <v>0</v>
          </cell>
          <cell r="S936">
            <v>0</v>
          </cell>
          <cell r="T936">
            <v>1006500</v>
          </cell>
          <cell r="U936">
            <v>0</v>
          </cell>
          <cell r="V936">
            <v>0</v>
          </cell>
          <cell r="W936">
            <v>0</v>
          </cell>
          <cell r="X936" t="str">
            <v/>
          </cell>
          <cell r="Y936" t="str">
            <v/>
          </cell>
          <cell r="Z936" t="str">
            <v>⑥</v>
          </cell>
          <cell r="AA936" t="str">
            <v/>
          </cell>
          <cell r="AB936" t="str">
            <v/>
          </cell>
          <cell r="AC936" t="str">
            <v/>
          </cell>
          <cell r="AD936" t="str">
            <v/>
          </cell>
          <cell r="AE936" t="str">
            <v/>
          </cell>
          <cell r="AF936" t="str">
            <v>⑫</v>
          </cell>
          <cell r="AG936" t="str">
            <v/>
          </cell>
          <cell r="AH936" t="str">
            <v/>
          </cell>
          <cell r="AI936" t="str">
            <v/>
          </cell>
        </row>
        <row r="937">
          <cell r="B937">
            <v>5140</v>
          </cell>
          <cell r="C937">
            <v>51</v>
          </cell>
          <cell r="D937">
            <v>40</v>
          </cell>
          <cell r="F937" t="str">
            <v>幕張</v>
          </cell>
          <cell r="G937" t="str">
            <v>汚水･雑排水槽清掃</v>
          </cell>
          <cell r="H937" t="str">
            <v>市川環境ｴﾝｼﾞﾆｱﾘﾝｸﾞ</v>
          </cell>
          <cell r="I937">
            <v>1394000</v>
          </cell>
          <cell r="J937">
            <v>1615400</v>
          </cell>
          <cell r="K937">
            <v>2</v>
          </cell>
          <cell r="L937">
            <v>0</v>
          </cell>
          <cell r="M937">
            <v>0</v>
          </cell>
          <cell r="N937">
            <v>1615400</v>
          </cell>
          <cell r="O937">
            <v>0</v>
          </cell>
          <cell r="P937">
            <v>0</v>
          </cell>
          <cell r="Q937">
            <v>0</v>
          </cell>
          <cell r="R937">
            <v>0</v>
          </cell>
          <cell r="S937">
            <v>0</v>
          </cell>
          <cell r="T937">
            <v>1615400</v>
          </cell>
          <cell r="U937">
            <v>0</v>
          </cell>
          <cell r="V937">
            <v>0</v>
          </cell>
          <cell r="W937">
            <v>0</v>
          </cell>
          <cell r="X937" t="str">
            <v/>
          </cell>
          <cell r="Y937" t="str">
            <v/>
          </cell>
          <cell r="Z937" t="str">
            <v>⑥</v>
          </cell>
          <cell r="AA937" t="str">
            <v/>
          </cell>
          <cell r="AB937" t="str">
            <v/>
          </cell>
          <cell r="AC937" t="str">
            <v/>
          </cell>
          <cell r="AD937" t="str">
            <v/>
          </cell>
          <cell r="AE937" t="str">
            <v/>
          </cell>
          <cell r="AF937" t="str">
            <v>⑫</v>
          </cell>
          <cell r="AG937" t="str">
            <v/>
          </cell>
          <cell r="AH937" t="str">
            <v/>
          </cell>
          <cell r="AI937" t="str">
            <v/>
          </cell>
          <cell r="AJ937" t="str">
            <v>変</v>
          </cell>
        </row>
        <row r="938">
          <cell r="B938">
            <v>5141</v>
          </cell>
          <cell r="C938">
            <v>51</v>
          </cell>
          <cell r="D938">
            <v>41</v>
          </cell>
          <cell r="F938" t="str">
            <v>幕張</v>
          </cell>
          <cell r="G938" t="str">
            <v>受水槽清掃(含む高架水槽)</v>
          </cell>
          <cell r="H938" t="str">
            <v>杉田商工</v>
          </cell>
          <cell r="I938">
            <v>223000</v>
          </cell>
          <cell r="J938">
            <v>251990</v>
          </cell>
          <cell r="K938">
            <v>1</v>
          </cell>
          <cell r="L938">
            <v>0</v>
          </cell>
          <cell r="M938">
            <v>0</v>
          </cell>
          <cell r="N938">
            <v>0</v>
          </cell>
          <cell r="O938">
            <v>251990</v>
          </cell>
          <cell r="P938">
            <v>0</v>
          </cell>
          <cell r="Q938">
            <v>0</v>
          </cell>
          <cell r="R938">
            <v>0</v>
          </cell>
          <cell r="S938">
            <v>0</v>
          </cell>
          <cell r="T938">
            <v>0</v>
          </cell>
          <cell r="U938">
            <v>0</v>
          </cell>
          <cell r="V938">
            <v>0</v>
          </cell>
          <cell r="W938">
            <v>0</v>
          </cell>
          <cell r="X938" t="str">
            <v/>
          </cell>
          <cell r="Y938" t="str">
            <v/>
          </cell>
          <cell r="Z938" t="str">
            <v/>
          </cell>
          <cell r="AA938" t="str">
            <v>⑦</v>
          </cell>
          <cell r="AB938" t="str">
            <v/>
          </cell>
          <cell r="AC938" t="str">
            <v/>
          </cell>
          <cell r="AD938" t="str">
            <v/>
          </cell>
          <cell r="AE938" t="str">
            <v/>
          </cell>
          <cell r="AF938" t="str">
            <v/>
          </cell>
          <cell r="AG938" t="str">
            <v/>
          </cell>
          <cell r="AH938" t="str">
            <v/>
          </cell>
          <cell r="AI938" t="str">
            <v/>
          </cell>
        </row>
        <row r="939">
          <cell r="B939">
            <v>5142</v>
          </cell>
          <cell r="C939">
            <v>51</v>
          </cell>
          <cell r="D939">
            <v>42</v>
          </cell>
          <cell r="F939" t="str">
            <v>幕張</v>
          </cell>
          <cell r="G939" t="str">
            <v>中央監視装置保守(電気)</v>
          </cell>
          <cell r="H939" t="str">
            <v>関電工</v>
          </cell>
          <cell r="I939">
            <v>2972000</v>
          </cell>
          <cell r="J939">
            <v>3031440</v>
          </cell>
          <cell r="K939">
            <v>1</v>
          </cell>
          <cell r="L939">
            <v>0</v>
          </cell>
          <cell r="M939">
            <v>0</v>
          </cell>
          <cell r="N939">
            <v>0</v>
          </cell>
          <cell r="O939">
            <v>0</v>
          </cell>
          <cell r="P939">
            <v>0</v>
          </cell>
          <cell r="Q939">
            <v>0</v>
          </cell>
          <cell r="R939">
            <v>0</v>
          </cell>
          <cell r="S939">
            <v>0</v>
          </cell>
          <cell r="T939">
            <v>0</v>
          </cell>
          <cell r="U939">
            <v>0</v>
          </cell>
          <cell r="V939">
            <v>3031440</v>
          </cell>
          <cell r="W939">
            <v>0</v>
          </cell>
          <cell r="X939" t="str">
            <v/>
          </cell>
          <cell r="Y939" t="str">
            <v/>
          </cell>
          <cell r="Z939" t="str">
            <v/>
          </cell>
          <cell r="AA939" t="str">
            <v/>
          </cell>
          <cell r="AB939" t="str">
            <v/>
          </cell>
          <cell r="AC939" t="str">
            <v/>
          </cell>
          <cell r="AD939" t="str">
            <v/>
          </cell>
          <cell r="AE939" t="str">
            <v/>
          </cell>
          <cell r="AF939" t="str">
            <v/>
          </cell>
          <cell r="AG939" t="str">
            <v/>
          </cell>
          <cell r="AH939" t="str">
            <v>②</v>
          </cell>
          <cell r="AI939" t="str">
            <v/>
          </cell>
        </row>
        <row r="940">
          <cell r="B940">
            <v>5143</v>
          </cell>
          <cell r="C940">
            <v>51</v>
          </cell>
          <cell r="D940">
            <v>43</v>
          </cell>
          <cell r="F940" t="str">
            <v>幕張</v>
          </cell>
          <cell r="G940" t="str">
            <v>直流電源装置保守点検</v>
          </cell>
          <cell r="H940" t="str">
            <v>関電工</v>
          </cell>
          <cell r="I940">
            <v>400000</v>
          </cell>
          <cell r="J940">
            <v>408000</v>
          </cell>
          <cell r="K940">
            <v>1</v>
          </cell>
          <cell r="L940">
            <v>0</v>
          </cell>
          <cell r="M940">
            <v>0</v>
          </cell>
          <cell r="N940">
            <v>0</v>
          </cell>
          <cell r="O940">
            <v>0</v>
          </cell>
          <cell r="P940">
            <v>0</v>
          </cell>
          <cell r="Q940">
            <v>0</v>
          </cell>
          <cell r="R940">
            <v>0</v>
          </cell>
          <cell r="S940">
            <v>0</v>
          </cell>
          <cell r="T940">
            <v>0</v>
          </cell>
          <cell r="U940">
            <v>0</v>
          </cell>
          <cell r="V940">
            <v>408000</v>
          </cell>
          <cell r="W940">
            <v>0</v>
          </cell>
          <cell r="X940" t="str">
            <v/>
          </cell>
          <cell r="Y940" t="str">
            <v/>
          </cell>
          <cell r="Z940" t="str">
            <v/>
          </cell>
          <cell r="AA940" t="str">
            <v/>
          </cell>
          <cell r="AB940" t="str">
            <v/>
          </cell>
          <cell r="AC940" t="str">
            <v/>
          </cell>
          <cell r="AD940" t="str">
            <v/>
          </cell>
          <cell r="AE940" t="str">
            <v/>
          </cell>
          <cell r="AF940" t="str">
            <v/>
          </cell>
          <cell r="AG940" t="str">
            <v/>
          </cell>
          <cell r="AH940" t="str">
            <v>②</v>
          </cell>
          <cell r="AI940" t="str">
            <v/>
          </cell>
        </row>
        <row r="941">
          <cell r="B941">
            <v>5144</v>
          </cell>
          <cell r="C941">
            <v>51</v>
          </cell>
          <cell r="D941">
            <v>44</v>
          </cell>
          <cell r="F941" t="str">
            <v>幕張</v>
          </cell>
          <cell r="G941" t="str">
            <v>ﾌｨﾙﾀｰ洗浄･交換</v>
          </cell>
          <cell r="H941" t="str">
            <v>川鉄ライフ</v>
          </cell>
          <cell r="I941">
            <v>1280000</v>
          </cell>
          <cell r="J941">
            <v>1305600</v>
          </cell>
          <cell r="K941">
            <v>6</v>
          </cell>
          <cell r="L941">
            <v>0</v>
          </cell>
          <cell r="M941">
            <v>1305600</v>
          </cell>
          <cell r="N941">
            <v>0</v>
          </cell>
          <cell r="O941">
            <v>1305600</v>
          </cell>
          <cell r="P941">
            <v>0</v>
          </cell>
          <cell r="Q941">
            <v>1305600</v>
          </cell>
          <cell r="R941">
            <v>0</v>
          </cell>
          <cell r="S941">
            <v>1305600</v>
          </cell>
          <cell r="T941">
            <v>0</v>
          </cell>
          <cell r="U941">
            <v>1305600</v>
          </cell>
          <cell r="V941">
            <v>0</v>
          </cell>
          <cell r="W941">
            <v>1305600</v>
          </cell>
          <cell r="X941" t="str">
            <v/>
          </cell>
          <cell r="Y941" t="str">
            <v>⑤</v>
          </cell>
          <cell r="Z941" t="str">
            <v/>
          </cell>
          <cell r="AA941" t="str">
            <v>⑦</v>
          </cell>
          <cell r="AB941" t="str">
            <v/>
          </cell>
          <cell r="AC941" t="str">
            <v>⑨</v>
          </cell>
          <cell r="AD941" t="str">
            <v/>
          </cell>
          <cell r="AE941" t="str">
            <v>⑪</v>
          </cell>
          <cell r="AF941" t="str">
            <v/>
          </cell>
          <cell r="AG941" t="str">
            <v>①</v>
          </cell>
          <cell r="AH941" t="str">
            <v/>
          </cell>
          <cell r="AI941" t="str">
            <v>③</v>
          </cell>
        </row>
        <row r="942">
          <cell r="B942">
            <v>5145</v>
          </cell>
          <cell r="C942">
            <v>51</v>
          </cell>
          <cell r="D942">
            <v>45</v>
          </cell>
          <cell r="F942" t="str">
            <v>幕張</v>
          </cell>
          <cell r="G942" t="str">
            <v>空調用自動制御機器保守</v>
          </cell>
          <cell r="H942" t="str">
            <v>オーテック</v>
          </cell>
          <cell r="I942">
            <v>914118</v>
          </cell>
          <cell r="J942">
            <v>932400</v>
          </cell>
          <cell r="K942">
            <v>12</v>
          </cell>
          <cell r="L942">
            <v>932400</v>
          </cell>
          <cell r="M942">
            <v>932400</v>
          </cell>
          <cell r="N942">
            <v>932400</v>
          </cell>
          <cell r="O942">
            <v>932400</v>
          </cell>
          <cell r="P942">
            <v>932400</v>
          </cell>
          <cell r="Q942">
            <v>932400</v>
          </cell>
          <cell r="R942">
            <v>932400</v>
          </cell>
          <cell r="S942">
            <v>932400</v>
          </cell>
          <cell r="T942">
            <v>932400</v>
          </cell>
          <cell r="U942">
            <v>932400</v>
          </cell>
          <cell r="V942">
            <v>932400</v>
          </cell>
          <cell r="W942">
            <v>932400</v>
          </cell>
          <cell r="X942" t="str">
            <v>④</v>
          </cell>
          <cell r="Y942" t="str">
            <v>⑤</v>
          </cell>
          <cell r="Z942" t="str">
            <v>⑥</v>
          </cell>
          <cell r="AA942" t="str">
            <v>⑦</v>
          </cell>
          <cell r="AB942" t="str">
            <v>⑧</v>
          </cell>
          <cell r="AC942" t="str">
            <v>⑨</v>
          </cell>
          <cell r="AD942" t="str">
            <v>⑩</v>
          </cell>
          <cell r="AE942" t="str">
            <v>⑪</v>
          </cell>
          <cell r="AF942" t="str">
            <v>⑫</v>
          </cell>
          <cell r="AG942" t="str">
            <v>①</v>
          </cell>
          <cell r="AH942" t="str">
            <v>②</v>
          </cell>
          <cell r="AI942" t="str">
            <v>③</v>
          </cell>
        </row>
        <row r="943">
          <cell r="B943">
            <v>5146</v>
          </cell>
          <cell r="C943">
            <v>51</v>
          </cell>
          <cell r="D943">
            <v>46</v>
          </cell>
          <cell r="F943" t="str">
            <v>幕張</v>
          </cell>
          <cell r="G943" t="str">
            <v>ＩＴＶ設備保守(ｵｰﾊﾞｰﾎｰﾙ)</v>
          </cell>
          <cell r="H943" t="str">
            <v>ｼｬｰﾌﾟｱﾒﾆﾃｨｼｽﾃﾑ</v>
          </cell>
          <cell r="I943">
            <v>450000</v>
          </cell>
          <cell r="J943">
            <v>475200</v>
          </cell>
          <cell r="K943">
            <v>1</v>
          </cell>
          <cell r="L943">
            <v>0</v>
          </cell>
          <cell r="M943">
            <v>0</v>
          </cell>
          <cell r="N943">
            <v>0</v>
          </cell>
          <cell r="O943">
            <v>475200</v>
          </cell>
          <cell r="P943">
            <v>0</v>
          </cell>
          <cell r="Q943">
            <v>0</v>
          </cell>
          <cell r="R943">
            <v>0</v>
          </cell>
          <cell r="S943">
            <v>0</v>
          </cell>
          <cell r="T943">
            <v>0</v>
          </cell>
          <cell r="U943">
            <v>0</v>
          </cell>
          <cell r="V943">
            <v>0</v>
          </cell>
          <cell r="W943">
            <v>0</v>
          </cell>
          <cell r="X943" t="str">
            <v/>
          </cell>
          <cell r="Y943" t="str">
            <v/>
          </cell>
          <cell r="Z943" t="str">
            <v/>
          </cell>
          <cell r="AA943" t="str">
            <v>⑦</v>
          </cell>
          <cell r="AB943" t="str">
            <v/>
          </cell>
          <cell r="AC943" t="str">
            <v/>
          </cell>
          <cell r="AD943" t="str">
            <v/>
          </cell>
          <cell r="AE943" t="str">
            <v/>
          </cell>
          <cell r="AF943" t="str">
            <v/>
          </cell>
          <cell r="AH943" t="str">
            <v/>
          </cell>
          <cell r="AI943" t="str">
            <v/>
          </cell>
          <cell r="AJ943" t="str">
            <v>変</v>
          </cell>
        </row>
        <row r="944">
          <cell r="B944">
            <v>5147</v>
          </cell>
          <cell r="C944">
            <v>51</v>
          </cell>
          <cell r="D944">
            <v>47</v>
          </cell>
          <cell r="F944" t="str">
            <v>幕張</v>
          </cell>
          <cell r="G944" t="str">
            <v>ＩＴＶ設備保守(点検･ｵｰﾊﾞｰﾎｰﾙ)</v>
          </cell>
          <cell r="H944" t="str">
            <v>ｼｬｰﾌﾟｱﾒﾆﾃｨｼｽﾃﾑ</v>
          </cell>
          <cell r="I944">
            <v>550000</v>
          </cell>
          <cell r="J944">
            <v>580800</v>
          </cell>
          <cell r="K944">
            <v>1</v>
          </cell>
          <cell r="L944">
            <v>0</v>
          </cell>
          <cell r="M944">
            <v>0</v>
          </cell>
          <cell r="N944">
            <v>0</v>
          </cell>
          <cell r="O944">
            <v>0</v>
          </cell>
          <cell r="P944">
            <v>0</v>
          </cell>
          <cell r="Q944">
            <v>0</v>
          </cell>
          <cell r="R944">
            <v>0</v>
          </cell>
          <cell r="S944">
            <v>0</v>
          </cell>
          <cell r="T944">
            <v>0</v>
          </cell>
          <cell r="U944">
            <v>580800</v>
          </cell>
          <cell r="V944">
            <v>0</v>
          </cell>
          <cell r="W944">
            <v>0</v>
          </cell>
          <cell r="X944" t="str">
            <v/>
          </cell>
          <cell r="Y944" t="str">
            <v/>
          </cell>
          <cell r="Z944" t="str">
            <v/>
          </cell>
          <cell r="AB944" t="str">
            <v/>
          </cell>
          <cell r="AC944" t="str">
            <v/>
          </cell>
          <cell r="AD944" t="str">
            <v/>
          </cell>
          <cell r="AE944" t="str">
            <v/>
          </cell>
          <cell r="AF944" t="str">
            <v/>
          </cell>
          <cell r="AG944" t="str">
            <v>①</v>
          </cell>
          <cell r="AH944" t="str">
            <v/>
          </cell>
          <cell r="AI944" t="str">
            <v/>
          </cell>
          <cell r="AJ944" t="str">
            <v>変</v>
          </cell>
        </row>
        <row r="945">
          <cell r="B945">
            <v>5148</v>
          </cell>
          <cell r="C945">
            <v>51</v>
          </cell>
          <cell r="D945">
            <v>48</v>
          </cell>
          <cell r="F945" t="str">
            <v>幕張</v>
          </cell>
          <cell r="G945" t="str">
            <v>自動ドアー保守</v>
          </cell>
          <cell r="H945" t="str">
            <v>寺岡オートドアー販売</v>
          </cell>
          <cell r="I945">
            <v>75000</v>
          </cell>
          <cell r="J945">
            <v>79500</v>
          </cell>
          <cell r="K945">
            <v>3</v>
          </cell>
          <cell r="L945">
            <v>79500</v>
          </cell>
          <cell r="M945">
            <v>0</v>
          </cell>
          <cell r="N945">
            <v>0</v>
          </cell>
          <cell r="O945">
            <v>0</v>
          </cell>
          <cell r="P945">
            <v>79500</v>
          </cell>
          <cell r="Q945">
            <v>0</v>
          </cell>
          <cell r="R945">
            <v>0</v>
          </cell>
          <cell r="S945">
            <v>0</v>
          </cell>
          <cell r="T945">
            <v>79500</v>
          </cell>
          <cell r="U945">
            <v>0</v>
          </cell>
          <cell r="V945">
            <v>0</v>
          </cell>
          <cell r="W945">
            <v>0</v>
          </cell>
          <cell r="X945" t="str">
            <v>④</v>
          </cell>
          <cell r="Y945" t="str">
            <v/>
          </cell>
          <cell r="AA945" t="str">
            <v/>
          </cell>
          <cell r="AB945" t="str">
            <v>⑧</v>
          </cell>
          <cell r="AD945" t="str">
            <v/>
          </cell>
          <cell r="AE945" t="str">
            <v/>
          </cell>
          <cell r="AF945" t="str">
            <v>⑫</v>
          </cell>
          <cell r="AG945" t="str">
            <v/>
          </cell>
          <cell r="AH945" t="str">
            <v/>
          </cell>
          <cell r="AJ945" t="str">
            <v>変</v>
          </cell>
        </row>
        <row r="946">
          <cell r="B946">
            <v>5149</v>
          </cell>
          <cell r="C946">
            <v>51</v>
          </cell>
          <cell r="D946">
            <v>49</v>
          </cell>
          <cell r="F946" t="str">
            <v>幕張</v>
          </cell>
          <cell r="G946" t="str">
            <v>自動ドアー保守</v>
          </cell>
          <cell r="H946" t="str">
            <v>佐藤電設工業</v>
          </cell>
          <cell r="I946">
            <v>243750</v>
          </cell>
          <cell r="J946">
            <v>248625</v>
          </cell>
          <cell r="K946">
            <v>4</v>
          </cell>
          <cell r="L946">
            <v>0</v>
          </cell>
          <cell r="M946">
            <v>0</v>
          </cell>
          <cell r="N946">
            <v>248625</v>
          </cell>
          <cell r="O946">
            <v>0</v>
          </cell>
          <cell r="P946">
            <v>0</v>
          </cell>
          <cell r="Q946">
            <v>248625</v>
          </cell>
          <cell r="R946">
            <v>0</v>
          </cell>
          <cell r="S946">
            <v>0</v>
          </cell>
          <cell r="T946">
            <v>248625</v>
          </cell>
          <cell r="U946">
            <v>0</v>
          </cell>
          <cell r="V946">
            <v>0</v>
          </cell>
          <cell r="W946">
            <v>248625</v>
          </cell>
          <cell r="X946" t="str">
            <v/>
          </cell>
          <cell r="Y946" t="str">
            <v/>
          </cell>
          <cell r="Z946" t="str">
            <v>⑥</v>
          </cell>
          <cell r="AA946" t="str">
            <v/>
          </cell>
          <cell r="AB946" t="str">
            <v/>
          </cell>
          <cell r="AC946" t="str">
            <v>⑨</v>
          </cell>
          <cell r="AD946" t="str">
            <v/>
          </cell>
          <cell r="AE946" t="str">
            <v/>
          </cell>
          <cell r="AF946" t="str">
            <v>⑫</v>
          </cell>
          <cell r="AG946" t="str">
            <v/>
          </cell>
          <cell r="AH946" t="str">
            <v/>
          </cell>
          <cell r="AI946" t="str">
            <v>③</v>
          </cell>
        </row>
        <row r="947">
          <cell r="B947">
            <v>5150</v>
          </cell>
          <cell r="C947">
            <v>51</v>
          </cell>
          <cell r="D947">
            <v>50</v>
          </cell>
          <cell r="F947" t="str">
            <v>幕張</v>
          </cell>
          <cell r="G947" t="str">
            <v>駐車場管制装置保守点検</v>
          </cell>
          <cell r="H947" t="str">
            <v>富士ダイナミクス</v>
          </cell>
          <cell r="I947">
            <v>443600</v>
          </cell>
          <cell r="J947">
            <v>452472</v>
          </cell>
          <cell r="K947">
            <v>3</v>
          </cell>
          <cell r="L947">
            <v>0</v>
          </cell>
          <cell r="M947">
            <v>0</v>
          </cell>
          <cell r="N947">
            <v>452472</v>
          </cell>
          <cell r="O947">
            <v>0</v>
          </cell>
          <cell r="P947">
            <v>0</v>
          </cell>
          <cell r="Q947">
            <v>0</v>
          </cell>
          <cell r="R947">
            <v>452472</v>
          </cell>
          <cell r="S947">
            <v>0</v>
          </cell>
          <cell r="T947">
            <v>0</v>
          </cell>
          <cell r="U947">
            <v>0</v>
          </cell>
          <cell r="V947">
            <v>452472</v>
          </cell>
          <cell r="W947">
            <v>0</v>
          </cell>
          <cell r="X947" t="str">
            <v/>
          </cell>
          <cell r="Y947" t="str">
            <v/>
          </cell>
          <cell r="Z947" t="str">
            <v>⑥</v>
          </cell>
          <cell r="AA947" t="str">
            <v/>
          </cell>
          <cell r="AB947" t="str">
            <v/>
          </cell>
          <cell r="AC947" t="str">
            <v/>
          </cell>
          <cell r="AD947" t="str">
            <v>⑩</v>
          </cell>
          <cell r="AE947" t="str">
            <v/>
          </cell>
          <cell r="AF947" t="str">
            <v/>
          </cell>
          <cell r="AG947" t="str">
            <v/>
          </cell>
          <cell r="AH947" t="str">
            <v>②</v>
          </cell>
          <cell r="AI947" t="str">
            <v/>
          </cell>
        </row>
        <row r="948">
          <cell r="B948">
            <v>5151</v>
          </cell>
          <cell r="C948">
            <v>51</v>
          </cell>
          <cell r="D948">
            <v>51</v>
          </cell>
          <cell r="F948" t="str">
            <v>幕張</v>
          </cell>
          <cell r="G948" t="str">
            <v>廃棄物処理装置保守点検</v>
          </cell>
          <cell r="H948" t="str">
            <v>富士重工業</v>
          </cell>
          <cell r="I948">
            <v>164000</v>
          </cell>
          <cell r="J948">
            <v>167280</v>
          </cell>
          <cell r="K948">
            <v>3</v>
          </cell>
          <cell r="L948">
            <v>0</v>
          </cell>
          <cell r="M948">
            <v>0</v>
          </cell>
          <cell r="N948">
            <v>167280</v>
          </cell>
          <cell r="O948">
            <v>0</v>
          </cell>
          <cell r="P948">
            <v>0</v>
          </cell>
          <cell r="Q948">
            <v>0</v>
          </cell>
          <cell r="R948">
            <v>167280</v>
          </cell>
          <cell r="S948">
            <v>0</v>
          </cell>
          <cell r="T948">
            <v>0</v>
          </cell>
          <cell r="U948">
            <v>0</v>
          </cell>
          <cell r="V948">
            <v>167280</v>
          </cell>
          <cell r="W948">
            <v>0</v>
          </cell>
          <cell r="X948" t="str">
            <v/>
          </cell>
          <cell r="Y948" t="str">
            <v/>
          </cell>
          <cell r="Z948" t="str">
            <v>⑥</v>
          </cell>
          <cell r="AA948" t="str">
            <v/>
          </cell>
          <cell r="AB948" t="str">
            <v/>
          </cell>
          <cell r="AC948" t="str">
            <v/>
          </cell>
          <cell r="AD948" t="str">
            <v>⑩</v>
          </cell>
          <cell r="AE948" t="str">
            <v/>
          </cell>
          <cell r="AF948" t="str">
            <v/>
          </cell>
          <cell r="AG948" t="str">
            <v/>
          </cell>
          <cell r="AH948" t="str">
            <v>②</v>
          </cell>
          <cell r="AI948" t="str">
            <v/>
          </cell>
        </row>
        <row r="949">
          <cell r="B949">
            <v>5152</v>
          </cell>
          <cell r="C949">
            <v>51</v>
          </cell>
          <cell r="D949">
            <v>52</v>
          </cell>
          <cell r="F949" t="str">
            <v>幕張</v>
          </cell>
          <cell r="G949" t="str">
            <v>植栽管理</v>
          </cell>
          <cell r="H949" t="str">
            <v>王子緑化</v>
          </cell>
          <cell r="I949">
            <v>850000</v>
          </cell>
          <cell r="J949">
            <v>897000</v>
          </cell>
          <cell r="K949">
            <v>2</v>
          </cell>
          <cell r="L949">
            <v>0</v>
          </cell>
          <cell r="M949">
            <v>0</v>
          </cell>
          <cell r="N949">
            <v>0</v>
          </cell>
          <cell r="O949">
            <v>0</v>
          </cell>
          <cell r="P949">
            <v>0</v>
          </cell>
          <cell r="Q949">
            <v>897000</v>
          </cell>
          <cell r="R949">
            <v>0</v>
          </cell>
          <cell r="S949">
            <v>0</v>
          </cell>
          <cell r="T949">
            <v>0</v>
          </cell>
          <cell r="U949">
            <v>0</v>
          </cell>
          <cell r="V949">
            <v>0</v>
          </cell>
          <cell r="W949">
            <v>897000</v>
          </cell>
          <cell r="X949" t="str">
            <v/>
          </cell>
          <cell r="Y949" t="str">
            <v/>
          </cell>
          <cell r="Z949" t="str">
            <v/>
          </cell>
          <cell r="AA949" t="str">
            <v/>
          </cell>
          <cell r="AB949" t="str">
            <v/>
          </cell>
          <cell r="AC949" t="str">
            <v>⑨</v>
          </cell>
          <cell r="AD949" t="str">
            <v/>
          </cell>
          <cell r="AE949" t="str">
            <v/>
          </cell>
          <cell r="AF949" t="str">
            <v/>
          </cell>
          <cell r="AG949" t="str">
            <v/>
          </cell>
          <cell r="AH949" t="str">
            <v/>
          </cell>
          <cell r="AI949" t="str">
            <v>③</v>
          </cell>
          <cell r="AJ949" t="str">
            <v>変</v>
          </cell>
        </row>
        <row r="950">
          <cell r="B950">
            <v>5153</v>
          </cell>
          <cell r="C950">
            <v>51</v>
          </cell>
          <cell r="D950">
            <v>53</v>
          </cell>
          <cell r="F950" t="str">
            <v>幕張</v>
          </cell>
          <cell r="G950" t="str">
            <v>防犯設備保守点検</v>
          </cell>
          <cell r="H950" t="str">
            <v>中央電子</v>
          </cell>
          <cell r="I950">
            <v>1980000</v>
          </cell>
          <cell r="J950">
            <v>2019600</v>
          </cell>
          <cell r="K950">
            <v>2</v>
          </cell>
          <cell r="L950">
            <v>0</v>
          </cell>
          <cell r="M950">
            <v>0</v>
          </cell>
          <cell r="N950">
            <v>0</v>
          </cell>
          <cell r="O950">
            <v>2019600</v>
          </cell>
          <cell r="P950">
            <v>0</v>
          </cell>
          <cell r="Q950">
            <v>0</v>
          </cell>
          <cell r="R950">
            <v>0</v>
          </cell>
          <cell r="S950">
            <v>0</v>
          </cell>
          <cell r="T950">
            <v>0</v>
          </cell>
          <cell r="U950">
            <v>2019600</v>
          </cell>
          <cell r="V950">
            <v>0</v>
          </cell>
          <cell r="W950">
            <v>0</v>
          </cell>
          <cell r="X950" t="str">
            <v/>
          </cell>
          <cell r="Y950" t="str">
            <v/>
          </cell>
          <cell r="Z950" t="str">
            <v/>
          </cell>
          <cell r="AA950" t="str">
            <v>⑦</v>
          </cell>
          <cell r="AB950" t="str">
            <v/>
          </cell>
          <cell r="AC950" t="str">
            <v/>
          </cell>
          <cell r="AD950" t="str">
            <v/>
          </cell>
          <cell r="AE950" t="str">
            <v/>
          </cell>
          <cell r="AF950" t="str">
            <v/>
          </cell>
          <cell r="AG950" t="str">
            <v>①</v>
          </cell>
          <cell r="AH950" t="str">
            <v/>
          </cell>
          <cell r="AI950" t="str">
            <v/>
          </cell>
        </row>
        <row r="951">
          <cell r="B951">
            <v>5154</v>
          </cell>
          <cell r="C951">
            <v>51</v>
          </cell>
          <cell r="D951">
            <v>54</v>
          </cell>
          <cell r="F951" t="str">
            <v>幕張</v>
          </cell>
          <cell r="G951" t="str">
            <v>防犯設備保守点検</v>
          </cell>
          <cell r="H951" t="str">
            <v>アツミ電気</v>
          </cell>
          <cell r="I951">
            <v>100000</v>
          </cell>
          <cell r="J951">
            <v>104400</v>
          </cell>
          <cell r="K951">
            <v>1</v>
          </cell>
          <cell r="L951">
            <v>0</v>
          </cell>
          <cell r="M951">
            <v>0</v>
          </cell>
          <cell r="N951">
            <v>0</v>
          </cell>
          <cell r="O951">
            <v>104400</v>
          </cell>
          <cell r="P951">
            <v>0</v>
          </cell>
          <cell r="Q951">
            <v>0</v>
          </cell>
          <cell r="R951">
            <v>0</v>
          </cell>
          <cell r="S951">
            <v>0</v>
          </cell>
          <cell r="T951">
            <v>0</v>
          </cell>
          <cell r="U951">
            <v>0</v>
          </cell>
          <cell r="V951">
            <v>0</v>
          </cell>
          <cell r="W951">
            <v>0</v>
          </cell>
          <cell r="X951" t="str">
            <v/>
          </cell>
          <cell r="Y951" t="str">
            <v/>
          </cell>
          <cell r="Z951" t="str">
            <v/>
          </cell>
          <cell r="AA951" t="str">
            <v>⑦</v>
          </cell>
          <cell r="AB951" t="str">
            <v/>
          </cell>
          <cell r="AC951" t="str">
            <v/>
          </cell>
          <cell r="AD951" t="str">
            <v/>
          </cell>
          <cell r="AE951" t="str">
            <v/>
          </cell>
          <cell r="AF951" t="str">
            <v/>
          </cell>
          <cell r="AG951" t="str">
            <v/>
          </cell>
          <cell r="AH951" t="str">
            <v/>
          </cell>
          <cell r="AI951" t="str">
            <v/>
          </cell>
          <cell r="AJ951" t="str">
            <v>変</v>
          </cell>
        </row>
        <row r="952">
          <cell r="B952">
            <v>5155</v>
          </cell>
          <cell r="C952">
            <v>51</v>
          </cell>
          <cell r="D952">
            <v>55</v>
          </cell>
          <cell r="F952" t="str">
            <v>幕張</v>
          </cell>
          <cell r="G952" t="str">
            <v>受水槽ＦＭバルブ整備工事</v>
          </cell>
          <cell r="H952" t="str">
            <v>斎久工業</v>
          </cell>
          <cell r="I952">
            <v>170000</v>
          </cell>
          <cell r="J952">
            <v>187000</v>
          </cell>
          <cell r="K952">
            <v>1</v>
          </cell>
          <cell r="L952">
            <v>0</v>
          </cell>
          <cell r="M952">
            <v>0</v>
          </cell>
          <cell r="N952">
            <v>0</v>
          </cell>
          <cell r="O952">
            <v>0</v>
          </cell>
          <cell r="P952">
            <v>187000</v>
          </cell>
          <cell r="Q952">
            <v>0</v>
          </cell>
          <cell r="R952">
            <v>0</v>
          </cell>
          <cell r="S952">
            <v>0</v>
          </cell>
          <cell r="T952">
            <v>0</v>
          </cell>
          <cell r="U952">
            <v>0</v>
          </cell>
          <cell r="V952">
            <v>0</v>
          </cell>
          <cell r="W952">
            <v>0</v>
          </cell>
          <cell r="X952" t="str">
            <v/>
          </cell>
          <cell r="Y952" t="str">
            <v/>
          </cell>
          <cell r="Z952" t="str">
            <v/>
          </cell>
          <cell r="AA952" t="str">
            <v/>
          </cell>
          <cell r="AB952" t="str">
            <v>⑧</v>
          </cell>
          <cell r="AC952" t="str">
            <v/>
          </cell>
          <cell r="AD952" t="str">
            <v/>
          </cell>
          <cell r="AE952" t="str">
            <v/>
          </cell>
          <cell r="AF952" t="str">
            <v/>
          </cell>
          <cell r="AG952" t="str">
            <v/>
          </cell>
          <cell r="AH952" t="str">
            <v/>
          </cell>
          <cell r="AI952" t="str">
            <v/>
          </cell>
          <cell r="AJ952" t="str">
            <v>追</v>
          </cell>
        </row>
        <row r="953">
          <cell r="B953">
            <v>5156</v>
          </cell>
          <cell r="C953">
            <v>51</v>
          </cell>
          <cell r="D953">
            <v>56</v>
          </cell>
          <cell r="F953" t="str">
            <v>幕張</v>
          </cell>
          <cell r="G953" t="str">
            <v>空調機排水管清掃</v>
          </cell>
          <cell r="H953" t="str">
            <v>八洲興業</v>
          </cell>
          <cell r="I953">
            <v>190000</v>
          </cell>
          <cell r="J953">
            <v>209000</v>
          </cell>
          <cell r="K953">
            <v>1</v>
          </cell>
          <cell r="L953">
            <v>209000</v>
          </cell>
          <cell r="M953">
            <v>0</v>
          </cell>
          <cell r="N953">
            <v>0</v>
          </cell>
          <cell r="O953">
            <v>0</v>
          </cell>
          <cell r="P953">
            <v>0</v>
          </cell>
          <cell r="Q953">
            <v>0</v>
          </cell>
          <cell r="R953">
            <v>0</v>
          </cell>
          <cell r="S953">
            <v>0</v>
          </cell>
          <cell r="T953">
            <v>0</v>
          </cell>
          <cell r="U953">
            <v>0</v>
          </cell>
          <cell r="V953">
            <v>0</v>
          </cell>
          <cell r="W953">
            <v>0</v>
          </cell>
          <cell r="X953" t="str">
            <v>④</v>
          </cell>
          <cell r="Y953" t="str">
            <v/>
          </cell>
          <cell r="Z953" t="str">
            <v/>
          </cell>
          <cell r="AA953" t="str">
            <v/>
          </cell>
          <cell r="AB953" t="str">
            <v/>
          </cell>
          <cell r="AC953" t="str">
            <v/>
          </cell>
          <cell r="AD953" t="str">
            <v/>
          </cell>
          <cell r="AE953" t="str">
            <v/>
          </cell>
          <cell r="AF953" t="str">
            <v/>
          </cell>
          <cell r="AG953" t="str">
            <v/>
          </cell>
          <cell r="AH953" t="str">
            <v/>
          </cell>
          <cell r="AI953" t="str">
            <v/>
          </cell>
          <cell r="AJ953" t="str">
            <v>追</v>
          </cell>
        </row>
        <row r="954">
          <cell r="B954">
            <v>5157</v>
          </cell>
          <cell r="C954">
            <v>51</v>
          </cell>
          <cell r="D954">
            <v>57</v>
          </cell>
          <cell r="F954" t="str">
            <v>幕張</v>
          </cell>
          <cell r="G954" t="str">
            <v>ﾌｧﾝｺｲﾙＰＡＣﾌｨﾙﾀｰ清掃</v>
          </cell>
          <cell r="H954" t="str">
            <v>八洲興業</v>
          </cell>
          <cell r="I954">
            <v>190000</v>
          </cell>
          <cell r="J954">
            <v>209000</v>
          </cell>
          <cell r="K954">
            <v>6</v>
          </cell>
          <cell r="L954">
            <v>209000</v>
          </cell>
          <cell r="M954">
            <v>0</v>
          </cell>
          <cell r="N954">
            <v>209000</v>
          </cell>
          <cell r="O954">
            <v>0</v>
          </cell>
          <cell r="P954">
            <v>209000</v>
          </cell>
          <cell r="Q954">
            <v>0</v>
          </cell>
          <cell r="R954">
            <v>209000</v>
          </cell>
          <cell r="S954">
            <v>0</v>
          </cell>
          <cell r="T954">
            <v>209000</v>
          </cell>
          <cell r="U954">
            <v>0</v>
          </cell>
          <cell r="V954">
            <v>209000</v>
          </cell>
          <cell r="W954">
            <v>0</v>
          </cell>
          <cell r="X954" t="str">
            <v>④</v>
          </cell>
          <cell r="Z954" t="str">
            <v>⑥</v>
          </cell>
          <cell r="AB954" t="str">
            <v>⑧</v>
          </cell>
          <cell r="AD954" t="str">
            <v>⑩</v>
          </cell>
          <cell r="AF954" t="str">
            <v>⑫</v>
          </cell>
          <cell r="AH954" t="str">
            <v>②</v>
          </cell>
          <cell r="AJ954" t="str">
            <v>追</v>
          </cell>
        </row>
        <row r="955">
          <cell r="B955">
            <v>5158</v>
          </cell>
          <cell r="C955">
            <v>51</v>
          </cell>
          <cell r="D955">
            <v>58</v>
          </cell>
          <cell r="F955" t="str">
            <v>幕張</v>
          </cell>
          <cell r="G955" t="str">
            <v>ﾊﾟｯｹｰｼﾞ整備工事</v>
          </cell>
          <cell r="H955" t="str">
            <v>八洲興業</v>
          </cell>
          <cell r="I955">
            <v>700000</v>
          </cell>
          <cell r="J955">
            <v>770000</v>
          </cell>
          <cell r="K955">
            <v>1</v>
          </cell>
          <cell r="L955">
            <v>0</v>
          </cell>
          <cell r="M955">
            <v>0</v>
          </cell>
          <cell r="N955">
            <v>770000</v>
          </cell>
          <cell r="O955">
            <v>0</v>
          </cell>
          <cell r="P955">
            <v>0</v>
          </cell>
          <cell r="Q955">
            <v>0</v>
          </cell>
          <cell r="R955">
            <v>0</v>
          </cell>
          <cell r="S955">
            <v>0</v>
          </cell>
          <cell r="T955">
            <v>0</v>
          </cell>
          <cell r="U955">
            <v>0</v>
          </cell>
          <cell r="V955">
            <v>0</v>
          </cell>
          <cell r="W955">
            <v>0</v>
          </cell>
          <cell r="X955" t="str">
            <v/>
          </cell>
          <cell r="Y955" t="str">
            <v/>
          </cell>
          <cell r="Z955" t="str">
            <v>⑥</v>
          </cell>
          <cell r="AA955" t="str">
            <v/>
          </cell>
          <cell r="AB955" t="str">
            <v/>
          </cell>
          <cell r="AC955" t="str">
            <v/>
          </cell>
          <cell r="AD955" t="str">
            <v/>
          </cell>
          <cell r="AE955" t="str">
            <v/>
          </cell>
          <cell r="AF955" t="str">
            <v/>
          </cell>
          <cell r="AG955" t="str">
            <v/>
          </cell>
          <cell r="AH955" t="str">
            <v/>
          </cell>
          <cell r="AI955" t="str">
            <v/>
          </cell>
          <cell r="AJ955" t="str">
            <v>追</v>
          </cell>
        </row>
        <row r="956">
          <cell r="B956">
            <v>5159</v>
          </cell>
          <cell r="C956">
            <v>51</v>
          </cell>
          <cell r="D956">
            <v>59</v>
          </cell>
          <cell r="F956" t="str">
            <v>幕張</v>
          </cell>
          <cell r="G956" t="str">
            <v>電気ボイラー性能検査前整備工事</v>
          </cell>
          <cell r="H956" t="str">
            <v>斎久工業</v>
          </cell>
          <cell r="I956">
            <v>850000</v>
          </cell>
          <cell r="J956">
            <v>935000</v>
          </cell>
          <cell r="K956">
            <v>1</v>
          </cell>
          <cell r="L956">
            <v>0</v>
          </cell>
          <cell r="M956">
            <v>0</v>
          </cell>
          <cell r="N956">
            <v>0</v>
          </cell>
          <cell r="O956">
            <v>0</v>
          </cell>
          <cell r="P956">
            <v>0</v>
          </cell>
          <cell r="Q956">
            <v>0</v>
          </cell>
          <cell r="R956">
            <v>0</v>
          </cell>
          <cell r="S956">
            <v>0</v>
          </cell>
          <cell r="T956">
            <v>0</v>
          </cell>
          <cell r="U956">
            <v>0</v>
          </cell>
          <cell r="V956">
            <v>0</v>
          </cell>
          <cell r="W956">
            <v>935000</v>
          </cell>
          <cell r="X956" t="str">
            <v/>
          </cell>
          <cell r="Y956" t="str">
            <v/>
          </cell>
          <cell r="Z956" t="str">
            <v/>
          </cell>
          <cell r="AA956" t="str">
            <v/>
          </cell>
          <cell r="AB956" t="str">
            <v/>
          </cell>
          <cell r="AC956" t="str">
            <v/>
          </cell>
          <cell r="AD956" t="str">
            <v/>
          </cell>
          <cell r="AE956" t="str">
            <v/>
          </cell>
          <cell r="AF956" t="str">
            <v/>
          </cell>
          <cell r="AG956" t="str">
            <v/>
          </cell>
          <cell r="AH956" t="str">
            <v/>
          </cell>
          <cell r="AI956" t="str">
            <v>③</v>
          </cell>
          <cell r="AJ956" t="str">
            <v>追</v>
          </cell>
        </row>
        <row r="957">
          <cell r="B957">
            <v>5160</v>
          </cell>
          <cell r="C957">
            <v>51</v>
          </cell>
          <cell r="D957">
            <v>60</v>
          </cell>
          <cell r="F957" t="str">
            <v>幕張</v>
          </cell>
          <cell r="G957" t="str">
            <v>空調機インバーター点検整備</v>
          </cell>
          <cell r="H957" t="str">
            <v>八洲興業</v>
          </cell>
          <cell r="I957">
            <v>670000</v>
          </cell>
          <cell r="J957">
            <v>737000</v>
          </cell>
          <cell r="K957">
            <v>1</v>
          </cell>
          <cell r="L957">
            <v>0</v>
          </cell>
          <cell r="M957">
            <v>0</v>
          </cell>
          <cell r="N957">
            <v>0</v>
          </cell>
          <cell r="O957">
            <v>0</v>
          </cell>
          <cell r="P957">
            <v>737000</v>
          </cell>
          <cell r="Q957">
            <v>0</v>
          </cell>
          <cell r="R957">
            <v>0</v>
          </cell>
          <cell r="S957">
            <v>0</v>
          </cell>
          <cell r="T957">
            <v>0</v>
          </cell>
          <cell r="U957">
            <v>0</v>
          </cell>
          <cell r="V957">
            <v>0</v>
          </cell>
          <cell r="W957">
            <v>0</v>
          </cell>
          <cell r="X957" t="str">
            <v/>
          </cell>
          <cell r="Y957" t="str">
            <v/>
          </cell>
          <cell r="Z957" t="str">
            <v/>
          </cell>
          <cell r="AA957" t="str">
            <v/>
          </cell>
          <cell r="AB957" t="str">
            <v>⑧</v>
          </cell>
          <cell r="AC957" t="str">
            <v/>
          </cell>
          <cell r="AD957" t="str">
            <v/>
          </cell>
          <cell r="AE957" t="str">
            <v/>
          </cell>
          <cell r="AF957" t="str">
            <v/>
          </cell>
          <cell r="AG957" t="str">
            <v/>
          </cell>
          <cell r="AH957" t="str">
            <v/>
          </cell>
          <cell r="AI957" t="str">
            <v/>
          </cell>
          <cell r="AJ957" t="str">
            <v>追</v>
          </cell>
        </row>
        <row r="958">
          <cell r="B958">
            <v>5161</v>
          </cell>
          <cell r="C958">
            <v>51</v>
          </cell>
          <cell r="D958">
            <v>61</v>
          </cell>
          <cell r="F958" t="str">
            <v>幕張</v>
          </cell>
          <cell r="G958" t="str">
            <v>給排風機点検整備</v>
          </cell>
          <cell r="H958" t="str">
            <v>八洲興業</v>
          </cell>
          <cell r="I958">
            <v>1600000</v>
          </cell>
          <cell r="J958">
            <v>1754000</v>
          </cell>
          <cell r="K958">
            <v>1</v>
          </cell>
          <cell r="L958">
            <v>0</v>
          </cell>
          <cell r="M958">
            <v>0</v>
          </cell>
          <cell r="N958">
            <v>0</v>
          </cell>
          <cell r="O958">
            <v>0</v>
          </cell>
          <cell r="P958">
            <v>0</v>
          </cell>
          <cell r="Q958">
            <v>0</v>
          </cell>
          <cell r="R958">
            <v>1754000</v>
          </cell>
          <cell r="S958">
            <v>0</v>
          </cell>
          <cell r="T958">
            <v>0</v>
          </cell>
          <cell r="U958">
            <v>0</v>
          </cell>
          <cell r="V958">
            <v>0</v>
          </cell>
          <cell r="W958">
            <v>0</v>
          </cell>
          <cell r="X958" t="str">
            <v/>
          </cell>
          <cell r="Y958" t="str">
            <v/>
          </cell>
          <cell r="Z958" t="str">
            <v/>
          </cell>
          <cell r="AA958" t="str">
            <v/>
          </cell>
          <cell r="AB958" t="str">
            <v/>
          </cell>
          <cell r="AC958" t="str">
            <v/>
          </cell>
          <cell r="AD958" t="str">
            <v>⑩</v>
          </cell>
          <cell r="AE958" t="str">
            <v/>
          </cell>
          <cell r="AF958" t="str">
            <v/>
          </cell>
          <cell r="AG958" t="str">
            <v/>
          </cell>
          <cell r="AH958" t="str">
            <v/>
          </cell>
          <cell r="AI958" t="str">
            <v/>
          </cell>
          <cell r="AJ958" t="str">
            <v>追</v>
          </cell>
        </row>
        <row r="959">
          <cell r="B959">
            <v>5162</v>
          </cell>
          <cell r="C959">
            <v>51</v>
          </cell>
          <cell r="D959">
            <v>62</v>
          </cell>
          <cell r="F959" t="str">
            <v>幕張</v>
          </cell>
          <cell r="G959" t="str">
            <v>空調機整備</v>
          </cell>
          <cell r="H959" t="str">
            <v>八洲興業</v>
          </cell>
          <cell r="I959">
            <v>2100000</v>
          </cell>
          <cell r="J959">
            <v>2296000</v>
          </cell>
          <cell r="K959">
            <v>1</v>
          </cell>
          <cell r="L959">
            <v>0</v>
          </cell>
          <cell r="M959">
            <v>0</v>
          </cell>
          <cell r="N959">
            <v>0</v>
          </cell>
          <cell r="O959">
            <v>0</v>
          </cell>
          <cell r="P959">
            <v>0</v>
          </cell>
          <cell r="Q959">
            <v>0</v>
          </cell>
          <cell r="R959">
            <v>0</v>
          </cell>
          <cell r="S959">
            <v>2296000</v>
          </cell>
          <cell r="T959">
            <v>0</v>
          </cell>
          <cell r="U959">
            <v>0</v>
          </cell>
          <cell r="V959">
            <v>0</v>
          </cell>
          <cell r="W959">
            <v>0</v>
          </cell>
          <cell r="X959" t="str">
            <v/>
          </cell>
          <cell r="Y959" t="str">
            <v/>
          </cell>
          <cell r="Z959" t="str">
            <v/>
          </cell>
          <cell r="AA959" t="str">
            <v/>
          </cell>
          <cell r="AB959" t="str">
            <v/>
          </cell>
          <cell r="AC959" t="str">
            <v/>
          </cell>
          <cell r="AD959" t="str">
            <v/>
          </cell>
          <cell r="AE959" t="str">
            <v>⑪</v>
          </cell>
          <cell r="AF959" t="str">
            <v/>
          </cell>
          <cell r="AG959" t="str">
            <v/>
          </cell>
          <cell r="AH959" t="str">
            <v/>
          </cell>
          <cell r="AI959" t="str">
            <v/>
          </cell>
          <cell r="AJ959" t="str">
            <v>追</v>
          </cell>
        </row>
        <row r="960">
          <cell r="B960">
            <v>5163</v>
          </cell>
          <cell r="C960">
            <v>51</v>
          </cell>
          <cell r="D960">
            <v>63</v>
          </cell>
          <cell r="F960" t="str">
            <v>幕張</v>
          </cell>
          <cell r="G960" t="str">
            <v>落水防止弁整備工事</v>
          </cell>
          <cell r="H960" t="str">
            <v>高砂熱学工業</v>
          </cell>
          <cell r="I960">
            <v>2000000</v>
          </cell>
          <cell r="J960">
            <v>2190000</v>
          </cell>
          <cell r="K960">
            <v>1</v>
          </cell>
          <cell r="L960">
            <v>0</v>
          </cell>
          <cell r="M960">
            <v>0</v>
          </cell>
          <cell r="N960">
            <v>0</v>
          </cell>
          <cell r="O960">
            <v>0</v>
          </cell>
          <cell r="P960">
            <v>0</v>
          </cell>
          <cell r="Q960">
            <v>0</v>
          </cell>
          <cell r="R960">
            <v>0</v>
          </cell>
          <cell r="S960">
            <v>0</v>
          </cell>
          <cell r="T960">
            <v>0</v>
          </cell>
          <cell r="U960">
            <v>0</v>
          </cell>
          <cell r="V960">
            <v>2190000</v>
          </cell>
          <cell r="W960">
            <v>0</v>
          </cell>
          <cell r="X960" t="str">
            <v/>
          </cell>
          <cell r="Y960" t="str">
            <v/>
          </cell>
          <cell r="Z960" t="str">
            <v/>
          </cell>
          <cell r="AA960" t="str">
            <v/>
          </cell>
          <cell r="AB960" t="str">
            <v/>
          </cell>
          <cell r="AC960" t="str">
            <v/>
          </cell>
          <cell r="AD960" t="str">
            <v/>
          </cell>
          <cell r="AE960" t="str">
            <v/>
          </cell>
          <cell r="AF960" t="str">
            <v/>
          </cell>
          <cell r="AG960" t="str">
            <v/>
          </cell>
          <cell r="AH960" t="str">
            <v>②</v>
          </cell>
          <cell r="AI960" t="str">
            <v/>
          </cell>
          <cell r="AJ960" t="str">
            <v>追</v>
          </cell>
        </row>
        <row r="961">
          <cell r="B961">
            <v>5201</v>
          </cell>
          <cell r="C961">
            <v>52</v>
          </cell>
          <cell r="D961">
            <v>1</v>
          </cell>
          <cell r="F961" t="str">
            <v>多摩本</v>
          </cell>
          <cell r="G961" t="str">
            <v>シャッター設備保守</v>
          </cell>
          <cell r="H961" t="str">
            <v>文化シャッターｻｰﾋﾞｽ</v>
          </cell>
          <cell r="I961">
            <v>96000</v>
          </cell>
          <cell r="J961">
            <v>97920</v>
          </cell>
          <cell r="K961">
            <v>2</v>
          </cell>
          <cell r="L961">
            <v>0</v>
          </cell>
          <cell r="M961">
            <v>0</v>
          </cell>
          <cell r="N961">
            <v>0</v>
          </cell>
          <cell r="O961">
            <v>97920</v>
          </cell>
          <cell r="P961">
            <v>0</v>
          </cell>
          <cell r="Q961">
            <v>0</v>
          </cell>
          <cell r="R961">
            <v>0</v>
          </cell>
          <cell r="S961">
            <v>0</v>
          </cell>
          <cell r="T961">
            <v>0</v>
          </cell>
          <cell r="U961">
            <v>97920</v>
          </cell>
          <cell r="V961">
            <v>0</v>
          </cell>
          <cell r="W961">
            <v>0</v>
          </cell>
          <cell r="X961" t="str">
            <v/>
          </cell>
          <cell r="Y961" t="str">
            <v/>
          </cell>
          <cell r="Z961" t="str">
            <v/>
          </cell>
          <cell r="AA961" t="str">
            <v>⑦</v>
          </cell>
          <cell r="AB961" t="str">
            <v/>
          </cell>
          <cell r="AC961" t="str">
            <v/>
          </cell>
          <cell r="AD961" t="str">
            <v/>
          </cell>
          <cell r="AE961" t="str">
            <v/>
          </cell>
          <cell r="AF961" t="str">
            <v/>
          </cell>
          <cell r="AG961" t="str">
            <v>①</v>
          </cell>
          <cell r="AH961" t="str">
            <v/>
          </cell>
          <cell r="AI961" t="str">
            <v/>
          </cell>
        </row>
        <row r="962">
          <cell r="B962">
            <v>5202</v>
          </cell>
          <cell r="C962">
            <v>52</v>
          </cell>
          <cell r="D962">
            <v>2</v>
          </cell>
          <cell r="F962" t="str">
            <v>多摩本</v>
          </cell>
          <cell r="G962" t="str">
            <v>ゴンドラ設備保守</v>
          </cell>
          <cell r="H962" t="str">
            <v>日本ビソー</v>
          </cell>
          <cell r="I962">
            <v>126000</v>
          </cell>
          <cell r="J962">
            <v>131400</v>
          </cell>
          <cell r="K962">
            <v>12</v>
          </cell>
          <cell r="L962">
            <v>131400</v>
          </cell>
          <cell r="M962">
            <v>131400</v>
          </cell>
          <cell r="N962">
            <v>131400</v>
          </cell>
          <cell r="O962">
            <v>131400</v>
          </cell>
          <cell r="P962">
            <v>131400</v>
          </cell>
          <cell r="Q962">
            <v>131400</v>
          </cell>
          <cell r="R962">
            <v>131400</v>
          </cell>
          <cell r="S962">
            <v>131400</v>
          </cell>
          <cell r="T962">
            <v>131400</v>
          </cell>
          <cell r="U962">
            <v>131400</v>
          </cell>
          <cell r="V962">
            <v>131400</v>
          </cell>
          <cell r="W962">
            <v>131400</v>
          </cell>
          <cell r="X962" t="str">
            <v>④</v>
          </cell>
          <cell r="Y962" t="str">
            <v>⑤</v>
          </cell>
          <cell r="Z962" t="str">
            <v>⑥</v>
          </cell>
          <cell r="AA962" t="str">
            <v>⑦</v>
          </cell>
          <cell r="AB962" t="str">
            <v>⑧</v>
          </cell>
          <cell r="AC962" t="str">
            <v>⑨</v>
          </cell>
          <cell r="AD962" t="str">
            <v>⑩</v>
          </cell>
          <cell r="AE962" t="str">
            <v>⑪</v>
          </cell>
          <cell r="AF962" t="str">
            <v>⑫</v>
          </cell>
          <cell r="AG962" t="str">
            <v>①</v>
          </cell>
          <cell r="AH962" t="str">
            <v>②</v>
          </cell>
          <cell r="AI962" t="str">
            <v>③</v>
          </cell>
          <cell r="AJ962" t="str">
            <v>変</v>
          </cell>
        </row>
        <row r="963">
          <cell r="B963">
            <v>5203</v>
          </cell>
          <cell r="C963">
            <v>52</v>
          </cell>
          <cell r="D963">
            <v>3</v>
          </cell>
          <cell r="F963" t="str">
            <v>多摩本</v>
          </cell>
          <cell r="G963" t="str">
            <v>植栽管理</v>
          </cell>
          <cell r="H963" t="str">
            <v>電発環境緑化センター</v>
          </cell>
          <cell r="I963">
            <v>194200</v>
          </cell>
          <cell r="J963">
            <v>208080</v>
          </cell>
          <cell r="K963">
            <v>12</v>
          </cell>
          <cell r="L963">
            <v>208080</v>
          </cell>
          <cell r="M963">
            <v>208080</v>
          </cell>
          <cell r="N963">
            <v>208080</v>
          </cell>
          <cell r="O963">
            <v>208080</v>
          </cell>
          <cell r="P963">
            <v>208080</v>
          </cell>
          <cell r="Q963">
            <v>208080</v>
          </cell>
          <cell r="R963">
            <v>208080</v>
          </cell>
          <cell r="S963">
            <v>208080</v>
          </cell>
          <cell r="T963">
            <v>208080</v>
          </cell>
          <cell r="U963">
            <v>208080</v>
          </cell>
          <cell r="V963">
            <v>208080</v>
          </cell>
          <cell r="W963">
            <v>208080</v>
          </cell>
          <cell r="X963" t="str">
            <v>④</v>
          </cell>
          <cell r="Y963" t="str">
            <v>⑤</v>
          </cell>
          <cell r="Z963" t="str">
            <v>⑥</v>
          </cell>
          <cell r="AA963" t="str">
            <v>⑦</v>
          </cell>
          <cell r="AB963" t="str">
            <v>⑧</v>
          </cell>
          <cell r="AC963" t="str">
            <v>⑨</v>
          </cell>
          <cell r="AD963" t="str">
            <v>⑩</v>
          </cell>
          <cell r="AE963" t="str">
            <v>⑪</v>
          </cell>
          <cell r="AF963" t="str">
            <v>⑫</v>
          </cell>
          <cell r="AG963" t="str">
            <v>①</v>
          </cell>
          <cell r="AH963" t="str">
            <v>②</v>
          </cell>
          <cell r="AI963" t="str">
            <v>③</v>
          </cell>
          <cell r="AJ963" t="str">
            <v>変</v>
          </cell>
        </row>
        <row r="964">
          <cell r="B964">
            <v>5204</v>
          </cell>
          <cell r="C964">
            <v>52</v>
          </cell>
          <cell r="D964">
            <v>4</v>
          </cell>
          <cell r="F964" t="str">
            <v>多摩本</v>
          </cell>
          <cell r="G964" t="str">
            <v>受水槽清掃(含む高架水槽)</v>
          </cell>
          <cell r="H964" t="str">
            <v>杉田商工</v>
          </cell>
          <cell r="I964">
            <v>300000</v>
          </cell>
          <cell r="J964">
            <v>339000</v>
          </cell>
          <cell r="K964">
            <v>1</v>
          </cell>
          <cell r="L964">
            <v>0</v>
          </cell>
          <cell r="M964">
            <v>0</v>
          </cell>
          <cell r="N964">
            <v>0</v>
          </cell>
          <cell r="O964">
            <v>0</v>
          </cell>
          <cell r="P964">
            <v>339000</v>
          </cell>
          <cell r="Q964">
            <v>0</v>
          </cell>
          <cell r="R964">
            <v>0</v>
          </cell>
          <cell r="S964">
            <v>0</v>
          </cell>
          <cell r="T964">
            <v>0</v>
          </cell>
          <cell r="U964">
            <v>0</v>
          </cell>
          <cell r="V964">
            <v>0</v>
          </cell>
          <cell r="W964">
            <v>0</v>
          </cell>
          <cell r="X964" t="str">
            <v/>
          </cell>
          <cell r="Y964" t="str">
            <v/>
          </cell>
          <cell r="Z964" t="str">
            <v/>
          </cell>
          <cell r="AA964" t="str">
            <v/>
          </cell>
          <cell r="AB964" t="str">
            <v>⑧</v>
          </cell>
          <cell r="AC964" t="str">
            <v/>
          </cell>
          <cell r="AD964" t="str">
            <v/>
          </cell>
          <cell r="AE964" t="str">
            <v/>
          </cell>
          <cell r="AF964" t="str">
            <v/>
          </cell>
          <cell r="AG964" t="str">
            <v/>
          </cell>
          <cell r="AH964" t="str">
            <v/>
          </cell>
          <cell r="AI964" t="str">
            <v/>
          </cell>
        </row>
        <row r="965">
          <cell r="B965">
            <v>5205</v>
          </cell>
          <cell r="C965">
            <v>52</v>
          </cell>
          <cell r="D965">
            <v>5</v>
          </cell>
          <cell r="F965" t="str">
            <v>多摩本</v>
          </cell>
          <cell r="G965" t="str">
            <v>空気輸送設備保守(普通)</v>
          </cell>
          <cell r="H965" t="str">
            <v>神鋼アイ･イー･テック</v>
          </cell>
          <cell r="I965">
            <v>293000</v>
          </cell>
          <cell r="J965">
            <v>321402</v>
          </cell>
          <cell r="K965">
            <v>1</v>
          </cell>
          <cell r="L965">
            <v>0</v>
          </cell>
          <cell r="M965">
            <v>0</v>
          </cell>
          <cell r="N965">
            <v>0</v>
          </cell>
          <cell r="O965">
            <v>0</v>
          </cell>
          <cell r="P965">
            <v>321402</v>
          </cell>
          <cell r="Q965">
            <v>0</v>
          </cell>
          <cell r="R965">
            <v>0</v>
          </cell>
          <cell r="S965">
            <v>0</v>
          </cell>
          <cell r="T965">
            <v>0</v>
          </cell>
          <cell r="U965">
            <v>0</v>
          </cell>
          <cell r="V965">
            <v>0</v>
          </cell>
          <cell r="W965">
            <v>0</v>
          </cell>
          <cell r="X965" t="str">
            <v/>
          </cell>
          <cell r="Z965" t="str">
            <v/>
          </cell>
          <cell r="AA965" t="str">
            <v/>
          </cell>
          <cell r="AB965" t="str">
            <v>⑧</v>
          </cell>
          <cell r="AC965" t="str">
            <v/>
          </cell>
          <cell r="AD965" t="str">
            <v/>
          </cell>
          <cell r="AF965" t="str">
            <v/>
          </cell>
          <cell r="AG965" t="str">
            <v/>
          </cell>
          <cell r="AH965" t="str">
            <v/>
          </cell>
          <cell r="AI965" t="str">
            <v/>
          </cell>
          <cell r="AJ965" t="str">
            <v>変</v>
          </cell>
        </row>
        <row r="966">
          <cell r="B966">
            <v>5206</v>
          </cell>
          <cell r="C966">
            <v>52</v>
          </cell>
          <cell r="D966">
            <v>6</v>
          </cell>
          <cell r="F966" t="str">
            <v>多摩本</v>
          </cell>
          <cell r="G966" t="str">
            <v>空気輸送設備保守(精密)</v>
          </cell>
          <cell r="H966" t="str">
            <v>神鋼アイ･イー･テック</v>
          </cell>
          <cell r="I966">
            <v>621000</v>
          </cell>
          <cell r="J966">
            <v>681198</v>
          </cell>
          <cell r="K966">
            <v>1</v>
          </cell>
          <cell r="L966">
            <v>0</v>
          </cell>
          <cell r="M966">
            <v>0</v>
          </cell>
          <cell r="N966">
            <v>0</v>
          </cell>
          <cell r="O966">
            <v>0</v>
          </cell>
          <cell r="P966">
            <v>0</v>
          </cell>
          <cell r="Q966">
            <v>0</v>
          </cell>
          <cell r="R966">
            <v>0</v>
          </cell>
          <cell r="S966">
            <v>0</v>
          </cell>
          <cell r="T966">
            <v>0</v>
          </cell>
          <cell r="U966">
            <v>0</v>
          </cell>
          <cell r="V966">
            <v>681198</v>
          </cell>
          <cell r="W966">
            <v>0</v>
          </cell>
          <cell r="X966" t="str">
            <v/>
          </cell>
          <cell r="Y966" t="str">
            <v/>
          </cell>
          <cell r="Z966" t="str">
            <v/>
          </cell>
          <cell r="AA966" t="str">
            <v/>
          </cell>
          <cell r="AB966" t="str">
            <v/>
          </cell>
          <cell r="AC966" t="str">
            <v/>
          </cell>
          <cell r="AD966" t="str">
            <v/>
          </cell>
          <cell r="AE966" t="str">
            <v/>
          </cell>
          <cell r="AF966" t="str">
            <v/>
          </cell>
          <cell r="AG966" t="str">
            <v/>
          </cell>
          <cell r="AH966" t="str">
            <v>②</v>
          </cell>
          <cell r="AI966" t="str">
            <v/>
          </cell>
          <cell r="AJ966" t="str">
            <v>変</v>
          </cell>
        </row>
        <row r="967">
          <cell r="B967">
            <v>5207</v>
          </cell>
          <cell r="C967">
            <v>52</v>
          </cell>
          <cell r="D967">
            <v>7</v>
          </cell>
          <cell r="F967" t="str">
            <v>多摩本</v>
          </cell>
          <cell r="G967" t="str">
            <v>シャッター設備保守</v>
          </cell>
          <cell r="H967" t="str">
            <v>三和シャッター工業</v>
          </cell>
          <cell r="I967">
            <v>199000</v>
          </cell>
          <cell r="J967">
            <v>202980</v>
          </cell>
          <cell r="K967">
            <v>2</v>
          </cell>
          <cell r="L967">
            <v>0</v>
          </cell>
          <cell r="M967">
            <v>0</v>
          </cell>
          <cell r="N967">
            <v>0</v>
          </cell>
          <cell r="O967">
            <v>202980</v>
          </cell>
          <cell r="P967">
            <v>0</v>
          </cell>
          <cell r="Q967">
            <v>0</v>
          </cell>
          <cell r="R967">
            <v>0</v>
          </cell>
          <cell r="S967">
            <v>0</v>
          </cell>
          <cell r="T967">
            <v>0</v>
          </cell>
          <cell r="U967">
            <v>202980</v>
          </cell>
          <cell r="V967">
            <v>0</v>
          </cell>
          <cell r="W967">
            <v>0</v>
          </cell>
          <cell r="X967" t="str">
            <v/>
          </cell>
          <cell r="Y967" t="str">
            <v/>
          </cell>
          <cell r="Z967" t="str">
            <v/>
          </cell>
          <cell r="AA967" t="str">
            <v>⑦</v>
          </cell>
          <cell r="AB967" t="str">
            <v/>
          </cell>
          <cell r="AC967" t="str">
            <v/>
          </cell>
          <cell r="AD967" t="str">
            <v/>
          </cell>
          <cell r="AE967" t="str">
            <v/>
          </cell>
          <cell r="AF967" t="str">
            <v/>
          </cell>
          <cell r="AG967" t="str">
            <v>①</v>
          </cell>
          <cell r="AH967" t="str">
            <v/>
          </cell>
          <cell r="AI967" t="str">
            <v/>
          </cell>
        </row>
        <row r="968">
          <cell r="B968">
            <v>5208</v>
          </cell>
          <cell r="C968">
            <v>52</v>
          </cell>
          <cell r="D968">
            <v>8</v>
          </cell>
          <cell r="F968" t="str">
            <v>多摩本</v>
          </cell>
          <cell r="G968" t="str">
            <v>中央監視装置保守(電気)</v>
          </cell>
          <cell r="H968" t="str">
            <v>三菱電機ﾌﾟﾗﾝﾄｴﾝｼﾞﾆｱﾘﾝｸﾞ</v>
          </cell>
          <cell r="I968">
            <v>4400000</v>
          </cell>
          <cell r="J968">
            <v>4488000</v>
          </cell>
          <cell r="K968">
            <v>1</v>
          </cell>
          <cell r="L968">
            <v>0</v>
          </cell>
          <cell r="M968">
            <v>0</v>
          </cell>
          <cell r="N968">
            <v>0</v>
          </cell>
          <cell r="O968">
            <v>4488000</v>
          </cell>
          <cell r="P968">
            <v>0</v>
          </cell>
          <cell r="Q968">
            <v>0</v>
          </cell>
          <cell r="R968">
            <v>0</v>
          </cell>
          <cell r="S968">
            <v>0</v>
          </cell>
          <cell r="T968">
            <v>0</v>
          </cell>
          <cell r="U968">
            <v>0</v>
          </cell>
          <cell r="V968">
            <v>0</v>
          </cell>
          <cell r="W968">
            <v>0</v>
          </cell>
          <cell r="X968" t="str">
            <v/>
          </cell>
          <cell r="Y968" t="str">
            <v/>
          </cell>
          <cell r="Z968" t="str">
            <v/>
          </cell>
          <cell r="AA968" t="str">
            <v>⑦</v>
          </cell>
          <cell r="AB968" t="str">
            <v/>
          </cell>
          <cell r="AC968" t="str">
            <v/>
          </cell>
          <cell r="AD968" t="str">
            <v/>
          </cell>
          <cell r="AE968" t="str">
            <v/>
          </cell>
          <cell r="AF968" t="str">
            <v/>
          </cell>
          <cell r="AG968" t="str">
            <v/>
          </cell>
          <cell r="AH968" t="str">
            <v/>
          </cell>
          <cell r="AI968" t="str">
            <v/>
          </cell>
        </row>
        <row r="969">
          <cell r="B969">
            <v>5209</v>
          </cell>
          <cell r="C969">
            <v>52</v>
          </cell>
          <cell r="D969">
            <v>9</v>
          </cell>
          <cell r="F969" t="str">
            <v>多摩本</v>
          </cell>
          <cell r="G969" t="str">
            <v>中央監視装置保守(電気)</v>
          </cell>
          <cell r="H969" t="str">
            <v>三菱電機ﾌﾟﾗﾝﾄｴﾝｼﾞﾆｱﾘﾝｸﾞ</v>
          </cell>
          <cell r="I969">
            <v>7750000</v>
          </cell>
          <cell r="J969">
            <v>7905000</v>
          </cell>
          <cell r="K969">
            <v>1</v>
          </cell>
          <cell r="L969">
            <v>0</v>
          </cell>
          <cell r="M969">
            <v>0</v>
          </cell>
          <cell r="N969">
            <v>0</v>
          </cell>
          <cell r="O969">
            <v>0</v>
          </cell>
          <cell r="P969">
            <v>0</v>
          </cell>
          <cell r="Q969">
            <v>0</v>
          </cell>
          <cell r="R969">
            <v>0</v>
          </cell>
          <cell r="S969">
            <v>0</v>
          </cell>
          <cell r="T969">
            <v>0</v>
          </cell>
          <cell r="U969">
            <v>7905000</v>
          </cell>
          <cell r="V969">
            <v>0</v>
          </cell>
          <cell r="W969">
            <v>0</v>
          </cell>
          <cell r="X969" t="str">
            <v/>
          </cell>
          <cell r="Y969" t="str">
            <v/>
          </cell>
          <cell r="Z969" t="str">
            <v/>
          </cell>
          <cell r="AA969" t="str">
            <v/>
          </cell>
          <cell r="AB969" t="str">
            <v/>
          </cell>
          <cell r="AC969" t="str">
            <v/>
          </cell>
          <cell r="AD969" t="str">
            <v/>
          </cell>
          <cell r="AE969" t="str">
            <v/>
          </cell>
          <cell r="AF969" t="str">
            <v/>
          </cell>
          <cell r="AG969" t="str">
            <v>①</v>
          </cell>
          <cell r="AH969" t="str">
            <v/>
          </cell>
          <cell r="AI969" t="str">
            <v/>
          </cell>
        </row>
        <row r="970">
          <cell r="B970">
            <v>5210</v>
          </cell>
          <cell r="C970">
            <v>52</v>
          </cell>
          <cell r="D970">
            <v>10</v>
          </cell>
          <cell r="F970" t="str">
            <v>多摩本</v>
          </cell>
          <cell r="G970" t="str">
            <v>無停電電源装置設備保守</v>
          </cell>
          <cell r="H970" t="str">
            <v>三菱電機ﾌﾟﾗﾝﾄｴﾝｼﾞﾆｱﾘﾝｸﾞ</v>
          </cell>
          <cell r="I970">
            <v>2268000</v>
          </cell>
          <cell r="J970">
            <v>2313360</v>
          </cell>
          <cell r="K970">
            <v>1</v>
          </cell>
          <cell r="L970">
            <v>0</v>
          </cell>
          <cell r="M970">
            <v>0</v>
          </cell>
          <cell r="N970">
            <v>0</v>
          </cell>
          <cell r="O970">
            <v>2313360</v>
          </cell>
          <cell r="P970">
            <v>0</v>
          </cell>
          <cell r="Q970">
            <v>0</v>
          </cell>
          <cell r="R970">
            <v>0</v>
          </cell>
          <cell r="S970">
            <v>0</v>
          </cell>
          <cell r="T970">
            <v>0</v>
          </cell>
          <cell r="U970">
            <v>0</v>
          </cell>
          <cell r="V970">
            <v>0</v>
          </cell>
          <cell r="W970">
            <v>0</v>
          </cell>
          <cell r="X970" t="str">
            <v/>
          </cell>
          <cell r="Y970" t="str">
            <v/>
          </cell>
          <cell r="Z970" t="str">
            <v/>
          </cell>
          <cell r="AA970" t="str">
            <v>⑦</v>
          </cell>
          <cell r="AB970" t="str">
            <v/>
          </cell>
          <cell r="AC970" t="str">
            <v/>
          </cell>
          <cell r="AD970" t="str">
            <v/>
          </cell>
          <cell r="AE970" t="str">
            <v/>
          </cell>
          <cell r="AF970" t="str">
            <v/>
          </cell>
          <cell r="AG970" t="str">
            <v/>
          </cell>
          <cell r="AH970" t="str">
            <v/>
          </cell>
          <cell r="AI970" t="str">
            <v/>
          </cell>
        </row>
        <row r="971">
          <cell r="B971">
            <v>5211</v>
          </cell>
          <cell r="C971">
            <v>52</v>
          </cell>
          <cell r="D971">
            <v>11</v>
          </cell>
          <cell r="F971" t="str">
            <v>多摩本</v>
          </cell>
          <cell r="G971" t="str">
            <v>無停電電源装置設備保守</v>
          </cell>
          <cell r="H971" t="str">
            <v>三菱電機ﾌﾟﾗﾝﾄｴﾝｼﾞﾆｱﾘﾝｸﾞ</v>
          </cell>
          <cell r="I971">
            <v>192000</v>
          </cell>
          <cell r="J971">
            <v>195840</v>
          </cell>
          <cell r="K971">
            <v>1</v>
          </cell>
          <cell r="L971">
            <v>0</v>
          </cell>
          <cell r="M971">
            <v>0</v>
          </cell>
          <cell r="N971">
            <v>0</v>
          </cell>
          <cell r="O971">
            <v>0</v>
          </cell>
          <cell r="P971">
            <v>0</v>
          </cell>
          <cell r="Q971">
            <v>0</v>
          </cell>
          <cell r="R971">
            <v>0</v>
          </cell>
          <cell r="S971">
            <v>195840</v>
          </cell>
          <cell r="T971">
            <v>0</v>
          </cell>
          <cell r="U971">
            <v>0</v>
          </cell>
          <cell r="V971">
            <v>0</v>
          </cell>
          <cell r="W971">
            <v>0</v>
          </cell>
          <cell r="X971" t="str">
            <v/>
          </cell>
          <cell r="Y971" t="str">
            <v/>
          </cell>
          <cell r="Z971" t="str">
            <v/>
          </cell>
          <cell r="AA971" t="str">
            <v/>
          </cell>
          <cell r="AB971" t="str">
            <v/>
          </cell>
          <cell r="AC971" t="str">
            <v/>
          </cell>
          <cell r="AD971" t="str">
            <v/>
          </cell>
          <cell r="AE971" t="str">
            <v>⑪</v>
          </cell>
          <cell r="AF971" t="str">
            <v/>
          </cell>
          <cell r="AG971" t="str">
            <v/>
          </cell>
          <cell r="AH971" t="str">
            <v/>
          </cell>
          <cell r="AI971" t="str">
            <v/>
          </cell>
        </row>
        <row r="972">
          <cell r="B972">
            <v>5212</v>
          </cell>
          <cell r="C972">
            <v>52</v>
          </cell>
          <cell r="D972">
            <v>12</v>
          </cell>
          <cell r="F972" t="str">
            <v>多摩本</v>
          </cell>
          <cell r="G972" t="str">
            <v>無停電電源装置設備保守</v>
          </cell>
          <cell r="H972" t="str">
            <v>三菱電機ﾌﾟﾗﾝﾄｴﾝｼﾞﾆｱﾘﾝｸﾞ</v>
          </cell>
          <cell r="I972">
            <v>5712000</v>
          </cell>
          <cell r="J972">
            <v>5826240</v>
          </cell>
          <cell r="K972">
            <v>1</v>
          </cell>
          <cell r="L972">
            <v>0</v>
          </cell>
          <cell r="M972">
            <v>0</v>
          </cell>
          <cell r="N972">
            <v>0</v>
          </cell>
          <cell r="O972">
            <v>0</v>
          </cell>
          <cell r="P972">
            <v>0</v>
          </cell>
          <cell r="Q972">
            <v>0</v>
          </cell>
          <cell r="R972">
            <v>0</v>
          </cell>
          <cell r="S972">
            <v>0</v>
          </cell>
          <cell r="T972">
            <v>0</v>
          </cell>
          <cell r="U972">
            <v>5826240</v>
          </cell>
          <cell r="V972">
            <v>0</v>
          </cell>
          <cell r="W972">
            <v>0</v>
          </cell>
          <cell r="X972" t="str">
            <v/>
          </cell>
          <cell r="Y972" t="str">
            <v/>
          </cell>
          <cell r="Z972" t="str">
            <v/>
          </cell>
          <cell r="AA972" t="str">
            <v/>
          </cell>
          <cell r="AB972" t="str">
            <v/>
          </cell>
          <cell r="AC972" t="str">
            <v/>
          </cell>
          <cell r="AD972" t="str">
            <v/>
          </cell>
          <cell r="AE972" t="str">
            <v/>
          </cell>
          <cell r="AF972" t="str">
            <v/>
          </cell>
          <cell r="AG972" t="str">
            <v>①</v>
          </cell>
          <cell r="AH972" t="str">
            <v/>
          </cell>
          <cell r="AI972" t="str">
            <v/>
          </cell>
        </row>
        <row r="973">
          <cell r="B973">
            <v>5213</v>
          </cell>
          <cell r="C973">
            <v>52</v>
          </cell>
          <cell r="D973">
            <v>13</v>
          </cell>
          <cell r="F973" t="str">
            <v>多摩本</v>
          </cell>
          <cell r="G973" t="str">
            <v>昇降機設備保守</v>
          </cell>
          <cell r="H973" t="str">
            <v>三菱電機ﾋﾞﾙﾃｸﾉｻｰﾋﾞｽ</v>
          </cell>
          <cell r="I973">
            <v>1028400</v>
          </cell>
          <cell r="J973">
            <v>1048968</v>
          </cell>
          <cell r="K973">
            <v>12</v>
          </cell>
          <cell r="L973">
            <v>1048968</v>
          </cell>
          <cell r="M973">
            <v>1048968</v>
          </cell>
          <cell r="N973">
            <v>1048968</v>
          </cell>
          <cell r="O973">
            <v>1048968</v>
          </cell>
          <cell r="P973">
            <v>1048968</v>
          </cell>
          <cell r="Q973">
            <v>1048968</v>
          </cell>
          <cell r="R973">
            <v>1048968</v>
          </cell>
          <cell r="S973">
            <v>1048968</v>
          </cell>
          <cell r="T973">
            <v>1048968</v>
          </cell>
          <cell r="U973">
            <v>1048968</v>
          </cell>
          <cell r="V973">
            <v>1048968</v>
          </cell>
          <cell r="W973">
            <v>1048968</v>
          </cell>
          <cell r="X973" t="str">
            <v>④</v>
          </cell>
          <cell r="Y973" t="str">
            <v>⑤</v>
          </cell>
          <cell r="Z973" t="str">
            <v>⑥</v>
          </cell>
          <cell r="AA973" t="str">
            <v>⑦</v>
          </cell>
          <cell r="AB973" t="str">
            <v>⑧</v>
          </cell>
          <cell r="AC973" t="str">
            <v>⑨</v>
          </cell>
          <cell r="AD973" t="str">
            <v>⑩</v>
          </cell>
          <cell r="AE973" t="str">
            <v>⑪</v>
          </cell>
          <cell r="AF973" t="str">
            <v>⑫</v>
          </cell>
          <cell r="AG973" t="str">
            <v>①</v>
          </cell>
          <cell r="AH973" t="str">
            <v>②</v>
          </cell>
          <cell r="AI973" t="str">
            <v>③</v>
          </cell>
        </row>
        <row r="974">
          <cell r="B974">
            <v>5214</v>
          </cell>
          <cell r="C974">
            <v>52</v>
          </cell>
          <cell r="D974">
            <v>14</v>
          </cell>
          <cell r="F974" t="str">
            <v>多摩本</v>
          </cell>
          <cell r="G974" t="str">
            <v>エスカレーター設備保守</v>
          </cell>
          <cell r="H974" t="str">
            <v>三菱電機ﾋﾞﾙﾃｸﾉｻｰﾋﾞｽ</v>
          </cell>
          <cell r="I974">
            <v>149000</v>
          </cell>
          <cell r="J974">
            <v>151980</v>
          </cell>
          <cell r="K974">
            <v>12</v>
          </cell>
          <cell r="L974">
            <v>151980</v>
          </cell>
          <cell r="M974">
            <v>151980</v>
          </cell>
          <cell r="N974">
            <v>151980</v>
          </cell>
          <cell r="O974">
            <v>151980</v>
          </cell>
          <cell r="P974">
            <v>151980</v>
          </cell>
          <cell r="Q974">
            <v>151980</v>
          </cell>
          <cell r="R974">
            <v>151980</v>
          </cell>
          <cell r="S974">
            <v>151980</v>
          </cell>
          <cell r="T974">
            <v>151980</v>
          </cell>
          <cell r="U974">
            <v>151980</v>
          </cell>
          <cell r="V974">
            <v>151980</v>
          </cell>
          <cell r="W974">
            <v>151980</v>
          </cell>
          <cell r="X974" t="str">
            <v>④</v>
          </cell>
          <cell r="Y974" t="str">
            <v>⑤</v>
          </cell>
          <cell r="Z974" t="str">
            <v>⑥</v>
          </cell>
          <cell r="AA974" t="str">
            <v>⑦</v>
          </cell>
          <cell r="AB974" t="str">
            <v>⑧</v>
          </cell>
          <cell r="AC974" t="str">
            <v>⑨</v>
          </cell>
          <cell r="AD974" t="str">
            <v>⑩</v>
          </cell>
          <cell r="AE974" t="str">
            <v>⑪</v>
          </cell>
          <cell r="AF974" t="str">
            <v>⑫</v>
          </cell>
          <cell r="AG974" t="str">
            <v>①</v>
          </cell>
          <cell r="AH974" t="str">
            <v>②</v>
          </cell>
          <cell r="AI974" t="str">
            <v>③</v>
          </cell>
        </row>
        <row r="975">
          <cell r="B975">
            <v>5215</v>
          </cell>
          <cell r="C975">
            <v>52</v>
          </cell>
          <cell r="D975">
            <v>15</v>
          </cell>
          <cell r="F975" t="str">
            <v>多摩本</v>
          </cell>
          <cell r="G975" t="str">
            <v>水冷ﾊﾟｯｹｰｼﾞ設備保守</v>
          </cell>
          <cell r="H975" t="str">
            <v>三菱電機ﾋﾞﾙﾃｸﾉｻｰﾋﾞｽ</v>
          </cell>
          <cell r="I975">
            <v>476000</v>
          </cell>
          <cell r="J975">
            <v>485520</v>
          </cell>
          <cell r="K975">
            <v>12</v>
          </cell>
          <cell r="L975">
            <v>485520</v>
          </cell>
          <cell r="M975">
            <v>485520</v>
          </cell>
          <cell r="N975">
            <v>485520</v>
          </cell>
          <cell r="O975">
            <v>485520</v>
          </cell>
          <cell r="P975">
            <v>485520</v>
          </cell>
          <cell r="Q975">
            <v>485520</v>
          </cell>
          <cell r="R975">
            <v>485520</v>
          </cell>
          <cell r="S975">
            <v>485520</v>
          </cell>
          <cell r="T975">
            <v>485520</v>
          </cell>
          <cell r="U975">
            <v>485520</v>
          </cell>
          <cell r="V975">
            <v>485520</v>
          </cell>
          <cell r="W975">
            <v>485520</v>
          </cell>
          <cell r="X975" t="str">
            <v>④</v>
          </cell>
          <cell r="Y975" t="str">
            <v>⑤</v>
          </cell>
          <cell r="Z975" t="str">
            <v>⑥</v>
          </cell>
          <cell r="AA975" t="str">
            <v>⑦</v>
          </cell>
          <cell r="AB975" t="str">
            <v>⑧</v>
          </cell>
          <cell r="AC975" t="str">
            <v>⑨</v>
          </cell>
          <cell r="AD975" t="str">
            <v>⑩</v>
          </cell>
          <cell r="AE975" t="str">
            <v>⑪</v>
          </cell>
          <cell r="AF975" t="str">
            <v>⑫</v>
          </cell>
          <cell r="AG975" t="str">
            <v>①</v>
          </cell>
          <cell r="AH975" t="str">
            <v>②</v>
          </cell>
          <cell r="AI975" t="str">
            <v>③</v>
          </cell>
        </row>
        <row r="976">
          <cell r="B976">
            <v>5216</v>
          </cell>
          <cell r="C976">
            <v>52</v>
          </cell>
          <cell r="D976">
            <v>16</v>
          </cell>
          <cell r="F976" t="str">
            <v>多摩本</v>
          </cell>
          <cell r="G976" t="str">
            <v>ＩＴＶ設備保守</v>
          </cell>
          <cell r="H976" t="str">
            <v>三菱電機ﾋﾞﾙﾃｸﾉｻｰﾋﾞｽ</v>
          </cell>
          <cell r="I976">
            <v>378000</v>
          </cell>
          <cell r="J976">
            <v>385560</v>
          </cell>
          <cell r="K976">
            <v>2</v>
          </cell>
          <cell r="L976">
            <v>0</v>
          </cell>
          <cell r="M976">
            <v>0</v>
          </cell>
          <cell r="N976">
            <v>385560</v>
          </cell>
          <cell r="O976">
            <v>0</v>
          </cell>
          <cell r="P976">
            <v>0</v>
          </cell>
          <cell r="Q976">
            <v>0</v>
          </cell>
          <cell r="R976">
            <v>0</v>
          </cell>
          <cell r="S976">
            <v>0</v>
          </cell>
          <cell r="T976">
            <v>385560</v>
          </cell>
          <cell r="U976">
            <v>0</v>
          </cell>
          <cell r="V976">
            <v>0</v>
          </cell>
          <cell r="W976">
            <v>0</v>
          </cell>
          <cell r="X976" t="str">
            <v/>
          </cell>
          <cell r="Y976" t="str">
            <v/>
          </cell>
          <cell r="Z976" t="str">
            <v>⑥</v>
          </cell>
          <cell r="AA976" t="str">
            <v/>
          </cell>
          <cell r="AB976" t="str">
            <v/>
          </cell>
          <cell r="AC976" t="str">
            <v/>
          </cell>
          <cell r="AD976" t="str">
            <v/>
          </cell>
          <cell r="AE976" t="str">
            <v/>
          </cell>
          <cell r="AF976" t="str">
            <v>⑫</v>
          </cell>
          <cell r="AG976" t="str">
            <v/>
          </cell>
          <cell r="AH976" t="str">
            <v/>
          </cell>
          <cell r="AI976" t="str">
            <v/>
          </cell>
        </row>
        <row r="977">
          <cell r="B977">
            <v>5217</v>
          </cell>
          <cell r="C977">
            <v>52</v>
          </cell>
          <cell r="D977">
            <v>17</v>
          </cell>
          <cell r="F977" t="str">
            <v>多摩本</v>
          </cell>
          <cell r="G977" t="str">
            <v>ＩＴＶ設備保守(ＥＬＶ用)</v>
          </cell>
          <cell r="H977" t="str">
            <v>三菱電機ﾋﾞﾙﾃｸﾉｻｰﾋﾞｽ</v>
          </cell>
          <cell r="I977">
            <v>126000</v>
          </cell>
          <cell r="J977">
            <v>128520</v>
          </cell>
          <cell r="K977">
            <v>1</v>
          </cell>
          <cell r="L977">
            <v>0</v>
          </cell>
          <cell r="M977">
            <v>128520</v>
          </cell>
          <cell r="N977">
            <v>0</v>
          </cell>
          <cell r="O977">
            <v>0</v>
          </cell>
          <cell r="P977">
            <v>0</v>
          </cell>
          <cell r="Q977">
            <v>0</v>
          </cell>
          <cell r="R977">
            <v>0</v>
          </cell>
          <cell r="S977">
            <v>0</v>
          </cell>
          <cell r="T977">
            <v>0</v>
          </cell>
          <cell r="U977">
            <v>0</v>
          </cell>
          <cell r="V977">
            <v>0</v>
          </cell>
          <cell r="W977">
            <v>0</v>
          </cell>
          <cell r="X977" t="str">
            <v/>
          </cell>
          <cell r="Y977" t="str">
            <v>⑤</v>
          </cell>
          <cell r="Z977" t="str">
            <v/>
          </cell>
          <cell r="AA977" t="str">
            <v/>
          </cell>
          <cell r="AB977" t="str">
            <v/>
          </cell>
          <cell r="AC977" t="str">
            <v/>
          </cell>
          <cell r="AD977" t="str">
            <v/>
          </cell>
          <cell r="AE977" t="str">
            <v/>
          </cell>
          <cell r="AF977" t="str">
            <v/>
          </cell>
          <cell r="AG977" t="str">
            <v/>
          </cell>
          <cell r="AH977" t="str">
            <v/>
          </cell>
          <cell r="AI977" t="str">
            <v/>
          </cell>
        </row>
        <row r="978">
          <cell r="B978">
            <v>5218</v>
          </cell>
          <cell r="C978">
            <v>52</v>
          </cell>
          <cell r="D978">
            <v>18</v>
          </cell>
          <cell r="F978" t="str">
            <v>多摩本</v>
          </cell>
          <cell r="G978" t="str">
            <v>ＩＴＶ設備保守(ＥＬＶ用)</v>
          </cell>
          <cell r="H978" t="str">
            <v>三菱電機ﾋﾞﾙﾃｸﾉｻｰﾋﾞｽ</v>
          </cell>
          <cell r="I978">
            <v>54000</v>
          </cell>
          <cell r="J978">
            <v>55080</v>
          </cell>
          <cell r="K978">
            <v>3</v>
          </cell>
          <cell r="L978">
            <v>0</v>
          </cell>
          <cell r="M978">
            <v>0</v>
          </cell>
          <cell r="N978">
            <v>0</v>
          </cell>
          <cell r="O978">
            <v>0</v>
          </cell>
          <cell r="P978">
            <v>55080</v>
          </cell>
          <cell r="Q978">
            <v>0</v>
          </cell>
          <cell r="R978">
            <v>0</v>
          </cell>
          <cell r="S978">
            <v>55080</v>
          </cell>
          <cell r="T978">
            <v>0</v>
          </cell>
          <cell r="U978">
            <v>0</v>
          </cell>
          <cell r="V978">
            <v>55080</v>
          </cell>
          <cell r="W978">
            <v>0</v>
          </cell>
          <cell r="X978" t="str">
            <v/>
          </cell>
          <cell r="Y978" t="str">
            <v/>
          </cell>
          <cell r="Z978" t="str">
            <v/>
          </cell>
          <cell r="AA978" t="str">
            <v/>
          </cell>
          <cell r="AB978" t="str">
            <v>⑧</v>
          </cell>
          <cell r="AC978" t="str">
            <v/>
          </cell>
          <cell r="AD978" t="str">
            <v/>
          </cell>
          <cell r="AE978" t="str">
            <v>⑪</v>
          </cell>
          <cell r="AF978" t="str">
            <v/>
          </cell>
          <cell r="AG978" t="str">
            <v/>
          </cell>
          <cell r="AH978" t="str">
            <v>②</v>
          </cell>
          <cell r="AI978" t="str">
            <v/>
          </cell>
        </row>
        <row r="979">
          <cell r="B979">
            <v>5219</v>
          </cell>
          <cell r="C979">
            <v>52</v>
          </cell>
          <cell r="D979">
            <v>19</v>
          </cell>
          <cell r="F979" t="str">
            <v>多摩本</v>
          </cell>
          <cell r="G979" t="str">
            <v>駐車場管制装置保守点検</v>
          </cell>
          <cell r="H979" t="str">
            <v>三菱プレシジョン</v>
          </cell>
          <cell r="I979">
            <v>337000</v>
          </cell>
          <cell r="J979">
            <v>345900</v>
          </cell>
          <cell r="K979">
            <v>2</v>
          </cell>
          <cell r="L979">
            <v>0</v>
          </cell>
          <cell r="M979">
            <v>0</v>
          </cell>
          <cell r="N979">
            <v>0</v>
          </cell>
          <cell r="O979">
            <v>345900</v>
          </cell>
          <cell r="P979">
            <v>0</v>
          </cell>
          <cell r="Q979">
            <v>0</v>
          </cell>
          <cell r="R979">
            <v>0</v>
          </cell>
          <cell r="S979">
            <v>0</v>
          </cell>
          <cell r="T979">
            <v>0</v>
          </cell>
          <cell r="U979">
            <v>345900</v>
          </cell>
          <cell r="V979">
            <v>0</v>
          </cell>
          <cell r="W979">
            <v>0</v>
          </cell>
          <cell r="X979" t="str">
            <v/>
          </cell>
          <cell r="Y979" t="str">
            <v/>
          </cell>
          <cell r="Z979" t="str">
            <v/>
          </cell>
          <cell r="AA979" t="str">
            <v>⑦</v>
          </cell>
          <cell r="AB979" t="str">
            <v/>
          </cell>
          <cell r="AC979" t="str">
            <v/>
          </cell>
          <cell r="AD979" t="str">
            <v/>
          </cell>
          <cell r="AE979" t="str">
            <v/>
          </cell>
          <cell r="AF979" t="str">
            <v/>
          </cell>
          <cell r="AG979" t="str">
            <v>①</v>
          </cell>
          <cell r="AH979" t="str">
            <v/>
          </cell>
          <cell r="AI979" t="str">
            <v/>
          </cell>
          <cell r="AJ979" t="str">
            <v>変</v>
          </cell>
        </row>
        <row r="980">
          <cell r="B980">
            <v>5220</v>
          </cell>
          <cell r="C980">
            <v>52</v>
          </cell>
          <cell r="D980">
            <v>20</v>
          </cell>
          <cell r="F980" t="str">
            <v>多摩本</v>
          </cell>
          <cell r="G980" t="str">
            <v>汚水･雑排水槽清掃</v>
          </cell>
          <cell r="H980" t="str">
            <v>五十嵐商会</v>
          </cell>
          <cell r="I980">
            <v>192600</v>
          </cell>
          <cell r="J980">
            <v>220420</v>
          </cell>
          <cell r="K980">
            <v>3</v>
          </cell>
          <cell r="L980">
            <v>0</v>
          </cell>
          <cell r="M980">
            <v>0</v>
          </cell>
          <cell r="N980">
            <v>220420</v>
          </cell>
          <cell r="O980">
            <v>0</v>
          </cell>
          <cell r="P980">
            <v>0</v>
          </cell>
          <cell r="Q980">
            <v>0</v>
          </cell>
          <cell r="R980">
            <v>220420</v>
          </cell>
          <cell r="S980">
            <v>0</v>
          </cell>
          <cell r="T980">
            <v>0</v>
          </cell>
          <cell r="U980">
            <v>0</v>
          </cell>
          <cell r="V980">
            <v>220420</v>
          </cell>
          <cell r="W980">
            <v>0</v>
          </cell>
          <cell r="X980" t="str">
            <v/>
          </cell>
          <cell r="Y980" t="str">
            <v/>
          </cell>
          <cell r="Z980" t="str">
            <v>⑥</v>
          </cell>
          <cell r="AA980" t="str">
            <v/>
          </cell>
          <cell r="AB980" t="str">
            <v/>
          </cell>
          <cell r="AC980" t="str">
            <v/>
          </cell>
          <cell r="AD980" t="str">
            <v>⑩</v>
          </cell>
          <cell r="AE980" t="str">
            <v/>
          </cell>
          <cell r="AF980" t="str">
            <v/>
          </cell>
          <cell r="AG980" t="str">
            <v/>
          </cell>
          <cell r="AH980" t="str">
            <v>②</v>
          </cell>
          <cell r="AI980" t="str">
            <v/>
          </cell>
          <cell r="AJ980" t="str">
            <v>変</v>
          </cell>
        </row>
        <row r="981">
          <cell r="B981">
            <v>5221</v>
          </cell>
          <cell r="C981">
            <v>52</v>
          </cell>
          <cell r="D981">
            <v>21</v>
          </cell>
          <cell r="F981" t="str">
            <v>多摩本</v>
          </cell>
          <cell r="G981" t="str">
            <v>植栽管理</v>
          </cell>
          <cell r="H981" t="str">
            <v>王子緑化</v>
          </cell>
          <cell r="I981">
            <v>147000</v>
          </cell>
          <cell r="J981">
            <v>157520</v>
          </cell>
          <cell r="K981">
            <v>12</v>
          </cell>
          <cell r="L981">
            <v>157520</v>
          </cell>
          <cell r="M981">
            <v>157520</v>
          </cell>
          <cell r="N981">
            <v>157520</v>
          </cell>
          <cell r="O981">
            <v>157520</v>
          </cell>
          <cell r="P981">
            <v>157520</v>
          </cell>
          <cell r="Q981">
            <v>157520</v>
          </cell>
          <cell r="R981">
            <v>157520</v>
          </cell>
          <cell r="S981">
            <v>157520</v>
          </cell>
          <cell r="T981">
            <v>157520</v>
          </cell>
          <cell r="U981">
            <v>157520</v>
          </cell>
          <cell r="V981">
            <v>157520</v>
          </cell>
          <cell r="W981">
            <v>157520</v>
          </cell>
          <cell r="X981" t="str">
            <v>④</v>
          </cell>
          <cell r="Y981" t="str">
            <v>⑤</v>
          </cell>
          <cell r="Z981" t="str">
            <v>⑥</v>
          </cell>
          <cell r="AA981" t="str">
            <v>⑦</v>
          </cell>
          <cell r="AB981" t="str">
            <v>⑧</v>
          </cell>
          <cell r="AC981" t="str">
            <v>⑨</v>
          </cell>
          <cell r="AD981" t="str">
            <v>⑩</v>
          </cell>
          <cell r="AE981" t="str">
            <v>⑪</v>
          </cell>
          <cell r="AF981" t="str">
            <v>⑫</v>
          </cell>
          <cell r="AG981" t="str">
            <v>①</v>
          </cell>
          <cell r="AH981" t="str">
            <v>②</v>
          </cell>
          <cell r="AI981" t="str">
            <v>③</v>
          </cell>
          <cell r="AJ981" t="str">
            <v>変</v>
          </cell>
        </row>
        <row r="982">
          <cell r="B982">
            <v>5222</v>
          </cell>
          <cell r="C982">
            <v>52</v>
          </cell>
          <cell r="D982">
            <v>22</v>
          </cell>
          <cell r="F982" t="str">
            <v>多摩本</v>
          </cell>
          <cell r="G982" t="str">
            <v>自動ドアー保守</v>
          </cell>
          <cell r="H982" t="str">
            <v>ナブコシステム</v>
          </cell>
          <cell r="I982">
            <v>423800</v>
          </cell>
          <cell r="J982">
            <v>456900</v>
          </cell>
          <cell r="K982">
            <v>2</v>
          </cell>
          <cell r="L982">
            <v>0</v>
          </cell>
          <cell r="M982">
            <v>0</v>
          </cell>
          <cell r="N982">
            <v>0</v>
          </cell>
          <cell r="O982">
            <v>456900</v>
          </cell>
          <cell r="P982">
            <v>0</v>
          </cell>
          <cell r="Q982">
            <v>0</v>
          </cell>
          <cell r="R982">
            <v>0</v>
          </cell>
          <cell r="S982">
            <v>0</v>
          </cell>
          <cell r="T982">
            <v>0</v>
          </cell>
          <cell r="U982">
            <v>456900</v>
          </cell>
          <cell r="V982">
            <v>0</v>
          </cell>
          <cell r="W982">
            <v>0</v>
          </cell>
          <cell r="Y982" t="str">
            <v/>
          </cell>
          <cell r="Z982" t="str">
            <v/>
          </cell>
          <cell r="AA982" t="str">
            <v>⑦</v>
          </cell>
          <cell r="AB982" t="str">
            <v/>
          </cell>
          <cell r="AC982" t="str">
            <v/>
          </cell>
          <cell r="AE982" t="str">
            <v/>
          </cell>
          <cell r="AF982" t="str">
            <v/>
          </cell>
          <cell r="AG982" t="str">
            <v>①</v>
          </cell>
          <cell r="AH982" t="str">
            <v/>
          </cell>
          <cell r="AI982" t="str">
            <v/>
          </cell>
          <cell r="AJ982" t="str">
            <v>変</v>
          </cell>
        </row>
        <row r="983">
          <cell r="B983">
            <v>5223</v>
          </cell>
          <cell r="C983">
            <v>52</v>
          </cell>
          <cell r="D983">
            <v>23</v>
          </cell>
          <cell r="F983" t="str">
            <v>多摩本</v>
          </cell>
          <cell r="G983" t="str">
            <v>害虫駆除</v>
          </cell>
          <cell r="H983" t="str">
            <v>シーアイ・シー</v>
          </cell>
          <cell r="I983">
            <v>1548000</v>
          </cell>
          <cell r="J983">
            <v>1702800</v>
          </cell>
          <cell r="K983">
            <v>2</v>
          </cell>
          <cell r="L983">
            <v>0</v>
          </cell>
          <cell r="M983">
            <v>0</v>
          </cell>
          <cell r="N983">
            <v>0</v>
          </cell>
          <cell r="O983">
            <v>1702800</v>
          </cell>
          <cell r="P983">
            <v>0</v>
          </cell>
          <cell r="Q983">
            <v>0</v>
          </cell>
          <cell r="R983">
            <v>0</v>
          </cell>
          <cell r="S983">
            <v>0</v>
          </cell>
          <cell r="T983">
            <v>0</v>
          </cell>
          <cell r="U983">
            <v>1702800</v>
          </cell>
          <cell r="V983">
            <v>0</v>
          </cell>
          <cell r="W983">
            <v>0</v>
          </cell>
          <cell r="X983" t="str">
            <v/>
          </cell>
          <cell r="Y983" t="str">
            <v/>
          </cell>
          <cell r="Z983" t="str">
            <v/>
          </cell>
          <cell r="AA983" t="str">
            <v>⑦</v>
          </cell>
          <cell r="AB983" t="str">
            <v/>
          </cell>
          <cell r="AC983" t="str">
            <v/>
          </cell>
          <cell r="AD983" t="str">
            <v/>
          </cell>
          <cell r="AE983" t="str">
            <v/>
          </cell>
          <cell r="AF983" t="str">
            <v/>
          </cell>
          <cell r="AG983" t="str">
            <v>①</v>
          </cell>
          <cell r="AH983" t="str">
            <v/>
          </cell>
          <cell r="AI983" t="str">
            <v/>
          </cell>
        </row>
        <row r="984">
          <cell r="B984">
            <v>5224</v>
          </cell>
          <cell r="C984">
            <v>52</v>
          </cell>
          <cell r="D984">
            <v>24</v>
          </cell>
          <cell r="F984" t="str">
            <v>多摩本</v>
          </cell>
          <cell r="G984" t="str">
            <v>水処理装置保守</v>
          </cell>
          <cell r="H984" t="str">
            <v>クリタ・ビルテック</v>
          </cell>
          <cell r="I984">
            <v>730000</v>
          </cell>
          <cell r="J984">
            <v>782558</v>
          </cell>
          <cell r="K984">
            <v>12</v>
          </cell>
          <cell r="L984">
            <v>782558</v>
          </cell>
          <cell r="M984">
            <v>782558</v>
          </cell>
          <cell r="N984">
            <v>782558</v>
          </cell>
          <cell r="O984">
            <v>782558</v>
          </cell>
          <cell r="P984">
            <v>782558</v>
          </cell>
          <cell r="Q984">
            <v>782558</v>
          </cell>
          <cell r="R984">
            <v>782558</v>
          </cell>
          <cell r="S984">
            <v>782558</v>
          </cell>
          <cell r="T984">
            <v>782558</v>
          </cell>
          <cell r="U984">
            <v>782558</v>
          </cell>
          <cell r="V984">
            <v>782558</v>
          </cell>
          <cell r="W984">
            <v>782558</v>
          </cell>
          <cell r="X984" t="str">
            <v>④</v>
          </cell>
          <cell r="Y984" t="str">
            <v>⑤</v>
          </cell>
          <cell r="Z984" t="str">
            <v>⑥</v>
          </cell>
          <cell r="AA984" t="str">
            <v>⑦</v>
          </cell>
          <cell r="AB984" t="str">
            <v>⑧</v>
          </cell>
          <cell r="AC984" t="str">
            <v>⑨</v>
          </cell>
          <cell r="AD984" t="str">
            <v>⑩</v>
          </cell>
          <cell r="AE984" t="str">
            <v>⑪</v>
          </cell>
          <cell r="AF984" t="str">
            <v>⑫</v>
          </cell>
          <cell r="AG984" t="str">
            <v>①</v>
          </cell>
          <cell r="AH984" t="str">
            <v>②</v>
          </cell>
          <cell r="AI984" t="str">
            <v>③</v>
          </cell>
          <cell r="AJ984" t="str">
            <v>変</v>
          </cell>
        </row>
        <row r="985">
          <cell r="B985">
            <v>5225</v>
          </cell>
          <cell r="C985">
            <v>52</v>
          </cell>
          <cell r="D985">
            <v>25</v>
          </cell>
          <cell r="F985" t="str">
            <v>多摩本</v>
          </cell>
          <cell r="G985" t="str">
            <v>空調用自動制御機器保守</v>
          </cell>
          <cell r="H985" t="str">
            <v>オーテック</v>
          </cell>
          <cell r="I985">
            <v>2736000</v>
          </cell>
          <cell r="J985">
            <v>3022600</v>
          </cell>
          <cell r="K985">
            <v>12</v>
          </cell>
          <cell r="L985">
            <v>3022600</v>
          </cell>
          <cell r="M985">
            <v>3022600</v>
          </cell>
          <cell r="N985">
            <v>3022600</v>
          </cell>
          <cell r="O985">
            <v>3022600</v>
          </cell>
          <cell r="P985">
            <v>3022600</v>
          </cell>
          <cell r="Q985">
            <v>3022600</v>
          </cell>
          <cell r="R985">
            <v>3022600</v>
          </cell>
          <cell r="S985">
            <v>3022600</v>
          </cell>
          <cell r="T985">
            <v>3022600</v>
          </cell>
          <cell r="U985">
            <v>3022600</v>
          </cell>
          <cell r="V985">
            <v>3022600</v>
          </cell>
          <cell r="W985">
            <v>3022600</v>
          </cell>
          <cell r="X985" t="str">
            <v>④</v>
          </cell>
          <cell r="Y985" t="str">
            <v>⑤</v>
          </cell>
          <cell r="Z985" t="str">
            <v>⑥</v>
          </cell>
          <cell r="AA985" t="str">
            <v>⑦</v>
          </cell>
          <cell r="AB985" t="str">
            <v>⑧</v>
          </cell>
          <cell r="AC985" t="str">
            <v>⑨</v>
          </cell>
          <cell r="AD985" t="str">
            <v>⑩</v>
          </cell>
          <cell r="AE985" t="str">
            <v>⑪</v>
          </cell>
          <cell r="AF985" t="str">
            <v>⑫</v>
          </cell>
          <cell r="AG985" t="str">
            <v>①</v>
          </cell>
          <cell r="AH985" t="str">
            <v>②</v>
          </cell>
          <cell r="AI985" t="str">
            <v>③</v>
          </cell>
          <cell r="AJ985" t="str">
            <v>変</v>
          </cell>
        </row>
        <row r="986">
          <cell r="B986">
            <v>5226</v>
          </cell>
          <cell r="C986">
            <v>52</v>
          </cell>
          <cell r="D986">
            <v>26</v>
          </cell>
          <cell r="F986" t="str">
            <v>多摩本</v>
          </cell>
          <cell r="G986" t="str">
            <v>ﾌｨﾙﾀｰ洗浄･交換(空気清浄機)</v>
          </cell>
          <cell r="H986" t="str">
            <v>オーテック</v>
          </cell>
          <cell r="I986">
            <v>76200</v>
          </cell>
          <cell r="J986">
            <v>77724</v>
          </cell>
          <cell r="K986">
            <v>5</v>
          </cell>
          <cell r="L986">
            <v>77724</v>
          </cell>
          <cell r="M986">
            <v>0</v>
          </cell>
          <cell r="N986">
            <v>77724</v>
          </cell>
          <cell r="O986">
            <v>0</v>
          </cell>
          <cell r="P986">
            <v>77724</v>
          </cell>
          <cell r="Q986">
            <v>0</v>
          </cell>
          <cell r="R986">
            <v>77724</v>
          </cell>
          <cell r="S986">
            <v>0</v>
          </cell>
          <cell r="T986">
            <v>77724</v>
          </cell>
          <cell r="U986">
            <v>0</v>
          </cell>
          <cell r="V986">
            <v>0</v>
          </cell>
          <cell r="W986">
            <v>0</v>
          </cell>
          <cell r="X986" t="str">
            <v>④</v>
          </cell>
          <cell r="Y986" t="str">
            <v/>
          </cell>
          <cell r="Z986" t="str">
            <v>⑥</v>
          </cell>
          <cell r="AA986" t="str">
            <v/>
          </cell>
          <cell r="AB986" t="str">
            <v>⑧</v>
          </cell>
          <cell r="AC986" t="str">
            <v/>
          </cell>
          <cell r="AD986" t="str">
            <v>⑩</v>
          </cell>
          <cell r="AE986" t="str">
            <v/>
          </cell>
          <cell r="AF986" t="str">
            <v>⑫</v>
          </cell>
          <cell r="AG986" t="str">
            <v/>
          </cell>
          <cell r="AH986" t="str">
            <v/>
          </cell>
          <cell r="AI986" t="str">
            <v/>
          </cell>
        </row>
        <row r="987">
          <cell r="B987">
            <v>5227</v>
          </cell>
          <cell r="C987">
            <v>52</v>
          </cell>
          <cell r="D987">
            <v>27</v>
          </cell>
          <cell r="F987" t="str">
            <v>多摩本</v>
          </cell>
          <cell r="G987" t="str">
            <v>ﾌｨﾙﾀｰ洗浄･交換(空気清浄機)</v>
          </cell>
          <cell r="H987" t="str">
            <v>オーテック</v>
          </cell>
          <cell r="I987">
            <v>79200</v>
          </cell>
          <cell r="J987">
            <v>80784</v>
          </cell>
          <cell r="K987">
            <v>1</v>
          </cell>
          <cell r="L987">
            <v>0</v>
          </cell>
          <cell r="M987">
            <v>0</v>
          </cell>
          <cell r="N987">
            <v>0</v>
          </cell>
          <cell r="O987">
            <v>0</v>
          </cell>
          <cell r="P987">
            <v>0</v>
          </cell>
          <cell r="Q987">
            <v>0</v>
          </cell>
          <cell r="R987">
            <v>0</v>
          </cell>
          <cell r="S987">
            <v>0</v>
          </cell>
          <cell r="T987">
            <v>0</v>
          </cell>
          <cell r="U987">
            <v>0</v>
          </cell>
          <cell r="V987">
            <v>80784</v>
          </cell>
          <cell r="W987">
            <v>0</v>
          </cell>
          <cell r="X987" t="str">
            <v/>
          </cell>
          <cell r="Y987" t="str">
            <v/>
          </cell>
          <cell r="Z987" t="str">
            <v/>
          </cell>
          <cell r="AA987" t="str">
            <v/>
          </cell>
          <cell r="AB987" t="str">
            <v/>
          </cell>
          <cell r="AC987" t="str">
            <v/>
          </cell>
          <cell r="AD987" t="str">
            <v/>
          </cell>
          <cell r="AE987" t="str">
            <v/>
          </cell>
          <cell r="AF987" t="str">
            <v/>
          </cell>
          <cell r="AG987" t="str">
            <v/>
          </cell>
          <cell r="AH987" t="str">
            <v>②</v>
          </cell>
          <cell r="AI987" t="str">
            <v/>
          </cell>
        </row>
        <row r="988">
          <cell r="B988">
            <v>5228</v>
          </cell>
          <cell r="C988">
            <v>52</v>
          </cell>
          <cell r="D988">
            <v>28</v>
          </cell>
          <cell r="F988" t="str">
            <v>多摩本</v>
          </cell>
          <cell r="G988" t="str">
            <v>吸収式冷凍機設備保守</v>
          </cell>
          <cell r="H988" t="str">
            <v>荏原テクノサーブ</v>
          </cell>
          <cell r="I988">
            <v>630000</v>
          </cell>
          <cell r="J988">
            <v>662800</v>
          </cell>
          <cell r="K988">
            <v>1</v>
          </cell>
          <cell r="L988">
            <v>0</v>
          </cell>
          <cell r="M988">
            <v>0</v>
          </cell>
          <cell r="N988">
            <v>0</v>
          </cell>
          <cell r="O988">
            <v>662800</v>
          </cell>
          <cell r="P988">
            <v>0</v>
          </cell>
          <cell r="Q988">
            <v>0</v>
          </cell>
          <cell r="R988">
            <v>0</v>
          </cell>
          <cell r="S988">
            <v>0</v>
          </cell>
          <cell r="T988">
            <v>0</v>
          </cell>
          <cell r="U988">
            <v>0</v>
          </cell>
          <cell r="V988">
            <v>0</v>
          </cell>
          <cell r="W988">
            <v>0</v>
          </cell>
          <cell r="AA988" t="str">
            <v>⑦</v>
          </cell>
          <cell r="AJ988" t="str">
            <v>？</v>
          </cell>
        </row>
        <row r="989">
          <cell r="B989">
            <v>5229</v>
          </cell>
          <cell r="C989">
            <v>52</v>
          </cell>
          <cell r="D989">
            <v>29</v>
          </cell>
          <cell r="F989" t="str">
            <v>多摩本</v>
          </cell>
          <cell r="G989" t="str">
            <v>吸収式冷凍機設備保守</v>
          </cell>
          <cell r="H989" t="str">
            <v>荏原テクノサーブ</v>
          </cell>
          <cell r="I989">
            <v>480000</v>
          </cell>
          <cell r="J989">
            <v>505120</v>
          </cell>
          <cell r="K989">
            <v>1</v>
          </cell>
          <cell r="L989">
            <v>0</v>
          </cell>
          <cell r="M989">
            <v>0</v>
          </cell>
          <cell r="N989">
            <v>0</v>
          </cell>
          <cell r="O989">
            <v>0</v>
          </cell>
          <cell r="P989">
            <v>0</v>
          </cell>
          <cell r="Q989">
            <v>0</v>
          </cell>
          <cell r="R989">
            <v>505120</v>
          </cell>
          <cell r="S989">
            <v>0</v>
          </cell>
          <cell r="T989">
            <v>0</v>
          </cell>
          <cell r="U989">
            <v>0</v>
          </cell>
          <cell r="V989">
            <v>0</v>
          </cell>
          <cell r="W989">
            <v>0</v>
          </cell>
          <cell r="AD989" t="str">
            <v>⑩</v>
          </cell>
          <cell r="AJ989" t="str">
            <v>？</v>
          </cell>
        </row>
        <row r="990">
          <cell r="B990">
            <v>5230</v>
          </cell>
          <cell r="C990">
            <v>52</v>
          </cell>
          <cell r="D990">
            <v>30</v>
          </cell>
          <cell r="F990" t="str">
            <v>多摩本</v>
          </cell>
          <cell r="G990" t="str">
            <v>冷却塔設備保守</v>
          </cell>
          <cell r="H990" t="str">
            <v>荏原テクノサーブ</v>
          </cell>
          <cell r="I990">
            <v>180000</v>
          </cell>
          <cell r="J990">
            <v>197060</v>
          </cell>
          <cell r="K990">
            <v>2</v>
          </cell>
          <cell r="L990">
            <v>0</v>
          </cell>
          <cell r="M990">
            <v>0</v>
          </cell>
          <cell r="N990">
            <v>0</v>
          </cell>
          <cell r="O990">
            <v>197060</v>
          </cell>
          <cell r="P990">
            <v>0</v>
          </cell>
          <cell r="Q990">
            <v>0</v>
          </cell>
          <cell r="R990">
            <v>197060</v>
          </cell>
          <cell r="S990">
            <v>0</v>
          </cell>
          <cell r="T990">
            <v>0</v>
          </cell>
          <cell r="U990">
            <v>0</v>
          </cell>
          <cell r="V990">
            <v>0</v>
          </cell>
          <cell r="W990">
            <v>0</v>
          </cell>
          <cell r="AA990" t="str">
            <v>⑦</v>
          </cell>
          <cell r="AD990" t="str">
            <v>⑩</v>
          </cell>
          <cell r="AJ990" t="str">
            <v>？</v>
          </cell>
        </row>
        <row r="991">
          <cell r="B991">
            <v>5231</v>
          </cell>
          <cell r="C991">
            <v>52</v>
          </cell>
          <cell r="D991">
            <v>31</v>
          </cell>
          <cell r="F991" t="str">
            <v>多摩本</v>
          </cell>
          <cell r="G991" t="str">
            <v>冷却塔設備保守</v>
          </cell>
          <cell r="H991" t="str">
            <v>荏原テクノサーブ</v>
          </cell>
          <cell r="I991">
            <v>138000</v>
          </cell>
          <cell r="J991">
            <v>151100</v>
          </cell>
          <cell r="K991">
            <v>1</v>
          </cell>
          <cell r="L991">
            <v>0</v>
          </cell>
          <cell r="M991">
            <v>0</v>
          </cell>
          <cell r="N991">
            <v>0</v>
          </cell>
          <cell r="O991">
            <v>0</v>
          </cell>
          <cell r="P991">
            <v>0</v>
          </cell>
          <cell r="Q991">
            <v>0</v>
          </cell>
          <cell r="R991">
            <v>0</v>
          </cell>
          <cell r="S991">
            <v>0</v>
          </cell>
          <cell r="T991">
            <v>151100</v>
          </cell>
          <cell r="U991">
            <v>0</v>
          </cell>
          <cell r="V991">
            <v>0</v>
          </cell>
          <cell r="W991">
            <v>0</v>
          </cell>
          <cell r="AF991" t="str">
            <v>⑫</v>
          </cell>
          <cell r="AJ991" t="str">
            <v>？</v>
          </cell>
        </row>
        <row r="992">
          <cell r="B992">
            <v>5232</v>
          </cell>
          <cell r="C992">
            <v>52</v>
          </cell>
          <cell r="D992">
            <v>32</v>
          </cell>
          <cell r="F992" t="str">
            <v>多摩本</v>
          </cell>
          <cell r="G992" t="str">
            <v>冷却塔設備保守</v>
          </cell>
          <cell r="H992" t="str">
            <v>荏原テクノサーブ</v>
          </cell>
          <cell r="I992">
            <v>281000</v>
          </cell>
          <cell r="J992">
            <v>307600</v>
          </cell>
          <cell r="K992">
            <v>2</v>
          </cell>
          <cell r="L992">
            <v>0</v>
          </cell>
          <cell r="M992">
            <v>307600</v>
          </cell>
          <cell r="N992">
            <v>0</v>
          </cell>
          <cell r="O992">
            <v>0</v>
          </cell>
          <cell r="P992">
            <v>0</v>
          </cell>
          <cell r="Q992">
            <v>0</v>
          </cell>
          <cell r="R992">
            <v>0</v>
          </cell>
          <cell r="S992">
            <v>307600</v>
          </cell>
          <cell r="T992">
            <v>0</v>
          </cell>
          <cell r="U992">
            <v>0</v>
          </cell>
          <cell r="V992">
            <v>0</v>
          </cell>
          <cell r="W992">
            <v>0</v>
          </cell>
          <cell r="Y992" t="str">
            <v>⑤</v>
          </cell>
          <cell r="AE992" t="str">
            <v>⑪</v>
          </cell>
          <cell r="AJ992" t="str">
            <v>？</v>
          </cell>
        </row>
        <row r="993">
          <cell r="B993">
            <v>5233</v>
          </cell>
          <cell r="C993">
            <v>52</v>
          </cell>
          <cell r="D993">
            <v>33</v>
          </cell>
          <cell r="F993" t="str">
            <v>多摩本</v>
          </cell>
          <cell r="G993" t="str">
            <v>冷却塔設備保守</v>
          </cell>
          <cell r="H993" t="str">
            <v>荏原テクノサーブ</v>
          </cell>
          <cell r="I993">
            <v>427000</v>
          </cell>
          <cell r="J993">
            <v>478400</v>
          </cell>
          <cell r="K993">
            <v>2</v>
          </cell>
          <cell r="L993">
            <v>0</v>
          </cell>
          <cell r="M993">
            <v>0</v>
          </cell>
          <cell r="N993">
            <v>0</v>
          </cell>
          <cell r="O993">
            <v>0</v>
          </cell>
          <cell r="P993">
            <v>478400</v>
          </cell>
          <cell r="Q993">
            <v>0</v>
          </cell>
          <cell r="R993">
            <v>0</v>
          </cell>
          <cell r="S993">
            <v>0</v>
          </cell>
          <cell r="T993">
            <v>0</v>
          </cell>
          <cell r="U993">
            <v>0</v>
          </cell>
          <cell r="V993">
            <v>478400</v>
          </cell>
          <cell r="W993">
            <v>0</v>
          </cell>
          <cell r="AB993" t="str">
            <v>⑧</v>
          </cell>
          <cell r="AH993" t="str">
            <v>②</v>
          </cell>
          <cell r="AJ993" t="str">
            <v>？</v>
          </cell>
        </row>
        <row r="994">
          <cell r="B994">
            <v>5234</v>
          </cell>
          <cell r="C994">
            <v>52</v>
          </cell>
          <cell r="D994">
            <v>34</v>
          </cell>
          <cell r="F994" t="str">
            <v>多摩本</v>
          </cell>
          <cell r="G994" t="str">
            <v>空調用ポンプ設備保守</v>
          </cell>
          <cell r="H994" t="str">
            <v>荏原テクノサーブ</v>
          </cell>
          <cell r="I994">
            <v>288000</v>
          </cell>
          <cell r="J994">
            <v>301700</v>
          </cell>
          <cell r="K994">
            <v>1</v>
          </cell>
          <cell r="L994">
            <v>0</v>
          </cell>
          <cell r="M994">
            <v>0</v>
          </cell>
          <cell r="N994">
            <v>0</v>
          </cell>
          <cell r="O994">
            <v>0</v>
          </cell>
          <cell r="P994">
            <v>0</v>
          </cell>
          <cell r="Q994">
            <v>0</v>
          </cell>
          <cell r="R994">
            <v>0</v>
          </cell>
          <cell r="S994">
            <v>0</v>
          </cell>
          <cell r="T994">
            <v>301700</v>
          </cell>
          <cell r="U994">
            <v>0</v>
          </cell>
          <cell r="V994">
            <v>0</v>
          </cell>
          <cell r="W994">
            <v>0</v>
          </cell>
          <cell r="AF994" t="str">
            <v>⑫</v>
          </cell>
          <cell r="AJ994" t="str">
            <v>？</v>
          </cell>
        </row>
        <row r="995">
          <cell r="B995">
            <v>5235</v>
          </cell>
          <cell r="C995">
            <v>52</v>
          </cell>
          <cell r="D995">
            <v>35</v>
          </cell>
          <cell r="F995" t="str">
            <v>多摩本</v>
          </cell>
          <cell r="G995" t="str">
            <v>空調用ポンプ設備保守</v>
          </cell>
          <cell r="H995" t="str">
            <v>荏原テクノサーブ</v>
          </cell>
          <cell r="I995">
            <v>713000</v>
          </cell>
          <cell r="J995">
            <v>746900</v>
          </cell>
          <cell r="K995">
            <v>1</v>
          </cell>
          <cell r="L995">
            <v>0</v>
          </cell>
          <cell r="M995">
            <v>0</v>
          </cell>
          <cell r="N995">
            <v>746900</v>
          </cell>
          <cell r="O995">
            <v>0</v>
          </cell>
          <cell r="P995">
            <v>0</v>
          </cell>
          <cell r="Q995">
            <v>0</v>
          </cell>
          <cell r="R995">
            <v>0</v>
          </cell>
          <cell r="S995">
            <v>0</v>
          </cell>
          <cell r="T995">
            <v>0</v>
          </cell>
          <cell r="U995">
            <v>0</v>
          </cell>
          <cell r="V995">
            <v>0</v>
          </cell>
          <cell r="W995">
            <v>0</v>
          </cell>
          <cell r="Z995" t="str">
            <v>⑥</v>
          </cell>
          <cell r="AJ995" t="str">
            <v>？</v>
          </cell>
        </row>
        <row r="996">
          <cell r="B996">
            <v>5236</v>
          </cell>
          <cell r="C996">
            <v>52</v>
          </cell>
          <cell r="D996">
            <v>36</v>
          </cell>
          <cell r="F996" t="str">
            <v>多摩本</v>
          </cell>
          <cell r="G996" t="str">
            <v>給排水ポンプ設備保守点検</v>
          </cell>
          <cell r="H996" t="str">
            <v>荏原テクノサーブ</v>
          </cell>
          <cell r="I996">
            <v>410000</v>
          </cell>
          <cell r="J996">
            <v>420900</v>
          </cell>
          <cell r="K996">
            <v>1</v>
          </cell>
          <cell r="L996">
            <v>0</v>
          </cell>
          <cell r="M996">
            <v>0</v>
          </cell>
          <cell r="N996">
            <v>420900</v>
          </cell>
          <cell r="O996">
            <v>0</v>
          </cell>
          <cell r="P996">
            <v>0</v>
          </cell>
          <cell r="Q996">
            <v>0</v>
          </cell>
          <cell r="R996">
            <v>0</v>
          </cell>
          <cell r="S996">
            <v>0</v>
          </cell>
          <cell r="T996">
            <v>0</v>
          </cell>
          <cell r="U996">
            <v>0</v>
          </cell>
          <cell r="V996">
            <v>0</v>
          </cell>
          <cell r="W996">
            <v>0</v>
          </cell>
          <cell r="Z996" t="str">
            <v>⑥</v>
          </cell>
          <cell r="AJ996" t="str">
            <v>？</v>
          </cell>
        </row>
        <row r="997">
          <cell r="B997">
            <v>5237</v>
          </cell>
          <cell r="C997">
            <v>52</v>
          </cell>
          <cell r="D997">
            <v>37</v>
          </cell>
          <cell r="F997" t="str">
            <v>多摩本</v>
          </cell>
          <cell r="G997" t="str">
            <v>ﾌｨﾙﾀｰ洗浄･交換</v>
          </cell>
          <cell r="H997" t="str">
            <v>協和工業</v>
          </cell>
          <cell r="I997">
            <v>223200</v>
          </cell>
          <cell r="J997">
            <v>238920</v>
          </cell>
          <cell r="K997">
            <v>12</v>
          </cell>
          <cell r="L997">
            <v>238920</v>
          </cell>
          <cell r="M997">
            <v>238920</v>
          </cell>
          <cell r="N997">
            <v>238920</v>
          </cell>
          <cell r="O997">
            <v>238920</v>
          </cell>
          <cell r="P997">
            <v>238920</v>
          </cell>
          <cell r="Q997">
            <v>238920</v>
          </cell>
          <cell r="R997">
            <v>238920</v>
          </cell>
          <cell r="S997">
            <v>238920</v>
          </cell>
          <cell r="T997">
            <v>238920</v>
          </cell>
          <cell r="U997">
            <v>238920</v>
          </cell>
          <cell r="V997">
            <v>238920</v>
          </cell>
          <cell r="W997">
            <v>238920</v>
          </cell>
          <cell r="X997" t="str">
            <v>④</v>
          </cell>
          <cell r="Y997" t="str">
            <v>⑤</v>
          </cell>
          <cell r="Z997" t="str">
            <v>⑥</v>
          </cell>
          <cell r="AA997" t="str">
            <v>⑦</v>
          </cell>
          <cell r="AB997" t="str">
            <v>⑧</v>
          </cell>
          <cell r="AC997" t="str">
            <v>⑨</v>
          </cell>
          <cell r="AD997" t="str">
            <v>⑩</v>
          </cell>
          <cell r="AE997" t="str">
            <v>⑪</v>
          </cell>
          <cell r="AF997" t="str">
            <v>⑫</v>
          </cell>
          <cell r="AG997" t="str">
            <v>①</v>
          </cell>
          <cell r="AH997" t="str">
            <v>②</v>
          </cell>
          <cell r="AI997" t="str">
            <v>③</v>
          </cell>
          <cell r="AJ997" t="str">
            <v>変</v>
          </cell>
        </row>
        <row r="998">
          <cell r="B998">
            <v>5238</v>
          </cell>
          <cell r="C998">
            <v>52</v>
          </cell>
          <cell r="D998">
            <v>38</v>
          </cell>
          <cell r="F998" t="str">
            <v>多摩本</v>
          </cell>
          <cell r="G998" t="str">
            <v>ターボ式冷凍機設備保守</v>
          </cell>
          <cell r="H998" t="str">
            <v>東洋製作所</v>
          </cell>
          <cell r="I998">
            <v>837600</v>
          </cell>
          <cell r="J998">
            <v>889267</v>
          </cell>
          <cell r="K998">
            <v>1</v>
          </cell>
          <cell r="L998">
            <v>0</v>
          </cell>
          <cell r="M998">
            <v>0</v>
          </cell>
          <cell r="N998">
            <v>889267</v>
          </cell>
          <cell r="O998">
            <v>0</v>
          </cell>
          <cell r="P998">
            <v>0</v>
          </cell>
          <cell r="Q998">
            <v>0</v>
          </cell>
          <cell r="R998">
            <v>0</v>
          </cell>
          <cell r="S998">
            <v>0</v>
          </cell>
          <cell r="T998">
            <v>0</v>
          </cell>
          <cell r="U998">
            <v>0</v>
          </cell>
          <cell r="V998">
            <v>0</v>
          </cell>
          <cell r="W998">
            <v>0</v>
          </cell>
          <cell r="X998" t="str">
            <v/>
          </cell>
          <cell r="Y998" t="str">
            <v/>
          </cell>
          <cell r="Z998" t="str">
            <v>⑥</v>
          </cell>
          <cell r="AA998" t="str">
            <v/>
          </cell>
          <cell r="AB998" t="str">
            <v/>
          </cell>
          <cell r="AC998" t="str">
            <v/>
          </cell>
          <cell r="AD998" t="str">
            <v/>
          </cell>
          <cell r="AE998" t="str">
            <v/>
          </cell>
          <cell r="AF998" t="str">
            <v/>
          </cell>
          <cell r="AG998" t="str">
            <v/>
          </cell>
          <cell r="AH998" t="str">
            <v/>
          </cell>
          <cell r="AI998" t="str">
            <v/>
          </cell>
          <cell r="AJ998" t="str">
            <v>変</v>
          </cell>
        </row>
        <row r="999">
          <cell r="B999">
            <v>5239</v>
          </cell>
          <cell r="C999">
            <v>52</v>
          </cell>
          <cell r="D999">
            <v>39</v>
          </cell>
          <cell r="F999" t="str">
            <v>多摩本</v>
          </cell>
          <cell r="G999" t="str">
            <v>ターボ式冷凍機設備保守</v>
          </cell>
          <cell r="H999" t="str">
            <v>東洋製作所</v>
          </cell>
          <cell r="I999">
            <v>2724900</v>
          </cell>
          <cell r="J999">
            <v>2892983</v>
          </cell>
          <cell r="K999">
            <v>1</v>
          </cell>
          <cell r="L999">
            <v>0</v>
          </cell>
          <cell r="M999">
            <v>0</v>
          </cell>
          <cell r="N999">
            <v>0</v>
          </cell>
          <cell r="O999">
            <v>0</v>
          </cell>
          <cell r="P999">
            <v>0</v>
          </cell>
          <cell r="Q999">
            <v>0</v>
          </cell>
          <cell r="R999">
            <v>0</v>
          </cell>
          <cell r="S999">
            <v>0</v>
          </cell>
          <cell r="T999">
            <v>2892983</v>
          </cell>
          <cell r="U999">
            <v>0</v>
          </cell>
          <cell r="V999">
            <v>0</v>
          </cell>
          <cell r="W999">
            <v>0</v>
          </cell>
          <cell r="X999" t="str">
            <v/>
          </cell>
          <cell r="Y999" t="str">
            <v/>
          </cell>
          <cell r="Z999" t="str">
            <v/>
          </cell>
          <cell r="AA999" t="str">
            <v/>
          </cell>
          <cell r="AB999" t="str">
            <v/>
          </cell>
          <cell r="AC999" t="str">
            <v/>
          </cell>
          <cell r="AD999" t="str">
            <v/>
          </cell>
          <cell r="AE999" t="str">
            <v/>
          </cell>
          <cell r="AF999" t="str">
            <v>⑫</v>
          </cell>
          <cell r="AG999" t="str">
            <v/>
          </cell>
          <cell r="AH999" t="str">
            <v/>
          </cell>
          <cell r="AI999" t="str">
            <v/>
          </cell>
          <cell r="AJ999" t="str">
            <v>変</v>
          </cell>
        </row>
        <row r="1000">
          <cell r="B1000">
            <v>5240</v>
          </cell>
          <cell r="C1000">
            <v>52</v>
          </cell>
          <cell r="D1000">
            <v>40</v>
          </cell>
          <cell r="F1000" t="str">
            <v>多摩本</v>
          </cell>
          <cell r="G1000" t="str">
            <v>空調機設備保守</v>
          </cell>
          <cell r="H1000" t="str">
            <v>東洋製作所</v>
          </cell>
          <cell r="I1000">
            <v>615000</v>
          </cell>
          <cell r="J1000">
            <v>650560</v>
          </cell>
          <cell r="K1000">
            <v>2</v>
          </cell>
          <cell r="L1000">
            <v>0</v>
          </cell>
          <cell r="M1000">
            <v>0</v>
          </cell>
          <cell r="N1000">
            <v>0</v>
          </cell>
          <cell r="O1000">
            <v>650560</v>
          </cell>
          <cell r="P1000">
            <v>0</v>
          </cell>
          <cell r="Q1000">
            <v>0</v>
          </cell>
          <cell r="R1000">
            <v>0</v>
          </cell>
          <cell r="S1000">
            <v>0</v>
          </cell>
          <cell r="T1000">
            <v>650560</v>
          </cell>
          <cell r="U1000">
            <v>0</v>
          </cell>
          <cell r="V1000">
            <v>0</v>
          </cell>
          <cell r="W1000">
            <v>0</v>
          </cell>
          <cell r="X1000" t="str">
            <v/>
          </cell>
          <cell r="Y1000" t="str">
            <v/>
          </cell>
          <cell r="Z1000" t="str">
            <v/>
          </cell>
          <cell r="AA1000" t="str">
            <v>⑦</v>
          </cell>
          <cell r="AB1000" t="str">
            <v/>
          </cell>
          <cell r="AC1000" t="str">
            <v/>
          </cell>
          <cell r="AD1000" t="str">
            <v/>
          </cell>
          <cell r="AE1000" t="str">
            <v/>
          </cell>
          <cell r="AF1000" t="str">
            <v>⑫</v>
          </cell>
          <cell r="AG1000" t="str">
            <v/>
          </cell>
          <cell r="AH1000" t="str">
            <v/>
          </cell>
          <cell r="AI1000" t="str">
            <v/>
          </cell>
          <cell r="AJ1000" t="str">
            <v>変</v>
          </cell>
        </row>
        <row r="1001">
          <cell r="B1001">
            <v>5241</v>
          </cell>
          <cell r="C1001">
            <v>52</v>
          </cell>
          <cell r="D1001">
            <v>41</v>
          </cell>
          <cell r="F1001" t="str">
            <v>多摩本</v>
          </cell>
          <cell r="G1001" t="str">
            <v>非常ｺﾝｾﾝﾄ設備保守(外観)</v>
          </cell>
          <cell r="H1001" t="str">
            <v>共立防災サービス</v>
          </cell>
          <cell r="I1001">
            <v>9000</v>
          </cell>
          <cell r="J1001">
            <v>9180</v>
          </cell>
          <cell r="K1001">
            <v>1</v>
          </cell>
          <cell r="L1001">
            <v>0</v>
          </cell>
          <cell r="M1001">
            <v>0</v>
          </cell>
          <cell r="N1001">
            <v>0</v>
          </cell>
          <cell r="O1001">
            <v>9180</v>
          </cell>
          <cell r="P1001">
            <v>0</v>
          </cell>
          <cell r="Q1001">
            <v>0</v>
          </cell>
          <cell r="R1001">
            <v>0</v>
          </cell>
          <cell r="S1001">
            <v>0</v>
          </cell>
          <cell r="T1001">
            <v>0</v>
          </cell>
          <cell r="U1001">
            <v>0</v>
          </cell>
          <cell r="V1001">
            <v>0</v>
          </cell>
          <cell r="W1001">
            <v>0</v>
          </cell>
          <cell r="X1001" t="str">
            <v/>
          </cell>
          <cell r="Y1001" t="str">
            <v/>
          </cell>
          <cell r="Z1001" t="str">
            <v/>
          </cell>
          <cell r="AA1001" t="str">
            <v>⑦</v>
          </cell>
          <cell r="AB1001" t="str">
            <v/>
          </cell>
          <cell r="AC1001" t="str">
            <v/>
          </cell>
          <cell r="AD1001" t="str">
            <v/>
          </cell>
          <cell r="AE1001" t="str">
            <v/>
          </cell>
          <cell r="AF1001" t="str">
            <v/>
          </cell>
          <cell r="AG1001" t="str">
            <v/>
          </cell>
          <cell r="AH1001" t="str">
            <v/>
          </cell>
          <cell r="AI1001" t="str">
            <v/>
          </cell>
        </row>
        <row r="1002">
          <cell r="B1002">
            <v>5242</v>
          </cell>
          <cell r="C1002">
            <v>52</v>
          </cell>
          <cell r="D1002">
            <v>42</v>
          </cell>
          <cell r="F1002" t="str">
            <v>多摩本</v>
          </cell>
          <cell r="G1002" t="str">
            <v>非常ｺﾝｾﾝﾄ設備保守(外観)</v>
          </cell>
          <cell r="H1002" t="str">
            <v>共立防災サービス</v>
          </cell>
          <cell r="I1002">
            <v>12000</v>
          </cell>
          <cell r="J1002">
            <v>12240</v>
          </cell>
          <cell r="K1002">
            <v>1</v>
          </cell>
          <cell r="L1002">
            <v>0</v>
          </cell>
          <cell r="M1002">
            <v>0</v>
          </cell>
          <cell r="N1002">
            <v>0</v>
          </cell>
          <cell r="O1002">
            <v>0</v>
          </cell>
          <cell r="P1002">
            <v>0</v>
          </cell>
          <cell r="Q1002">
            <v>0</v>
          </cell>
          <cell r="R1002">
            <v>0</v>
          </cell>
          <cell r="S1002">
            <v>0</v>
          </cell>
          <cell r="T1002">
            <v>0</v>
          </cell>
          <cell r="U1002">
            <v>12240</v>
          </cell>
          <cell r="V1002">
            <v>0</v>
          </cell>
          <cell r="W1002">
            <v>0</v>
          </cell>
          <cell r="X1002" t="str">
            <v/>
          </cell>
          <cell r="Y1002" t="str">
            <v/>
          </cell>
          <cell r="Z1002" t="str">
            <v/>
          </cell>
          <cell r="AA1002" t="str">
            <v/>
          </cell>
          <cell r="AB1002" t="str">
            <v/>
          </cell>
          <cell r="AC1002" t="str">
            <v/>
          </cell>
          <cell r="AD1002" t="str">
            <v/>
          </cell>
          <cell r="AE1002" t="str">
            <v/>
          </cell>
          <cell r="AF1002" t="str">
            <v/>
          </cell>
          <cell r="AG1002" t="str">
            <v>①</v>
          </cell>
          <cell r="AH1002" t="str">
            <v/>
          </cell>
          <cell r="AI1002" t="str">
            <v/>
          </cell>
        </row>
        <row r="1003">
          <cell r="B1003">
            <v>5243</v>
          </cell>
          <cell r="C1003">
            <v>52</v>
          </cell>
          <cell r="D1003">
            <v>43</v>
          </cell>
          <cell r="F1003" t="str">
            <v>多摩本</v>
          </cell>
          <cell r="G1003" t="str">
            <v>誘導灯設備保守(外観)</v>
          </cell>
          <cell r="H1003" t="str">
            <v>共立防災サービス</v>
          </cell>
          <cell r="I1003">
            <v>251000</v>
          </cell>
          <cell r="J1003">
            <v>256020</v>
          </cell>
          <cell r="K1003">
            <v>1</v>
          </cell>
          <cell r="L1003">
            <v>0</v>
          </cell>
          <cell r="M1003">
            <v>0</v>
          </cell>
          <cell r="N1003">
            <v>0</v>
          </cell>
          <cell r="O1003">
            <v>256020</v>
          </cell>
          <cell r="P1003">
            <v>0</v>
          </cell>
          <cell r="Q1003">
            <v>0</v>
          </cell>
          <cell r="R1003">
            <v>0</v>
          </cell>
          <cell r="S1003">
            <v>0</v>
          </cell>
          <cell r="T1003">
            <v>0</v>
          </cell>
          <cell r="U1003">
            <v>0</v>
          </cell>
          <cell r="V1003">
            <v>0</v>
          </cell>
          <cell r="W1003">
            <v>0</v>
          </cell>
          <cell r="X1003" t="str">
            <v/>
          </cell>
          <cell r="Y1003" t="str">
            <v/>
          </cell>
          <cell r="Z1003" t="str">
            <v/>
          </cell>
          <cell r="AA1003" t="str">
            <v>⑦</v>
          </cell>
          <cell r="AB1003" t="str">
            <v/>
          </cell>
          <cell r="AC1003" t="str">
            <v/>
          </cell>
          <cell r="AD1003" t="str">
            <v/>
          </cell>
          <cell r="AE1003" t="str">
            <v/>
          </cell>
          <cell r="AF1003" t="str">
            <v/>
          </cell>
          <cell r="AG1003" t="str">
            <v/>
          </cell>
          <cell r="AH1003" t="str">
            <v/>
          </cell>
          <cell r="AI1003" t="str">
            <v/>
          </cell>
        </row>
        <row r="1004">
          <cell r="B1004">
            <v>5244</v>
          </cell>
          <cell r="C1004">
            <v>52</v>
          </cell>
          <cell r="D1004">
            <v>44</v>
          </cell>
          <cell r="F1004" t="str">
            <v>多摩本</v>
          </cell>
          <cell r="G1004" t="str">
            <v>誘導灯設備保守(総合)</v>
          </cell>
          <cell r="H1004" t="str">
            <v>共立防災サービス</v>
          </cell>
          <cell r="I1004">
            <v>256000</v>
          </cell>
          <cell r="J1004">
            <v>261120</v>
          </cell>
          <cell r="K1004">
            <v>1</v>
          </cell>
          <cell r="L1004">
            <v>0</v>
          </cell>
          <cell r="M1004">
            <v>0</v>
          </cell>
          <cell r="N1004">
            <v>0</v>
          </cell>
          <cell r="O1004">
            <v>0</v>
          </cell>
          <cell r="P1004">
            <v>0</v>
          </cell>
          <cell r="Q1004">
            <v>0</v>
          </cell>
          <cell r="R1004">
            <v>0</v>
          </cell>
          <cell r="S1004">
            <v>0</v>
          </cell>
          <cell r="T1004">
            <v>0</v>
          </cell>
          <cell r="U1004">
            <v>261120</v>
          </cell>
          <cell r="V1004">
            <v>0</v>
          </cell>
          <cell r="W1004">
            <v>0</v>
          </cell>
          <cell r="X1004" t="str">
            <v/>
          </cell>
          <cell r="Y1004" t="str">
            <v/>
          </cell>
          <cell r="Z1004" t="str">
            <v/>
          </cell>
          <cell r="AA1004" t="str">
            <v/>
          </cell>
          <cell r="AB1004" t="str">
            <v/>
          </cell>
          <cell r="AC1004" t="str">
            <v/>
          </cell>
          <cell r="AD1004" t="str">
            <v/>
          </cell>
          <cell r="AE1004" t="str">
            <v/>
          </cell>
          <cell r="AF1004" t="str">
            <v/>
          </cell>
          <cell r="AG1004" t="str">
            <v>①</v>
          </cell>
          <cell r="AH1004" t="str">
            <v/>
          </cell>
          <cell r="AI1004" t="str">
            <v/>
          </cell>
        </row>
        <row r="1005">
          <cell r="B1005">
            <v>5245</v>
          </cell>
          <cell r="C1005">
            <v>52</v>
          </cell>
          <cell r="D1005">
            <v>45</v>
          </cell>
          <cell r="F1005" t="str">
            <v>多摩本</v>
          </cell>
          <cell r="G1005" t="str">
            <v>ｽﾌﾟﾘﾝｸﾗｰ設備(外観)</v>
          </cell>
          <cell r="H1005" t="str">
            <v>西原衛生工業所</v>
          </cell>
          <cell r="I1005">
            <v>589000</v>
          </cell>
          <cell r="J1005">
            <v>600780</v>
          </cell>
          <cell r="K1005">
            <v>1</v>
          </cell>
          <cell r="L1005">
            <v>0</v>
          </cell>
          <cell r="M1005">
            <v>0</v>
          </cell>
          <cell r="N1005">
            <v>0</v>
          </cell>
          <cell r="O1005">
            <v>600780</v>
          </cell>
          <cell r="P1005">
            <v>0</v>
          </cell>
          <cell r="Q1005">
            <v>0</v>
          </cell>
          <cell r="R1005">
            <v>0</v>
          </cell>
          <cell r="S1005">
            <v>0</v>
          </cell>
          <cell r="T1005">
            <v>0</v>
          </cell>
          <cell r="U1005">
            <v>0</v>
          </cell>
          <cell r="V1005">
            <v>0</v>
          </cell>
          <cell r="W1005">
            <v>0</v>
          </cell>
          <cell r="X1005" t="str">
            <v/>
          </cell>
          <cell r="Y1005" t="str">
            <v/>
          </cell>
          <cell r="Z1005" t="str">
            <v/>
          </cell>
          <cell r="AA1005" t="str">
            <v>⑦</v>
          </cell>
          <cell r="AB1005" t="str">
            <v/>
          </cell>
          <cell r="AC1005" t="str">
            <v/>
          </cell>
          <cell r="AD1005" t="str">
            <v/>
          </cell>
          <cell r="AE1005" t="str">
            <v/>
          </cell>
          <cell r="AF1005" t="str">
            <v/>
          </cell>
          <cell r="AG1005" t="str">
            <v/>
          </cell>
          <cell r="AH1005" t="str">
            <v/>
          </cell>
          <cell r="AI1005" t="str">
            <v/>
          </cell>
        </row>
        <row r="1006">
          <cell r="B1006">
            <v>5246</v>
          </cell>
          <cell r="C1006">
            <v>52</v>
          </cell>
          <cell r="D1006">
            <v>46</v>
          </cell>
          <cell r="F1006" t="str">
            <v>多摩本</v>
          </cell>
          <cell r="G1006" t="str">
            <v>ｽﾌﾟﾘﾝｸﾗｰ設備(総合)</v>
          </cell>
          <cell r="H1006" t="str">
            <v>西原衛生工業所</v>
          </cell>
          <cell r="I1006">
            <v>791000</v>
          </cell>
          <cell r="J1006">
            <v>806820</v>
          </cell>
          <cell r="K1006">
            <v>1</v>
          </cell>
          <cell r="L1006">
            <v>0</v>
          </cell>
          <cell r="M1006">
            <v>0</v>
          </cell>
          <cell r="N1006">
            <v>0</v>
          </cell>
          <cell r="O1006">
            <v>0</v>
          </cell>
          <cell r="P1006">
            <v>0</v>
          </cell>
          <cell r="Q1006">
            <v>0</v>
          </cell>
          <cell r="R1006">
            <v>0</v>
          </cell>
          <cell r="S1006">
            <v>0</v>
          </cell>
          <cell r="T1006">
            <v>0</v>
          </cell>
          <cell r="U1006">
            <v>806820</v>
          </cell>
          <cell r="V1006">
            <v>0</v>
          </cell>
          <cell r="W1006">
            <v>0</v>
          </cell>
          <cell r="X1006" t="str">
            <v/>
          </cell>
          <cell r="Y1006" t="str">
            <v/>
          </cell>
          <cell r="Z1006" t="str">
            <v/>
          </cell>
          <cell r="AA1006" t="str">
            <v/>
          </cell>
          <cell r="AB1006" t="str">
            <v/>
          </cell>
          <cell r="AC1006" t="str">
            <v/>
          </cell>
          <cell r="AD1006" t="str">
            <v/>
          </cell>
          <cell r="AE1006" t="str">
            <v/>
          </cell>
          <cell r="AF1006" t="str">
            <v/>
          </cell>
          <cell r="AG1006" t="str">
            <v>①</v>
          </cell>
          <cell r="AH1006" t="str">
            <v/>
          </cell>
          <cell r="AI1006" t="str">
            <v/>
          </cell>
        </row>
        <row r="1007">
          <cell r="B1007">
            <v>5247</v>
          </cell>
          <cell r="C1007">
            <v>52</v>
          </cell>
          <cell r="D1007">
            <v>47</v>
          </cell>
          <cell r="F1007" t="str">
            <v>多摩本</v>
          </cell>
          <cell r="G1007" t="str">
            <v>簡易自動消火設備保守(外観)</v>
          </cell>
          <cell r="H1007" t="str">
            <v>西原衛生工業所</v>
          </cell>
          <cell r="I1007">
            <v>300000</v>
          </cell>
          <cell r="J1007">
            <v>306000</v>
          </cell>
          <cell r="K1007">
            <v>1</v>
          </cell>
          <cell r="L1007">
            <v>0</v>
          </cell>
          <cell r="M1007">
            <v>0</v>
          </cell>
          <cell r="N1007">
            <v>0</v>
          </cell>
          <cell r="O1007">
            <v>306000</v>
          </cell>
          <cell r="P1007">
            <v>0</v>
          </cell>
          <cell r="Q1007">
            <v>0</v>
          </cell>
          <cell r="R1007">
            <v>0</v>
          </cell>
          <cell r="S1007">
            <v>0</v>
          </cell>
          <cell r="T1007">
            <v>0</v>
          </cell>
          <cell r="U1007">
            <v>0</v>
          </cell>
          <cell r="V1007">
            <v>0</v>
          </cell>
          <cell r="W1007">
            <v>0</v>
          </cell>
          <cell r="X1007" t="str">
            <v/>
          </cell>
          <cell r="Y1007" t="str">
            <v/>
          </cell>
          <cell r="Z1007" t="str">
            <v/>
          </cell>
          <cell r="AA1007" t="str">
            <v>⑦</v>
          </cell>
          <cell r="AB1007" t="str">
            <v/>
          </cell>
          <cell r="AC1007" t="str">
            <v/>
          </cell>
          <cell r="AD1007" t="str">
            <v/>
          </cell>
          <cell r="AE1007" t="str">
            <v/>
          </cell>
          <cell r="AF1007" t="str">
            <v/>
          </cell>
          <cell r="AG1007" t="str">
            <v/>
          </cell>
          <cell r="AH1007" t="str">
            <v/>
          </cell>
          <cell r="AI1007" t="str">
            <v/>
          </cell>
        </row>
        <row r="1008">
          <cell r="B1008">
            <v>5248</v>
          </cell>
          <cell r="C1008">
            <v>52</v>
          </cell>
          <cell r="D1008">
            <v>48</v>
          </cell>
          <cell r="F1008" t="str">
            <v>多摩本</v>
          </cell>
          <cell r="G1008" t="str">
            <v>簡易自動消火設備保守(総合)</v>
          </cell>
          <cell r="H1008" t="str">
            <v>西原衛生工業所</v>
          </cell>
          <cell r="I1008">
            <v>300000</v>
          </cell>
          <cell r="J1008">
            <v>306000</v>
          </cell>
          <cell r="K1008">
            <v>1</v>
          </cell>
          <cell r="L1008">
            <v>0</v>
          </cell>
          <cell r="M1008">
            <v>0</v>
          </cell>
          <cell r="N1008">
            <v>0</v>
          </cell>
          <cell r="O1008">
            <v>0</v>
          </cell>
          <cell r="P1008">
            <v>0</v>
          </cell>
          <cell r="Q1008">
            <v>0</v>
          </cell>
          <cell r="R1008">
            <v>0</v>
          </cell>
          <cell r="S1008">
            <v>0</v>
          </cell>
          <cell r="T1008">
            <v>0</v>
          </cell>
          <cell r="U1008">
            <v>306000</v>
          </cell>
          <cell r="V1008">
            <v>0</v>
          </cell>
          <cell r="W1008">
            <v>0</v>
          </cell>
          <cell r="X1008" t="str">
            <v/>
          </cell>
          <cell r="Y1008" t="str">
            <v/>
          </cell>
          <cell r="Z1008" t="str">
            <v/>
          </cell>
          <cell r="AA1008" t="str">
            <v/>
          </cell>
          <cell r="AB1008" t="str">
            <v/>
          </cell>
          <cell r="AC1008" t="str">
            <v/>
          </cell>
          <cell r="AD1008" t="str">
            <v/>
          </cell>
          <cell r="AE1008" t="str">
            <v/>
          </cell>
          <cell r="AF1008" t="str">
            <v/>
          </cell>
          <cell r="AG1008" t="str">
            <v>①</v>
          </cell>
          <cell r="AH1008" t="str">
            <v/>
          </cell>
          <cell r="AI1008" t="str">
            <v/>
          </cell>
        </row>
        <row r="1009">
          <cell r="B1009">
            <v>5249</v>
          </cell>
          <cell r="C1009">
            <v>52</v>
          </cell>
          <cell r="D1009">
            <v>49</v>
          </cell>
          <cell r="F1009" t="str">
            <v>多摩本</v>
          </cell>
          <cell r="G1009" t="str">
            <v>消火栓設備保守(外観)</v>
          </cell>
          <cell r="H1009" t="str">
            <v>西原衛生工業所</v>
          </cell>
          <cell r="I1009">
            <v>241000</v>
          </cell>
          <cell r="J1009">
            <v>245820</v>
          </cell>
          <cell r="K1009">
            <v>1</v>
          </cell>
          <cell r="L1009">
            <v>0</v>
          </cell>
          <cell r="M1009">
            <v>0</v>
          </cell>
          <cell r="N1009">
            <v>0</v>
          </cell>
          <cell r="O1009">
            <v>245820</v>
          </cell>
          <cell r="P1009">
            <v>0</v>
          </cell>
          <cell r="Q1009">
            <v>0</v>
          </cell>
          <cell r="R1009">
            <v>0</v>
          </cell>
          <cell r="S1009">
            <v>0</v>
          </cell>
          <cell r="T1009">
            <v>0</v>
          </cell>
          <cell r="U1009">
            <v>0</v>
          </cell>
          <cell r="V1009">
            <v>0</v>
          </cell>
          <cell r="W1009">
            <v>0</v>
          </cell>
          <cell r="X1009" t="str">
            <v/>
          </cell>
          <cell r="Y1009" t="str">
            <v/>
          </cell>
          <cell r="Z1009" t="str">
            <v/>
          </cell>
          <cell r="AA1009" t="str">
            <v>⑦</v>
          </cell>
          <cell r="AB1009" t="str">
            <v/>
          </cell>
          <cell r="AC1009" t="str">
            <v/>
          </cell>
          <cell r="AD1009" t="str">
            <v/>
          </cell>
          <cell r="AE1009" t="str">
            <v/>
          </cell>
          <cell r="AF1009" t="str">
            <v/>
          </cell>
          <cell r="AG1009" t="str">
            <v/>
          </cell>
          <cell r="AH1009" t="str">
            <v/>
          </cell>
          <cell r="AI1009" t="str">
            <v/>
          </cell>
        </row>
        <row r="1010">
          <cell r="B1010">
            <v>5250</v>
          </cell>
          <cell r="C1010">
            <v>52</v>
          </cell>
          <cell r="D1010">
            <v>50</v>
          </cell>
          <cell r="F1010" t="str">
            <v>多摩本</v>
          </cell>
          <cell r="G1010" t="str">
            <v>消火栓設備保守(総合)</v>
          </cell>
          <cell r="H1010" t="str">
            <v>西原衛生工業所</v>
          </cell>
          <cell r="I1010">
            <v>334000</v>
          </cell>
          <cell r="J1010">
            <v>340680</v>
          </cell>
          <cell r="K1010">
            <v>1</v>
          </cell>
          <cell r="L1010">
            <v>0</v>
          </cell>
          <cell r="M1010">
            <v>0</v>
          </cell>
          <cell r="N1010">
            <v>0</v>
          </cell>
          <cell r="O1010">
            <v>0</v>
          </cell>
          <cell r="P1010">
            <v>0</v>
          </cell>
          <cell r="Q1010">
            <v>0</v>
          </cell>
          <cell r="R1010">
            <v>0</v>
          </cell>
          <cell r="S1010">
            <v>0</v>
          </cell>
          <cell r="T1010">
            <v>0</v>
          </cell>
          <cell r="U1010">
            <v>340680</v>
          </cell>
          <cell r="V1010">
            <v>0</v>
          </cell>
          <cell r="W1010">
            <v>0</v>
          </cell>
          <cell r="X1010" t="str">
            <v/>
          </cell>
          <cell r="Y1010" t="str">
            <v/>
          </cell>
          <cell r="Z1010" t="str">
            <v/>
          </cell>
          <cell r="AA1010" t="str">
            <v/>
          </cell>
          <cell r="AB1010" t="str">
            <v/>
          </cell>
          <cell r="AC1010" t="str">
            <v/>
          </cell>
          <cell r="AD1010" t="str">
            <v/>
          </cell>
          <cell r="AE1010" t="str">
            <v/>
          </cell>
          <cell r="AF1010" t="str">
            <v/>
          </cell>
          <cell r="AG1010" t="str">
            <v>①</v>
          </cell>
          <cell r="AH1010" t="str">
            <v/>
          </cell>
          <cell r="AI1010" t="str">
            <v/>
          </cell>
        </row>
        <row r="1011">
          <cell r="B1011">
            <v>5251</v>
          </cell>
          <cell r="C1011">
            <v>52</v>
          </cell>
          <cell r="D1011">
            <v>51</v>
          </cell>
          <cell r="F1011" t="str">
            <v>多摩本</v>
          </cell>
          <cell r="G1011" t="str">
            <v>炭酸ガス消火設備保守(外観)</v>
          </cell>
          <cell r="H1011" t="str">
            <v>西原衛生工業所</v>
          </cell>
          <cell r="I1011">
            <v>686000</v>
          </cell>
          <cell r="J1011">
            <v>699720</v>
          </cell>
          <cell r="K1011">
            <v>1</v>
          </cell>
          <cell r="L1011">
            <v>0</v>
          </cell>
          <cell r="M1011">
            <v>0</v>
          </cell>
          <cell r="N1011">
            <v>0</v>
          </cell>
          <cell r="O1011">
            <v>699720</v>
          </cell>
          <cell r="P1011">
            <v>0</v>
          </cell>
          <cell r="Q1011">
            <v>0</v>
          </cell>
          <cell r="R1011">
            <v>0</v>
          </cell>
          <cell r="S1011">
            <v>0</v>
          </cell>
          <cell r="T1011">
            <v>0</v>
          </cell>
          <cell r="U1011">
            <v>0</v>
          </cell>
          <cell r="V1011">
            <v>0</v>
          </cell>
          <cell r="W1011">
            <v>0</v>
          </cell>
          <cell r="X1011" t="str">
            <v/>
          </cell>
          <cell r="Y1011" t="str">
            <v/>
          </cell>
          <cell r="Z1011" t="str">
            <v/>
          </cell>
          <cell r="AA1011" t="str">
            <v>⑦</v>
          </cell>
          <cell r="AB1011" t="str">
            <v/>
          </cell>
          <cell r="AC1011" t="str">
            <v/>
          </cell>
          <cell r="AD1011" t="str">
            <v/>
          </cell>
          <cell r="AE1011" t="str">
            <v/>
          </cell>
          <cell r="AF1011" t="str">
            <v/>
          </cell>
          <cell r="AG1011" t="str">
            <v/>
          </cell>
          <cell r="AH1011" t="str">
            <v/>
          </cell>
          <cell r="AI1011" t="str">
            <v/>
          </cell>
        </row>
        <row r="1012">
          <cell r="B1012">
            <v>5252</v>
          </cell>
          <cell r="C1012">
            <v>52</v>
          </cell>
          <cell r="D1012">
            <v>52</v>
          </cell>
          <cell r="F1012" t="str">
            <v>多摩本</v>
          </cell>
          <cell r="G1012" t="str">
            <v>炭酸ガス消火設備保守(総合)</v>
          </cell>
          <cell r="H1012" t="str">
            <v>西原衛生工業所</v>
          </cell>
          <cell r="I1012">
            <v>886000</v>
          </cell>
          <cell r="J1012">
            <v>903720</v>
          </cell>
          <cell r="K1012">
            <v>1</v>
          </cell>
          <cell r="L1012">
            <v>0</v>
          </cell>
          <cell r="M1012">
            <v>0</v>
          </cell>
          <cell r="N1012">
            <v>0</v>
          </cell>
          <cell r="O1012">
            <v>0</v>
          </cell>
          <cell r="P1012">
            <v>0</v>
          </cell>
          <cell r="Q1012">
            <v>0</v>
          </cell>
          <cell r="R1012">
            <v>0</v>
          </cell>
          <cell r="S1012">
            <v>0</v>
          </cell>
          <cell r="T1012">
            <v>0</v>
          </cell>
          <cell r="U1012">
            <v>903720</v>
          </cell>
          <cell r="V1012">
            <v>0</v>
          </cell>
          <cell r="W1012">
            <v>0</v>
          </cell>
          <cell r="X1012" t="str">
            <v/>
          </cell>
          <cell r="Y1012" t="str">
            <v/>
          </cell>
          <cell r="Z1012" t="str">
            <v/>
          </cell>
          <cell r="AA1012" t="str">
            <v/>
          </cell>
          <cell r="AB1012" t="str">
            <v/>
          </cell>
          <cell r="AC1012" t="str">
            <v/>
          </cell>
          <cell r="AD1012" t="str">
            <v/>
          </cell>
          <cell r="AE1012" t="str">
            <v/>
          </cell>
          <cell r="AF1012" t="str">
            <v/>
          </cell>
          <cell r="AG1012" t="str">
            <v>①</v>
          </cell>
          <cell r="AH1012" t="str">
            <v/>
          </cell>
          <cell r="AI1012" t="str">
            <v/>
          </cell>
        </row>
        <row r="1013">
          <cell r="B1013">
            <v>5253</v>
          </cell>
          <cell r="C1013">
            <v>52</v>
          </cell>
          <cell r="D1013">
            <v>53</v>
          </cell>
          <cell r="F1013" t="str">
            <v>多摩本</v>
          </cell>
          <cell r="G1013" t="str">
            <v>粉末消火設備保守(外観)</v>
          </cell>
          <cell r="H1013" t="str">
            <v>西原衛生工業所</v>
          </cell>
          <cell r="I1013">
            <v>180000</v>
          </cell>
          <cell r="J1013">
            <v>183600</v>
          </cell>
          <cell r="K1013">
            <v>1</v>
          </cell>
          <cell r="L1013">
            <v>0</v>
          </cell>
          <cell r="M1013">
            <v>0</v>
          </cell>
          <cell r="N1013">
            <v>0</v>
          </cell>
          <cell r="O1013">
            <v>183600</v>
          </cell>
          <cell r="P1013">
            <v>0</v>
          </cell>
          <cell r="Q1013">
            <v>0</v>
          </cell>
          <cell r="R1013">
            <v>0</v>
          </cell>
          <cell r="S1013">
            <v>0</v>
          </cell>
          <cell r="T1013">
            <v>0</v>
          </cell>
          <cell r="U1013">
            <v>0</v>
          </cell>
          <cell r="V1013">
            <v>0</v>
          </cell>
          <cell r="W1013">
            <v>0</v>
          </cell>
          <cell r="X1013" t="str">
            <v/>
          </cell>
          <cell r="Y1013" t="str">
            <v/>
          </cell>
          <cell r="Z1013" t="str">
            <v/>
          </cell>
          <cell r="AA1013" t="str">
            <v>⑦</v>
          </cell>
          <cell r="AB1013" t="str">
            <v/>
          </cell>
          <cell r="AC1013" t="str">
            <v/>
          </cell>
          <cell r="AD1013" t="str">
            <v/>
          </cell>
          <cell r="AE1013" t="str">
            <v/>
          </cell>
          <cell r="AF1013" t="str">
            <v/>
          </cell>
          <cell r="AG1013" t="str">
            <v/>
          </cell>
          <cell r="AH1013" t="str">
            <v/>
          </cell>
          <cell r="AI1013" t="str">
            <v/>
          </cell>
        </row>
        <row r="1014">
          <cell r="B1014">
            <v>5254</v>
          </cell>
          <cell r="C1014">
            <v>52</v>
          </cell>
          <cell r="D1014">
            <v>54</v>
          </cell>
          <cell r="F1014" t="str">
            <v>多摩本</v>
          </cell>
          <cell r="G1014" t="str">
            <v>粉末消火設備保守(総合)</v>
          </cell>
          <cell r="H1014" t="str">
            <v>西原衛生工業所</v>
          </cell>
          <cell r="I1014">
            <v>180000</v>
          </cell>
          <cell r="J1014">
            <v>183600</v>
          </cell>
          <cell r="K1014">
            <v>1</v>
          </cell>
          <cell r="L1014">
            <v>0</v>
          </cell>
          <cell r="M1014">
            <v>0</v>
          </cell>
          <cell r="N1014">
            <v>0</v>
          </cell>
          <cell r="O1014">
            <v>0</v>
          </cell>
          <cell r="P1014">
            <v>0</v>
          </cell>
          <cell r="Q1014">
            <v>0</v>
          </cell>
          <cell r="R1014">
            <v>0</v>
          </cell>
          <cell r="S1014">
            <v>0</v>
          </cell>
          <cell r="T1014">
            <v>0</v>
          </cell>
          <cell r="U1014">
            <v>183600</v>
          </cell>
          <cell r="V1014">
            <v>0</v>
          </cell>
          <cell r="W1014">
            <v>0</v>
          </cell>
          <cell r="X1014" t="str">
            <v/>
          </cell>
          <cell r="Y1014" t="str">
            <v/>
          </cell>
          <cell r="Z1014" t="str">
            <v/>
          </cell>
          <cell r="AA1014" t="str">
            <v/>
          </cell>
          <cell r="AB1014" t="str">
            <v/>
          </cell>
          <cell r="AC1014" t="str">
            <v/>
          </cell>
          <cell r="AD1014" t="str">
            <v/>
          </cell>
          <cell r="AE1014" t="str">
            <v/>
          </cell>
          <cell r="AF1014" t="str">
            <v/>
          </cell>
          <cell r="AG1014" t="str">
            <v>①</v>
          </cell>
          <cell r="AH1014" t="str">
            <v/>
          </cell>
          <cell r="AI1014" t="str">
            <v/>
          </cell>
        </row>
        <row r="1015">
          <cell r="B1015">
            <v>5255</v>
          </cell>
          <cell r="C1015">
            <v>52</v>
          </cell>
          <cell r="D1015">
            <v>55</v>
          </cell>
          <cell r="F1015" t="str">
            <v>多摩本</v>
          </cell>
          <cell r="G1015" t="str">
            <v>連結送水管設備保守(外観)</v>
          </cell>
          <cell r="H1015" t="str">
            <v>西原衛生工業所</v>
          </cell>
          <cell r="I1015">
            <v>64000</v>
          </cell>
          <cell r="J1015">
            <v>65280</v>
          </cell>
          <cell r="K1015">
            <v>1</v>
          </cell>
          <cell r="L1015">
            <v>0</v>
          </cell>
          <cell r="M1015">
            <v>0</v>
          </cell>
          <cell r="N1015">
            <v>0</v>
          </cell>
          <cell r="O1015">
            <v>65280</v>
          </cell>
          <cell r="P1015">
            <v>0</v>
          </cell>
          <cell r="Q1015">
            <v>0</v>
          </cell>
          <cell r="R1015">
            <v>0</v>
          </cell>
          <cell r="S1015">
            <v>0</v>
          </cell>
          <cell r="T1015">
            <v>0</v>
          </cell>
          <cell r="U1015">
            <v>0</v>
          </cell>
          <cell r="V1015">
            <v>0</v>
          </cell>
          <cell r="W1015">
            <v>0</v>
          </cell>
          <cell r="X1015" t="str">
            <v/>
          </cell>
          <cell r="Y1015" t="str">
            <v/>
          </cell>
          <cell r="Z1015" t="str">
            <v/>
          </cell>
          <cell r="AA1015" t="str">
            <v>⑦</v>
          </cell>
          <cell r="AB1015" t="str">
            <v/>
          </cell>
          <cell r="AC1015" t="str">
            <v/>
          </cell>
          <cell r="AD1015" t="str">
            <v/>
          </cell>
          <cell r="AE1015" t="str">
            <v/>
          </cell>
          <cell r="AF1015" t="str">
            <v/>
          </cell>
          <cell r="AG1015" t="str">
            <v/>
          </cell>
          <cell r="AH1015" t="str">
            <v/>
          </cell>
          <cell r="AI1015" t="str">
            <v/>
          </cell>
        </row>
        <row r="1016">
          <cell r="B1016">
            <v>5256</v>
          </cell>
          <cell r="C1016">
            <v>52</v>
          </cell>
          <cell r="D1016">
            <v>56</v>
          </cell>
          <cell r="F1016" t="str">
            <v>多摩本</v>
          </cell>
          <cell r="G1016" t="str">
            <v>連結送水管設備保守(総合)</v>
          </cell>
          <cell r="H1016" t="str">
            <v>西原衛生工業所</v>
          </cell>
          <cell r="I1016">
            <v>93000</v>
          </cell>
          <cell r="J1016">
            <v>94860</v>
          </cell>
          <cell r="K1016">
            <v>1</v>
          </cell>
          <cell r="L1016">
            <v>0</v>
          </cell>
          <cell r="M1016">
            <v>0</v>
          </cell>
          <cell r="N1016">
            <v>0</v>
          </cell>
          <cell r="O1016">
            <v>0</v>
          </cell>
          <cell r="P1016">
            <v>0</v>
          </cell>
          <cell r="Q1016">
            <v>0</v>
          </cell>
          <cell r="R1016">
            <v>0</v>
          </cell>
          <cell r="S1016">
            <v>0</v>
          </cell>
          <cell r="T1016">
            <v>0</v>
          </cell>
          <cell r="U1016">
            <v>94860</v>
          </cell>
          <cell r="V1016">
            <v>0</v>
          </cell>
          <cell r="W1016">
            <v>0</v>
          </cell>
          <cell r="X1016" t="str">
            <v/>
          </cell>
          <cell r="Y1016" t="str">
            <v/>
          </cell>
          <cell r="Z1016" t="str">
            <v/>
          </cell>
          <cell r="AA1016" t="str">
            <v/>
          </cell>
          <cell r="AB1016" t="str">
            <v/>
          </cell>
          <cell r="AC1016" t="str">
            <v/>
          </cell>
          <cell r="AD1016" t="str">
            <v/>
          </cell>
          <cell r="AE1016" t="str">
            <v/>
          </cell>
          <cell r="AF1016" t="str">
            <v/>
          </cell>
          <cell r="AG1016" t="str">
            <v>①</v>
          </cell>
          <cell r="AH1016" t="str">
            <v/>
          </cell>
          <cell r="AI1016" t="str">
            <v/>
          </cell>
        </row>
        <row r="1017">
          <cell r="B1017">
            <v>5257</v>
          </cell>
          <cell r="C1017">
            <v>52</v>
          </cell>
          <cell r="D1017">
            <v>57</v>
          </cell>
          <cell r="F1017" t="str">
            <v>多摩本</v>
          </cell>
          <cell r="G1017" t="str">
            <v>駐車場設備保守(泡消火)</v>
          </cell>
          <cell r="H1017" t="str">
            <v>西原衛生工業所</v>
          </cell>
          <cell r="I1017">
            <v>339000</v>
          </cell>
          <cell r="J1017">
            <v>345780</v>
          </cell>
          <cell r="K1017">
            <v>1</v>
          </cell>
          <cell r="L1017">
            <v>0</v>
          </cell>
          <cell r="M1017">
            <v>0</v>
          </cell>
          <cell r="N1017">
            <v>0</v>
          </cell>
          <cell r="O1017">
            <v>345780</v>
          </cell>
          <cell r="P1017">
            <v>0</v>
          </cell>
          <cell r="Q1017">
            <v>0</v>
          </cell>
          <cell r="R1017">
            <v>0</v>
          </cell>
          <cell r="S1017">
            <v>0</v>
          </cell>
          <cell r="T1017">
            <v>0</v>
          </cell>
          <cell r="U1017">
            <v>0</v>
          </cell>
          <cell r="V1017">
            <v>0</v>
          </cell>
          <cell r="W1017">
            <v>0</v>
          </cell>
          <cell r="X1017" t="str">
            <v/>
          </cell>
          <cell r="Y1017" t="str">
            <v/>
          </cell>
          <cell r="Z1017" t="str">
            <v/>
          </cell>
          <cell r="AA1017" t="str">
            <v>⑦</v>
          </cell>
          <cell r="AB1017" t="str">
            <v/>
          </cell>
          <cell r="AC1017" t="str">
            <v/>
          </cell>
          <cell r="AD1017" t="str">
            <v/>
          </cell>
          <cell r="AE1017" t="str">
            <v/>
          </cell>
          <cell r="AF1017" t="str">
            <v/>
          </cell>
          <cell r="AG1017" t="str">
            <v/>
          </cell>
          <cell r="AH1017" t="str">
            <v/>
          </cell>
          <cell r="AI1017" t="str">
            <v/>
          </cell>
        </row>
        <row r="1018">
          <cell r="B1018">
            <v>5258</v>
          </cell>
          <cell r="C1018">
            <v>52</v>
          </cell>
          <cell r="D1018">
            <v>58</v>
          </cell>
          <cell r="F1018" t="str">
            <v>多摩本</v>
          </cell>
          <cell r="G1018" t="str">
            <v>駐車場設備保守(泡消火)</v>
          </cell>
          <cell r="H1018" t="str">
            <v>西原衛生工業所</v>
          </cell>
          <cell r="I1018">
            <v>921000</v>
          </cell>
          <cell r="J1018">
            <v>939420</v>
          </cell>
          <cell r="K1018">
            <v>1</v>
          </cell>
          <cell r="L1018">
            <v>0</v>
          </cell>
          <cell r="M1018">
            <v>0</v>
          </cell>
          <cell r="N1018">
            <v>0</v>
          </cell>
          <cell r="O1018">
            <v>0</v>
          </cell>
          <cell r="P1018">
            <v>0</v>
          </cell>
          <cell r="Q1018">
            <v>0</v>
          </cell>
          <cell r="R1018">
            <v>0</v>
          </cell>
          <cell r="S1018">
            <v>0</v>
          </cell>
          <cell r="T1018">
            <v>0</v>
          </cell>
          <cell r="U1018">
            <v>939420</v>
          </cell>
          <cell r="V1018">
            <v>0</v>
          </cell>
          <cell r="W1018">
            <v>0</v>
          </cell>
          <cell r="X1018" t="str">
            <v/>
          </cell>
          <cell r="Y1018" t="str">
            <v/>
          </cell>
          <cell r="Z1018" t="str">
            <v/>
          </cell>
          <cell r="AA1018" t="str">
            <v/>
          </cell>
          <cell r="AB1018" t="str">
            <v/>
          </cell>
          <cell r="AC1018" t="str">
            <v/>
          </cell>
          <cell r="AD1018" t="str">
            <v/>
          </cell>
          <cell r="AE1018" t="str">
            <v/>
          </cell>
          <cell r="AF1018" t="str">
            <v/>
          </cell>
          <cell r="AG1018" t="str">
            <v>①</v>
          </cell>
          <cell r="AH1018" t="str">
            <v/>
          </cell>
          <cell r="AI1018" t="str">
            <v/>
          </cell>
        </row>
        <row r="1019">
          <cell r="B1019">
            <v>5259</v>
          </cell>
          <cell r="C1019">
            <v>52</v>
          </cell>
          <cell r="D1019">
            <v>59</v>
          </cell>
          <cell r="F1019" t="str">
            <v>多摩本</v>
          </cell>
          <cell r="G1019" t="str">
            <v>ガス漏火災警報(外観)</v>
          </cell>
          <cell r="H1019" t="str">
            <v>東京防災設備</v>
          </cell>
          <cell r="I1019">
            <v>28200</v>
          </cell>
          <cell r="J1019">
            <v>28764</v>
          </cell>
          <cell r="K1019">
            <v>1</v>
          </cell>
          <cell r="L1019">
            <v>0</v>
          </cell>
          <cell r="M1019">
            <v>0</v>
          </cell>
          <cell r="N1019">
            <v>0</v>
          </cell>
          <cell r="O1019">
            <v>28764</v>
          </cell>
          <cell r="P1019">
            <v>0</v>
          </cell>
          <cell r="Q1019">
            <v>0</v>
          </cell>
          <cell r="R1019">
            <v>0</v>
          </cell>
          <cell r="S1019">
            <v>0</v>
          </cell>
          <cell r="T1019">
            <v>0</v>
          </cell>
          <cell r="U1019">
            <v>0</v>
          </cell>
          <cell r="V1019">
            <v>0</v>
          </cell>
          <cell r="W1019">
            <v>0</v>
          </cell>
          <cell r="X1019" t="str">
            <v/>
          </cell>
          <cell r="Y1019" t="str">
            <v/>
          </cell>
          <cell r="Z1019" t="str">
            <v/>
          </cell>
          <cell r="AA1019" t="str">
            <v>⑦</v>
          </cell>
          <cell r="AB1019" t="str">
            <v/>
          </cell>
          <cell r="AC1019" t="str">
            <v/>
          </cell>
          <cell r="AD1019" t="str">
            <v/>
          </cell>
          <cell r="AE1019" t="str">
            <v/>
          </cell>
          <cell r="AF1019" t="str">
            <v/>
          </cell>
          <cell r="AG1019" t="str">
            <v/>
          </cell>
          <cell r="AH1019" t="str">
            <v/>
          </cell>
          <cell r="AI1019" t="str">
            <v/>
          </cell>
          <cell r="AJ1019" t="str">
            <v>？</v>
          </cell>
        </row>
        <row r="1020">
          <cell r="B1020">
            <v>5260</v>
          </cell>
          <cell r="C1020">
            <v>52</v>
          </cell>
          <cell r="D1020">
            <v>60</v>
          </cell>
          <cell r="F1020" t="str">
            <v>多摩本</v>
          </cell>
          <cell r="G1020" t="str">
            <v>ガス漏火災警報(総合)</v>
          </cell>
          <cell r="H1020" t="str">
            <v>東京防災設備</v>
          </cell>
          <cell r="I1020">
            <v>48600</v>
          </cell>
          <cell r="J1020">
            <v>49572</v>
          </cell>
          <cell r="K1020">
            <v>1</v>
          </cell>
          <cell r="L1020">
            <v>0</v>
          </cell>
          <cell r="M1020">
            <v>0</v>
          </cell>
          <cell r="N1020">
            <v>0</v>
          </cell>
          <cell r="O1020">
            <v>0</v>
          </cell>
          <cell r="P1020">
            <v>0</v>
          </cell>
          <cell r="Q1020">
            <v>0</v>
          </cell>
          <cell r="R1020">
            <v>0</v>
          </cell>
          <cell r="S1020">
            <v>0</v>
          </cell>
          <cell r="T1020">
            <v>0</v>
          </cell>
          <cell r="U1020">
            <v>49572</v>
          </cell>
          <cell r="V1020">
            <v>0</v>
          </cell>
          <cell r="W1020">
            <v>0</v>
          </cell>
          <cell r="X1020" t="str">
            <v/>
          </cell>
          <cell r="Y1020" t="str">
            <v/>
          </cell>
          <cell r="Z1020" t="str">
            <v/>
          </cell>
          <cell r="AA1020" t="str">
            <v/>
          </cell>
          <cell r="AB1020" t="str">
            <v/>
          </cell>
          <cell r="AC1020" t="str">
            <v/>
          </cell>
          <cell r="AD1020" t="str">
            <v/>
          </cell>
          <cell r="AE1020" t="str">
            <v/>
          </cell>
          <cell r="AF1020" t="str">
            <v/>
          </cell>
          <cell r="AG1020" t="str">
            <v>①</v>
          </cell>
          <cell r="AH1020" t="str">
            <v/>
          </cell>
          <cell r="AI1020" t="str">
            <v/>
          </cell>
          <cell r="AJ1020" t="str">
            <v>？</v>
          </cell>
        </row>
        <row r="1021">
          <cell r="B1021">
            <v>5261</v>
          </cell>
          <cell r="C1021">
            <v>52</v>
          </cell>
          <cell r="D1021">
            <v>61</v>
          </cell>
          <cell r="F1021" t="str">
            <v>多摩本</v>
          </cell>
          <cell r="G1021" t="str">
            <v>自動火災報知設備(外観)</v>
          </cell>
          <cell r="H1021" t="str">
            <v>東京防災設備</v>
          </cell>
          <cell r="I1021">
            <v>922000</v>
          </cell>
          <cell r="J1021">
            <v>978900</v>
          </cell>
          <cell r="K1021">
            <v>1</v>
          </cell>
          <cell r="L1021">
            <v>0</v>
          </cell>
          <cell r="M1021">
            <v>0</v>
          </cell>
          <cell r="N1021">
            <v>0</v>
          </cell>
          <cell r="O1021">
            <v>978900</v>
          </cell>
          <cell r="P1021">
            <v>0</v>
          </cell>
          <cell r="Q1021">
            <v>0</v>
          </cell>
          <cell r="R1021">
            <v>0</v>
          </cell>
          <cell r="S1021">
            <v>0</v>
          </cell>
          <cell r="T1021">
            <v>0</v>
          </cell>
          <cell r="U1021">
            <v>0</v>
          </cell>
          <cell r="V1021">
            <v>0</v>
          </cell>
          <cell r="W1021">
            <v>0</v>
          </cell>
          <cell r="X1021" t="str">
            <v/>
          </cell>
          <cell r="Y1021" t="str">
            <v/>
          </cell>
          <cell r="Z1021" t="str">
            <v/>
          </cell>
          <cell r="AA1021" t="str">
            <v>⑦</v>
          </cell>
          <cell r="AB1021" t="str">
            <v/>
          </cell>
          <cell r="AC1021" t="str">
            <v/>
          </cell>
          <cell r="AD1021" t="str">
            <v/>
          </cell>
          <cell r="AE1021" t="str">
            <v/>
          </cell>
          <cell r="AF1021" t="str">
            <v/>
          </cell>
          <cell r="AG1021" t="str">
            <v/>
          </cell>
          <cell r="AH1021" t="str">
            <v/>
          </cell>
          <cell r="AI1021" t="str">
            <v/>
          </cell>
          <cell r="AJ1021" t="str">
            <v>変</v>
          </cell>
        </row>
        <row r="1022">
          <cell r="B1022">
            <v>5262</v>
          </cell>
          <cell r="C1022">
            <v>52</v>
          </cell>
          <cell r="D1022">
            <v>62</v>
          </cell>
          <cell r="F1022" t="str">
            <v>多摩本</v>
          </cell>
          <cell r="G1022" t="str">
            <v>自動火災報知設備(総合)</v>
          </cell>
          <cell r="H1022" t="str">
            <v>東京防災設備</v>
          </cell>
          <cell r="I1022">
            <v>1883000</v>
          </cell>
          <cell r="J1022">
            <v>1999200</v>
          </cell>
          <cell r="K1022">
            <v>1</v>
          </cell>
          <cell r="L1022">
            <v>0</v>
          </cell>
          <cell r="M1022">
            <v>0</v>
          </cell>
          <cell r="N1022">
            <v>0</v>
          </cell>
          <cell r="O1022">
            <v>0</v>
          </cell>
          <cell r="P1022">
            <v>0</v>
          </cell>
          <cell r="Q1022">
            <v>0</v>
          </cell>
          <cell r="R1022">
            <v>0</v>
          </cell>
          <cell r="S1022">
            <v>0</v>
          </cell>
          <cell r="T1022">
            <v>0</v>
          </cell>
          <cell r="U1022">
            <v>1999200</v>
          </cell>
          <cell r="V1022">
            <v>0</v>
          </cell>
          <cell r="W1022">
            <v>0</v>
          </cell>
          <cell r="X1022" t="str">
            <v/>
          </cell>
          <cell r="Y1022" t="str">
            <v/>
          </cell>
          <cell r="Z1022" t="str">
            <v/>
          </cell>
          <cell r="AA1022" t="str">
            <v/>
          </cell>
          <cell r="AB1022" t="str">
            <v/>
          </cell>
          <cell r="AC1022" t="str">
            <v/>
          </cell>
          <cell r="AD1022" t="str">
            <v/>
          </cell>
          <cell r="AE1022" t="str">
            <v/>
          </cell>
          <cell r="AF1022" t="str">
            <v/>
          </cell>
          <cell r="AG1022" t="str">
            <v>①</v>
          </cell>
          <cell r="AH1022" t="str">
            <v/>
          </cell>
          <cell r="AI1022" t="str">
            <v/>
          </cell>
          <cell r="AJ1022" t="str">
            <v>変</v>
          </cell>
        </row>
        <row r="1023">
          <cell r="B1023">
            <v>5263</v>
          </cell>
          <cell r="C1023">
            <v>52</v>
          </cell>
          <cell r="D1023">
            <v>63</v>
          </cell>
          <cell r="F1023" t="str">
            <v>多摩本</v>
          </cell>
          <cell r="G1023" t="str">
            <v>防排煙設備保守(外観)</v>
          </cell>
          <cell r="H1023" t="str">
            <v>東京防災設備</v>
          </cell>
          <cell r="I1023">
            <v>399000</v>
          </cell>
          <cell r="J1023">
            <v>423500</v>
          </cell>
          <cell r="K1023">
            <v>1</v>
          </cell>
          <cell r="L1023">
            <v>0</v>
          </cell>
          <cell r="M1023">
            <v>0</v>
          </cell>
          <cell r="N1023">
            <v>0</v>
          </cell>
          <cell r="O1023">
            <v>423500</v>
          </cell>
          <cell r="P1023">
            <v>0</v>
          </cell>
          <cell r="Q1023">
            <v>0</v>
          </cell>
          <cell r="R1023">
            <v>0</v>
          </cell>
          <cell r="S1023">
            <v>0</v>
          </cell>
          <cell r="T1023">
            <v>0</v>
          </cell>
          <cell r="U1023">
            <v>0</v>
          </cell>
          <cell r="V1023">
            <v>0</v>
          </cell>
          <cell r="W1023">
            <v>0</v>
          </cell>
          <cell r="X1023" t="str">
            <v/>
          </cell>
          <cell r="Y1023" t="str">
            <v/>
          </cell>
          <cell r="Z1023" t="str">
            <v/>
          </cell>
          <cell r="AA1023" t="str">
            <v>⑦</v>
          </cell>
          <cell r="AB1023" t="str">
            <v/>
          </cell>
          <cell r="AC1023" t="str">
            <v/>
          </cell>
          <cell r="AD1023" t="str">
            <v/>
          </cell>
          <cell r="AE1023" t="str">
            <v/>
          </cell>
          <cell r="AF1023" t="str">
            <v/>
          </cell>
          <cell r="AG1023" t="str">
            <v/>
          </cell>
          <cell r="AH1023" t="str">
            <v/>
          </cell>
          <cell r="AI1023" t="str">
            <v/>
          </cell>
          <cell r="AJ1023" t="str">
            <v>変</v>
          </cell>
        </row>
        <row r="1024">
          <cell r="B1024">
            <v>5264</v>
          </cell>
          <cell r="C1024">
            <v>52</v>
          </cell>
          <cell r="D1024">
            <v>64</v>
          </cell>
          <cell r="F1024" t="str">
            <v>多摩本</v>
          </cell>
          <cell r="G1024" t="str">
            <v>防排煙設備保守(総合)</v>
          </cell>
          <cell r="H1024" t="str">
            <v>東京防災設備</v>
          </cell>
          <cell r="I1024">
            <v>403000</v>
          </cell>
          <cell r="J1024">
            <v>427840</v>
          </cell>
          <cell r="K1024">
            <v>1</v>
          </cell>
          <cell r="L1024">
            <v>0</v>
          </cell>
          <cell r="M1024">
            <v>0</v>
          </cell>
          <cell r="N1024">
            <v>0</v>
          </cell>
          <cell r="O1024">
            <v>0</v>
          </cell>
          <cell r="P1024">
            <v>0</v>
          </cell>
          <cell r="Q1024">
            <v>0</v>
          </cell>
          <cell r="R1024">
            <v>0</v>
          </cell>
          <cell r="S1024">
            <v>0</v>
          </cell>
          <cell r="T1024">
            <v>0</v>
          </cell>
          <cell r="U1024">
            <v>427840</v>
          </cell>
          <cell r="V1024">
            <v>0</v>
          </cell>
          <cell r="W1024">
            <v>0</v>
          </cell>
          <cell r="X1024" t="str">
            <v/>
          </cell>
          <cell r="Y1024" t="str">
            <v/>
          </cell>
          <cell r="Z1024" t="str">
            <v/>
          </cell>
          <cell r="AA1024" t="str">
            <v/>
          </cell>
          <cell r="AB1024" t="str">
            <v/>
          </cell>
          <cell r="AC1024" t="str">
            <v/>
          </cell>
          <cell r="AD1024" t="str">
            <v/>
          </cell>
          <cell r="AE1024" t="str">
            <v/>
          </cell>
          <cell r="AF1024" t="str">
            <v/>
          </cell>
          <cell r="AG1024" t="str">
            <v>①</v>
          </cell>
          <cell r="AH1024" t="str">
            <v/>
          </cell>
          <cell r="AI1024" t="str">
            <v/>
          </cell>
          <cell r="AJ1024" t="str">
            <v>変</v>
          </cell>
        </row>
        <row r="1025">
          <cell r="B1025">
            <v>5265</v>
          </cell>
          <cell r="C1025">
            <v>52</v>
          </cell>
          <cell r="D1025">
            <v>65</v>
          </cell>
          <cell r="F1025" t="str">
            <v>多摩本</v>
          </cell>
          <cell r="G1025" t="str">
            <v>非常発電機設備保守(外観)</v>
          </cell>
          <cell r="H1025" t="str">
            <v>東芝</v>
          </cell>
          <cell r="I1025">
            <v>4250000</v>
          </cell>
          <cell r="J1025">
            <v>4516200</v>
          </cell>
          <cell r="K1025">
            <v>1</v>
          </cell>
          <cell r="L1025">
            <v>0</v>
          </cell>
          <cell r="M1025">
            <v>0</v>
          </cell>
          <cell r="N1025">
            <v>4516200</v>
          </cell>
          <cell r="O1025">
            <v>0</v>
          </cell>
          <cell r="P1025">
            <v>0</v>
          </cell>
          <cell r="Q1025">
            <v>0</v>
          </cell>
          <cell r="R1025">
            <v>0</v>
          </cell>
          <cell r="S1025">
            <v>0</v>
          </cell>
          <cell r="T1025">
            <v>0</v>
          </cell>
          <cell r="U1025">
            <v>0</v>
          </cell>
          <cell r="V1025">
            <v>0</v>
          </cell>
          <cell r="W1025">
            <v>0</v>
          </cell>
          <cell r="X1025" t="str">
            <v/>
          </cell>
          <cell r="Y1025" t="str">
            <v/>
          </cell>
          <cell r="Z1025" t="str">
            <v>⑥</v>
          </cell>
          <cell r="AA1025" t="str">
            <v/>
          </cell>
          <cell r="AB1025" t="str">
            <v/>
          </cell>
          <cell r="AC1025" t="str">
            <v/>
          </cell>
          <cell r="AD1025" t="str">
            <v/>
          </cell>
          <cell r="AE1025" t="str">
            <v/>
          </cell>
          <cell r="AF1025" t="str">
            <v/>
          </cell>
          <cell r="AG1025" t="str">
            <v/>
          </cell>
          <cell r="AH1025" t="str">
            <v/>
          </cell>
          <cell r="AI1025" t="str">
            <v/>
          </cell>
          <cell r="AJ1025" t="str">
            <v>変</v>
          </cell>
        </row>
        <row r="1026">
          <cell r="B1026">
            <v>5266</v>
          </cell>
          <cell r="C1026">
            <v>52</v>
          </cell>
          <cell r="D1026">
            <v>66</v>
          </cell>
          <cell r="F1026" t="str">
            <v>多摩本</v>
          </cell>
          <cell r="G1026" t="str">
            <v>非常発電機設備保守(総合)</v>
          </cell>
          <cell r="H1026" t="str">
            <v>東芝</v>
          </cell>
          <cell r="I1026">
            <v>4250000</v>
          </cell>
          <cell r="J1026">
            <v>4516200</v>
          </cell>
          <cell r="K1026">
            <v>1</v>
          </cell>
          <cell r="L1026">
            <v>0</v>
          </cell>
          <cell r="M1026">
            <v>0</v>
          </cell>
          <cell r="N1026">
            <v>0</v>
          </cell>
          <cell r="O1026">
            <v>0</v>
          </cell>
          <cell r="P1026">
            <v>0</v>
          </cell>
          <cell r="Q1026">
            <v>0</v>
          </cell>
          <cell r="R1026">
            <v>0</v>
          </cell>
          <cell r="S1026">
            <v>0</v>
          </cell>
          <cell r="T1026">
            <v>4516200</v>
          </cell>
          <cell r="U1026">
            <v>0</v>
          </cell>
          <cell r="V1026">
            <v>0</v>
          </cell>
          <cell r="W1026">
            <v>0</v>
          </cell>
          <cell r="X1026" t="str">
            <v/>
          </cell>
          <cell r="Y1026" t="str">
            <v/>
          </cell>
          <cell r="Z1026" t="str">
            <v/>
          </cell>
          <cell r="AA1026" t="str">
            <v/>
          </cell>
          <cell r="AB1026" t="str">
            <v/>
          </cell>
          <cell r="AC1026" t="str">
            <v/>
          </cell>
          <cell r="AD1026" t="str">
            <v/>
          </cell>
          <cell r="AE1026" t="str">
            <v/>
          </cell>
          <cell r="AF1026" t="str">
            <v>⑫</v>
          </cell>
          <cell r="AG1026" t="str">
            <v/>
          </cell>
          <cell r="AH1026" t="str">
            <v/>
          </cell>
          <cell r="AI1026" t="str">
            <v/>
          </cell>
          <cell r="AJ1026" t="str">
            <v>変</v>
          </cell>
        </row>
        <row r="1027">
          <cell r="B1027">
            <v>5267</v>
          </cell>
          <cell r="C1027">
            <v>52</v>
          </cell>
          <cell r="D1027">
            <v>67</v>
          </cell>
          <cell r="F1027" t="str">
            <v>多摩本</v>
          </cell>
          <cell r="G1027" t="str">
            <v>非常放送設備保守(外観)</v>
          </cell>
          <cell r="H1027" t="str">
            <v>東洋ｴﾝｼﾞﾆｱﾘﾝｸﾞ</v>
          </cell>
          <cell r="I1027">
            <v>300000</v>
          </cell>
          <cell r="J1027">
            <v>306000</v>
          </cell>
          <cell r="K1027">
            <v>1</v>
          </cell>
          <cell r="L1027">
            <v>0</v>
          </cell>
          <cell r="M1027">
            <v>0</v>
          </cell>
          <cell r="N1027">
            <v>0</v>
          </cell>
          <cell r="O1027">
            <v>306000</v>
          </cell>
          <cell r="P1027">
            <v>0</v>
          </cell>
          <cell r="Q1027">
            <v>0</v>
          </cell>
          <cell r="R1027">
            <v>0</v>
          </cell>
          <cell r="S1027">
            <v>0</v>
          </cell>
          <cell r="T1027">
            <v>0</v>
          </cell>
          <cell r="U1027">
            <v>0</v>
          </cell>
          <cell r="V1027">
            <v>0</v>
          </cell>
          <cell r="W1027">
            <v>0</v>
          </cell>
          <cell r="X1027" t="str">
            <v/>
          </cell>
          <cell r="Y1027" t="str">
            <v/>
          </cell>
          <cell r="Z1027" t="str">
            <v/>
          </cell>
          <cell r="AA1027" t="str">
            <v>⑦</v>
          </cell>
          <cell r="AB1027" t="str">
            <v/>
          </cell>
          <cell r="AC1027" t="str">
            <v/>
          </cell>
          <cell r="AD1027" t="str">
            <v/>
          </cell>
          <cell r="AE1027" t="str">
            <v/>
          </cell>
          <cell r="AF1027" t="str">
            <v/>
          </cell>
          <cell r="AG1027" t="str">
            <v/>
          </cell>
          <cell r="AH1027" t="str">
            <v/>
          </cell>
          <cell r="AI1027" t="str">
            <v/>
          </cell>
        </row>
        <row r="1028">
          <cell r="B1028">
            <v>5268</v>
          </cell>
          <cell r="C1028">
            <v>52</v>
          </cell>
          <cell r="D1028">
            <v>68</v>
          </cell>
          <cell r="F1028" t="str">
            <v>多摩本</v>
          </cell>
          <cell r="G1028" t="str">
            <v>非常放送設備保守(総合)</v>
          </cell>
          <cell r="H1028" t="str">
            <v>東洋ｴﾝｼﾞﾆｱﾘﾝｸﾞ</v>
          </cell>
          <cell r="I1028">
            <v>420000</v>
          </cell>
          <cell r="J1028">
            <v>428400</v>
          </cell>
          <cell r="K1028">
            <v>1</v>
          </cell>
          <cell r="L1028">
            <v>0</v>
          </cell>
          <cell r="M1028">
            <v>0</v>
          </cell>
          <cell r="N1028">
            <v>0</v>
          </cell>
          <cell r="O1028">
            <v>0</v>
          </cell>
          <cell r="P1028">
            <v>0</v>
          </cell>
          <cell r="Q1028">
            <v>0</v>
          </cell>
          <cell r="R1028">
            <v>0</v>
          </cell>
          <cell r="S1028">
            <v>0</v>
          </cell>
          <cell r="T1028">
            <v>0</v>
          </cell>
          <cell r="U1028">
            <v>428400</v>
          </cell>
          <cell r="V1028">
            <v>0</v>
          </cell>
          <cell r="W1028">
            <v>0</v>
          </cell>
          <cell r="X1028" t="str">
            <v/>
          </cell>
          <cell r="Y1028" t="str">
            <v/>
          </cell>
          <cell r="Z1028" t="str">
            <v/>
          </cell>
          <cell r="AA1028" t="str">
            <v/>
          </cell>
          <cell r="AB1028" t="str">
            <v/>
          </cell>
          <cell r="AC1028" t="str">
            <v/>
          </cell>
          <cell r="AD1028" t="str">
            <v/>
          </cell>
          <cell r="AE1028" t="str">
            <v/>
          </cell>
          <cell r="AF1028" t="str">
            <v/>
          </cell>
          <cell r="AG1028" t="str">
            <v>①</v>
          </cell>
          <cell r="AH1028" t="str">
            <v/>
          </cell>
          <cell r="AI1028" t="str">
            <v/>
          </cell>
        </row>
        <row r="1029">
          <cell r="B1029">
            <v>5269</v>
          </cell>
          <cell r="C1029">
            <v>52</v>
          </cell>
          <cell r="D1029">
            <v>69</v>
          </cell>
          <cell r="F1029" t="str">
            <v>多摩本</v>
          </cell>
          <cell r="G1029" t="str">
            <v>消火器設備保守(外観)</v>
          </cell>
          <cell r="H1029" t="str">
            <v>能美防災</v>
          </cell>
          <cell r="I1029">
            <v>144000</v>
          </cell>
          <cell r="J1029">
            <v>146400</v>
          </cell>
          <cell r="K1029">
            <v>2</v>
          </cell>
          <cell r="L1029">
            <v>0</v>
          </cell>
          <cell r="M1029">
            <v>0</v>
          </cell>
          <cell r="N1029">
            <v>0</v>
          </cell>
          <cell r="O1029">
            <v>146400</v>
          </cell>
          <cell r="P1029">
            <v>0</v>
          </cell>
          <cell r="Q1029">
            <v>0</v>
          </cell>
          <cell r="R1029">
            <v>0</v>
          </cell>
          <cell r="S1029">
            <v>0</v>
          </cell>
          <cell r="T1029">
            <v>0</v>
          </cell>
          <cell r="U1029">
            <v>146400</v>
          </cell>
          <cell r="V1029">
            <v>0</v>
          </cell>
          <cell r="W1029">
            <v>0</v>
          </cell>
          <cell r="X1029" t="str">
            <v/>
          </cell>
          <cell r="Y1029" t="str">
            <v/>
          </cell>
          <cell r="Z1029" t="str">
            <v/>
          </cell>
          <cell r="AA1029" t="str">
            <v>⑦</v>
          </cell>
          <cell r="AB1029" t="str">
            <v/>
          </cell>
          <cell r="AC1029" t="str">
            <v/>
          </cell>
          <cell r="AD1029" t="str">
            <v/>
          </cell>
          <cell r="AE1029" t="str">
            <v/>
          </cell>
          <cell r="AF1029" t="str">
            <v/>
          </cell>
          <cell r="AG1029" t="str">
            <v>①</v>
          </cell>
          <cell r="AH1029" t="str">
            <v/>
          </cell>
          <cell r="AI1029" t="str">
            <v/>
          </cell>
          <cell r="AJ1029" t="str">
            <v>変</v>
          </cell>
        </row>
        <row r="1030">
          <cell r="B1030">
            <v>5270</v>
          </cell>
          <cell r="C1030">
            <v>52</v>
          </cell>
          <cell r="D1030">
            <v>70</v>
          </cell>
          <cell r="F1030" t="str">
            <v>多摩本</v>
          </cell>
          <cell r="G1030" t="str">
            <v>超高感度煙関知(外観総合)</v>
          </cell>
          <cell r="H1030" t="str">
            <v>能美防災</v>
          </cell>
          <cell r="I1030">
            <v>1100000</v>
          </cell>
          <cell r="J1030">
            <v>1175760</v>
          </cell>
          <cell r="K1030">
            <v>1</v>
          </cell>
          <cell r="L1030">
            <v>0</v>
          </cell>
          <cell r="M1030">
            <v>0</v>
          </cell>
          <cell r="N1030">
            <v>0</v>
          </cell>
          <cell r="O1030">
            <v>1175760</v>
          </cell>
          <cell r="P1030">
            <v>0</v>
          </cell>
          <cell r="Q1030">
            <v>0</v>
          </cell>
          <cell r="R1030">
            <v>0</v>
          </cell>
          <cell r="S1030">
            <v>0</v>
          </cell>
          <cell r="T1030">
            <v>0</v>
          </cell>
          <cell r="U1030">
            <v>0</v>
          </cell>
          <cell r="V1030">
            <v>0</v>
          </cell>
          <cell r="W1030">
            <v>0</v>
          </cell>
          <cell r="X1030" t="str">
            <v/>
          </cell>
          <cell r="Y1030" t="str">
            <v/>
          </cell>
          <cell r="Z1030" t="str">
            <v/>
          </cell>
          <cell r="AA1030" t="str">
            <v>⑦</v>
          </cell>
          <cell r="AB1030" t="str">
            <v/>
          </cell>
          <cell r="AC1030" t="str">
            <v/>
          </cell>
          <cell r="AD1030" t="str">
            <v/>
          </cell>
          <cell r="AE1030" t="str">
            <v/>
          </cell>
          <cell r="AF1030" t="str">
            <v/>
          </cell>
          <cell r="AG1030" t="str">
            <v/>
          </cell>
          <cell r="AH1030" t="str">
            <v/>
          </cell>
          <cell r="AI1030" t="str">
            <v/>
          </cell>
          <cell r="AJ1030" t="str">
            <v>変</v>
          </cell>
        </row>
        <row r="1031">
          <cell r="B1031">
            <v>5271</v>
          </cell>
          <cell r="C1031">
            <v>52</v>
          </cell>
          <cell r="D1031">
            <v>71</v>
          </cell>
          <cell r="F1031" t="str">
            <v>多摩本</v>
          </cell>
          <cell r="G1031" t="str">
            <v>空調機点検整備(本館･別館)</v>
          </cell>
          <cell r="H1031" t="str">
            <v>東洋製作所</v>
          </cell>
          <cell r="I1031">
            <v>1190000</v>
          </cell>
          <cell r="J1031">
            <v>1307100</v>
          </cell>
          <cell r="K1031">
            <v>1</v>
          </cell>
          <cell r="L1031">
            <v>0</v>
          </cell>
          <cell r="M1031">
            <v>0</v>
          </cell>
          <cell r="N1031">
            <v>0</v>
          </cell>
          <cell r="O1031">
            <v>0</v>
          </cell>
          <cell r="P1031">
            <v>0</v>
          </cell>
          <cell r="Q1031">
            <v>0</v>
          </cell>
          <cell r="R1031">
            <v>0</v>
          </cell>
          <cell r="S1031">
            <v>0</v>
          </cell>
          <cell r="T1031">
            <v>0</v>
          </cell>
          <cell r="U1031">
            <v>0</v>
          </cell>
          <cell r="V1031">
            <v>1307100</v>
          </cell>
          <cell r="W1031">
            <v>0</v>
          </cell>
          <cell r="X1031" t="str">
            <v/>
          </cell>
          <cell r="Y1031" t="str">
            <v/>
          </cell>
          <cell r="Z1031" t="str">
            <v/>
          </cell>
          <cell r="AA1031" t="str">
            <v/>
          </cell>
          <cell r="AC1031" t="str">
            <v/>
          </cell>
          <cell r="AD1031" t="str">
            <v/>
          </cell>
          <cell r="AE1031" t="str">
            <v/>
          </cell>
          <cell r="AF1031" t="str">
            <v/>
          </cell>
          <cell r="AH1031" t="str">
            <v>②</v>
          </cell>
          <cell r="AI1031" t="str">
            <v/>
          </cell>
          <cell r="AJ1031" t="str">
            <v>追</v>
          </cell>
        </row>
        <row r="1032">
          <cell r="B1032">
            <v>5272</v>
          </cell>
          <cell r="C1032">
            <v>52</v>
          </cell>
          <cell r="D1032">
            <v>72</v>
          </cell>
          <cell r="F1032" t="str">
            <v>多摩本</v>
          </cell>
          <cell r="G1032" t="str">
            <v>給排風機点検(全館)</v>
          </cell>
          <cell r="H1032" t="str">
            <v>東管エンジニアリング</v>
          </cell>
          <cell r="I1032">
            <v>2396000</v>
          </cell>
          <cell r="J1032">
            <v>2586000</v>
          </cell>
          <cell r="K1032">
            <v>1</v>
          </cell>
          <cell r="L1032">
            <v>0</v>
          </cell>
          <cell r="M1032">
            <v>0</v>
          </cell>
          <cell r="N1032">
            <v>0</v>
          </cell>
          <cell r="O1032">
            <v>0</v>
          </cell>
          <cell r="P1032">
            <v>0</v>
          </cell>
          <cell r="Q1032">
            <v>0</v>
          </cell>
          <cell r="R1032">
            <v>2586000</v>
          </cell>
          <cell r="S1032">
            <v>0</v>
          </cell>
          <cell r="T1032">
            <v>0</v>
          </cell>
          <cell r="U1032">
            <v>0</v>
          </cell>
          <cell r="V1032">
            <v>0</v>
          </cell>
          <cell r="W1032">
            <v>0</v>
          </cell>
          <cell r="X1032" t="str">
            <v/>
          </cell>
          <cell r="Y1032" t="str">
            <v/>
          </cell>
          <cell r="AA1032" t="str">
            <v/>
          </cell>
          <cell r="AB1032" t="str">
            <v/>
          </cell>
          <cell r="AD1032" t="str">
            <v>⑩</v>
          </cell>
          <cell r="AE1032" t="str">
            <v/>
          </cell>
          <cell r="AF1032" t="str">
            <v/>
          </cell>
          <cell r="AG1032" t="str">
            <v/>
          </cell>
          <cell r="AH1032" t="str">
            <v/>
          </cell>
          <cell r="AI1032" t="str">
            <v/>
          </cell>
          <cell r="AJ1032" t="str">
            <v>追</v>
          </cell>
        </row>
        <row r="1033">
          <cell r="B1033">
            <v>5273</v>
          </cell>
          <cell r="C1033">
            <v>52</v>
          </cell>
          <cell r="D1033">
            <v>73</v>
          </cell>
          <cell r="F1033" t="str">
            <v>多摩本</v>
          </cell>
          <cell r="G1033" t="str">
            <v>空調機点検(CPU除く本･別館)</v>
          </cell>
          <cell r="H1033" t="str">
            <v>クボタ</v>
          </cell>
          <cell r="I1033">
            <v>830000</v>
          </cell>
          <cell r="J1033">
            <v>913000</v>
          </cell>
          <cell r="K1033">
            <v>1</v>
          </cell>
          <cell r="L1033">
            <v>0</v>
          </cell>
          <cell r="M1033">
            <v>0</v>
          </cell>
          <cell r="N1033">
            <v>0</v>
          </cell>
          <cell r="O1033">
            <v>913000</v>
          </cell>
          <cell r="P1033">
            <v>0</v>
          </cell>
          <cell r="Q1033">
            <v>0</v>
          </cell>
          <cell r="R1033">
            <v>0</v>
          </cell>
          <cell r="S1033">
            <v>0</v>
          </cell>
          <cell r="T1033">
            <v>0</v>
          </cell>
          <cell r="U1033">
            <v>0</v>
          </cell>
          <cell r="V1033">
            <v>0</v>
          </cell>
          <cell r="W1033">
            <v>0</v>
          </cell>
          <cell r="X1033" t="str">
            <v/>
          </cell>
          <cell r="Y1033" t="str">
            <v/>
          </cell>
          <cell r="Z1033" t="str">
            <v/>
          </cell>
          <cell r="AA1033" t="str">
            <v>⑦</v>
          </cell>
          <cell r="AB1033" t="str">
            <v/>
          </cell>
          <cell r="AC1033" t="str">
            <v/>
          </cell>
          <cell r="AD1033" t="str">
            <v/>
          </cell>
          <cell r="AE1033" t="str">
            <v/>
          </cell>
          <cell r="AF1033" t="str">
            <v/>
          </cell>
          <cell r="AG1033" t="str">
            <v/>
          </cell>
          <cell r="AH1033" t="str">
            <v/>
          </cell>
          <cell r="AI1033" t="str">
            <v/>
          </cell>
          <cell r="AJ1033" t="str">
            <v>追</v>
          </cell>
        </row>
        <row r="1034">
          <cell r="B1034">
            <v>5274</v>
          </cell>
          <cell r="C1034">
            <v>52</v>
          </cell>
          <cell r="D1034">
            <v>74</v>
          </cell>
          <cell r="F1034" t="str">
            <v>多摩本</v>
          </cell>
          <cell r="G1034" t="str">
            <v>ﾊﾟｯｹｰｼﾞエアコン点検整備</v>
          </cell>
          <cell r="H1034" t="str">
            <v>東管エンジニアリング</v>
          </cell>
          <cell r="I1034">
            <v>606000</v>
          </cell>
          <cell r="J1034">
            <v>666600</v>
          </cell>
          <cell r="K1034">
            <v>1</v>
          </cell>
          <cell r="L1034">
            <v>0</v>
          </cell>
          <cell r="M1034">
            <v>0</v>
          </cell>
          <cell r="N1034">
            <v>0</v>
          </cell>
          <cell r="O1034">
            <v>666600</v>
          </cell>
          <cell r="P1034">
            <v>0</v>
          </cell>
          <cell r="Q1034">
            <v>0</v>
          </cell>
          <cell r="R1034">
            <v>0</v>
          </cell>
          <cell r="S1034">
            <v>0</v>
          </cell>
          <cell r="T1034">
            <v>0</v>
          </cell>
          <cell r="U1034">
            <v>0</v>
          </cell>
          <cell r="V1034">
            <v>0</v>
          </cell>
          <cell r="W1034">
            <v>0</v>
          </cell>
          <cell r="X1034" t="str">
            <v/>
          </cell>
          <cell r="Y1034" t="str">
            <v/>
          </cell>
          <cell r="AA1034" t="str">
            <v>⑦</v>
          </cell>
          <cell r="AB1034" t="str">
            <v/>
          </cell>
          <cell r="AC1034" t="str">
            <v/>
          </cell>
          <cell r="AD1034" t="str">
            <v/>
          </cell>
          <cell r="AE1034" t="str">
            <v/>
          </cell>
          <cell r="AF1034" t="str">
            <v/>
          </cell>
          <cell r="AG1034" t="str">
            <v/>
          </cell>
          <cell r="AH1034" t="str">
            <v/>
          </cell>
          <cell r="AI1034" t="str">
            <v/>
          </cell>
          <cell r="AJ1034" t="str">
            <v>追</v>
          </cell>
        </row>
        <row r="1035">
          <cell r="B1035">
            <v>5275</v>
          </cell>
          <cell r="C1035">
            <v>52</v>
          </cell>
          <cell r="D1035">
            <v>75</v>
          </cell>
          <cell r="F1035" t="str">
            <v>多摩本</v>
          </cell>
          <cell r="G1035" t="str">
            <v>地震計点検</v>
          </cell>
          <cell r="H1035" t="str">
            <v>明豊ｴﾝｼﾞﾆｱﾘﾝｸﾞ</v>
          </cell>
          <cell r="I1035">
            <v>94000</v>
          </cell>
          <cell r="J1035">
            <v>103400</v>
          </cell>
          <cell r="K1035">
            <v>1</v>
          </cell>
          <cell r="L1035">
            <v>0</v>
          </cell>
          <cell r="M1035">
            <v>0</v>
          </cell>
          <cell r="N1035">
            <v>0</v>
          </cell>
          <cell r="O1035">
            <v>0</v>
          </cell>
          <cell r="P1035">
            <v>0</v>
          </cell>
          <cell r="Q1035">
            <v>0</v>
          </cell>
          <cell r="R1035">
            <v>0</v>
          </cell>
          <cell r="S1035">
            <v>103400</v>
          </cell>
          <cell r="T1035">
            <v>0</v>
          </cell>
          <cell r="U1035">
            <v>0</v>
          </cell>
          <cell r="V1035">
            <v>0</v>
          </cell>
          <cell r="W1035">
            <v>0</v>
          </cell>
          <cell r="X1035" t="str">
            <v/>
          </cell>
          <cell r="Y1035" t="str">
            <v/>
          </cell>
          <cell r="Z1035" t="str">
            <v/>
          </cell>
          <cell r="AA1035" t="str">
            <v/>
          </cell>
          <cell r="AB1035" t="str">
            <v/>
          </cell>
          <cell r="AC1035" t="str">
            <v/>
          </cell>
          <cell r="AE1035" t="str">
            <v>⑪</v>
          </cell>
          <cell r="AF1035" t="str">
            <v/>
          </cell>
          <cell r="AG1035" t="str">
            <v/>
          </cell>
          <cell r="AH1035" t="str">
            <v/>
          </cell>
          <cell r="AI1035" t="str">
            <v/>
          </cell>
          <cell r="AJ1035" t="str">
            <v>追</v>
          </cell>
        </row>
        <row r="1036">
          <cell r="B1036">
            <v>5276</v>
          </cell>
          <cell r="C1036">
            <v>52</v>
          </cell>
          <cell r="D1036">
            <v>76</v>
          </cell>
          <cell r="F1036" t="str">
            <v>多摩本</v>
          </cell>
          <cell r="G1036" t="str">
            <v>ﾌｧﾝｺｲﾙ点検整備(本館･別館)</v>
          </cell>
          <cell r="H1036" t="str">
            <v>新晃アトモス</v>
          </cell>
          <cell r="I1036">
            <v>665000</v>
          </cell>
          <cell r="J1036">
            <v>731500</v>
          </cell>
          <cell r="K1036">
            <v>1</v>
          </cell>
          <cell r="L1036">
            <v>0</v>
          </cell>
          <cell r="M1036">
            <v>0</v>
          </cell>
          <cell r="N1036">
            <v>0</v>
          </cell>
          <cell r="O1036">
            <v>731500</v>
          </cell>
          <cell r="P1036">
            <v>0</v>
          </cell>
          <cell r="Q1036">
            <v>0</v>
          </cell>
          <cell r="R1036">
            <v>0</v>
          </cell>
          <cell r="S1036">
            <v>0</v>
          </cell>
          <cell r="T1036">
            <v>0</v>
          </cell>
          <cell r="U1036">
            <v>0</v>
          </cell>
          <cell r="V1036">
            <v>0</v>
          </cell>
          <cell r="W1036">
            <v>0</v>
          </cell>
          <cell r="X1036" t="str">
            <v/>
          </cell>
          <cell r="Y1036" t="str">
            <v/>
          </cell>
          <cell r="AA1036" t="str">
            <v>⑦</v>
          </cell>
          <cell r="AB1036" t="str">
            <v/>
          </cell>
          <cell r="AD1036" t="str">
            <v/>
          </cell>
          <cell r="AE1036" t="str">
            <v/>
          </cell>
          <cell r="AF1036" t="str">
            <v/>
          </cell>
          <cell r="AG1036" t="str">
            <v/>
          </cell>
          <cell r="AH1036" t="str">
            <v/>
          </cell>
          <cell r="AI1036" t="str">
            <v/>
          </cell>
          <cell r="AJ1036" t="str">
            <v>追</v>
          </cell>
        </row>
        <row r="1037">
          <cell r="B1037">
            <v>5277</v>
          </cell>
          <cell r="C1037">
            <v>52</v>
          </cell>
          <cell r="D1037">
            <v>77</v>
          </cell>
          <cell r="F1037" t="str">
            <v>多摩本</v>
          </cell>
          <cell r="G1037" t="str">
            <v>本館全熱交換機整備</v>
          </cell>
          <cell r="H1037" t="str">
            <v>新日本ｻｰﾓﾗﾝｸﾞ</v>
          </cell>
          <cell r="I1037">
            <v>210000</v>
          </cell>
          <cell r="J1037">
            <v>231000</v>
          </cell>
          <cell r="K1037">
            <v>1</v>
          </cell>
          <cell r="L1037">
            <v>0</v>
          </cell>
          <cell r="M1037">
            <v>0</v>
          </cell>
          <cell r="N1037">
            <v>0</v>
          </cell>
          <cell r="O1037">
            <v>231000</v>
          </cell>
          <cell r="P1037">
            <v>0</v>
          </cell>
          <cell r="Q1037">
            <v>0</v>
          </cell>
          <cell r="R1037">
            <v>0</v>
          </cell>
          <cell r="S1037">
            <v>0</v>
          </cell>
          <cell r="T1037">
            <v>0</v>
          </cell>
          <cell r="U1037">
            <v>0</v>
          </cell>
          <cell r="V1037">
            <v>0</v>
          </cell>
          <cell r="W1037">
            <v>0</v>
          </cell>
          <cell r="X1037" t="str">
            <v/>
          </cell>
          <cell r="Y1037" t="str">
            <v/>
          </cell>
          <cell r="AA1037" t="str">
            <v>⑦</v>
          </cell>
          <cell r="AB1037" t="str">
            <v/>
          </cell>
          <cell r="AD1037" t="str">
            <v/>
          </cell>
          <cell r="AE1037" t="str">
            <v/>
          </cell>
          <cell r="AF1037" t="str">
            <v/>
          </cell>
          <cell r="AG1037" t="str">
            <v/>
          </cell>
          <cell r="AH1037" t="str">
            <v/>
          </cell>
          <cell r="AI1037" t="str">
            <v/>
          </cell>
          <cell r="AJ1037" t="str">
            <v>追</v>
          </cell>
        </row>
        <row r="1038">
          <cell r="B1038">
            <v>5278</v>
          </cell>
          <cell r="C1038">
            <v>52</v>
          </cell>
          <cell r="D1038">
            <v>78</v>
          </cell>
          <cell r="F1038" t="str">
            <v>多摩本</v>
          </cell>
          <cell r="G1038" t="str">
            <v>機械式駐車場設備保守</v>
          </cell>
          <cell r="H1038" t="str">
            <v>石川島運搬機械</v>
          </cell>
          <cell r="I1038">
            <v>160000</v>
          </cell>
          <cell r="J1038">
            <v>176000</v>
          </cell>
          <cell r="K1038">
            <v>2</v>
          </cell>
          <cell r="L1038">
            <v>0</v>
          </cell>
          <cell r="M1038">
            <v>0</v>
          </cell>
          <cell r="N1038">
            <v>176000</v>
          </cell>
          <cell r="O1038">
            <v>0</v>
          </cell>
          <cell r="P1038">
            <v>0</v>
          </cell>
          <cell r="Q1038">
            <v>0</v>
          </cell>
          <cell r="R1038">
            <v>0</v>
          </cell>
          <cell r="S1038">
            <v>0</v>
          </cell>
          <cell r="T1038">
            <v>176000</v>
          </cell>
          <cell r="U1038">
            <v>0</v>
          </cell>
          <cell r="V1038">
            <v>0</v>
          </cell>
          <cell r="W1038">
            <v>0</v>
          </cell>
          <cell r="X1038" t="str">
            <v/>
          </cell>
          <cell r="Y1038" t="str">
            <v/>
          </cell>
          <cell r="Z1038" t="str">
            <v>⑥</v>
          </cell>
          <cell r="AA1038" t="str">
            <v/>
          </cell>
          <cell r="AB1038" t="str">
            <v/>
          </cell>
          <cell r="AC1038" t="str">
            <v/>
          </cell>
          <cell r="AE1038" t="str">
            <v/>
          </cell>
          <cell r="AF1038" t="str">
            <v>⑫</v>
          </cell>
          <cell r="AG1038" t="str">
            <v/>
          </cell>
          <cell r="AH1038" t="str">
            <v/>
          </cell>
          <cell r="AI1038" t="str">
            <v/>
          </cell>
          <cell r="AJ1038" t="str">
            <v>追</v>
          </cell>
        </row>
        <row r="1039">
          <cell r="B1039">
            <v>5301</v>
          </cell>
          <cell r="C1039">
            <v>53</v>
          </cell>
          <cell r="D1039">
            <v>1</v>
          </cell>
          <cell r="F1039" t="str">
            <v>多摩別</v>
          </cell>
          <cell r="G1039" t="str">
            <v>シャッター設備保守</v>
          </cell>
          <cell r="H1039" t="str">
            <v>文化シャッターｻｰﾋﾞｽ</v>
          </cell>
          <cell r="I1039">
            <v>77000</v>
          </cell>
          <cell r="J1039">
            <v>78540</v>
          </cell>
          <cell r="K1039">
            <v>2</v>
          </cell>
          <cell r="L1039">
            <v>0</v>
          </cell>
          <cell r="M1039">
            <v>0</v>
          </cell>
          <cell r="N1039">
            <v>0</v>
          </cell>
          <cell r="O1039">
            <v>78540</v>
          </cell>
          <cell r="P1039">
            <v>0</v>
          </cell>
          <cell r="Q1039">
            <v>0</v>
          </cell>
          <cell r="R1039">
            <v>0</v>
          </cell>
          <cell r="S1039">
            <v>0</v>
          </cell>
          <cell r="T1039">
            <v>0</v>
          </cell>
          <cell r="U1039">
            <v>78540</v>
          </cell>
          <cell r="V1039">
            <v>0</v>
          </cell>
          <cell r="W1039">
            <v>0</v>
          </cell>
          <cell r="X1039" t="str">
            <v/>
          </cell>
          <cell r="Y1039" t="str">
            <v/>
          </cell>
          <cell r="Z1039" t="str">
            <v/>
          </cell>
          <cell r="AA1039" t="str">
            <v>⑦</v>
          </cell>
          <cell r="AB1039" t="str">
            <v/>
          </cell>
          <cell r="AC1039" t="str">
            <v/>
          </cell>
          <cell r="AD1039" t="str">
            <v/>
          </cell>
          <cell r="AE1039" t="str">
            <v/>
          </cell>
          <cell r="AF1039" t="str">
            <v/>
          </cell>
          <cell r="AG1039" t="str">
            <v>①</v>
          </cell>
          <cell r="AH1039" t="str">
            <v/>
          </cell>
          <cell r="AI1039" t="str">
            <v/>
          </cell>
        </row>
        <row r="1040">
          <cell r="B1040">
            <v>5302</v>
          </cell>
          <cell r="C1040">
            <v>53</v>
          </cell>
          <cell r="D1040">
            <v>2</v>
          </cell>
          <cell r="F1040" t="str">
            <v>多摩別</v>
          </cell>
          <cell r="G1040" t="str">
            <v>植栽管理</v>
          </cell>
          <cell r="H1040" t="str">
            <v>電発環境緑化センター</v>
          </cell>
          <cell r="I1040">
            <v>43800</v>
          </cell>
          <cell r="J1040">
            <v>46920</v>
          </cell>
          <cell r="K1040">
            <v>12</v>
          </cell>
          <cell r="L1040">
            <v>46920</v>
          </cell>
          <cell r="M1040">
            <v>46920</v>
          </cell>
          <cell r="N1040">
            <v>46920</v>
          </cell>
          <cell r="O1040">
            <v>46920</v>
          </cell>
          <cell r="P1040">
            <v>46920</v>
          </cell>
          <cell r="Q1040">
            <v>46920</v>
          </cell>
          <cell r="R1040">
            <v>46920</v>
          </cell>
          <cell r="S1040">
            <v>46920</v>
          </cell>
          <cell r="T1040">
            <v>46920</v>
          </cell>
          <cell r="U1040">
            <v>46920</v>
          </cell>
          <cell r="V1040">
            <v>46920</v>
          </cell>
          <cell r="W1040">
            <v>46920</v>
          </cell>
          <cell r="X1040" t="str">
            <v>④</v>
          </cell>
          <cell r="Y1040" t="str">
            <v>⑤</v>
          </cell>
          <cell r="Z1040" t="str">
            <v>⑥</v>
          </cell>
          <cell r="AA1040" t="str">
            <v>⑦</v>
          </cell>
          <cell r="AB1040" t="str">
            <v>⑧</v>
          </cell>
          <cell r="AC1040" t="str">
            <v>⑨</v>
          </cell>
          <cell r="AD1040" t="str">
            <v>⑩</v>
          </cell>
          <cell r="AE1040" t="str">
            <v>⑪</v>
          </cell>
          <cell r="AF1040" t="str">
            <v>⑫</v>
          </cell>
          <cell r="AG1040" t="str">
            <v>①</v>
          </cell>
          <cell r="AH1040" t="str">
            <v>②</v>
          </cell>
          <cell r="AI1040" t="str">
            <v>③</v>
          </cell>
          <cell r="AJ1040" t="str">
            <v>変</v>
          </cell>
        </row>
        <row r="1041">
          <cell r="B1041">
            <v>5303</v>
          </cell>
          <cell r="C1041">
            <v>53</v>
          </cell>
          <cell r="D1041">
            <v>3</v>
          </cell>
          <cell r="F1041" t="str">
            <v>多摩別</v>
          </cell>
          <cell r="G1041" t="str">
            <v>シャッター設備保守</v>
          </cell>
          <cell r="H1041" t="str">
            <v>三和シャッター工業</v>
          </cell>
          <cell r="I1041">
            <v>183000</v>
          </cell>
          <cell r="J1041">
            <v>186660</v>
          </cell>
          <cell r="K1041">
            <v>2</v>
          </cell>
          <cell r="L1041">
            <v>0</v>
          </cell>
          <cell r="M1041">
            <v>0</v>
          </cell>
          <cell r="N1041">
            <v>0</v>
          </cell>
          <cell r="O1041">
            <v>186660</v>
          </cell>
          <cell r="P1041">
            <v>0</v>
          </cell>
          <cell r="Q1041">
            <v>0</v>
          </cell>
          <cell r="R1041">
            <v>0</v>
          </cell>
          <cell r="S1041">
            <v>0</v>
          </cell>
          <cell r="T1041">
            <v>0</v>
          </cell>
          <cell r="U1041">
            <v>186660</v>
          </cell>
          <cell r="V1041">
            <v>0</v>
          </cell>
          <cell r="W1041">
            <v>0</v>
          </cell>
          <cell r="X1041" t="str">
            <v/>
          </cell>
          <cell r="Y1041" t="str">
            <v/>
          </cell>
          <cell r="Z1041" t="str">
            <v/>
          </cell>
          <cell r="AA1041" t="str">
            <v>⑦</v>
          </cell>
          <cell r="AB1041" t="str">
            <v/>
          </cell>
          <cell r="AC1041" t="str">
            <v/>
          </cell>
          <cell r="AD1041" t="str">
            <v/>
          </cell>
          <cell r="AE1041" t="str">
            <v/>
          </cell>
          <cell r="AF1041" t="str">
            <v/>
          </cell>
          <cell r="AG1041" t="str">
            <v>①</v>
          </cell>
          <cell r="AH1041" t="str">
            <v/>
          </cell>
          <cell r="AI1041" t="str">
            <v/>
          </cell>
        </row>
        <row r="1042">
          <cell r="B1042">
            <v>5304</v>
          </cell>
          <cell r="C1042">
            <v>53</v>
          </cell>
          <cell r="D1042">
            <v>4</v>
          </cell>
          <cell r="F1042" t="str">
            <v>多摩別</v>
          </cell>
          <cell r="G1042" t="str">
            <v>中央監視装置保守(電気)</v>
          </cell>
          <cell r="H1042" t="str">
            <v>三菱電機ﾌﾟﾗﾝﾄｴﾝｼﾞﾆｱﾘﾝｸﾞ</v>
          </cell>
          <cell r="I1042">
            <v>1350000</v>
          </cell>
          <cell r="J1042">
            <v>1377000</v>
          </cell>
          <cell r="K1042">
            <v>1</v>
          </cell>
          <cell r="L1042">
            <v>0</v>
          </cell>
          <cell r="M1042">
            <v>0</v>
          </cell>
          <cell r="N1042">
            <v>0</v>
          </cell>
          <cell r="O1042">
            <v>0</v>
          </cell>
          <cell r="P1042">
            <v>0</v>
          </cell>
          <cell r="Q1042">
            <v>0</v>
          </cell>
          <cell r="R1042">
            <v>0</v>
          </cell>
          <cell r="S1042">
            <v>0</v>
          </cell>
          <cell r="T1042">
            <v>0</v>
          </cell>
          <cell r="U1042">
            <v>1377000</v>
          </cell>
          <cell r="V1042">
            <v>0</v>
          </cell>
          <cell r="W1042">
            <v>0</v>
          </cell>
          <cell r="X1042" t="str">
            <v/>
          </cell>
          <cell r="Y1042" t="str">
            <v/>
          </cell>
          <cell r="Z1042" t="str">
            <v/>
          </cell>
          <cell r="AA1042" t="str">
            <v/>
          </cell>
          <cell r="AB1042" t="str">
            <v/>
          </cell>
          <cell r="AC1042" t="str">
            <v/>
          </cell>
          <cell r="AD1042" t="str">
            <v/>
          </cell>
          <cell r="AE1042" t="str">
            <v/>
          </cell>
          <cell r="AF1042" t="str">
            <v/>
          </cell>
          <cell r="AG1042" t="str">
            <v>①</v>
          </cell>
          <cell r="AH1042" t="str">
            <v/>
          </cell>
          <cell r="AI1042" t="str">
            <v/>
          </cell>
        </row>
        <row r="1043">
          <cell r="B1043">
            <v>5305</v>
          </cell>
          <cell r="C1043">
            <v>53</v>
          </cell>
          <cell r="D1043">
            <v>5</v>
          </cell>
          <cell r="F1043" t="str">
            <v>多摩別</v>
          </cell>
          <cell r="G1043" t="str">
            <v>無停電電源装置設備保守</v>
          </cell>
          <cell r="H1043" t="str">
            <v>三菱電機ﾌﾟﾗﾝﾄｴﾝｼﾞﾆｱﾘﾝｸﾞ</v>
          </cell>
          <cell r="I1043">
            <v>482000</v>
          </cell>
          <cell r="J1043">
            <v>491640</v>
          </cell>
          <cell r="K1043">
            <v>1</v>
          </cell>
          <cell r="L1043">
            <v>0</v>
          </cell>
          <cell r="M1043">
            <v>0</v>
          </cell>
          <cell r="N1043">
            <v>0</v>
          </cell>
          <cell r="O1043">
            <v>491640</v>
          </cell>
          <cell r="P1043">
            <v>0</v>
          </cell>
          <cell r="Q1043">
            <v>0</v>
          </cell>
          <cell r="R1043">
            <v>0</v>
          </cell>
          <cell r="S1043">
            <v>0</v>
          </cell>
          <cell r="T1043">
            <v>0</v>
          </cell>
          <cell r="U1043">
            <v>0</v>
          </cell>
          <cell r="V1043">
            <v>0</v>
          </cell>
          <cell r="W1043">
            <v>0</v>
          </cell>
          <cell r="X1043" t="str">
            <v/>
          </cell>
          <cell r="Y1043" t="str">
            <v/>
          </cell>
          <cell r="Z1043" t="str">
            <v/>
          </cell>
          <cell r="AA1043" t="str">
            <v>⑦</v>
          </cell>
          <cell r="AB1043" t="str">
            <v/>
          </cell>
          <cell r="AC1043" t="str">
            <v/>
          </cell>
          <cell r="AD1043" t="str">
            <v/>
          </cell>
          <cell r="AE1043" t="str">
            <v/>
          </cell>
          <cell r="AF1043" t="str">
            <v/>
          </cell>
          <cell r="AG1043" t="str">
            <v/>
          </cell>
          <cell r="AH1043" t="str">
            <v/>
          </cell>
          <cell r="AI1043" t="str">
            <v/>
          </cell>
        </row>
        <row r="1044">
          <cell r="B1044">
            <v>5306</v>
          </cell>
          <cell r="C1044">
            <v>53</v>
          </cell>
          <cell r="D1044">
            <v>6</v>
          </cell>
          <cell r="F1044" t="str">
            <v>多摩別</v>
          </cell>
          <cell r="G1044" t="str">
            <v>無停電電源装置設備保守</v>
          </cell>
          <cell r="H1044" t="str">
            <v>三菱電機ﾌﾟﾗﾝﾄｴﾝｼﾞﾆｱﾘﾝｸﾞ</v>
          </cell>
          <cell r="I1044">
            <v>84000</v>
          </cell>
          <cell r="J1044">
            <v>85680</v>
          </cell>
          <cell r="K1044">
            <v>1</v>
          </cell>
          <cell r="L1044">
            <v>0</v>
          </cell>
          <cell r="M1044">
            <v>0</v>
          </cell>
          <cell r="N1044">
            <v>0</v>
          </cell>
          <cell r="O1044">
            <v>0</v>
          </cell>
          <cell r="P1044">
            <v>0</v>
          </cell>
          <cell r="Q1044">
            <v>0</v>
          </cell>
          <cell r="R1044">
            <v>0</v>
          </cell>
          <cell r="S1044">
            <v>85680</v>
          </cell>
          <cell r="T1044">
            <v>0</v>
          </cell>
          <cell r="U1044">
            <v>0</v>
          </cell>
          <cell r="V1044">
            <v>0</v>
          </cell>
          <cell r="W1044">
            <v>0</v>
          </cell>
          <cell r="X1044" t="str">
            <v/>
          </cell>
          <cell r="Y1044" t="str">
            <v/>
          </cell>
          <cell r="Z1044" t="str">
            <v/>
          </cell>
          <cell r="AA1044" t="str">
            <v/>
          </cell>
          <cell r="AB1044" t="str">
            <v/>
          </cell>
          <cell r="AC1044" t="str">
            <v/>
          </cell>
          <cell r="AD1044" t="str">
            <v/>
          </cell>
          <cell r="AE1044" t="str">
            <v>⑪</v>
          </cell>
          <cell r="AF1044" t="str">
            <v/>
          </cell>
          <cell r="AG1044" t="str">
            <v/>
          </cell>
          <cell r="AH1044" t="str">
            <v/>
          </cell>
          <cell r="AI1044" t="str">
            <v/>
          </cell>
        </row>
        <row r="1045">
          <cell r="B1045">
            <v>5307</v>
          </cell>
          <cell r="C1045">
            <v>53</v>
          </cell>
          <cell r="D1045">
            <v>7</v>
          </cell>
          <cell r="F1045" t="str">
            <v>多摩別</v>
          </cell>
          <cell r="G1045" t="str">
            <v>無停電電源装置設備保守</v>
          </cell>
          <cell r="H1045" t="str">
            <v>三菱電機ﾌﾟﾗﾝﾄｴﾝｼﾞﾆｱﾘﾝｸﾞ</v>
          </cell>
          <cell r="I1045">
            <v>1594000</v>
          </cell>
          <cell r="J1045">
            <v>1625880</v>
          </cell>
          <cell r="K1045">
            <v>1</v>
          </cell>
          <cell r="L1045">
            <v>0</v>
          </cell>
          <cell r="M1045">
            <v>0</v>
          </cell>
          <cell r="N1045">
            <v>0</v>
          </cell>
          <cell r="O1045">
            <v>0</v>
          </cell>
          <cell r="P1045">
            <v>0</v>
          </cell>
          <cell r="Q1045">
            <v>0</v>
          </cell>
          <cell r="R1045">
            <v>0</v>
          </cell>
          <cell r="S1045">
            <v>0</v>
          </cell>
          <cell r="T1045">
            <v>0</v>
          </cell>
          <cell r="U1045">
            <v>1625880</v>
          </cell>
          <cell r="V1045">
            <v>0</v>
          </cell>
          <cell r="W1045">
            <v>0</v>
          </cell>
          <cell r="X1045" t="str">
            <v/>
          </cell>
          <cell r="Y1045" t="str">
            <v/>
          </cell>
          <cell r="Z1045" t="str">
            <v/>
          </cell>
          <cell r="AA1045" t="str">
            <v/>
          </cell>
          <cell r="AB1045" t="str">
            <v/>
          </cell>
          <cell r="AC1045" t="str">
            <v/>
          </cell>
          <cell r="AD1045" t="str">
            <v/>
          </cell>
          <cell r="AE1045" t="str">
            <v/>
          </cell>
          <cell r="AF1045" t="str">
            <v/>
          </cell>
          <cell r="AG1045" t="str">
            <v>①</v>
          </cell>
          <cell r="AH1045" t="str">
            <v/>
          </cell>
          <cell r="AI1045" t="str">
            <v/>
          </cell>
        </row>
        <row r="1046">
          <cell r="B1046">
            <v>5308</v>
          </cell>
          <cell r="C1046">
            <v>53</v>
          </cell>
          <cell r="D1046">
            <v>8</v>
          </cell>
          <cell r="F1046" t="str">
            <v>多摩別</v>
          </cell>
          <cell r="G1046" t="str">
            <v>昇降機設備保守</v>
          </cell>
          <cell r="H1046" t="str">
            <v>三菱電機ﾋﾞﾙﾃｸﾉｻｰﾋﾞｽ</v>
          </cell>
          <cell r="I1046">
            <v>289900</v>
          </cell>
          <cell r="J1046">
            <v>295698</v>
          </cell>
          <cell r="K1046">
            <v>12</v>
          </cell>
          <cell r="L1046">
            <v>295698</v>
          </cell>
          <cell r="M1046">
            <v>295698</v>
          </cell>
          <cell r="N1046">
            <v>295698</v>
          </cell>
          <cell r="O1046">
            <v>295698</v>
          </cell>
          <cell r="P1046">
            <v>295698</v>
          </cell>
          <cell r="Q1046">
            <v>295698</v>
          </cell>
          <cell r="R1046">
            <v>295698</v>
          </cell>
          <cell r="S1046">
            <v>295698</v>
          </cell>
          <cell r="T1046">
            <v>295698</v>
          </cell>
          <cell r="U1046">
            <v>295698</v>
          </cell>
          <cell r="V1046">
            <v>295698</v>
          </cell>
          <cell r="W1046">
            <v>295698</v>
          </cell>
          <cell r="X1046" t="str">
            <v>④</v>
          </cell>
          <cell r="Y1046" t="str">
            <v>⑤</v>
          </cell>
          <cell r="Z1046" t="str">
            <v>⑥</v>
          </cell>
          <cell r="AA1046" t="str">
            <v>⑦</v>
          </cell>
          <cell r="AB1046" t="str">
            <v>⑧</v>
          </cell>
          <cell r="AC1046" t="str">
            <v>⑨</v>
          </cell>
          <cell r="AD1046" t="str">
            <v>⑩</v>
          </cell>
          <cell r="AE1046" t="str">
            <v>⑪</v>
          </cell>
          <cell r="AF1046" t="str">
            <v>⑫</v>
          </cell>
          <cell r="AG1046" t="str">
            <v>①</v>
          </cell>
          <cell r="AH1046" t="str">
            <v>②</v>
          </cell>
          <cell r="AI1046" t="str">
            <v>③</v>
          </cell>
        </row>
        <row r="1047">
          <cell r="B1047">
            <v>5309</v>
          </cell>
          <cell r="C1047">
            <v>53</v>
          </cell>
          <cell r="D1047">
            <v>9</v>
          </cell>
          <cell r="F1047" t="str">
            <v>多摩別</v>
          </cell>
          <cell r="G1047" t="str">
            <v>ＩＴＶ設備保守</v>
          </cell>
          <cell r="H1047" t="str">
            <v>三菱電機ﾋﾞﾙﾃｸﾉｻｰﾋﾞｽ</v>
          </cell>
          <cell r="I1047">
            <v>265000</v>
          </cell>
          <cell r="J1047">
            <v>270300</v>
          </cell>
          <cell r="K1047">
            <v>2</v>
          </cell>
          <cell r="L1047">
            <v>0</v>
          </cell>
          <cell r="M1047">
            <v>0</v>
          </cell>
          <cell r="N1047">
            <v>270300</v>
          </cell>
          <cell r="O1047">
            <v>0</v>
          </cell>
          <cell r="P1047">
            <v>0</v>
          </cell>
          <cell r="Q1047">
            <v>0</v>
          </cell>
          <cell r="R1047">
            <v>0</v>
          </cell>
          <cell r="S1047">
            <v>0</v>
          </cell>
          <cell r="T1047">
            <v>270300</v>
          </cell>
          <cell r="U1047">
            <v>0</v>
          </cell>
          <cell r="V1047">
            <v>0</v>
          </cell>
          <cell r="W1047">
            <v>0</v>
          </cell>
          <cell r="X1047" t="str">
            <v/>
          </cell>
          <cell r="Y1047" t="str">
            <v/>
          </cell>
          <cell r="Z1047" t="str">
            <v>⑥</v>
          </cell>
          <cell r="AA1047" t="str">
            <v/>
          </cell>
          <cell r="AB1047" t="str">
            <v/>
          </cell>
          <cell r="AC1047" t="str">
            <v/>
          </cell>
          <cell r="AD1047" t="str">
            <v/>
          </cell>
          <cell r="AE1047" t="str">
            <v/>
          </cell>
          <cell r="AF1047" t="str">
            <v>⑫</v>
          </cell>
          <cell r="AG1047" t="str">
            <v/>
          </cell>
          <cell r="AH1047" t="str">
            <v/>
          </cell>
          <cell r="AI1047" t="str">
            <v/>
          </cell>
        </row>
        <row r="1048">
          <cell r="B1048">
            <v>5310</v>
          </cell>
          <cell r="C1048">
            <v>53</v>
          </cell>
          <cell r="D1048">
            <v>10</v>
          </cell>
          <cell r="F1048" t="str">
            <v>多摩別</v>
          </cell>
          <cell r="G1048" t="str">
            <v>機械式駐車場設備保守</v>
          </cell>
          <cell r="H1048" t="str">
            <v>三菱重工ﾊﾟｰｷﾝｸﾞ建設</v>
          </cell>
          <cell r="I1048">
            <v>177000</v>
          </cell>
          <cell r="J1048">
            <v>194700</v>
          </cell>
          <cell r="K1048">
            <v>2</v>
          </cell>
          <cell r="L1048">
            <v>0</v>
          </cell>
          <cell r="M1048">
            <v>0</v>
          </cell>
          <cell r="N1048">
            <v>0</v>
          </cell>
          <cell r="O1048">
            <v>194700</v>
          </cell>
          <cell r="P1048">
            <v>0</v>
          </cell>
          <cell r="Q1048">
            <v>0</v>
          </cell>
          <cell r="R1048">
            <v>0</v>
          </cell>
          <cell r="S1048">
            <v>0</v>
          </cell>
          <cell r="T1048">
            <v>194700</v>
          </cell>
          <cell r="U1048">
            <v>0</v>
          </cell>
          <cell r="V1048">
            <v>0</v>
          </cell>
          <cell r="W1048">
            <v>0</v>
          </cell>
          <cell r="X1048" t="str">
            <v/>
          </cell>
          <cell r="Y1048" t="str">
            <v/>
          </cell>
          <cell r="Z1048" t="str">
            <v/>
          </cell>
          <cell r="AA1048" t="str">
            <v>⑦</v>
          </cell>
          <cell r="AB1048" t="str">
            <v/>
          </cell>
          <cell r="AC1048" t="str">
            <v/>
          </cell>
          <cell r="AD1048" t="str">
            <v/>
          </cell>
          <cell r="AE1048" t="str">
            <v/>
          </cell>
          <cell r="AF1048" t="str">
            <v>⑫</v>
          </cell>
          <cell r="AG1048" t="str">
            <v/>
          </cell>
          <cell r="AH1048" t="str">
            <v/>
          </cell>
          <cell r="AI1048" t="str">
            <v/>
          </cell>
        </row>
        <row r="1049">
          <cell r="B1049">
            <v>5311</v>
          </cell>
          <cell r="C1049">
            <v>53</v>
          </cell>
          <cell r="D1049">
            <v>11</v>
          </cell>
          <cell r="F1049" t="str">
            <v>多摩別</v>
          </cell>
          <cell r="G1049" t="str">
            <v>立体駐車場設備保守</v>
          </cell>
          <cell r="H1049" t="str">
            <v>三菱重工ﾊﾟｰｷﾝｸﾞ建設</v>
          </cell>
          <cell r="I1049">
            <v>213000</v>
          </cell>
          <cell r="J1049">
            <v>234300</v>
          </cell>
          <cell r="K1049">
            <v>2</v>
          </cell>
          <cell r="L1049">
            <v>0</v>
          </cell>
          <cell r="M1049">
            <v>0</v>
          </cell>
          <cell r="N1049">
            <v>0</v>
          </cell>
          <cell r="O1049">
            <v>234300</v>
          </cell>
          <cell r="P1049">
            <v>0</v>
          </cell>
          <cell r="Q1049">
            <v>0</v>
          </cell>
          <cell r="R1049">
            <v>0</v>
          </cell>
          <cell r="S1049">
            <v>0</v>
          </cell>
          <cell r="T1049">
            <v>234300</v>
          </cell>
          <cell r="U1049">
            <v>0</v>
          </cell>
          <cell r="V1049">
            <v>0</v>
          </cell>
          <cell r="W1049">
            <v>0</v>
          </cell>
          <cell r="X1049" t="str">
            <v/>
          </cell>
          <cell r="Y1049" t="str">
            <v/>
          </cell>
          <cell r="Z1049" t="str">
            <v/>
          </cell>
          <cell r="AA1049" t="str">
            <v>⑦</v>
          </cell>
          <cell r="AB1049" t="str">
            <v/>
          </cell>
          <cell r="AC1049" t="str">
            <v/>
          </cell>
          <cell r="AD1049" t="str">
            <v/>
          </cell>
          <cell r="AE1049" t="str">
            <v/>
          </cell>
          <cell r="AF1049" t="str">
            <v>⑫</v>
          </cell>
          <cell r="AG1049" t="str">
            <v/>
          </cell>
          <cell r="AH1049" t="str">
            <v/>
          </cell>
          <cell r="AI1049" t="str">
            <v/>
          </cell>
        </row>
        <row r="1050">
          <cell r="B1050">
            <v>5312</v>
          </cell>
          <cell r="C1050">
            <v>53</v>
          </cell>
          <cell r="D1050">
            <v>12</v>
          </cell>
          <cell r="F1050" t="str">
            <v>多摩別</v>
          </cell>
          <cell r="G1050" t="str">
            <v>駐車場管制装置保守点検</v>
          </cell>
          <cell r="H1050" t="str">
            <v>三菱プレシジョン</v>
          </cell>
          <cell r="I1050">
            <v>313000</v>
          </cell>
          <cell r="J1050">
            <v>321300</v>
          </cell>
          <cell r="K1050">
            <v>2</v>
          </cell>
          <cell r="L1050">
            <v>0</v>
          </cell>
          <cell r="M1050">
            <v>0</v>
          </cell>
          <cell r="N1050">
            <v>0</v>
          </cell>
          <cell r="O1050">
            <v>321300</v>
          </cell>
          <cell r="P1050">
            <v>0</v>
          </cell>
          <cell r="Q1050">
            <v>0</v>
          </cell>
          <cell r="R1050">
            <v>0</v>
          </cell>
          <cell r="S1050">
            <v>0</v>
          </cell>
          <cell r="T1050">
            <v>0</v>
          </cell>
          <cell r="U1050">
            <v>321300</v>
          </cell>
          <cell r="V1050">
            <v>0</v>
          </cell>
          <cell r="W1050">
            <v>0</v>
          </cell>
          <cell r="X1050" t="str">
            <v/>
          </cell>
          <cell r="Y1050" t="str">
            <v/>
          </cell>
          <cell r="Z1050" t="str">
            <v/>
          </cell>
          <cell r="AA1050" t="str">
            <v>⑦</v>
          </cell>
          <cell r="AB1050" t="str">
            <v/>
          </cell>
          <cell r="AC1050" t="str">
            <v/>
          </cell>
          <cell r="AD1050" t="str">
            <v/>
          </cell>
          <cell r="AE1050" t="str">
            <v/>
          </cell>
          <cell r="AF1050" t="str">
            <v/>
          </cell>
          <cell r="AG1050" t="str">
            <v>①</v>
          </cell>
          <cell r="AH1050" t="str">
            <v/>
          </cell>
          <cell r="AI1050" t="str">
            <v/>
          </cell>
          <cell r="AJ1050" t="str">
            <v>変</v>
          </cell>
        </row>
        <row r="1051">
          <cell r="B1051">
            <v>5313</v>
          </cell>
          <cell r="C1051">
            <v>53</v>
          </cell>
          <cell r="D1051">
            <v>13</v>
          </cell>
          <cell r="F1051" t="str">
            <v>多摩別</v>
          </cell>
          <cell r="G1051" t="str">
            <v>汚水･雑排水槽清掃</v>
          </cell>
          <cell r="H1051" t="str">
            <v>五十嵐商会</v>
          </cell>
          <cell r="I1051">
            <v>122400</v>
          </cell>
          <cell r="J1051">
            <v>140080</v>
          </cell>
          <cell r="K1051">
            <v>3</v>
          </cell>
          <cell r="L1051">
            <v>0</v>
          </cell>
          <cell r="M1051">
            <v>0</v>
          </cell>
          <cell r="N1051">
            <v>140080</v>
          </cell>
          <cell r="O1051">
            <v>0</v>
          </cell>
          <cell r="P1051">
            <v>0</v>
          </cell>
          <cell r="Q1051">
            <v>0</v>
          </cell>
          <cell r="R1051">
            <v>140080</v>
          </cell>
          <cell r="S1051">
            <v>0</v>
          </cell>
          <cell r="T1051">
            <v>0</v>
          </cell>
          <cell r="U1051">
            <v>0</v>
          </cell>
          <cell r="V1051">
            <v>140080</v>
          </cell>
          <cell r="W1051">
            <v>0</v>
          </cell>
          <cell r="X1051" t="str">
            <v/>
          </cell>
          <cell r="Y1051" t="str">
            <v/>
          </cell>
          <cell r="Z1051" t="str">
            <v>⑥</v>
          </cell>
          <cell r="AA1051" t="str">
            <v/>
          </cell>
          <cell r="AB1051" t="str">
            <v/>
          </cell>
          <cell r="AC1051" t="str">
            <v/>
          </cell>
          <cell r="AD1051" t="str">
            <v>⑩</v>
          </cell>
          <cell r="AE1051" t="str">
            <v/>
          </cell>
          <cell r="AF1051" t="str">
            <v/>
          </cell>
          <cell r="AG1051" t="str">
            <v/>
          </cell>
          <cell r="AH1051" t="str">
            <v>②</v>
          </cell>
          <cell r="AI1051" t="str">
            <v/>
          </cell>
          <cell r="AJ1051" t="str">
            <v>変</v>
          </cell>
        </row>
        <row r="1052">
          <cell r="B1052">
            <v>5314</v>
          </cell>
          <cell r="C1052">
            <v>53</v>
          </cell>
          <cell r="D1052">
            <v>14</v>
          </cell>
          <cell r="F1052" t="str">
            <v>多摩別</v>
          </cell>
          <cell r="G1052" t="str">
            <v>植栽管理</v>
          </cell>
          <cell r="H1052" t="str">
            <v>王子緑化</v>
          </cell>
          <cell r="I1052">
            <v>87000</v>
          </cell>
          <cell r="J1052">
            <v>93220</v>
          </cell>
          <cell r="K1052">
            <v>12</v>
          </cell>
          <cell r="L1052">
            <v>93220</v>
          </cell>
          <cell r="M1052">
            <v>93220</v>
          </cell>
          <cell r="N1052">
            <v>93220</v>
          </cell>
          <cell r="O1052">
            <v>93220</v>
          </cell>
          <cell r="P1052">
            <v>93220</v>
          </cell>
          <cell r="Q1052">
            <v>93220</v>
          </cell>
          <cell r="R1052">
            <v>93220</v>
          </cell>
          <cell r="S1052">
            <v>93220</v>
          </cell>
          <cell r="T1052">
            <v>93220</v>
          </cell>
          <cell r="U1052">
            <v>93220</v>
          </cell>
          <cell r="V1052">
            <v>93220</v>
          </cell>
          <cell r="W1052">
            <v>93220</v>
          </cell>
          <cell r="X1052" t="str">
            <v>④</v>
          </cell>
          <cell r="Y1052" t="str">
            <v>⑤</v>
          </cell>
          <cell r="Z1052" t="str">
            <v>⑥</v>
          </cell>
          <cell r="AA1052" t="str">
            <v>⑦</v>
          </cell>
          <cell r="AB1052" t="str">
            <v>⑧</v>
          </cell>
          <cell r="AC1052" t="str">
            <v>⑨</v>
          </cell>
          <cell r="AD1052" t="str">
            <v>⑩</v>
          </cell>
          <cell r="AE1052" t="str">
            <v>⑪</v>
          </cell>
          <cell r="AF1052" t="str">
            <v>⑫</v>
          </cell>
          <cell r="AG1052" t="str">
            <v>①</v>
          </cell>
          <cell r="AH1052" t="str">
            <v>②</v>
          </cell>
          <cell r="AI1052" t="str">
            <v>③</v>
          </cell>
          <cell r="AJ1052" t="str">
            <v>変</v>
          </cell>
        </row>
        <row r="1053">
          <cell r="B1053">
            <v>5315</v>
          </cell>
          <cell r="C1053">
            <v>53</v>
          </cell>
          <cell r="D1053">
            <v>15</v>
          </cell>
          <cell r="F1053" t="str">
            <v>多摩別</v>
          </cell>
          <cell r="G1053" t="str">
            <v>自動ドアー保守</v>
          </cell>
          <cell r="H1053" t="str">
            <v>ナブコシステム</v>
          </cell>
          <cell r="I1053">
            <v>423800</v>
          </cell>
          <cell r="J1053">
            <v>456900</v>
          </cell>
          <cell r="K1053">
            <v>2</v>
          </cell>
          <cell r="L1053">
            <v>0</v>
          </cell>
          <cell r="M1053">
            <v>0</v>
          </cell>
          <cell r="N1053">
            <v>0</v>
          </cell>
          <cell r="O1053">
            <v>456900</v>
          </cell>
          <cell r="P1053">
            <v>0</v>
          </cell>
          <cell r="Q1053">
            <v>0</v>
          </cell>
          <cell r="R1053">
            <v>0</v>
          </cell>
          <cell r="S1053">
            <v>0</v>
          </cell>
          <cell r="T1053">
            <v>0</v>
          </cell>
          <cell r="U1053">
            <v>456900</v>
          </cell>
          <cell r="V1053">
            <v>0</v>
          </cell>
          <cell r="W1053">
            <v>0</v>
          </cell>
          <cell r="Y1053" t="str">
            <v/>
          </cell>
          <cell r="Z1053" t="str">
            <v/>
          </cell>
          <cell r="AA1053" t="str">
            <v>⑦</v>
          </cell>
          <cell r="AB1053" t="str">
            <v/>
          </cell>
          <cell r="AC1053" t="str">
            <v/>
          </cell>
          <cell r="AE1053" t="str">
            <v/>
          </cell>
          <cell r="AF1053" t="str">
            <v/>
          </cell>
          <cell r="AG1053" t="str">
            <v>①</v>
          </cell>
          <cell r="AH1053" t="str">
            <v/>
          </cell>
          <cell r="AI1053" t="str">
            <v/>
          </cell>
          <cell r="AJ1053" t="str">
            <v>変</v>
          </cell>
        </row>
        <row r="1054">
          <cell r="B1054">
            <v>5316</v>
          </cell>
          <cell r="C1054">
            <v>53</v>
          </cell>
          <cell r="D1054">
            <v>16</v>
          </cell>
          <cell r="F1054" t="str">
            <v>多摩別</v>
          </cell>
          <cell r="G1054" t="str">
            <v>害虫駆除</v>
          </cell>
          <cell r="H1054" t="str">
            <v>シェル商事</v>
          </cell>
          <cell r="I1054">
            <v>528000</v>
          </cell>
          <cell r="J1054">
            <v>580800</v>
          </cell>
          <cell r="K1054">
            <v>2</v>
          </cell>
          <cell r="L1054">
            <v>0</v>
          </cell>
          <cell r="M1054">
            <v>0</v>
          </cell>
          <cell r="N1054">
            <v>0</v>
          </cell>
          <cell r="O1054">
            <v>580800</v>
          </cell>
          <cell r="P1054">
            <v>0</v>
          </cell>
          <cell r="Q1054">
            <v>0</v>
          </cell>
          <cell r="R1054">
            <v>0</v>
          </cell>
          <cell r="S1054">
            <v>0</v>
          </cell>
          <cell r="T1054">
            <v>0</v>
          </cell>
          <cell r="U1054">
            <v>580800</v>
          </cell>
          <cell r="V1054">
            <v>0</v>
          </cell>
          <cell r="W1054">
            <v>0</v>
          </cell>
          <cell r="X1054" t="str">
            <v/>
          </cell>
          <cell r="Y1054" t="str">
            <v/>
          </cell>
          <cell r="Z1054" t="str">
            <v/>
          </cell>
          <cell r="AA1054" t="str">
            <v>⑦</v>
          </cell>
          <cell r="AB1054" t="str">
            <v/>
          </cell>
          <cell r="AC1054" t="str">
            <v/>
          </cell>
          <cell r="AD1054" t="str">
            <v/>
          </cell>
          <cell r="AE1054" t="str">
            <v/>
          </cell>
          <cell r="AF1054" t="str">
            <v/>
          </cell>
          <cell r="AG1054" t="str">
            <v>①</v>
          </cell>
          <cell r="AH1054" t="str">
            <v/>
          </cell>
          <cell r="AI1054" t="str">
            <v/>
          </cell>
        </row>
        <row r="1055">
          <cell r="B1055">
            <v>5317</v>
          </cell>
          <cell r="C1055">
            <v>53</v>
          </cell>
          <cell r="D1055">
            <v>17</v>
          </cell>
          <cell r="F1055" t="str">
            <v>多摩別</v>
          </cell>
          <cell r="G1055" t="str">
            <v>水処理装置保守</v>
          </cell>
          <cell r="H1055" t="str">
            <v>クリタ・ビルテック</v>
          </cell>
          <cell r="I1055">
            <v>137500</v>
          </cell>
          <cell r="J1055">
            <v>147400</v>
          </cell>
          <cell r="K1055">
            <v>12</v>
          </cell>
          <cell r="L1055">
            <v>147400</v>
          </cell>
          <cell r="M1055">
            <v>147400</v>
          </cell>
          <cell r="N1055">
            <v>147400</v>
          </cell>
          <cell r="O1055">
            <v>147400</v>
          </cell>
          <cell r="P1055">
            <v>147400</v>
          </cell>
          <cell r="Q1055">
            <v>147400</v>
          </cell>
          <cell r="R1055">
            <v>147400</v>
          </cell>
          <cell r="S1055">
            <v>147400</v>
          </cell>
          <cell r="T1055">
            <v>147400</v>
          </cell>
          <cell r="U1055">
            <v>147400</v>
          </cell>
          <cell r="V1055">
            <v>147400</v>
          </cell>
          <cell r="W1055">
            <v>147400</v>
          </cell>
          <cell r="X1055" t="str">
            <v>④</v>
          </cell>
          <cell r="Y1055" t="str">
            <v>⑤</v>
          </cell>
          <cell r="Z1055" t="str">
            <v>⑥</v>
          </cell>
          <cell r="AA1055" t="str">
            <v>⑦</v>
          </cell>
          <cell r="AB1055" t="str">
            <v>⑧</v>
          </cell>
          <cell r="AC1055" t="str">
            <v>⑨</v>
          </cell>
          <cell r="AD1055" t="str">
            <v>⑩</v>
          </cell>
          <cell r="AE1055" t="str">
            <v>⑪</v>
          </cell>
          <cell r="AF1055" t="str">
            <v>⑫</v>
          </cell>
          <cell r="AG1055" t="str">
            <v>①</v>
          </cell>
          <cell r="AH1055" t="str">
            <v>②</v>
          </cell>
          <cell r="AI1055" t="str">
            <v>③</v>
          </cell>
          <cell r="AJ1055" t="str">
            <v>変</v>
          </cell>
        </row>
        <row r="1056">
          <cell r="B1056">
            <v>5318</v>
          </cell>
          <cell r="C1056">
            <v>53</v>
          </cell>
          <cell r="D1056">
            <v>18</v>
          </cell>
          <cell r="F1056" t="str">
            <v>多摩別</v>
          </cell>
          <cell r="G1056" t="str">
            <v>空調用自動制御機器保守</v>
          </cell>
          <cell r="H1056" t="str">
            <v>オーテック</v>
          </cell>
          <cell r="I1056">
            <v>268000</v>
          </cell>
          <cell r="J1056">
            <v>296000</v>
          </cell>
          <cell r="K1056">
            <v>12</v>
          </cell>
          <cell r="L1056">
            <v>296000</v>
          </cell>
          <cell r="M1056">
            <v>296000</v>
          </cell>
          <cell r="N1056">
            <v>296000</v>
          </cell>
          <cell r="O1056">
            <v>296000</v>
          </cell>
          <cell r="P1056">
            <v>296000</v>
          </cell>
          <cell r="Q1056">
            <v>296000</v>
          </cell>
          <cell r="R1056">
            <v>296000</v>
          </cell>
          <cell r="S1056">
            <v>296000</v>
          </cell>
          <cell r="T1056">
            <v>296000</v>
          </cell>
          <cell r="U1056">
            <v>296000</v>
          </cell>
          <cell r="V1056">
            <v>296000</v>
          </cell>
          <cell r="W1056">
            <v>296000</v>
          </cell>
          <cell r="X1056" t="str">
            <v>④</v>
          </cell>
          <cell r="Y1056" t="str">
            <v>⑤</v>
          </cell>
          <cell r="Z1056" t="str">
            <v>⑥</v>
          </cell>
          <cell r="AA1056" t="str">
            <v>⑦</v>
          </cell>
          <cell r="AB1056" t="str">
            <v>⑧</v>
          </cell>
          <cell r="AC1056" t="str">
            <v>⑨</v>
          </cell>
          <cell r="AD1056" t="str">
            <v>⑩</v>
          </cell>
          <cell r="AE1056" t="str">
            <v>⑪</v>
          </cell>
          <cell r="AF1056" t="str">
            <v>⑫</v>
          </cell>
          <cell r="AG1056" t="str">
            <v>①</v>
          </cell>
          <cell r="AH1056" t="str">
            <v>②</v>
          </cell>
          <cell r="AI1056" t="str">
            <v>③</v>
          </cell>
          <cell r="AJ1056" t="str">
            <v>変</v>
          </cell>
        </row>
        <row r="1057">
          <cell r="B1057">
            <v>5319</v>
          </cell>
          <cell r="C1057">
            <v>53</v>
          </cell>
          <cell r="D1057">
            <v>19</v>
          </cell>
          <cell r="F1057" t="str">
            <v>多摩別</v>
          </cell>
          <cell r="G1057" t="str">
            <v>ﾌｨﾙﾀｰ洗浄･交換(空気清浄機)</v>
          </cell>
          <cell r="H1057" t="str">
            <v>オーテック</v>
          </cell>
          <cell r="I1057">
            <v>34800</v>
          </cell>
          <cell r="J1057">
            <v>35496</v>
          </cell>
          <cell r="K1057">
            <v>5</v>
          </cell>
          <cell r="L1057">
            <v>35496</v>
          </cell>
          <cell r="M1057">
            <v>0</v>
          </cell>
          <cell r="N1057">
            <v>35496</v>
          </cell>
          <cell r="O1057">
            <v>0</v>
          </cell>
          <cell r="P1057">
            <v>35496</v>
          </cell>
          <cell r="Q1057">
            <v>0</v>
          </cell>
          <cell r="R1057">
            <v>35496</v>
          </cell>
          <cell r="S1057">
            <v>0</v>
          </cell>
          <cell r="T1057">
            <v>35496</v>
          </cell>
          <cell r="U1057">
            <v>0</v>
          </cell>
          <cell r="V1057">
            <v>0</v>
          </cell>
          <cell r="W1057">
            <v>0</v>
          </cell>
          <cell r="X1057" t="str">
            <v>④</v>
          </cell>
          <cell r="Y1057" t="str">
            <v/>
          </cell>
          <cell r="Z1057" t="str">
            <v>⑥</v>
          </cell>
          <cell r="AA1057" t="str">
            <v/>
          </cell>
          <cell r="AB1057" t="str">
            <v>⑧</v>
          </cell>
          <cell r="AC1057" t="str">
            <v/>
          </cell>
          <cell r="AD1057" t="str">
            <v>⑩</v>
          </cell>
          <cell r="AE1057" t="str">
            <v/>
          </cell>
          <cell r="AF1057" t="str">
            <v>⑫</v>
          </cell>
          <cell r="AG1057" t="str">
            <v/>
          </cell>
          <cell r="AH1057" t="str">
            <v/>
          </cell>
          <cell r="AI1057" t="str">
            <v/>
          </cell>
        </row>
        <row r="1058">
          <cell r="B1058">
            <v>5320</v>
          </cell>
          <cell r="C1058">
            <v>53</v>
          </cell>
          <cell r="D1058">
            <v>20</v>
          </cell>
          <cell r="F1058" t="str">
            <v>多摩別</v>
          </cell>
          <cell r="G1058" t="str">
            <v>ﾌｨﾙﾀｰ洗浄･交換(空気清浄機)</v>
          </cell>
          <cell r="H1058" t="str">
            <v>オーテック</v>
          </cell>
          <cell r="I1058">
            <v>35800</v>
          </cell>
          <cell r="J1058">
            <v>36516</v>
          </cell>
          <cell r="K1058">
            <v>1</v>
          </cell>
          <cell r="L1058">
            <v>0</v>
          </cell>
          <cell r="M1058">
            <v>0</v>
          </cell>
          <cell r="N1058">
            <v>0</v>
          </cell>
          <cell r="O1058">
            <v>0</v>
          </cell>
          <cell r="P1058">
            <v>0</v>
          </cell>
          <cell r="Q1058">
            <v>0</v>
          </cell>
          <cell r="R1058">
            <v>0</v>
          </cell>
          <cell r="S1058">
            <v>0</v>
          </cell>
          <cell r="T1058">
            <v>0</v>
          </cell>
          <cell r="U1058">
            <v>0</v>
          </cell>
          <cell r="V1058">
            <v>36516</v>
          </cell>
          <cell r="W1058">
            <v>0</v>
          </cell>
          <cell r="X1058" t="str">
            <v/>
          </cell>
          <cell r="Y1058" t="str">
            <v/>
          </cell>
          <cell r="Z1058" t="str">
            <v/>
          </cell>
          <cell r="AA1058" t="str">
            <v/>
          </cell>
          <cell r="AB1058" t="str">
            <v/>
          </cell>
          <cell r="AC1058" t="str">
            <v/>
          </cell>
          <cell r="AD1058" t="str">
            <v/>
          </cell>
          <cell r="AE1058" t="str">
            <v/>
          </cell>
          <cell r="AF1058" t="str">
            <v/>
          </cell>
          <cell r="AG1058" t="str">
            <v/>
          </cell>
          <cell r="AH1058" t="str">
            <v>②</v>
          </cell>
          <cell r="AI1058" t="str">
            <v/>
          </cell>
        </row>
        <row r="1059">
          <cell r="B1059">
            <v>5321</v>
          </cell>
          <cell r="C1059">
            <v>53</v>
          </cell>
          <cell r="D1059">
            <v>21</v>
          </cell>
          <cell r="F1059" t="str">
            <v>多摩別</v>
          </cell>
          <cell r="G1059" t="str">
            <v>吸収式冷凍機設備保守</v>
          </cell>
          <cell r="H1059" t="str">
            <v>荏原テクノサーブ</v>
          </cell>
          <cell r="I1059">
            <v>1190000</v>
          </cell>
          <cell r="J1059">
            <v>1252000</v>
          </cell>
          <cell r="K1059">
            <v>1</v>
          </cell>
          <cell r="L1059">
            <v>0</v>
          </cell>
          <cell r="M1059">
            <v>0</v>
          </cell>
          <cell r="N1059">
            <v>0</v>
          </cell>
          <cell r="O1059">
            <v>0</v>
          </cell>
          <cell r="P1059">
            <v>0</v>
          </cell>
          <cell r="Q1059">
            <v>0</v>
          </cell>
          <cell r="R1059">
            <v>0</v>
          </cell>
          <cell r="S1059">
            <v>0</v>
          </cell>
          <cell r="T1059">
            <v>1252000</v>
          </cell>
          <cell r="U1059">
            <v>0</v>
          </cell>
          <cell r="V1059">
            <v>0</v>
          </cell>
          <cell r="W1059">
            <v>0</v>
          </cell>
          <cell r="X1059" t="str">
            <v/>
          </cell>
          <cell r="Y1059" t="str">
            <v/>
          </cell>
          <cell r="Z1059" t="str">
            <v/>
          </cell>
          <cell r="AB1059" t="str">
            <v/>
          </cell>
          <cell r="AC1059" t="str">
            <v/>
          </cell>
          <cell r="AD1059" t="str">
            <v/>
          </cell>
          <cell r="AE1059" t="str">
            <v/>
          </cell>
          <cell r="AF1059" t="str">
            <v>⑫</v>
          </cell>
          <cell r="AG1059" t="str">
            <v/>
          </cell>
          <cell r="AH1059" t="str">
            <v/>
          </cell>
          <cell r="AI1059" t="str">
            <v/>
          </cell>
          <cell r="AJ1059" t="str">
            <v>？</v>
          </cell>
        </row>
        <row r="1060">
          <cell r="B1060">
            <v>5322</v>
          </cell>
          <cell r="C1060">
            <v>53</v>
          </cell>
          <cell r="D1060">
            <v>22</v>
          </cell>
          <cell r="F1060" t="str">
            <v>多摩別</v>
          </cell>
          <cell r="G1060" t="str">
            <v>冷却塔設備保守</v>
          </cell>
          <cell r="H1060" t="str">
            <v>荏原テクノサーブ</v>
          </cell>
          <cell r="I1060">
            <v>222000</v>
          </cell>
          <cell r="J1060">
            <v>243100</v>
          </cell>
          <cell r="K1060">
            <v>3</v>
          </cell>
          <cell r="L1060">
            <v>0</v>
          </cell>
          <cell r="M1060">
            <v>243100</v>
          </cell>
          <cell r="N1060">
            <v>0</v>
          </cell>
          <cell r="O1060">
            <v>0</v>
          </cell>
          <cell r="P1060">
            <v>0</v>
          </cell>
          <cell r="Q1060">
            <v>243100</v>
          </cell>
          <cell r="R1060">
            <v>0</v>
          </cell>
          <cell r="S1060">
            <v>0</v>
          </cell>
          <cell r="T1060">
            <v>0</v>
          </cell>
          <cell r="U1060">
            <v>243100</v>
          </cell>
          <cell r="V1060">
            <v>0</v>
          </cell>
          <cell r="W1060">
            <v>0</v>
          </cell>
          <cell r="X1060" t="str">
            <v/>
          </cell>
          <cell r="Y1060" t="str">
            <v>⑤</v>
          </cell>
          <cell r="AA1060" t="str">
            <v/>
          </cell>
          <cell r="AB1060" t="str">
            <v/>
          </cell>
          <cell r="AC1060" t="str">
            <v>⑨</v>
          </cell>
          <cell r="AF1060" t="str">
            <v/>
          </cell>
          <cell r="AG1060" t="str">
            <v>①</v>
          </cell>
          <cell r="AI1060" t="str">
            <v/>
          </cell>
          <cell r="AJ1060" t="str">
            <v>？</v>
          </cell>
        </row>
        <row r="1061">
          <cell r="B1061">
            <v>5323</v>
          </cell>
          <cell r="C1061">
            <v>53</v>
          </cell>
          <cell r="D1061">
            <v>23</v>
          </cell>
          <cell r="F1061" t="str">
            <v>多摩別</v>
          </cell>
          <cell r="G1061" t="str">
            <v>空調用ポンプ設備保守</v>
          </cell>
          <cell r="H1061" t="str">
            <v>荏原テクノサーブ</v>
          </cell>
          <cell r="I1061">
            <v>347000</v>
          </cell>
          <cell r="J1061">
            <v>363440</v>
          </cell>
          <cell r="K1061">
            <v>1</v>
          </cell>
          <cell r="L1061">
            <v>0</v>
          </cell>
          <cell r="M1061">
            <v>0</v>
          </cell>
          <cell r="N1061">
            <v>363440</v>
          </cell>
          <cell r="O1061">
            <v>0</v>
          </cell>
          <cell r="P1061">
            <v>0</v>
          </cell>
          <cell r="Q1061">
            <v>0</v>
          </cell>
          <cell r="R1061">
            <v>0</v>
          </cell>
          <cell r="S1061">
            <v>0</v>
          </cell>
          <cell r="T1061">
            <v>0</v>
          </cell>
          <cell r="U1061">
            <v>0</v>
          </cell>
          <cell r="V1061">
            <v>0</v>
          </cell>
          <cell r="W1061">
            <v>0</v>
          </cell>
          <cell r="X1061" t="str">
            <v/>
          </cell>
          <cell r="Y1061" t="str">
            <v/>
          </cell>
          <cell r="Z1061" t="str">
            <v>⑥</v>
          </cell>
          <cell r="AA1061" t="str">
            <v/>
          </cell>
          <cell r="AB1061" t="str">
            <v/>
          </cell>
          <cell r="AC1061" t="str">
            <v/>
          </cell>
          <cell r="AD1061" t="str">
            <v/>
          </cell>
          <cell r="AE1061" t="str">
            <v/>
          </cell>
          <cell r="AG1061" t="str">
            <v/>
          </cell>
          <cell r="AH1061" t="str">
            <v/>
          </cell>
          <cell r="AI1061" t="str">
            <v/>
          </cell>
          <cell r="AJ1061" t="str">
            <v>？</v>
          </cell>
        </row>
        <row r="1062">
          <cell r="B1062">
            <v>5324</v>
          </cell>
          <cell r="C1062">
            <v>53</v>
          </cell>
          <cell r="D1062">
            <v>24</v>
          </cell>
          <cell r="F1062" t="str">
            <v>多摩別</v>
          </cell>
          <cell r="G1062" t="str">
            <v>給排水ポンプ設備保守点検</v>
          </cell>
          <cell r="H1062" t="str">
            <v>荏原テクノサーブ</v>
          </cell>
          <cell r="I1062">
            <v>62000</v>
          </cell>
          <cell r="J1062">
            <v>63660</v>
          </cell>
          <cell r="K1062">
            <v>1</v>
          </cell>
          <cell r="L1062">
            <v>0</v>
          </cell>
          <cell r="M1062">
            <v>0</v>
          </cell>
          <cell r="N1062">
            <v>63660</v>
          </cell>
          <cell r="O1062">
            <v>0</v>
          </cell>
          <cell r="P1062">
            <v>0</v>
          </cell>
          <cell r="Q1062">
            <v>0</v>
          </cell>
          <cell r="R1062">
            <v>0</v>
          </cell>
          <cell r="S1062">
            <v>0</v>
          </cell>
          <cell r="T1062">
            <v>0</v>
          </cell>
          <cell r="U1062">
            <v>0</v>
          </cell>
          <cell r="V1062">
            <v>0</v>
          </cell>
          <cell r="W1062">
            <v>0</v>
          </cell>
          <cell r="X1062" t="str">
            <v/>
          </cell>
          <cell r="Y1062" t="str">
            <v/>
          </cell>
          <cell r="Z1062" t="str">
            <v>⑥</v>
          </cell>
          <cell r="AA1062" t="str">
            <v/>
          </cell>
          <cell r="AB1062" t="str">
            <v/>
          </cell>
          <cell r="AC1062" t="str">
            <v/>
          </cell>
          <cell r="AD1062" t="str">
            <v/>
          </cell>
          <cell r="AE1062" t="str">
            <v/>
          </cell>
          <cell r="AF1062" t="str">
            <v/>
          </cell>
          <cell r="AG1062" t="str">
            <v/>
          </cell>
          <cell r="AH1062" t="str">
            <v/>
          </cell>
          <cell r="AI1062" t="str">
            <v/>
          </cell>
          <cell r="AJ1062" t="str">
            <v>？</v>
          </cell>
        </row>
        <row r="1063">
          <cell r="B1063">
            <v>5325</v>
          </cell>
          <cell r="C1063">
            <v>53</v>
          </cell>
          <cell r="D1063">
            <v>25</v>
          </cell>
          <cell r="F1063" t="str">
            <v>多摩別</v>
          </cell>
          <cell r="G1063" t="str">
            <v>ﾌｨﾙﾀｰ洗浄･交換</v>
          </cell>
          <cell r="H1063" t="str">
            <v>協和工業</v>
          </cell>
          <cell r="I1063">
            <v>55800</v>
          </cell>
          <cell r="J1063">
            <v>59808</v>
          </cell>
          <cell r="K1063">
            <v>12</v>
          </cell>
          <cell r="L1063">
            <v>59808</v>
          </cell>
          <cell r="M1063">
            <v>59808</v>
          </cell>
          <cell r="N1063">
            <v>59808</v>
          </cell>
          <cell r="O1063">
            <v>59808</v>
          </cell>
          <cell r="P1063">
            <v>59808</v>
          </cell>
          <cell r="Q1063">
            <v>59808</v>
          </cell>
          <cell r="R1063">
            <v>59808</v>
          </cell>
          <cell r="S1063">
            <v>59808</v>
          </cell>
          <cell r="T1063">
            <v>59808</v>
          </cell>
          <cell r="U1063">
            <v>59808</v>
          </cell>
          <cell r="V1063">
            <v>59808</v>
          </cell>
          <cell r="W1063">
            <v>59808</v>
          </cell>
          <cell r="X1063" t="str">
            <v>④</v>
          </cell>
          <cell r="Y1063" t="str">
            <v>⑤</v>
          </cell>
          <cell r="Z1063" t="str">
            <v>⑥</v>
          </cell>
          <cell r="AA1063" t="str">
            <v>⑦</v>
          </cell>
          <cell r="AB1063" t="str">
            <v>⑧</v>
          </cell>
          <cell r="AC1063" t="str">
            <v>⑨</v>
          </cell>
          <cell r="AD1063" t="str">
            <v>⑩</v>
          </cell>
          <cell r="AE1063" t="str">
            <v>⑪</v>
          </cell>
          <cell r="AF1063" t="str">
            <v>⑫</v>
          </cell>
          <cell r="AG1063" t="str">
            <v>①</v>
          </cell>
          <cell r="AH1063" t="str">
            <v>②</v>
          </cell>
          <cell r="AI1063" t="str">
            <v>③</v>
          </cell>
          <cell r="AJ1063" t="str">
            <v>変</v>
          </cell>
        </row>
        <row r="1064">
          <cell r="B1064">
            <v>5326</v>
          </cell>
          <cell r="C1064">
            <v>53</v>
          </cell>
          <cell r="D1064">
            <v>26</v>
          </cell>
          <cell r="F1064" t="str">
            <v>多摩別</v>
          </cell>
          <cell r="G1064" t="str">
            <v>空調機設備保守</v>
          </cell>
          <cell r="H1064" t="str">
            <v>東洋製作所</v>
          </cell>
          <cell r="I1064">
            <v>128000</v>
          </cell>
          <cell r="J1064">
            <v>135400</v>
          </cell>
          <cell r="K1064">
            <v>1</v>
          </cell>
          <cell r="L1064">
            <v>0</v>
          </cell>
          <cell r="M1064">
            <v>0</v>
          </cell>
          <cell r="N1064">
            <v>0</v>
          </cell>
          <cell r="O1064">
            <v>135400</v>
          </cell>
          <cell r="P1064">
            <v>0</v>
          </cell>
          <cell r="Q1064">
            <v>0</v>
          </cell>
          <cell r="R1064">
            <v>0</v>
          </cell>
          <cell r="S1064">
            <v>0</v>
          </cell>
          <cell r="T1064">
            <v>0</v>
          </cell>
          <cell r="U1064">
            <v>0</v>
          </cell>
          <cell r="V1064">
            <v>0</v>
          </cell>
          <cell r="W1064">
            <v>0</v>
          </cell>
          <cell r="X1064" t="str">
            <v/>
          </cell>
          <cell r="Y1064" t="str">
            <v/>
          </cell>
          <cell r="Z1064" t="str">
            <v/>
          </cell>
          <cell r="AA1064" t="str">
            <v>⑦</v>
          </cell>
          <cell r="AB1064" t="str">
            <v/>
          </cell>
          <cell r="AC1064" t="str">
            <v/>
          </cell>
          <cell r="AD1064" t="str">
            <v/>
          </cell>
          <cell r="AE1064" t="str">
            <v/>
          </cell>
          <cell r="AG1064" t="str">
            <v/>
          </cell>
          <cell r="AH1064" t="str">
            <v/>
          </cell>
          <cell r="AI1064" t="str">
            <v/>
          </cell>
          <cell r="AJ1064" t="str">
            <v>変</v>
          </cell>
        </row>
        <row r="1065">
          <cell r="B1065">
            <v>5327</v>
          </cell>
          <cell r="C1065">
            <v>53</v>
          </cell>
          <cell r="D1065">
            <v>27</v>
          </cell>
          <cell r="F1065" t="str">
            <v>多摩別</v>
          </cell>
          <cell r="G1065" t="str">
            <v>誘導灯設備保守(外観)</v>
          </cell>
          <cell r="H1065" t="str">
            <v>共立防災サービス</v>
          </cell>
          <cell r="I1065">
            <v>77000</v>
          </cell>
          <cell r="J1065">
            <v>78540</v>
          </cell>
          <cell r="K1065">
            <v>1</v>
          </cell>
          <cell r="L1065">
            <v>0</v>
          </cell>
          <cell r="M1065">
            <v>0</v>
          </cell>
          <cell r="N1065">
            <v>0</v>
          </cell>
          <cell r="O1065">
            <v>78540</v>
          </cell>
          <cell r="P1065">
            <v>0</v>
          </cell>
          <cell r="Q1065">
            <v>0</v>
          </cell>
          <cell r="R1065">
            <v>0</v>
          </cell>
          <cell r="S1065">
            <v>0</v>
          </cell>
          <cell r="T1065">
            <v>0</v>
          </cell>
          <cell r="U1065">
            <v>0</v>
          </cell>
          <cell r="V1065">
            <v>0</v>
          </cell>
          <cell r="W1065">
            <v>0</v>
          </cell>
          <cell r="X1065" t="str">
            <v/>
          </cell>
          <cell r="Y1065" t="str">
            <v/>
          </cell>
          <cell r="Z1065" t="str">
            <v/>
          </cell>
          <cell r="AA1065" t="str">
            <v>⑦</v>
          </cell>
          <cell r="AB1065" t="str">
            <v/>
          </cell>
          <cell r="AC1065" t="str">
            <v/>
          </cell>
          <cell r="AD1065" t="str">
            <v/>
          </cell>
          <cell r="AE1065" t="str">
            <v/>
          </cell>
          <cell r="AF1065" t="str">
            <v/>
          </cell>
          <cell r="AG1065" t="str">
            <v/>
          </cell>
          <cell r="AH1065" t="str">
            <v/>
          </cell>
          <cell r="AI1065" t="str">
            <v/>
          </cell>
        </row>
        <row r="1066">
          <cell r="B1066">
            <v>5328</v>
          </cell>
          <cell r="C1066">
            <v>53</v>
          </cell>
          <cell r="D1066">
            <v>28</v>
          </cell>
          <cell r="F1066" t="str">
            <v>多摩別</v>
          </cell>
          <cell r="G1066" t="str">
            <v>誘導灯設備保守(総合)</v>
          </cell>
          <cell r="H1066" t="str">
            <v>共立防災サービス</v>
          </cell>
          <cell r="I1066">
            <v>79000</v>
          </cell>
          <cell r="J1066">
            <v>80580</v>
          </cell>
          <cell r="K1066">
            <v>1</v>
          </cell>
          <cell r="L1066">
            <v>0</v>
          </cell>
          <cell r="M1066">
            <v>0</v>
          </cell>
          <cell r="N1066">
            <v>0</v>
          </cell>
          <cell r="O1066">
            <v>0</v>
          </cell>
          <cell r="P1066">
            <v>0</v>
          </cell>
          <cell r="Q1066">
            <v>0</v>
          </cell>
          <cell r="R1066">
            <v>0</v>
          </cell>
          <cell r="S1066">
            <v>0</v>
          </cell>
          <cell r="T1066">
            <v>0</v>
          </cell>
          <cell r="U1066">
            <v>80580</v>
          </cell>
          <cell r="V1066">
            <v>0</v>
          </cell>
          <cell r="W1066">
            <v>0</v>
          </cell>
          <cell r="X1066" t="str">
            <v/>
          </cell>
          <cell r="Y1066" t="str">
            <v/>
          </cell>
          <cell r="Z1066" t="str">
            <v/>
          </cell>
          <cell r="AA1066" t="str">
            <v/>
          </cell>
          <cell r="AB1066" t="str">
            <v/>
          </cell>
          <cell r="AC1066" t="str">
            <v/>
          </cell>
          <cell r="AD1066" t="str">
            <v/>
          </cell>
          <cell r="AE1066" t="str">
            <v/>
          </cell>
          <cell r="AF1066" t="str">
            <v/>
          </cell>
          <cell r="AG1066" t="str">
            <v>①</v>
          </cell>
          <cell r="AH1066" t="str">
            <v/>
          </cell>
          <cell r="AI1066" t="str">
            <v/>
          </cell>
        </row>
        <row r="1067">
          <cell r="B1067">
            <v>5329</v>
          </cell>
          <cell r="C1067">
            <v>53</v>
          </cell>
          <cell r="D1067">
            <v>29</v>
          </cell>
          <cell r="F1067" t="str">
            <v>多摩別</v>
          </cell>
          <cell r="G1067" t="str">
            <v>ｽﾌﾟﾘﾝｸﾗｰ設備(外観)</v>
          </cell>
          <cell r="H1067" t="str">
            <v>西原衛生工業所</v>
          </cell>
          <cell r="I1067">
            <v>326000</v>
          </cell>
          <cell r="J1067">
            <v>332520</v>
          </cell>
          <cell r="K1067">
            <v>1</v>
          </cell>
          <cell r="L1067">
            <v>0</v>
          </cell>
          <cell r="M1067">
            <v>0</v>
          </cell>
          <cell r="N1067">
            <v>0</v>
          </cell>
          <cell r="O1067">
            <v>332520</v>
          </cell>
          <cell r="P1067">
            <v>0</v>
          </cell>
          <cell r="Q1067">
            <v>0</v>
          </cell>
          <cell r="R1067">
            <v>0</v>
          </cell>
          <cell r="S1067">
            <v>0</v>
          </cell>
          <cell r="T1067">
            <v>0</v>
          </cell>
          <cell r="U1067">
            <v>0</v>
          </cell>
          <cell r="V1067">
            <v>0</v>
          </cell>
          <cell r="W1067">
            <v>0</v>
          </cell>
          <cell r="X1067" t="str">
            <v/>
          </cell>
          <cell r="Y1067" t="str">
            <v/>
          </cell>
          <cell r="Z1067" t="str">
            <v/>
          </cell>
          <cell r="AA1067" t="str">
            <v>⑦</v>
          </cell>
          <cell r="AB1067" t="str">
            <v/>
          </cell>
          <cell r="AC1067" t="str">
            <v/>
          </cell>
          <cell r="AD1067" t="str">
            <v/>
          </cell>
          <cell r="AE1067" t="str">
            <v/>
          </cell>
          <cell r="AF1067" t="str">
            <v/>
          </cell>
          <cell r="AG1067" t="str">
            <v/>
          </cell>
          <cell r="AH1067" t="str">
            <v/>
          </cell>
          <cell r="AI1067" t="str">
            <v/>
          </cell>
        </row>
        <row r="1068">
          <cell r="B1068">
            <v>5330</v>
          </cell>
          <cell r="C1068">
            <v>53</v>
          </cell>
          <cell r="D1068">
            <v>30</v>
          </cell>
          <cell r="F1068" t="str">
            <v>多摩別</v>
          </cell>
          <cell r="G1068" t="str">
            <v>ｽﾌﾟﾘﾝｸﾗｰ設備(総合)</v>
          </cell>
          <cell r="H1068" t="str">
            <v>西原衛生工業所</v>
          </cell>
          <cell r="I1068">
            <v>470000</v>
          </cell>
          <cell r="J1068">
            <v>479400</v>
          </cell>
          <cell r="K1068">
            <v>1</v>
          </cell>
          <cell r="L1068">
            <v>0</v>
          </cell>
          <cell r="M1068">
            <v>0</v>
          </cell>
          <cell r="N1068">
            <v>0</v>
          </cell>
          <cell r="O1068">
            <v>0</v>
          </cell>
          <cell r="P1068">
            <v>0</v>
          </cell>
          <cell r="Q1068">
            <v>0</v>
          </cell>
          <cell r="R1068">
            <v>0</v>
          </cell>
          <cell r="S1068">
            <v>0</v>
          </cell>
          <cell r="T1068">
            <v>0</v>
          </cell>
          <cell r="U1068">
            <v>479400</v>
          </cell>
          <cell r="V1068">
            <v>0</v>
          </cell>
          <cell r="W1068">
            <v>0</v>
          </cell>
          <cell r="X1068" t="str">
            <v/>
          </cell>
          <cell r="Y1068" t="str">
            <v/>
          </cell>
          <cell r="Z1068" t="str">
            <v/>
          </cell>
          <cell r="AA1068" t="str">
            <v/>
          </cell>
          <cell r="AB1068" t="str">
            <v/>
          </cell>
          <cell r="AC1068" t="str">
            <v/>
          </cell>
          <cell r="AD1068" t="str">
            <v/>
          </cell>
          <cell r="AE1068" t="str">
            <v/>
          </cell>
          <cell r="AF1068" t="str">
            <v/>
          </cell>
          <cell r="AG1068" t="str">
            <v>①</v>
          </cell>
          <cell r="AH1068" t="str">
            <v/>
          </cell>
          <cell r="AI1068" t="str">
            <v/>
          </cell>
        </row>
        <row r="1069">
          <cell r="B1069">
            <v>5331</v>
          </cell>
          <cell r="C1069">
            <v>53</v>
          </cell>
          <cell r="D1069">
            <v>31</v>
          </cell>
          <cell r="F1069" t="str">
            <v>多摩別</v>
          </cell>
          <cell r="G1069" t="str">
            <v>消火栓設備保守(外観)</v>
          </cell>
          <cell r="H1069" t="str">
            <v>西原衛生工業所</v>
          </cell>
          <cell r="I1069">
            <v>101000</v>
          </cell>
          <cell r="J1069">
            <v>103020</v>
          </cell>
          <cell r="K1069">
            <v>1</v>
          </cell>
          <cell r="L1069">
            <v>0</v>
          </cell>
          <cell r="M1069">
            <v>0</v>
          </cell>
          <cell r="N1069">
            <v>0</v>
          </cell>
          <cell r="O1069">
            <v>103020</v>
          </cell>
          <cell r="P1069">
            <v>0</v>
          </cell>
          <cell r="Q1069">
            <v>0</v>
          </cell>
          <cell r="R1069">
            <v>0</v>
          </cell>
          <cell r="S1069">
            <v>0</v>
          </cell>
          <cell r="T1069">
            <v>0</v>
          </cell>
          <cell r="U1069">
            <v>0</v>
          </cell>
          <cell r="V1069">
            <v>0</v>
          </cell>
          <cell r="W1069">
            <v>0</v>
          </cell>
          <cell r="X1069" t="str">
            <v/>
          </cell>
          <cell r="Y1069" t="str">
            <v/>
          </cell>
          <cell r="Z1069" t="str">
            <v/>
          </cell>
          <cell r="AA1069" t="str">
            <v>⑦</v>
          </cell>
          <cell r="AB1069" t="str">
            <v/>
          </cell>
          <cell r="AC1069" t="str">
            <v/>
          </cell>
          <cell r="AD1069" t="str">
            <v/>
          </cell>
          <cell r="AE1069" t="str">
            <v/>
          </cell>
          <cell r="AF1069" t="str">
            <v/>
          </cell>
          <cell r="AG1069" t="str">
            <v/>
          </cell>
          <cell r="AH1069" t="str">
            <v/>
          </cell>
          <cell r="AI1069" t="str">
            <v/>
          </cell>
        </row>
        <row r="1070">
          <cell r="B1070">
            <v>5332</v>
          </cell>
          <cell r="C1070">
            <v>53</v>
          </cell>
          <cell r="D1070">
            <v>32</v>
          </cell>
          <cell r="F1070" t="str">
            <v>多摩別</v>
          </cell>
          <cell r="G1070" t="str">
            <v>消火栓設備保守(総合)</v>
          </cell>
          <cell r="H1070" t="str">
            <v>西原衛生工業所</v>
          </cell>
          <cell r="I1070">
            <v>144000</v>
          </cell>
          <cell r="J1070">
            <v>146880</v>
          </cell>
          <cell r="K1070">
            <v>1</v>
          </cell>
          <cell r="L1070">
            <v>0</v>
          </cell>
          <cell r="M1070">
            <v>0</v>
          </cell>
          <cell r="N1070">
            <v>0</v>
          </cell>
          <cell r="O1070">
            <v>0</v>
          </cell>
          <cell r="P1070">
            <v>0</v>
          </cell>
          <cell r="Q1070">
            <v>0</v>
          </cell>
          <cell r="R1070">
            <v>0</v>
          </cell>
          <cell r="S1070">
            <v>0</v>
          </cell>
          <cell r="T1070">
            <v>0</v>
          </cell>
          <cell r="U1070">
            <v>146880</v>
          </cell>
          <cell r="V1070">
            <v>0</v>
          </cell>
          <cell r="W1070">
            <v>0</v>
          </cell>
          <cell r="X1070" t="str">
            <v/>
          </cell>
          <cell r="Y1070" t="str">
            <v/>
          </cell>
          <cell r="Z1070" t="str">
            <v/>
          </cell>
          <cell r="AA1070" t="str">
            <v/>
          </cell>
          <cell r="AB1070" t="str">
            <v/>
          </cell>
          <cell r="AC1070" t="str">
            <v/>
          </cell>
          <cell r="AD1070" t="str">
            <v/>
          </cell>
          <cell r="AE1070" t="str">
            <v/>
          </cell>
          <cell r="AF1070" t="str">
            <v/>
          </cell>
          <cell r="AG1070" t="str">
            <v>①</v>
          </cell>
          <cell r="AH1070" t="str">
            <v/>
          </cell>
          <cell r="AI1070" t="str">
            <v/>
          </cell>
        </row>
        <row r="1071">
          <cell r="B1071">
            <v>5333</v>
          </cell>
          <cell r="C1071">
            <v>53</v>
          </cell>
          <cell r="D1071">
            <v>33</v>
          </cell>
          <cell r="F1071" t="str">
            <v>多摩別</v>
          </cell>
          <cell r="G1071" t="str">
            <v>炭酸ガス消火設備保守(外観)</v>
          </cell>
          <cell r="H1071" t="str">
            <v>西原衛生工業所</v>
          </cell>
          <cell r="I1071">
            <v>253000</v>
          </cell>
          <cell r="J1071">
            <v>258060</v>
          </cell>
          <cell r="K1071">
            <v>1</v>
          </cell>
          <cell r="L1071">
            <v>0</v>
          </cell>
          <cell r="M1071">
            <v>0</v>
          </cell>
          <cell r="N1071">
            <v>0</v>
          </cell>
          <cell r="O1071">
            <v>258060</v>
          </cell>
          <cell r="P1071">
            <v>0</v>
          </cell>
          <cell r="Q1071">
            <v>0</v>
          </cell>
          <cell r="R1071">
            <v>0</v>
          </cell>
          <cell r="S1071">
            <v>0</v>
          </cell>
          <cell r="T1071">
            <v>0</v>
          </cell>
          <cell r="U1071">
            <v>0</v>
          </cell>
          <cell r="V1071">
            <v>0</v>
          </cell>
          <cell r="W1071">
            <v>0</v>
          </cell>
          <cell r="X1071" t="str">
            <v/>
          </cell>
          <cell r="Y1071" t="str">
            <v/>
          </cell>
          <cell r="Z1071" t="str">
            <v/>
          </cell>
          <cell r="AA1071" t="str">
            <v>⑦</v>
          </cell>
          <cell r="AB1071" t="str">
            <v/>
          </cell>
          <cell r="AC1071" t="str">
            <v/>
          </cell>
          <cell r="AD1071" t="str">
            <v/>
          </cell>
          <cell r="AE1071" t="str">
            <v/>
          </cell>
          <cell r="AF1071" t="str">
            <v/>
          </cell>
          <cell r="AG1071" t="str">
            <v/>
          </cell>
          <cell r="AH1071" t="str">
            <v/>
          </cell>
          <cell r="AI1071" t="str">
            <v/>
          </cell>
        </row>
        <row r="1072">
          <cell r="B1072">
            <v>5334</v>
          </cell>
          <cell r="C1072">
            <v>53</v>
          </cell>
          <cell r="D1072">
            <v>34</v>
          </cell>
          <cell r="F1072" t="str">
            <v>多摩別</v>
          </cell>
          <cell r="G1072" t="str">
            <v>炭酸ガス消火設備保守(総合)</v>
          </cell>
          <cell r="H1072" t="str">
            <v>西原衛生工業所</v>
          </cell>
          <cell r="I1072">
            <v>396000</v>
          </cell>
          <cell r="J1072">
            <v>403920</v>
          </cell>
          <cell r="K1072">
            <v>1</v>
          </cell>
          <cell r="L1072">
            <v>0</v>
          </cell>
          <cell r="M1072">
            <v>0</v>
          </cell>
          <cell r="N1072">
            <v>0</v>
          </cell>
          <cell r="O1072">
            <v>0</v>
          </cell>
          <cell r="P1072">
            <v>0</v>
          </cell>
          <cell r="Q1072">
            <v>0</v>
          </cell>
          <cell r="R1072">
            <v>0</v>
          </cell>
          <cell r="S1072">
            <v>0</v>
          </cell>
          <cell r="T1072">
            <v>0</v>
          </cell>
          <cell r="U1072">
            <v>403920</v>
          </cell>
          <cell r="V1072">
            <v>0</v>
          </cell>
          <cell r="W1072">
            <v>0</v>
          </cell>
          <cell r="X1072" t="str">
            <v/>
          </cell>
          <cell r="Y1072" t="str">
            <v/>
          </cell>
          <cell r="Z1072" t="str">
            <v/>
          </cell>
          <cell r="AA1072" t="str">
            <v/>
          </cell>
          <cell r="AB1072" t="str">
            <v/>
          </cell>
          <cell r="AC1072" t="str">
            <v/>
          </cell>
          <cell r="AD1072" t="str">
            <v/>
          </cell>
          <cell r="AE1072" t="str">
            <v/>
          </cell>
          <cell r="AF1072" t="str">
            <v/>
          </cell>
          <cell r="AG1072" t="str">
            <v>①</v>
          </cell>
          <cell r="AH1072" t="str">
            <v/>
          </cell>
          <cell r="AI1072" t="str">
            <v/>
          </cell>
        </row>
        <row r="1073">
          <cell r="B1073">
            <v>5335</v>
          </cell>
          <cell r="C1073">
            <v>53</v>
          </cell>
          <cell r="D1073">
            <v>35</v>
          </cell>
          <cell r="F1073" t="str">
            <v>多摩別</v>
          </cell>
          <cell r="G1073" t="str">
            <v>連結送水管設備保守(外観)</v>
          </cell>
          <cell r="H1073" t="str">
            <v>西原衛生工業所</v>
          </cell>
          <cell r="I1073">
            <v>36000</v>
          </cell>
          <cell r="J1073">
            <v>36720</v>
          </cell>
          <cell r="K1073">
            <v>1</v>
          </cell>
          <cell r="L1073">
            <v>0</v>
          </cell>
          <cell r="M1073">
            <v>0</v>
          </cell>
          <cell r="N1073">
            <v>0</v>
          </cell>
          <cell r="O1073">
            <v>36720</v>
          </cell>
          <cell r="P1073">
            <v>0</v>
          </cell>
          <cell r="Q1073">
            <v>0</v>
          </cell>
          <cell r="R1073">
            <v>0</v>
          </cell>
          <cell r="S1073">
            <v>0</v>
          </cell>
          <cell r="T1073">
            <v>0</v>
          </cell>
          <cell r="U1073">
            <v>0</v>
          </cell>
          <cell r="V1073">
            <v>0</v>
          </cell>
          <cell r="W1073">
            <v>0</v>
          </cell>
          <cell r="X1073" t="str">
            <v/>
          </cell>
          <cell r="Y1073" t="str">
            <v/>
          </cell>
          <cell r="Z1073" t="str">
            <v/>
          </cell>
          <cell r="AA1073" t="str">
            <v>⑦</v>
          </cell>
          <cell r="AB1073" t="str">
            <v/>
          </cell>
          <cell r="AC1073" t="str">
            <v/>
          </cell>
          <cell r="AD1073" t="str">
            <v/>
          </cell>
          <cell r="AE1073" t="str">
            <v/>
          </cell>
          <cell r="AF1073" t="str">
            <v/>
          </cell>
          <cell r="AG1073" t="str">
            <v/>
          </cell>
          <cell r="AH1073" t="str">
            <v/>
          </cell>
          <cell r="AI1073" t="str">
            <v/>
          </cell>
        </row>
        <row r="1074">
          <cell r="B1074">
            <v>5336</v>
          </cell>
          <cell r="C1074">
            <v>53</v>
          </cell>
          <cell r="D1074">
            <v>36</v>
          </cell>
          <cell r="F1074" t="str">
            <v>多摩別</v>
          </cell>
          <cell r="G1074" t="str">
            <v>連結送水管設備保守(総合)</v>
          </cell>
          <cell r="H1074" t="str">
            <v>西原衛生工業所</v>
          </cell>
          <cell r="I1074">
            <v>47000</v>
          </cell>
          <cell r="J1074">
            <v>47940</v>
          </cell>
          <cell r="K1074">
            <v>1</v>
          </cell>
          <cell r="L1074">
            <v>0</v>
          </cell>
          <cell r="M1074">
            <v>0</v>
          </cell>
          <cell r="N1074">
            <v>0</v>
          </cell>
          <cell r="O1074">
            <v>0</v>
          </cell>
          <cell r="P1074">
            <v>0</v>
          </cell>
          <cell r="Q1074">
            <v>0</v>
          </cell>
          <cell r="R1074">
            <v>0</v>
          </cell>
          <cell r="S1074">
            <v>0</v>
          </cell>
          <cell r="T1074">
            <v>0</v>
          </cell>
          <cell r="U1074">
            <v>47940</v>
          </cell>
          <cell r="V1074">
            <v>0</v>
          </cell>
          <cell r="W1074">
            <v>0</v>
          </cell>
          <cell r="X1074" t="str">
            <v/>
          </cell>
          <cell r="Y1074" t="str">
            <v/>
          </cell>
          <cell r="Z1074" t="str">
            <v/>
          </cell>
          <cell r="AA1074" t="str">
            <v/>
          </cell>
          <cell r="AB1074" t="str">
            <v/>
          </cell>
          <cell r="AC1074" t="str">
            <v/>
          </cell>
          <cell r="AD1074" t="str">
            <v/>
          </cell>
          <cell r="AE1074" t="str">
            <v/>
          </cell>
          <cell r="AF1074" t="str">
            <v/>
          </cell>
          <cell r="AG1074" t="str">
            <v>①</v>
          </cell>
          <cell r="AH1074" t="str">
            <v/>
          </cell>
          <cell r="AI1074" t="str">
            <v/>
          </cell>
        </row>
        <row r="1075">
          <cell r="B1075">
            <v>5337</v>
          </cell>
          <cell r="C1075">
            <v>53</v>
          </cell>
          <cell r="D1075">
            <v>37</v>
          </cell>
          <cell r="F1075" t="str">
            <v>多摩別</v>
          </cell>
          <cell r="G1075" t="str">
            <v>駐車場設備保守(泡消火)</v>
          </cell>
          <cell r="H1075" t="str">
            <v>西原衛生工業所</v>
          </cell>
          <cell r="I1075">
            <v>159000</v>
          </cell>
          <cell r="J1075">
            <v>162180</v>
          </cell>
          <cell r="K1075">
            <v>1</v>
          </cell>
          <cell r="L1075">
            <v>0</v>
          </cell>
          <cell r="M1075">
            <v>0</v>
          </cell>
          <cell r="N1075">
            <v>0</v>
          </cell>
          <cell r="O1075">
            <v>162180</v>
          </cell>
          <cell r="P1075">
            <v>0</v>
          </cell>
          <cell r="Q1075">
            <v>0</v>
          </cell>
          <cell r="R1075">
            <v>0</v>
          </cell>
          <cell r="S1075">
            <v>0</v>
          </cell>
          <cell r="T1075">
            <v>0</v>
          </cell>
          <cell r="U1075">
            <v>0</v>
          </cell>
          <cell r="V1075">
            <v>0</v>
          </cell>
          <cell r="W1075">
            <v>0</v>
          </cell>
          <cell r="X1075" t="str">
            <v/>
          </cell>
          <cell r="Y1075" t="str">
            <v/>
          </cell>
          <cell r="Z1075" t="str">
            <v/>
          </cell>
          <cell r="AA1075" t="str">
            <v>⑦</v>
          </cell>
          <cell r="AB1075" t="str">
            <v/>
          </cell>
          <cell r="AC1075" t="str">
            <v/>
          </cell>
          <cell r="AD1075" t="str">
            <v/>
          </cell>
          <cell r="AE1075" t="str">
            <v/>
          </cell>
          <cell r="AF1075" t="str">
            <v/>
          </cell>
          <cell r="AG1075" t="str">
            <v/>
          </cell>
          <cell r="AH1075" t="str">
            <v/>
          </cell>
          <cell r="AI1075" t="str">
            <v/>
          </cell>
        </row>
        <row r="1076">
          <cell r="B1076">
            <v>5338</v>
          </cell>
          <cell r="C1076">
            <v>53</v>
          </cell>
          <cell r="D1076">
            <v>38</v>
          </cell>
          <cell r="F1076" t="str">
            <v>多摩別</v>
          </cell>
          <cell r="G1076" t="str">
            <v>駐車場設備保守(泡消火)</v>
          </cell>
          <cell r="H1076" t="str">
            <v>西原衛生工業所</v>
          </cell>
          <cell r="I1076">
            <v>499000</v>
          </cell>
          <cell r="J1076">
            <v>508980</v>
          </cell>
          <cell r="K1076">
            <v>1</v>
          </cell>
          <cell r="L1076">
            <v>0</v>
          </cell>
          <cell r="M1076">
            <v>0</v>
          </cell>
          <cell r="N1076">
            <v>0</v>
          </cell>
          <cell r="O1076">
            <v>0</v>
          </cell>
          <cell r="P1076">
            <v>0</v>
          </cell>
          <cell r="Q1076">
            <v>0</v>
          </cell>
          <cell r="R1076">
            <v>0</v>
          </cell>
          <cell r="S1076">
            <v>0</v>
          </cell>
          <cell r="T1076">
            <v>0</v>
          </cell>
          <cell r="U1076">
            <v>508980</v>
          </cell>
          <cell r="V1076">
            <v>0</v>
          </cell>
          <cell r="W1076">
            <v>0</v>
          </cell>
          <cell r="X1076" t="str">
            <v/>
          </cell>
          <cell r="Y1076" t="str">
            <v/>
          </cell>
          <cell r="Z1076" t="str">
            <v/>
          </cell>
          <cell r="AA1076" t="str">
            <v/>
          </cell>
          <cell r="AB1076" t="str">
            <v/>
          </cell>
          <cell r="AC1076" t="str">
            <v/>
          </cell>
          <cell r="AD1076" t="str">
            <v/>
          </cell>
          <cell r="AE1076" t="str">
            <v/>
          </cell>
          <cell r="AF1076" t="str">
            <v/>
          </cell>
          <cell r="AG1076" t="str">
            <v>①</v>
          </cell>
          <cell r="AH1076" t="str">
            <v/>
          </cell>
          <cell r="AI1076" t="str">
            <v/>
          </cell>
        </row>
        <row r="1077">
          <cell r="B1077">
            <v>5339</v>
          </cell>
          <cell r="C1077">
            <v>53</v>
          </cell>
          <cell r="D1077">
            <v>39</v>
          </cell>
          <cell r="F1077" t="str">
            <v>多摩別</v>
          </cell>
          <cell r="G1077" t="str">
            <v>駐車場設備保守(粉末消火)</v>
          </cell>
          <cell r="H1077" t="str">
            <v>西原衛生工業所</v>
          </cell>
          <cell r="I1077">
            <v>74000</v>
          </cell>
          <cell r="J1077">
            <v>75480</v>
          </cell>
          <cell r="K1077">
            <v>2</v>
          </cell>
          <cell r="L1077">
            <v>0</v>
          </cell>
          <cell r="M1077">
            <v>0</v>
          </cell>
          <cell r="N1077">
            <v>0</v>
          </cell>
          <cell r="O1077">
            <v>75480</v>
          </cell>
          <cell r="P1077">
            <v>0</v>
          </cell>
          <cell r="Q1077">
            <v>0</v>
          </cell>
          <cell r="R1077">
            <v>0</v>
          </cell>
          <cell r="S1077">
            <v>0</v>
          </cell>
          <cell r="T1077">
            <v>0</v>
          </cell>
          <cell r="U1077">
            <v>75480</v>
          </cell>
          <cell r="V1077">
            <v>0</v>
          </cell>
          <cell r="W1077">
            <v>0</v>
          </cell>
          <cell r="X1077" t="str">
            <v/>
          </cell>
          <cell r="Y1077" t="str">
            <v/>
          </cell>
          <cell r="Z1077" t="str">
            <v/>
          </cell>
          <cell r="AA1077" t="str">
            <v>⑦</v>
          </cell>
          <cell r="AB1077" t="str">
            <v/>
          </cell>
          <cell r="AC1077" t="str">
            <v/>
          </cell>
          <cell r="AD1077" t="str">
            <v/>
          </cell>
          <cell r="AE1077" t="str">
            <v/>
          </cell>
          <cell r="AF1077" t="str">
            <v/>
          </cell>
          <cell r="AG1077" t="str">
            <v>①</v>
          </cell>
          <cell r="AH1077" t="str">
            <v/>
          </cell>
          <cell r="AI1077" t="str">
            <v/>
          </cell>
        </row>
        <row r="1078">
          <cell r="B1078">
            <v>5340</v>
          </cell>
          <cell r="C1078">
            <v>53</v>
          </cell>
          <cell r="D1078">
            <v>40</v>
          </cell>
          <cell r="F1078" t="str">
            <v>多摩別</v>
          </cell>
          <cell r="G1078" t="str">
            <v>自動火災報知設備(外観)</v>
          </cell>
          <cell r="H1078" t="str">
            <v>東京防災設備</v>
          </cell>
          <cell r="I1078">
            <v>355000</v>
          </cell>
          <cell r="J1078">
            <v>376900</v>
          </cell>
          <cell r="K1078">
            <v>1</v>
          </cell>
          <cell r="L1078">
            <v>0</v>
          </cell>
          <cell r="M1078">
            <v>0</v>
          </cell>
          <cell r="N1078">
            <v>0</v>
          </cell>
          <cell r="O1078">
            <v>376900</v>
          </cell>
          <cell r="P1078">
            <v>0</v>
          </cell>
          <cell r="Q1078">
            <v>0</v>
          </cell>
          <cell r="R1078">
            <v>0</v>
          </cell>
          <cell r="S1078">
            <v>0</v>
          </cell>
          <cell r="T1078">
            <v>0</v>
          </cell>
          <cell r="U1078">
            <v>0</v>
          </cell>
          <cell r="V1078">
            <v>0</v>
          </cell>
          <cell r="W1078">
            <v>0</v>
          </cell>
          <cell r="X1078" t="str">
            <v/>
          </cell>
          <cell r="Y1078" t="str">
            <v/>
          </cell>
          <cell r="Z1078" t="str">
            <v/>
          </cell>
          <cell r="AA1078" t="str">
            <v>⑦</v>
          </cell>
          <cell r="AB1078" t="str">
            <v/>
          </cell>
          <cell r="AC1078" t="str">
            <v/>
          </cell>
          <cell r="AD1078" t="str">
            <v/>
          </cell>
          <cell r="AE1078" t="str">
            <v/>
          </cell>
          <cell r="AF1078" t="str">
            <v/>
          </cell>
          <cell r="AG1078" t="str">
            <v/>
          </cell>
          <cell r="AH1078" t="str">
            <v/>
          </cell>
          <cell r="AI1078" t="str">
            <v/>
          </cell>
          <cell r="AJ1078" t="str">
            <v>変</v>
          </cell>
        </row>
        <row r="1079">
          <cell r="B1079">
            <v>5341</v>
          </cell>
          <cell r="C1079">
            <v>53</v>
          </cell>
          <cell r="D1079">
            <v>41</v>
          </cell>
          <cell r="F1079" t="str">
            <v>多摩別</v>
          </cell>
          <cell r="G1079" t="str">
            <v>自動火災報知設備(総合)</v>
          </cell>
          <cell r="H1079" t="str">
            <v>東京防災設備</v>
          </cell>
          <cell r="I1079">
            <v>628000</v>
          </cell>
          <cell r="J1079">
            <v>666800</v>
          </cell>
          <cell r="K1079">
            <v>1</v>
          </cell>
          <cell r="L1079">
            <v>0</v>
          </cell>
          <cell r="M1079">
            <v>0</v>
          </cell>
          <cell r="N1079">
            <v>0</v>
          </cell>
          <cell r="O1079">
            <v>0</v>
          </cell>
          <cell r="P1079">
            <v>0</v>
          </cell>
          <cell r="Q1079">
            <v>0</v>
          </cell>
          <cell r="R1079">
            <v>0</v>
          </cell>
          <cell r="S1079">
            <v>0</v>
          </cell>
          <cell r="T1079">
            <v>0</v>
          </cell>
          <cell r="U1079">
            <v>666800</v>
          </cell>
          <cell r="V1079">
            <v>0</v>
          </cell>
          <cell r="W1079">
            <v>0</v>
          </cell>
          <cell r="X1079" t="str">
            <v/>
          </cell>
          <cell r="Y1079" t="str">
            <v/>
          </cell>
          <cell r="Z1079" t="str">
            <v/>
          </cell>
          <cell r="AA1079" t="str">
            <v/>
          </cell>
          <cell r="AB1079" t="str">
            <v/>
          </cell>
          <cell r="AC1079" t="str">
            <v/>
          </cell>
          <cell r="AD1079" t="str">
            <v/>
          </cell>
          <cell r="AE1079" t="str">
            <v/>
          </cell>
          <cell r="AF1079" t="str">
            <v/>
          </cell>
          <cell r="AG1079" t="str">
            <v>①</v>
          </cell>
          <cell r="AH1079" t="str">
            <v/>
          </cell>
          <cell r="AI1079" t="str">
            <v/>
          </cell>
          <cell r="AJ1079" t="str">
            <v>変</v>
          </cell>
        </row>
        <row r="1080">
          <cell r="B1080">
            <v>5342</v>
          </cell>
          <cell r="C1080">
            <v>53</v>
          </cell>
          <cell r="D1080">
            <v>42</v>
          </cell>
          <cell r="F1080" t="str">
            <v>多摩別</v>
          </cell>
          <cell r="G1080" t="str">
            <v>防排煙設備保守(外観)</v>
          </cell>
          <cell r="H1080" t="str">
            <v>東京防災設備</v>
          </cell>
          <cell r="I1080">
            <v>171000</v>
          </cell>
          <cell r="J1080">
            <v>181500</v>
          </cell>
          <cell r="K1080">
            <v>1</v>
          </cell>
          <cell r="L1080">
            <v>0</v>
          </cell>
          <cell r="M1080">
            <v>0</v>
          </cell>
          <cell r="N1080">
            <v>0</v>
          </cell>
          <cell r="O1080">
            <v>181500</v>
          </cell>
          <cell r="P1080">
            <v>0</v>
          </cell>
          <cell r="Q1080">
            <v>0</v>
          </cell>
          <cell r="R1080">
            <v>0</v>
          </cell>
          <cell r="S1080">
            <v>0</v>
          </cell>
          <cell r="T1080">
            <v>0</v>
          </cell>
          <cell r="U1080">
            <v>0</v>
          </cell>
          <cell r="V1080">
            <v>0</v>
          </cell>
          <cell r="W1080">
            <v>0</v>
          </cell>
          <cell r="X1080" t="str">
            <v/>
          </cell>
          <cell r="Y1080" t="str">
            <v/>
          </cell>
          <cell r="Z1080" t="str">
            <v/>
          </cell>
          <cell r="AA1080" t="str">
            <v>⑦</v>
          </cell>
          <cell r="AB1080" t="str">
            <v/>
          </cell>
          <cell r="AC1080" t="str">
            <v/>
          </cell>
          <cell r="AD1080" t="str">
            <v/>
          </cell>
          <cell r="AE1080" t="str">
            <v/>
          </cell>
          <cell r="AF1080" t="str">
            <v/>
          </cell>
          <cell r="AG1080" t="str">
            <v/>
          </cell>
          <cell r="AH1080" t="str">
            <v/>
          </cell>
          <cell r="AI1080" t="str">
            <v/>
          </cell>
          <cell r="AJ1080" t="str">
            <v>変</v>
          </cell>
        </row>
        <row r="1081">
          <cell r="B1081">
            <v>5343</v>
          </cell>
          <cell r="C1081">
            <v>53</v>
          </cell>
          <cell r="D1081">
            <v>43</v>
          </cell>
          <cell r="F1081" t="str">
            <v>多摩別</v>
          </cell>
          <cell r="G1081" t="str">
            <v>防排煙設備保守(総合)</v>
          </cell>
          <cell r="H1081" t="str">
            <v>東京防災設備</v>
          </cell>
          <cell r="I1081">
            <v>173000</v>
          </cell>
          <cell r="J1081">
            <v>183600</v>
          </cell>
          <cell r="K1081">
            <v>1</v>
          </cell>
          <cell r="L1081">
            <v>0</v>
          </cell>
          <cell r="M1081">
            <v>0</v>
          </cell>
          <cell r="N1081">
            <v>0</v>
          </cell>
          <cell r="O1081">
            <v>0</v>
          </cell>
          <cell r="P1081">
            <v>0</v>
          </cell>
          <cell r="Q1081">
            <v>0</v>
          </cell>
          <cell r="R1081">
            <v>0</v>
          </cell>
          <cell r="S1081">
            <v>0</v>
          </cell>
          <cell r="T1081">
            <v>0</v>
          </cell>
          <cell r="U1081">
            <v>183600</v>
          </cell>
          <cell r="V1081">
            <v>0</v>
          </cell>
          <cell r="W1081">
            <v>0</v>
          </cell>
          <cell r="X1081" t="str">
            <v/>
          </cell>
          <cell r="Y1081" t="str">
            <v/>
          </cell>
          <cell r="Z1081" t="str">
            <v/>
          </cell>
          <cell r="AA1081" t="str">
            <v/>
          </cell>
          <cell r="AB1081" t="str">
            <v/>
          </cell>
          <cell r="AC1081" t="str">
            <v/>
          </cell>
          <cell r="AD1081" t="str">
            <v/>
          </cell>
          <cell r="AE1081" t="str">
            <v/>
          </cell>
          <cell r="AF1081" t="str">
            <v/>
          </cell>
          <cell r="AG1081" t="str">
            <v>①</v>
          </cell>
          <cell r="AH1081" t="str">
            <v/>
          </cell>
          <cell r="AI1081" t="str">
            <v/>
          </cell>
          <cell r="AJ1081" t="str">
            <v>変</v>
          </cell>
        </row>
        <row r="1082">
          <cell r="B1082">
            <v>5344</v>
          </cell>
          <cell r="C1082">
            <v>53</v>
          </cell>
          <cell r="D1082">
            <v>44</v>
          </cell>
          <cell r="F1082" t="str">
            <v>多摩別</v>
          </cell>
          <cell r="G1082" t="str">
            <v>非常放送設備保守(外観)</v>
          </cell>
          <cell r="H1082" t="str">
            <v>東洋ｴﾝｼﾞﾆｱﾘﾝｸﾞ</v>
          </cell>
          <cell r="I1082">
            <v>91000</v>
          </cell>
          <cell r="J1082">
            <v>92820</v>
          </cell>
          <cell r="K1082">
            <v>1</v>
          </cell>
          <cell r="L1082">
            <v>0</v>
          </cell>
          <cell r="M1082">
            <v>0</v>
          </cell>
          <cell r="N1082">
            <v>0</v>
          </cell>
          <cell r="O1082">
            <v>92820</v>
          </cell>
          <cell r="P1082">
            <v>0</v>
          </cell>
          <cell r="Q1082">
            <v>0</v>
          </cell>
          <cell r="R1082">
            <v>0</v>
          </cell>
          <cell r="S1082">
            <v>0</v>
          </cell>
          <cell r="T1082">
            <v>0</v>
          </cell>
          <cell r="U1082">
            <v>0</v>
          </cell>
          <cell r="V1082">
            <v>0</v>
          </cell>
          <cell r="W1082">
            <v>0</v>
          </cell>
          <cell r="X1082" t="str">
            <v/>
          </cell>
          <cell r="Y1082" t="str">
            <v/>
          </cell>
          <cell r="Z1082" t="str">
            <v/>
          </cell>
          <cell r="AA1082" t="str">
            <v>⑦</v>
          </cell>
          <cell r="AB1082" t="str">
            <v/>
          </cell>
          <cell r="AC1082" t="str">
            <v/>
          </cell>
          <cell r="AD1082" t="str">
            <v/>
          </cell>
          <cell r="AE1082" t="str">
            <v/>
          </cell>
          <cell r="AF1082" t="str">
            <v/>
          </cell>
          <cell r="AG1082" t="str">
            <v/>
          </cell>
          <cell r="AH1082" t="str">
            <v/>
          </cell>
          <cell r="AI1082" t="str">
            <v/>
          </cell>
        </row>
        <row r="1083">
          <cell r="B1083">
            <v>5345</v>
          </cell>
          <cell r="C1083">
            <v>53</v>
          </cell>
          <cell r="D1083">
            <v>45</v>
          </cell>
          <cell r="F1083" t="str">
            <v>多摩別</v>
          </cell>
          <cell r="G1083" t="str">
            <v>非常放送設備保守(総合)</v>
          </cell>
          <cell r="H1083" t="str">
            <v>東洋ｴﾝｼﾞﾆｱﾘﾝｸﾞ</v>
          </cell>
          <cell r="I1083">
            <v>132000</v>
          </cell>
          <cell r="J1083">
            <v>134640</v>
          </cell>
          <cell r="K1083">
            <v>1</v>
          </cell>
          <cell r="L1083">
            <v>0</v>
          </cell>
          <cell r="M1083">
            <v>0</v>
          </cell>
          <cell r="N1083">
            <v>0</v>
          </cell>
          <cell r="O1083">
            <v>0</v>
          </cell>
          <cell r="P1083">
            <v>0</v>
          </cell>
          <cell r="Q1083">
            <v>0</v>
          </cell>
          <cell r="R1083">
            <v>0</v>
          </cell>
          <cell r="S1083">
            <v>0</v>
          </cell>
          <cell r="T1083">
            <v>0</v>
          </cell>
          <cell r="U1083">
            <v>134640</v>
          </cell>
          <cell r="V1083">
            <v>0</v>
          </cell>
          <cell r="W1083">
            <v>0</v>
          </cell>
          <cell r="X1083" t="str">
            <v/>
          </cell>
          <cell r="Y1083" t="str">
            <v/>
          </cell>
          <cell r="Z1083" t="str">
            <v/>
          </cell>
          <cell r="AA1083" t="str">
            <v/>
          </cell>
          <cell r="AB1083" t="str">
            <v/>
          </cell>
          <cell r="AC1083" t="str">
            <v/>
          </cell>
          <cell r="AD1083" t="str">
            <v/>
          </cell>
          <cell r="AE1083" t="str">
            <v/>
          </cell>
          <cell r="AF1083" t="str">
            <v/>
          </cell>
          <cell r="AG1083" t="str">
            <v>①</v>
          </cell>
          <cell r="AH1083" t="str">
            <v/>
          </cell>
          <cell r="AI1083" t="str">
            <v/>
          </cell>
        </row>
        <row r="1084">
          <cell r="B1084">
            <v>5346</v>
          </cell>
          <cell r="C1084">
            <v>53</v>
          </cell>
          <cell r="D1084">
            <v>46</v>
          </cell>
          <cell r="F1084" t="str">
            <v>多摩別</v>
          </cell>
          <cell r="G1084" t="str">
            <v>消火器設備保守(外観)</v>
          </cell>
          <cell r="H1084" t="str">
            <v>能美防災</v>
          </cell>
          <cell r="I1084">
            <v>56000</v>
          </cell>
          <cell r="J1084">
            <v>57840</v>
          </cell>
          <cell r="K1084">
            <v>2</v>
          </cell>
          <cell r="L1084">
            <v>0</v>
          </cell>
          <cell r="M1084">
            <v>0</v>
          </cell>
          <cell r="N1084">
            <v>0</v>
          </cell>
          <cell r="O1084">
            <v>57840</v>
          </cell>
          <cell r="P1084">
            <v>0</v>
          </cell>
          <cell r="Q1084">
            <v>0</v>
          </cell>
          <cell r="R1084">
            <v>0</v>
          </cell>
          <cell r="S1084">
            <v>0</v>
          </cell>
          <cell r="T1084">
            <v>0</v>
          </cell>
          <cell r="U1084">
            <v>57840</v>
          </cell>
          <cell r="V1084">
            <v>0</v>
          </cell>
          <cell r="W1084">
            <v>0</v>
          </cell>
          <cell r="X1084" t="str">
            <v/>
          </cell>
          <cell r="Y1084" t="str">
            <v/>
          </cell>
          <cell r="Z1084" t="str">
            <v/>
          </cell>
          <cell r="AA1084" t="str">
            <v>⑦</v>
          </cell>
          <cell r="AB1084" t="str">
            <v/>
          </cell>
          <cell r="AC1084" t="str">
            <v/>
          </cell>
          <cell r="AD1084" t="str">
            <v/>
          </cell>
          <cell r="AE1084" t="str">
            <v/>
          </cell>
          <cell r="AF1084" t="str">
            <v/>
          </cell>
          <cell r="AG1084" t="str">
            <v>①</v>
          </cell>
          <cell r="AH1084" t="str">
            <v/>
          </cell>
          <cell r="AI1084" t="str">
            <v/>
          </cell>
          <cell r="AJ1084" t="str">
            <v>変</v>
          </cell>
        </row>
        <row r="1085">
          <cell r="B1085">
            <v>5347</v>
          </cell>
          <cell r="C1085">
            <v>53</v>
          </cell>
          <cell r="D1085">
            <v>47</v>
          </cell>
          <cell r="F1085" t="str">
            <v>多摩別</v>
          </cell>
          <cell r="G1085" t="str">
            <v>テーブルリフター点検</v>
          </cell>
          <cell r="H1085" t="str">
            <v>クマリフト</v>
          </cell>
          <cell r="I1085">
            <v>35000</v>
          </cell>
          <cell r="J1085">
            <v>38500</v>
          </cell>
          <cell r="K1085">
            <v>1</v>
          </cell>
          <cell r="L1085">
            <v>0</v>
          </cell>
          <cell r="M1085">
            <v>0</v>
          </cell>
          <cell r="N1085">
            <v>0</v>
          </cell>
          <cell r="O1085">
            <v>0</v>
          </cell>
          <cell r="P1085">
            <v>0</v>
          </cell>
          <cell r="Q1085">
            <v>0</v>
          </cell>
          <cell r="R1085">
            <v>0</v>
          </cell>
          <cell r="S1085">
            <v>38500</v>
          </cell>
          <cell r="T1085">
            <v>0</v>
          </cell>
          <cell r="U1085">
            <v>0</v>
          </cell>
          <cell r="V1085">
            <v>0</v>
          </cell>
          <cell r="W1085">
            <v>0</v>
          </cell>
          <cell r="X1085" t="str">
            <v/>
          </cell>
          <cell r="AE1085" t="str">
            <v>⑪</v>
          </cell>
          <cell r="AH1085" t="str">
            <v/>
          </cell>
          <cell r="AI1085" t="str">
            <v/>
          </cell>
          <cell r="AJ1085" t="str">
            <v>変</v>
          </cell>
        </row>
        <row r="1086">
          <cell r="B1086">
            <v>5348</v>
          </cell>
          <cell r="C1086">
            <v>53</v>
          </cell>
          <cell r="D1086">
            <v>48</v>
          </cell>
          <cell r="F1086" t="str">
            <v>多摩別</v>
          </cell>
          <cell r="G1086" t="str">
            <v>給排風機点検</v>
          </cell>
          <cell r="H1086" t="str">
            <v>東管エンジニアリング</v>
          </cell>
          <cell r="I1086">
            <v>1204000</v>
          </cell>
          <cell r="J1086">
            <v>1300000</v>
          </cell>
          <cell r="K1086">
            <v>1</v>
          </cell>
          <cell r="L1086">
            <v>0</v>
          </cell>
          <cell r="M1086">
            <v>0</v>
          </cell>
          <cell r="N1086">
            <v>0</v>
          </cell>
          <cell r="O1086">
            <v>0</v>
          </cell>
          <cell r="P1086">
            <v>0</v>
          </cell>
          <cell r="Q1086">
            <v>0</v>
          </cell>
          <cell r="R1086">
            <v>1300000</v>
          </cell>
          <cell r="S1086">
            <v>0</v>
          </cell>
          <cell r="T1086">
            <v>0</v>
          </cell>
          <cell r="U1086">
            <v>0</v>
          </cell>
          <cell r="V1086">
            <v>0</v>
          </cell>
          <cell r="W1086">
            <v>0</v>
          </cell>
          <cell r="X1086" t="str">
            <v/>
          </cell>
          <cell r="AD1086" t="str">
            <v>⑩</v>
          </cell>
          <cell r="AH1086" t="str">
            <v/>
          </cell>
          <cell r="AI1086" t="str">
            <v/>
          </cell>
          <cell r="AJ1086" t="str">
            <v>変</v>
          </cell>
        </row>
        <row r="1087">
          <cell r="B1087">
            <v>5349</v>
          </cell>
          <cell r="C1087">
            <v>53</v>
          </cell>
          <cell r="D1087">
            <v>49</v>
          </cell>
          <cell r="F1087" t="str">
            <v>多摩別</v>
          </cell>
          <cell r="G1087" t="str">
            <v>空調機点検整備</v>
          </cell>
          <cell r="H1087" t="str">
            <v>クボタ</v>
          </cell>
          <cell r="I1087">
            <v>170000</v>
          </cell>
          <cell r="J1087">
            <v>187000</v>
          </cell>
          <cell r="K1087">
            <v>1</v>
          </cell>
          <cell r="L1087">
            <v>0</v>
          </cell>
          <cell r="M1087">
            <v>0</v>
          </cell>
          <cell r="N1087">
            <v>0</v>
          </cell>
          <cell r="O1087">
            <v>187000</v>
          </cell>
          <cell r="P1087">
            <v>0</v>
          </cell>
          <cell r="Q1087">
            <v>0</v>
          </cell>
          <cell r="R1087">
            <v>0</v>
          </cell>
          <cell r="S1087">
            <v>0</v>
          </cell>
          <cell r="T1087">
            <v>0</v>
          </cell>
          <cell r="U1087">
            <v>0</v>
          </cell>
          <cell r="V1087">
            <v>0</v>
          </cell>
          <cell r="W1087">
            <v>0</v>
          </cell>
          <cell r="X1087" t="str">
            <v/>
          </cell>
          <cell r="AA1087" t="str">
            <v>⑦</v>
          </cell>
          <cell r="AH1087" t="str">
            <v/>
          </cell>
          <cell r="AI1087" t="str">
            <v/>
          </cell>
          <cell r="AJ1087" t="str">
            <v>変</v>
          </cell>
        </row>
        <row r="1088">
          <cell r="B1088">
            <v>5350</v>
          </cell>
          <cell r="C1088">
            <v>53</v>
          </cell>
          <cell r="D1088">
            <v>50</v>
          </cell>
          <cell r="F1088" t="str">
            <v>多摩別</v>
          </cell>
          <cell r="G1088" t="str">
            <v>ﾊﾟｯｹｰｼﾞｴｱｺﾝ点検整備</v>
          </cell>
          <cell r="H1088" t="str">
            <v>東管エンジニアリング</v>
          </cell>
          <cell r="I1088">
            <v>394000</v>
          </cell>
          <cell r="J1088">
            <v>433400</v>
          </cell>
          <cell r="K1088">
            <v>1</v>
          </cell>
          <cell r="L1088">
            <v>0</v>
          </cell>
          <cell r="M1088">
            <v>0</v>
          </cell>
          <cell r="N1088">
            <v>0</v>
          </cell>
          <cell r="O1088">
            <v>433400</v>
          </cell>
          <cell r="P1088">
            <v>0</v>
          </cell>
          <cell r="Q1088">
            <v>0</v>
          </cell>
          <cell r="R1088">
            <v>0</v>
          </cell>
          <cell r="S1088">
            <v>0</v>
          </cell>
          <cell r="T1088">
            <v>0</v>
          </cell>
          <cell r="U1088">
            <v>0</v>
          </cell>
          <cell r="V1088">
            <v>0</v>
          </cell>
          <cell r="W1088">
            <v>0</v>
          </cell>
          <cell r="X1088" t="str">
            <v/>
          </cell>
          <cell r="AA1088" t="str">
            <v>⑦</v>
          </cell>
          <cell r="AH1088" t="str">
            <v/>
          </cell>
          <cell r="AI1088" t="str">
            <v/>
          </cell>
          <cell r="AJ1088" t="str">
            <v>変</v>
          </cell>
        </row>
        <row r="1089">
          <cell r="B1089">
            <v>5401</v>
          </cell>
          <cell r="C1089">
            <v>54</v>
          </cell>
          <cell r="D1089">
            <v>1</v>
          </cell>
          <cell r="F1089" t="str">
            <v>千里Ｃ</v>
          </cell>
          <cell r="G1089" t="str">
            <v>昇降機設備保守</v>
          </cell>
          <cell r="H1089" t="str">
            <v>三菱電機ﾋﾞﾙﾃｸﾉｻｰﾋﾞｽ</v>
          </cell>
          <cell r="I1089">
            <v>279800</v>
          </cell>
          <cell r="J1089">
            <v>285396</v>
          </cell>
          <cell r="K1089">
            <v>12</v>
          </cell>
          <cell r="L1089">
            <v>285396</v>
          </cell>
          <cell r="M1089">
            <v>285396</v>
          </cell>
          <cell r="N1089">
            <v>285396</v>
          </cell>
          <cell r="O1089">
            <v>285396</v>
          </cell>
          <cell r="P1089">
            <v>285396</v>
          </cell>
          <cell r="Q1089">
            <v>285396</v>
          </cell>
          <cell r="R1089">
            <v>285396</v>
          </cell>
          <cell r="S1089">
            <v>285396</v>
          </cell>
          <cell r="T1089">
            <v>285396</v>
          </cell>
          <cell r="U1089">
            <v>285396</v>
          </cell>
          <cell r="V1089">
            <v>285396</v>
          </cell>
          <cell r="W1089">
            <v>285396</v>
          </cell>
          <cell r="X1089" t="str">
            <v>④</v>
          </cell>
          <cell r="Y1089" t="str">
            <v>⑤</v>
          </cell>
          <cell r="Z1089" t="str">
            <v>⑥</v>
          </cell>
          <cell r="AA1089" t="str">
            <v>⑦</v>
          </cell>
          <cell r="AB1089" t="str">
            <v>⑧</v>
          </cell>
          <cell r="AC1089" t="str">
            <v>⑨</v>
          </cell>
          <cell r="AD1089" t="str">
            <v>⑩</v>
          </cell>
          <cell r="AE1089" t="str">
            <v>⑪</v>
          </cell>
          <cell r="AF1089" t="str">
            <v>⑫</v>
          </cell>
          <cell r="AG1089" t="str">
            <v>①</v>
          </cell>
          <cell r="AH1089" t="str">
            <v>②</v>
          </cell>
          <cell r="AI1089" t="str">
            <v>③</v>
          </cell>
        </row>
        <row r="1090">
          <cell r="B1090">
            <v>5402</v>
          </cell>
          <cell r="C1090">
            <v>54</v>
          </cell>
          <cell r="D1090">
            <v>2</v>
          </cell>
          <cell r="F1090" t="str">
            <v>千里Ｃ</v>
          </cell>
          <cell r="G1090" t="str">
            <v>ゴンドラ設備保守</v>
          </cell>
          <cell r="H1090" t="str">
            <v>日本ゴンドラ</v>
          </cell>
          <cell r="I1090">
            <v>48500</v>
          </cell>
          <cell r="J1090">
            <v>62850</v>
          </cell>
          <cell r="K1090">
            <v>3</v>
          </cell>
          <cell r="L1090">
            <v>62850</v>
          </cell>
          <cell r="M1090">
            <v>0</v>
          </cell>
          <cell r="N1090">
            <v>0</v>
          </cell>
          <cell r="O1090">
            <v>0</v>
          </cell>
          <cell r="P1090">
            <v>62850</v>
          </cell>
          <cell r="Q1090">
            <v>0</v>
          </cell>
          <cell r="R1090">
            <v>0</v>
          </cell>
          <cell r="S1090">
            <v>0</v>
          </cell>
          <cell r="T1090">
            <v>62850</v>
          </cell>
          <cell r="U1090">
            <v>0</v>
          </cell>
          <cell r="V1090">
            <v>0</v>
          </cell>
          <cell r="W1090">
            <v>0</v>
          </cell>
          <cell r="X1090" t="str">
            <v>④</v>
          </cell>
          <cell r="AB1090" t="str">
            <v>⑧</v>
          </cell>
          <cell r="AF1090" t="str">
            <v>⑫</v>
          </cell>
          <cell r="AJ1090" t="str">
            <v>変</v>
          </cell>
        </row>
        <row r="1091">
          <cell r="B1091">
            <v>5403</v>
          </cell>
          <cell r="C1091">
            <v>54</v>
          </cell>
          <cell r="D1091">
            <v>3</v>
          </cell>
          <cell r="F1091" t="str">
            <v>千里Ｃ</v>
          </cell>
          <cell r="G1091" t="str">
            <v>屋内消火栓(外観)</v>
          </cell>
          <cell r="H1091" t="str">
            <v>ホーチキ</v>
          </cell>
          <cell r="I1091">
            <v>111610</v>
          </cell>
          <cell r="J1091">
            <v>113842</v>
          </cell>
          <cell r="K1091">
            <v>1</v>
          </cell>
          <cell r="L1091">
            <v>0</v>
          </cell>
          <cell r="M1091">
            <v>113842</v>
          </cell>
          <cell r="N1091">
            <v>0</v>
          </cell>
          <cell r="O1091">
            <v>0</v>
          </cell>
          <cell r="P1091">
            <v>0</v>
          </cell>
          <cell r="Q1091">
            <v>0</v>
          </cell>
          <cell r="R1091">
            <v>0</v>
          </cell>
          <cell r="S1091">
            <v>0</v>
          </cell>
          <cell r="T1091">
            <v>0</v>
          </cell>
          <cell r="U1091">
            <v>0</v>
          </cell>
          <cell r="V1091">
            <v>0</v>
          </cell>
          <cell r="W1091">
            <v>0</v>
          </cell>
          <cell r="X1091" t="str">
            <v/>
          </cell>
          <cell r="Y1091" t="str">
            <v>⑤</v>
          </cell>
          <cell r="Z1091" t="str">
            <v/>
          </cell>
          <cell r="AA1091" t="str">
            <v/>
          </cell>
          <cell r="AB1091" t="str">
            <v/>
          </cell>
          <cell r="AC1091" t="str">
            <v/>
          </cell>
          <cell r="AD1091" t="str">
            <v/>
          </cell>
          <cell r="AE1091" t="str">
            <v/>
          </cell>
          <cell r="AF1091" t="str">
            <v/>
          </cell>
          <cell r="AG1091" t="str">
            <v/>
          </cell>
          <cell r="AH1091" t="str">
            <v/>
          </cell>
          <cell r="AI1091" t="str">
            <v/>
          </cell>
        </row>
        <row r="1092">
          <cell r="B1092">
            <v>5404</v>
          </cell>
          <cell r="C1092">
            <v>54</v>
          </cell>
          <cell r="D1092">
            <v>4</v>
          </cell>
          <cell r="F1092" t="str">
            <v>千里Ｃ</v>
          </cell>
          <cell r="G1092" t="str">
            <v>屋内消火栓(総合)</v>
          </cell>
          <cell r="H1092" t="str">
            <v>ホーチキ</v>
          </cell>
          <cell r="I1092">
            <v>137570</v>
          </cell>
          <cell r="J1092">
            <v>140321</v>
          </cell>
          <cell r="K1092">
            <v>1</v>
          </cell>
          <cell r="L1092">
            <v>0</v>
          </cell>
          <cell r="M1092">
            <v>0</v>
          </cell>
          <cell r="N1092">
            <v>0</v>
          </cell>
          <cell r="O1092">
            <v>0</v>
          </cell>
          <cell r="P1092">
            <v>0</v>
          </cell>
          <cell r="Q1092">
            <v>0</v>
          </cell>
          <cell r="R1092">
            <v>0</v>
          </cell>
          <cell r="S1092">
            <v>140321</v>
          </cell>
          <cell r="T1092">
            <v>0</v>
          </cell>
          <cell r="U1092">
            <v>0</v>
          </cell>
          <cell r="V1092">
            <v>0</v>
          </cell>
          <cell r="W1092">
            <v>0</v>
          </cell>
          <cell r="X1092" t="str">
            <v/>
          </cell>
          <cell r="Y1092" t="str">
            <v/>
          </cell>
          <cell r="Z1092" t="str">
            <v/>
          </cell>
          <cell r="AA1092" t="str">
            <v/>
          </cell>
          <cell r="AB1092" t="str">
            <v/>
          </cell>
          <cell r="AC1092" t="str">
            <v/>
          </cell>
          <cell r="AD1092" t="str">
            <v/>
          </cell>
          <cell r="AE1092" t="str">
            <v>⑪</v>
          </cell>
          <cell r="AF1092" t="str">
            <v/>
          </cell>
          <cell r="AG1092" t="str">
            <v/>
          </cell>
          <cell r="AH1092" t="str">
            <v/>
          </cell>
          <cell r="AI1092" t="str">
            <v/>
          </cell>
        </row>
        <row r="1093">
          <cell r="B1093">
            <v>5405</v>
          </cell>
          <cell r="C1093">
            <v>54</v>
          </cell>
          <cell r="D1093">
            <v>5</v>
          </cell>
          <cell r="F1093" t="str">
            <v>千里Ｃ</v>
          </cell>
          <cell r="G1093" t="str">
            <v>ｽﾌﾟﾘﾝｸﾗｰ設備(外観)</v>
          </cell>
          <cell r="H1093" t="str">
            <v>ホーチキ</v>
          </cell>
          <cell r="I1093">
            <v>57330</v>
          </cell>
          <cell r="J1093">
            <v>58477</v>
          </cell>
          <cell r="K1093">
            <v>1</v>
          </cell>
          <cell r="L1093">
            <v>0</v>
          </cell>
          <cell r="M1093">
            <v>58477</v>
          </cell>
          <cell r="N1093">
            <v>0</v>
          </cell>
          <cell r="O1093">
            <v>0</v>
          </cell>
          <cell r="P1093">
            <v>0</v>
          </cell>
          <cell r="Q1093">
            <v>0</v>
          </cell>
          <cell r="R1093">
            <v>0</v>
          </cell>
          <cell r="S1093">
            <v>0</v>
          </cell>
          <cell r="T1093">
            <v>0</v>
          </cell>
          <cell r="U1093">
            <v>0</v>
          </cell>
          <cell r="V1093">
            <v>0</v>
          </cell>
          <cell r="W1093">
            <v>0</v>
          </cell>
          <cell r="X1093" t="str">
            <v/>
          </cell>
          <cell r="Y1093" t="str">
            <v>⑤</v>
          </cell>
          <cell r="Z1093" t="str">
            <v/>
          </cell>
          <cell r="AA1093" t="str">
            <v/>
          </cell>
          <cell r="AB1093" t="str">
            <v/>
          </cell>
          <cell r="AC1093" t="str">
            <v/>
          </cell>
          <cell r="AD1093" t="str">
            <v/>
          </cell>
          <cell r="AE1093" t="str">
            <v/>
          </cell>
          <cell r="AF1093" t="str">
            <v/>
          </cell>
          <cell r="AG1093" t="str">
            <v/>
          </cell>
          <cell r="AH1093" t="str">
            <v/>
          </cell>
          <cell r="AI1093" t="str">
            <v/>
          </cell>
        </row>
        <row r="1094">
          <cell r="B1094">
            <v>5406</v>
          </cell>
          <cell r="C1094">
            <v>54</v>
          </cell>
          <cell r="D1094">
            <v>6</v>
          </cell>
          <cell r="F1094" t="str">
            <v>千里Ｃ</v>
          </cell>
          <cell r="G1094" t="str">
            <v>ｽﾌﾟﾘﾝｸﾗｰ設備(総合)</v>
          </cell>
          <cell r="H1094" t="str">
            <v>ホーチキ</v>
          </cell>
          <cell r="I1094">
            <v>85590</v>
          </cell>
          <cell r="J1094">
            <v>87302</v>
          </cell>
          <cell r="K1094">
            <v>1</v>
          </cell>
          <cell r="L1094">
            <v>0</v>
          </cell>
          <cell r="M1094">
            <v>0</v>
          </cell>
          <cell r="N1094">
            <v>0</v>
          </cell>
          <cell r="O1094">
            <v>0</v>
          </cell>
          <cell r="P1094">
            <v>0</v>
          </cell>
          <cell r="Q1094">
            <v>0</v>
          </cell>
          <cell r="R1094">
            <v>0</v>
          </cell>
          <cell r="S1094">
            <v>87302</v>
          </cell>
          <cell r="T1094">
            <v>0</v>
          </cell>
          <cell r="U1094">
            <v>0</v>
          </cell>
          <cell r="V1094">
            <v>0</v>
          </cell>
          <cell r="W1094">
            <v>0</v>
          </cell>
          <cell r="X1094" t="str">
            <v/>
          </cell>
          <cell r="Y1094" t="str">
            <v/>
          </cell>
          <cell r="Z1094" t="str">
            <v/>
          </cell>
          <cell r="AA1094" t="str">
            <v/>
          </cell>
          <cell r="AB1094" t="str">
            <v/>
          </cell>
          <cell r="AC1094" t="str">
            <v/>
          </cell>
          <cell r="AD1094" t="str">
            <v/>
          </cell>
          <cell r="AE1094" t="str">
            <v>⑪</v>
          </cell>
          <cell r="AF1094" t="str">
            <v/>
          </cell>
          <cell r="AG1094" t="str">
            <v/>
          </cell>
          <cell r="AH1094" t="str">
            <v/>
          </cell>
          <cell r="AI1094" t="str">
            <v/>
          </cell>
        </row>
        <row r="1095">
          <cell r="B1095">
            <v>5407</v>
          </cell>
          <cell r="C1095">
            <v>54</v>
          </cell>
          <cell r="D1095">
            <v>7</v>
          </cell>
          <cell r="F1095" t="str">
            <v>千里Ｃ</v>
          </cell>
          <cell r="G1095" t="str">
            <v>非常放送(外観)</v>
          </cell>
          <cell r="H1095" t="str">
            <v>ホーチキ</v>
          </cell>
          <cell r="I1095">
            <v>56250</v>
          </cell>
          <cell r="J1095">
            <v>57375</v>
          </cell>
          <cell r="K1095">
            <v>1</v>
          </cell>
          <cell r="L1095">
            <v>0</v>
          </cell>
          <cell r="M1095">
            <v>57375</v>
          </cell>
          <cell r="N1095">
            <v>0</v>
          </cell>
          <cell r="O1095">
            <v>0</v>
          </cell>
          <cell r="P1095">
            <v>0</v>
          </cell>
          <cell r="Q1095">
            <v>0</v>
          </cell>
          <cell r="R1095">
            <v>0</v>
          </cell>
          <cell r="S1095">
            <v>0</v>
          </cell>
          <cell r="T1095">
            <v>0</v>
          </cell>
          <cell r="U1095">
            <v>0</v>
          </cell>
          <cell r="V1095">
            <v>0</v>
          </cell>
          <cell r="W1095">
            <v>0</v>
          </cell>
          <cell r="X1095" t="str">
            <v/>
          </cell>
          <cell r="Y1095" t="str">
            <v>⑤</v>
          </cell>
          <cell r="Z1095" t="str">
            <v/>
          </cell>
          <cell r="AA1095" t="str">
            <v/>
          </cell>
          <cell r="AB1095" t="str">
            <v/>
          </cell>
          <cell r="AC1095" t="str">
            <v/>
          </cell>
          <cell r="AD1095" t="str">
            <v/>
          </cell>
          <cell r="AE1095" t="str">
            <v/>
          </cell>
          <cell r="AF1095" t="str">
            <v/>
          </cell>
          <cell r="AG1095" t="str">
            <v/>
          </cell>
          <cell r="AH1095" t="str">
            <v/>
          </cell>
          <cell r="AI1095" t="str">
            <v/>
          </cell>
        </row>
        <row r="1096">
          <cell r="B1096">
            <v>5408</v>
          </cell>
          <cell r="C1096">
            <v>54</v>
          </cell>
          <cell r="D1096">
            <v>8</v>
          </cell>
          <cell r="F1096" t="str">
            <v>千里Ｃ</v>
          </cell>
          <cell r="G1096" t="str">
            <v>非常放送(総合)</v>
          </cell>
          <cell r="H1096" t="str">
            <v>ホーチキ</v>
          </cell>
          <cell r="I1096">
            <v>123300</v>
          </cell>
          <cell r="J1096">
            <v>125766</v>
          </cell>
          <cell r="K1096">
            <v>1</v>
          </cell>
          <cell r="L1096">
            <v>0</v>
          </cell>
          <cell r="M1096">
            <v>0</v>
          </cell>
          <cell r="N1096">
            <v>0</v>
          </cell>
          <cell r="O1096">
            <v>0</v>
          </cell>
          <cell r="P1096">
            <v>0</v>
          </cell>
          <cell r="Q1096">
            <v>0</v>
          </cell>
          <cell r="R1096">
            <v>0</v>
          </cell>
          <cell r="S1096">
            <v>125766</v>
          </cell>
          <cell r="T1096">
            <v>0</v>
          </cell>
          <cell r="U1096">
            <v>0</v>
          </cell>
          <cell r="V1096">
            <v>0</v>
          </cell>
          <cell r="W1096">
            <v>0</v>
          </cell>
          <cell r="X1096" t="str">
            <v/>
          </cell>
          <cell r="Y1096" t="str">
            <v/>
          </cell>
          <cell r="Z1096" t="str">
            <v/>
          </cell>
          <cell r="AA1096" t="str">
            <v/>
          </cell>
          <cell r="AB1096" t="str">
            <v/>
          </cell>
          <cell r="AC1096" t="str">
            <v/>
          </cell>
          <cell r="AD1096" t="str">
            <v/>
          </cell>
          <cell r="AE1096" t="str">
            <v>⑪</v>
          </cell>
          <cell r="AF1096" t="str">
            <v/>
          </cell>
          <cell r="AG1096" t="str">
            <v/>
          </cell>
          <cell r="AH1096" t="str">
            <v/>
          </cell>
          <cell r="AI1096" t="str">
            <v/>
          </cell>
        </row>
        <row r="1097">
          <cell r="B1097">
            <v>5409</v>
          </cell>
          <cell r="C1097">
            <v>54</v>
          </cell>
          <cell r="D1097">
            <v>9</v>
          </cell>
          <cell r="F1097" t="str">
            <v>千里Ｃ</v>
          </cell>
          <cell r="G1097" t="str">
            <v>誘導灯(外観)</v>
          </cell>
          <cell r="H1097" t="str">
            <v>ホーチキ</v>
          </cell>
          <cell r="I1097">
            <v>52200</v>
          </cell>
          <cell r="J1097">
            <v>53244</v>
          </cell>
          <cell r="K1097">
            <v>2</v>
          </cell>
          <cell r="L1097">
            <v>0</v>
          </cell>
          <cell r="M1097">
            <v>53244</v>
          </cell>
          <cell r="N1097">
            <v>0</v>
          </cell>
          <cell r="O1097">
            <v>0</v>
          </cell>
          <cell r="P1097">
            <v>0</v>
          </cell>
          <cell r="Q1097">
            <v>0</v>
          </cell>
          <cell r="R1097">
            <v>0</v>
          </cell>
          <cell r="S1097">
            <v>53244</v>
          </cell>
          <cell r="T1097">
            <v>0</v>
          </cell>
          <cell r="U1097">
            <v>0</v>
          </cell>
          <cell r="V1097">
            <v>0</v>
          </cell>
          <cell r="W1097">
            <v>0</v>
          </cell>
          <cell r="X1097" t="str">
            <v/>
          </cell>
          <cell r="Y1097" t="str">
            <v>⑤</v>
          </cell>
          <cell r="Z1097" t="str">
            <v/>
          </cell>
          <cell r="AA1097" t="str">
            <v/>
          </cell>
          <cell r="AB1097" t="str">
            <v/>
          </cell>
          <cell r="AC1097" t="str">
            <v/>
          </cell>
          <cell r="AD1097" t="str">
            <v/>
          </cell>
          <cell r="AE1097" t="str">
            <v>⑪</v>
          </cell>
          <cell r="AF1097" t="str">
            <v/>
          </cell>
          <cell r="AG1097" t="str">
            <v/>
          </cell>
          <cell r="AH1097" t="str">
            <v/>
          </cell>
          <cell r="AI1097" t="str">
            <v/>
          </cell>
        </row>
        <row r="1098">
          <cell r="B1098">
            <v>5410</v>
          </cell>
          <cell r="C1098">
            <v>54</v>
          </cell>
          <cell r="D1098">
            <v>10</v>
          </cell>
          <cell r="F1098" t="str">
            <v>千里Ｃ</v>
          </cell>
          <cell r="G1098" t="str">
            <v>Ｐ型防排煙制御(外観)</v>
          </cell>
          <cell r="H1098" t="str">
            <v>ホーチキ</v>
          </cell>
          <cell r="I1098">
            <v>452250</v>
          </cell>
          <cell r="J1098">
            <v>461295</v>
          </cell>
          <cell r="K1098">
            <v>1</v>
          </cell>
          <cell r="L1098">
            <v>0</v>
          </cell>
          <cell r="M1098">
            <v>461295</v>
          </cell>
          <cell r="N1098">
            <v>0</v>
          </cell>
          <cell r="O1098">
            <v>0</v>
          </cell>
          <cell r="P1098">
            <v>0</v>
          </cell>
          <cell r="Q1098">
            <v>0</v>
          </cell>
          <cell r="R1098">
            <v>0</v>
          </cell>
          <cell r="S1098">
            <v>0</v>
          </cell>
          <cell r="T1098">
            <v>0</v>
          </cell>
          <cell r="U1098">
            <v>0</v>
          </cell>
          <cell r="V1098">
            <v>0</v>
          </cell>
          <cell r="W1098">
            <v>0</v>
          </cell>
          <cell r="X1098" t="str">
            <v/>
          </cell>
          <cell r="Y1098" t="str">
            <v>⑤</v>
          </cell>
          <cell r="Z1098" t="str">
            <v/>
          </cell>
          <cell r="AA1098" t="str">
            <v/>
          </cell>
          <cell r="AB1098" t="str">
            <v/>
          </cell>
          <cell r="AC1098" t="str">
            <v/>
          </cell>
          <cell r="AD1098" t="str">
            <v/>
          </cell>
          <cell r="AE1098" t="str">
            <v/>
          </cell>
          <cell r="AF1098" t="str">
            <v/>
          </cell>
          <cell r="AG1098" t="str">
            <v/>
          </cell>
          <cell r="AH1098" t="str">
            <v/>
          </cell>
          <cell r="AI1098" t="str">
            <v/>
          </cell>
        </row>
        <row r="1099">
          <cell r="B1099">
            <v>5411</v>
          </cell>
          <cell r="C1099">
            <v>54</v>
          </cell>
          <cell r="D1099">
            <v>11</v>
          </cell>
          <cell r="F1099" t="str">
            <v>千里Ｃ</v>
          </cell>
          <cell r="G1099" t="str">
            <v>Ｐ型防排煙制御(総合)</v>
          </cell>
          <cell r="H1099" t="str">
            <v>ホーチキ</v>
          </cell>
          <cell r="I1099">
            <v>455490</v>
          </cell>
          <cell r="J1099">
            <v>464600</v>
          </cell>
          <cell r="K1099">
            <v>1</v>
          </cell>
          <cell r="L1099">
            <v>0</v>
          </cell>
          <cell r="M1099">
            <v>0</v>
          </cell>
          <cell r="N1099">
            <v>0</v>
          </cell>
          <cell r="O1099">
            <v>0</v>
          </cell>
          <cell r="P1099">
            <v>0</v>
          </cell>
          <cell r="Q1099">
            <v>0</v>
          </cell>
          <cell r="R1099">
            <v>0</v>
          </cell>
          <cell r="S1099">
            <v>464600</v>
          </cell>
          <cell r="T1099">
            <v>0</v>
          </cell>
          <cell r="U1099">
            <v>0</v>
          </cell>
          <cell r="V1099">
            <v>0</v>
          </cell>
          <cell r="W1099">
            <v>0</v>
          </cell>
          <cell r="X1099" t="str">
            <v/>
          </cell>
          <cell r="Y1099" t="str">
            <v/>
          </cell>
          <cell r="Z1099" t="str">
            <v/>
          </cell>
          <cell r="AA1099" t="str">
            <v/>
          </cell>
          <cell r="AB1099" t="str">
            <v/>
          </cell>
          <cell r="AC1099" t="str">
            <v/>
          </cell>
          <cell r="AD1099" t="str">
            <v/>
          </cell>
          <cell r="AE1099" t="str">
            <v>⑪</v>
          </cell>
          <cell r="AF1099" t="str">
            <v/>
          </cell>
          <cell r="AG1099" t="str">
            <v/>
          </cell>
          <cell r="AH1099" t="str">
            <v/>
          </cell>
          <cell r="AI1099" t="str">
            <v/>
          </cell>
        </row>
        <row r="1100">
          <cell r="B1100">
            <v>5412</v>
          </cell>
          <cell r="C1100">
            <v>54</v>
          </cell>
          <cell r="D1100">
            <v>12</v>
          </cell>
          <cell r="F1100" t="str">
            <v>千里Ｃ</v>
          </cell>
          <cell r="G1100" t="str">
            <v>連結送水管(外観)</v>
          </cell>
          <cell r="H1100" t="str">
            <v>ホーチキ</v>
          </cell>
          <cell r="I1100">
            <v>3870</v>
          </cell>
          <cell r="J1100">
            <v>3947</v>
          </cell>
          <cell r="K1100">
            <v>1</v>
          </cell>
          <cell r="L1100">
            <v>0</v>
          </cell>
          <cell r="M1100">
            <v>3947</v>
          </cell>
          <cell r="N1100">
            <v>0</v>
          </cell>
          <cell r="O1100">
            <v>0</v>
          </cell>
          <cell r="P1100">
            <v>0</v>
          </cell>
          <cell r="Q1100">
            <v>0</v>
          </cell>
          <cell r="R1100">
            <v>0</v>
          </cell>
          <cell r="S1100">
            <v>0</v>
          </cell>
          <cell r="T1100">
            <v>0</v>
          </cell>
          <cell r="U1100">
            <v>0</v>
          </cell>
          <cell r="V1100">
            <v>0</v>
          </cell>
          <cell r="W1100">
            <v>0</v>
          </cell>
          <cell r="X1100" t="str">
            <v/>
          </cell>
          <cell r="Y1100" t="str">
            <v>⑤</v>
          </cell>
          <cell r="Z1100" t="str">
            <v/>
          </cell>
          <cell r="AA1100" t="str">
            <v/>
          </cell>
          <cell r="AB1100" t="str">
            <v/>
          </cell>
          <cell r="AC1100" t="str">
            <v/>
          </cell>
          <cell r="AD1100" t="str">
            <v/>
          </cell>
          <cell r="AE1100" t="str">
            <v/>
          </cell>
          <cell r="AF1100" t="str">
            <v/>
          </cell>
          <cell r="AG1100" t="str">
            <v/>
          </cell>
          <cell r="AH1100" t="str">
            <v/>
          </cell>
          <cell r="AI1100" t="str">
            <v/>
          </cell>
        </row>
        <row r="1101">
          <cell r="B1101">
            <v>5413</v>
          </cell>
          <cell r="C1101">
            <v>54</v>
          </cell>
          <cell r="D1101">
            <v>13</v>
          </cell>
          <cell r="F1101" t="str">
            <v>千里Ｃ</v>
          </cell>
          <cell r="G1101" t="str">
            <v>連結送水管(総合)</v>
          </cell>
          <cell r="H1101" t="str">
            <v>ホーチキ</v>
          </cell>
          <cell r="I1101">
            <v>3870</v>
          </cell>
          <cell r="J1101">
            <v>3947</v>
          </cell>
          <cell r="K1101">
            <v>1</v>
          </cell>
          <cell r="L1101">
            <v>0</v>
          </cell>
          <cell r="M1101">
            <v>0</v>
          </cell>
          <cell r="N1101">
            <v>0</v>
          </cell>
          <cell r="O1101">
            <v>0</v>
          </cell>
          <cell r="P1101">
            <v>0</v>
          </cell>
          <cell r="Q1101">
            <v>0</v>
          </cell>
          <cell r="R1101">
            <v>0</v>
          </cell>
          <cell r="S1101">
            <v>3947</v>
          </cell>
          <cell r="T1101">
            <v>0</v>
          </cell>
          <cell r="U1101">
            <v>0</v>
          </cell>
          <cell r="V1101">
            <v>0</v>
          </cell>
          <cell r="W1101">
            <v>0</v>
          </cell>
          <cell r="X1101" t="str">
            <v/>
          </cell>
          <cell r="Y1101" t="str">
            <v/>
          </cell>
          <cell r="Z1101" t="str">
            <v/>
          </cell>
          <cell r="AA1101" t="str">
            <v/>
          </cell>
          <cell r="AB1101" t="str">
            <v/>
          </cell>
          <cell r="AC1101" t="str">
            <v/>
          </cell>
          <cell r="AD1101" t="str">
            <v/>
          </cell>
          <cell r="AE1101" t="str">
            <v>⑪</v>
          </cell>
          <cell r="AF1101" t="str">
            <v/>
          </cell>
          <cell r="AG1101" t="str">
            <v/>
          </cell>
          <cell r="AH1101" t="str">
            <v/>
          </cell>
          <cell r="AI1101" t="str">
            <v/>
          </cell>
        </row>
        <row r="1102">
          <cell r="B1102">
            <v>5414</v>
          </cell>
          <cell r="C1102">
            <v>54</v>
          </cell>
          <cell r="D1102">
            <v>14</v>
          </cell>
          <cell r="F1102" t="str">
            <v>千里Ｃ</v>
          </cell>
          <cell r="G1102" t="str">
            <v>ＣＲＴ設備(総合)</v>
          </cell>
          <cell r="H1102" t="str">
            <v>ホーチキ</v>
          </cell>
          <cell r="I1102">
            <v>595530</v>
          </cell>
          <cell r="J1102">
            <v>607441</v>
          </cell>
          <cell r="K1102">
            <v>1</v>
          </cell>
          <cell r="L1102">
            <v>0</v>
          </cell>
          <cell r="M1102">
            <v>0</v>
          </cell>
          <cell r="N1102">
            <v>0</v>
          </cell>
          <cell r="O1102">
            <v>0</v>
          </cell>
          <cell r="P1102">
            <v>0</v>
          </cell>
          <cell r="Q1102">
            <v>0</v>
          </cell>
          <cell r="R1102">
            <v>0</v>
          </cell>
          <cell r="S1102">
            <v>607441</v>
          </cell>
          <cell r="T1102">
            <v>0</v>
          </cell>
          <cell r="U1102">
            <v>0</v>
          </cell>
          <cell r="V1102">
            <v>0</v>
          </cell>
          <cell r="W1102">
            <v>0</v>
          </cell>
          <cell r="X1102" t="str">
            <v/>
          </cell>
          <cell r="Y1102" t="str">
            <v/>
          </cell>
          <cell r="Z1102" t="str">
            <v/>
          </cell>
          <cell r="AA1102" t="str">
            <v/>
          </cell>
          <cell r="AB1102" t="str">
            <v/>
          </cell>
          <cell r="AC1102" t="str">
            <v/>
          </cell>
          <cell r="AD1102" t="str">
            <v/>
          </cell>
          <cell r="AE1102" t="str">
            <v>⑪</v>
          </cell>
          <cell r="AF1102" t="str">
            <v/>
          </cell>
          <cell r="AG1102" t="str">
            <v/>
          </cell>
          <cell r="AH1102" t="str">
            <v/>
          </cell>
          <cell r="AI1102" t="str">
            <v/>
          </cell>
        </row>
        <row r="1103">
          <cell r="B1103">
            <v>5415</v>
          </cell>
          <cell r="C1103">
            <v>54</v>
          </cell>
          <cell r="D1103">
            <v>15</v>
          </cell>
          <cell r="F1103" t="str">
            <v>千里Ｃ</v>
          </cell>
          <cell r="G1103" t="str">
            <v>Ｐ型自火報(外観)</v>
          </cell>
          <cell r="H1103" t="str">
            <v>ホーチキ</v>
          </cell>
          <cell r="I1103">
            <v>185490</v>
          </cell>
          <cell r="J1103">
            <v>189200</v>
          </cell>
          <cell r="K1103">
            <v>1</v>
          </cell>
          <cell r="L1103">
            <v>0</v>
          </cell>
          <cell r="M1103">
            <v>189200</v>
          </cell>
          <cell r="N1103">
            <v>0</v>
          </cell>
          <cell r="O1103">
            <v>0</v>
          </cell>
          <cell r="P1103">
            <v>0</v>
          </cell>
          <cell r="Q1103">
            <v>0</v>
          </cell>
          <cell r="R1103">
            <v>0</v>
          </cell>
          <cell r="S1103">
            <v>0</v>
          </cell>
          <cell r="T1103">
            <v>0</v>
          </cell>
          <cell r="U1103">
            <v>0</v>
          </cell>
          <cell r="V1103">
            <v>0</v>
          </cell>
          <cell r="W1103">
            <v>0</v>
          </cell>
          <cell r="X1103" t="str">
            <v/>
          </cell>
          <cell r="Y1103" t="str">
            <v>⑤</v>
          </cell>
          <cell r="Z1103" t="str">
            <v/>
          </cell>
          <cell r="AA1103" t="str">
            <v/>
          </cell>
          <cell r="AB1103" t="str">
            <v/>
          </cell>
          <cell r="AC1103" t="str">
            <v/>
          </cell>
          <cell r="AD1103" t="str">
            <v/>
          </cell>
          <cell r="AE1103" t="str">
            <v/>
          </cell>
          <cell r="AF1103" t="str">
            <v/>
          </cell>
          <cell r="AG1103" t="str">
            <v/>
          </cell>
          <cell r="AH1103" t="str">
            <v/>
          </cell>
          <cell r="AI1103" t="str">
            <v/>
          </cell>
        </row>
        <row r="1104">
          <cell r="B1104">
            <v>5416</v>
          </cell>
          <cell r="C1104">
            <v>54</v>
          </cell>
          <cell r="D1104">
            <v>16</v>
          </cell>
          <cell r="F1104" t="str">
            <v>千里Ｃ</v>
          </cell>
          <cell r="G1104" t="str">
            <v>Ｐ型自火報(総合)</v>
          </cell>
          <cell r="H1104" t="str">
            <v>ホーチキ</v>
          </cell>
          <cell r="I1104">
            <v>522450</v>
          </cell>
          <cell r="J1104">
            <v>532899</v>
          </cell>
          <cell r="K1104">
            <v>1</v>
          </cell>
          <cell r="L1104">
            <v>0</v>
          </cell>
          <cell r="M1104">
            <v>0</v>
          </cell>
          <cell r="N1104">
            <v>0</v>
          </cell>
          <cell r="O1104">
            <v>0</v>
          </cell>
          <cell r="P1104">
            <v>0</v>
          </cell>
          <cell r="Q1104">
            <v>0</v>
          </cell>
          <cell r="R1104">
            <v>0</v>
          </cell>
          <cell r="S1104">
            <v>532899</v>
          </cell>
          <cell r="T1104">
            <v>0</v>
          </cell>
          <cell r="U1104">
            <v>0</v>
          </cell>
          <cell r="V1104">
            <v>0</v>
          </cell>
          <cell r="W1104">
            <v>0</v>
          </cell>
          <cell r="X1104" t="str">
            <v/>
          </cell>
          <cell r="Y1104" t="str">
            <v/>
          </cell>
          <cell r="Z1104" t="str">
            <v/>
          </cell>
          <cell r="AA1104" t="str">
            <v/>
          </cell>
          <cell r="AB1104" t="str">
            <v/>
          </cell>
          <cell r="AC1104" t="str">
            <v/>
          </cell>
          <cell r="AD1104" t="str">
            <v/>
          </cell>
          <cell r="AE1104" t="str">
            <v>⑪</v>
          </cell>
          <cell r="AF1104" t="str">
            <v/>
          </cell>
          <cell r="AG1104" t="str">
            <v/>
          </cell>
          <cell r="AH1104" t="str">
            <v/>
          </cell>
          <cell r="AI1104" t="str">
            <v/>
          </cell>
        </row>
        <row r="1105">
          <cell r="B1105">
            <v>5417</v>
          </cell>
          <cell r="C1105">
            <v>54</v>
          </cell>
          <cell r="D1105">
            <v>17</v>
          </cell>
          <cell r="F1105" t="str">
            <v>千里Ｃ</v>
          </cell>
          <cell r="G1105" t="str">
            <v>ﾊﾛｹﾞﾝ化物設備(外観)</v>
          </cell>
          <cell r="H1105" t="str">
            <v>ヤマトプロテック</v>
          </cell>
          <cell r="I1105">
            <v>400000</v>
          </cell>
          <cell r="J1105">
            <v>420000</v>
          </cell>
          <cell r="K1105">
            <v>1</v>
          </cell>
          <cell r="L1105">
            <v>0</v>
          </cell>
          <cell r="M1105">
            <v>420000</v>
          </cell>
          <cell r="N1105">
            <v>0</v>
          </cell>
          <cell r="O1105">
            <v>0</v>
          </cell>
          <cell r="P1105">
            <v>0</v>
          </cell>
          <cell r="Q1105">
            <v>0</v>
          </cell>
          <cell r="R1105">
            <v>0</v>
          </cell>
          <cell r="S1105">
            <v>0</v>
          </cell>
          <cell r="T1105">
            <v>0</v>
          </cell>
          <cell r="U1105">
            <v>0</v>
          </cell>
          <cell r="V1105">
            <v>0</v>
          </cell>
          <cell r="W1105">
            <v>0</v>
          </cell>
          <cell r="X1105" t="str">
            <v/>
          </cell>
          <cell r="Y1105" t="str">
            <v>⑤</v>
          </cell>
          <cell r="Z1105" t="str">
            <v/>
          </cell>
          <cell r="AA1105" t="str">
            <v/>
          </cell>
          <cell r="AB1105" t="str">
            <v/>
          </cell>
          <cell r="AC1105" t="str">
            <v/>
          </cell>
          <cell r="AD1105" t="str">
            <v/>
          </cell>
          <cell r="AE1105" t="str">
            <v/>
          </cell>
          <cell r="AF1105" t="str">
            <v/>
          </cell>
          <cell r="AG1105" t="str">
            <v/>
          </cell>
          <cell r="AH1105" t="str">
            <v/>
          </cell>
          <cell r="AI1105" t="str">
            <v/>
          </cell>
        </row>
        <row r="1106">
          <cell r="B1106">
            <v>5418</v>
          </cell>
          <cell r="C1106">
            <v>54</v>
          </cell>
          <cell r="D1106">
            <v>18</v>
          </cell>
          <cell r="F1106" t="str">
            <v>千里Ｃ</v>
          </cell>
          <cell r="G1106" t="str">
            <v>ﾊﾛｹﾞﾝ化物設備(総合)</v>
          </cell>
          <cell r="H1106" t="str">
            <v>ヤマトプロテック</v>
          </cell>
          <cell r="I1106">
            <v>560000</v>
          </cell>
          <cell r="J1106">
            <v>588000</v>
          </cell>
          <cell r="K1106">
            <v>1</v>
          </cell>
          <cell r="L1106">
            <v>0</v>
          </cell>
          <cell r="M1106">
            <v>0</v>
          </cell>
          <cell r="N1106">
            <v>0</v>
          </cell>
          <cell r="O1106">
            <v>0</v>
          </cell>
          <cell r="P1106">
            <v>0</v>
          </cell>
          <cell r="Q1106">
            <v>0</v>
          </cell>
          <cell r="R1106">
            <v>0</v>
          </cell>
          <cell r="S1106">
            <v>588000</v>
          </cell>
          <cell r="T1106">
            <v>0</v>
          </cell>
          <cell r="U1106">
            <v>0</v>
          </cell>
          <cell r="V1106">
            <v>0</v>
          </cell>
          <cell r="W1106">
            <v>0</v>
          </cell>
          <cell r="X1106" t="str">
            <v/>
          </cell>
          <cell r="Y1106" t="str">
            <v/>
          </cell>
          <cell r="Z1106" t="str">
            <v/>
          </cell>
          <cell r="AA1106" t="str">
            <v/>
          </cell>
          <cell r="AB1106" t="str">
            <v/>
          </cell>
          <cell r="AC1106" t="str">
            <v/>
          </cell>
          <cell r="AD1106" t="str">
            <v/>
          </cell>
          <cell r="AE1106" t="str">
            <v>⑪</v>
          </cell>
          <cell r="AF1106" t="str">
            <v/>
          </cell>
          <cell r="AG1106" t="str">
            <v/>
          </cell>
          <cell r="AH1106" t="str">
            <v/>
          </cell>
          <cell r="AI1106" t="str">
            <v/>
          </cell>
        </row>
        <row r="1107">
          <cell r="B1107">
            <v>5419</v>
          </cell>
          <cell r="C1107">
            <v>54</v>
          </cell>
          <cell r="D1107">
            <v>19</v>
          </cell>
          <cell r="F1107" t="str">
            <v>千里Ｃ</v>
          </cell>
          <cell r="G1107" t="str">
            <v>消火器設備保守(外観)</v>
          </cell>
          <cell r="H1107" t="str">
            <v>モリタ</v>
          </cell>
          <cell r="I1107">
            <v>57800</v>
          </cell>
          <cell r="J1107">
            <v>58956</v>
          </cell>
          <cell r="K1107">
            <v>2</v>
          </cell>
          <cell r="L1107">
            <v>0</v>
          </cell>
          <cell r="M1107">
            <v>58956</v>
          </cell>
          <cell r="N1107">
            <v>0</v>
          </cell>
          <cell r="O1107">
            <v>0</v>
          </cell>
          <cell r="P1107">
            <v>0</v>
          </cell>
          <cell r="Q1107">
            <v>0</v>
          </cell>
          <cell r="R1107">
            <v>0</v>
          </cell>
          <cell r="S1107">
            <v>58956</v>
          </cell>
          <cell r="T1107">
            <v>0</v>
          </cell>
          <cell r="U1107">
            <v>0</v>
          </cell>
          <cell r="V1107">
            <v>0</v>
          </cell>
          <cell r="W1107">
            <v>0</v>
          </cell>
          <cell r="X1107" t="str">
            <v/>
          </cell>
          <cell r="Y1107" t="str">
            <v>⑤</v>
          </cell>
          <cell r="Z1107" t="str">
            <v/>
          </cell>
          <cell r="AA1107" t="str">
            <v/>
          </cell>
          <cell r="AB1107" t="str">
            <v/>
          </cell>
          <cell r="AC1107" t="str">
            <v/>
          </cell>
          <cell r="AD1107" t="str">
            <v/>
          </cell>
          <cell r="AE1107" t="str">
            <v>⑪</v>
          </cell>
          <cell r="AF1107" t="str">
            <v/>
          </cell>
          <cell r="AG1107" t="str">
            <v/>
          </cell>
          <cell r="AH1107" t="str">
            <v/>
          </cell>
          <cell r="AI1107" t="str">
            <v/>
          </cell>
        </row>
        <row r="1108">
          <cell r="B1108">
            <v>5420</v>
          </cell>
          <cell r="C1108">
            <v>54</v>
          </cell>
          <cell r="D1108">
            <v>20</v>
          </cell>
          <cell r="F1108" t="str">
            <v>千里Ｃ</v>
          </cell>
          <cell r="G1108" t="str">
            <v>非常電源設備保守(外観)</v>
          </cell>
          <cell r="H1108" t="str">
            <v>ＧＳ電池商会</v>
          </cell>
          <cell r="I1108">
            <v>195000</v>
          </cell>
          <cell r="J1108">
            <v>203100</v>
          </cell>
          <cell r="K1108">
            <v>1</v>
          </cell>
          <cell r="L1108">
            <v>0</v>
          </cell>
          <cell r="M1108">
            <v>203100</v>
          </cell>
          <cell r="N1108">
            <v>0</v>
          </cell>
          <cell r="O1108">
            <v>0</v>
          </cell>
          <cell r="P1108">
            <v>0</v>
          </cell>
          <cell r="Q1108">
            <v>0</v>
          </cell>
          <cell r="R1108">
            <v>0</v>
          </cell>
          <cell r="S1108">
            <v>0</v>
          </cell>
          <cell r="T1108">
            <v>0</v>
          </cell>
          <cell r="U1108">
            <v>0</v>
          </cell>
          <cell r="V1108">
            <v>0</v>
          </cell>
          <cell r="W1108">
            <v>0</v>
          </cell>
          <cell r="X1108" t="str">
            <v/>
          </cell>
          <cell r="Y1108" t="str">
            <v>⑤</v>
          </cell>
          <cell r="Z1108" t="str">
            <v/>
          </cell>
          <cell r="AA1108" t="str">
            <v/>
          </cell>
          <cell r="AB1108" t="str">
            <v/>
          </cell>
          <cell r="AC1108" t="str">
            <v/>
          </cell>
          <cell r="AD1108" t="str">
            <v/>
          </cell>
          <cell r="AE1108" t="str">
            <v/>
          </cell>
          <cell r="AF1108" t="str">
            <v/>
          </cell>
          <cell r="AG1108" t="str">
            <v/>
          </cell>
          <cell r="AH1108" t="str">
            <v/>
          </cell>
          <cell r="AI1108" t="str">
            <v/>
          </cell>
        </row>
        <row r="1109">
          <cell r="B1109">
            <v>5421</v>
          </cell>
          <cell r="C1109">
            <v>54</v>
          </cell>
          <cell r="D1109">
            <v>21</v>
          </cell>
          <cell r="F1109" t="str">
            <v>千里Ｃ</v>
          </cell>
          <cell r="G1109" t="str">
            <v>非常電源設備保守(総合)</v>
          </cell>
          <cell r="H1109" t="str">
            <v>ＧＳ電池商会</v>
          </cell>
          <cell r="I1109">
            <v>195000</v>
          </cell>
          <cell r="J1109">
            <v>203100</v>
          </cell>
          <cell r="K1109">
            <v>1</v>
          </cell>
          <cell r="L1109">
            <v>0</v>
          </cell>
          <cell r="M1109">
            <v>0</v>
          </cell>
          <cell r="N1109">
            <v>0</v>
          </cell>
          <cell r="O1109">
            <v>0</v>
          </cell>
          <cell r="P1109">
            <v>0</v>
          </cell>
          <cell r="Q1109">
            <v>0</v>
          </cell>
          <cell r="R1109">
            <v>0</v>
          </cell>
          <cell r="S1109">
            <v>203100</v>
          </cell>
          <cell r="T1109">
            <v>0</v>
          </cell>
          <cell r="U1109">
            <v>0</v>
          </cell>
          <cell r="V1109">
            <v>0</v>
          </cell>
          <cell r="W1109">
            <v>0</v>
          </cell>
          <cell r="X1109" t="str">
            <v/>
          </cell>
          <cell r="Y1109" t="str">
            <v/>
          </cell>
          <cell r="Z1109" t="str">
            <v/>
          </cell>
          <cell r="AA1109" t="str">
            <v/>
          </cell>
          <cell r="AB1109" t="str">
            <v/>
          </cell>
          <cell r="AC1109" t="str">
            <v/>
          </cell>
          <cell r="AD1109" t="str">
            <v/>
          </cell>
          <cell r="AE1109" t="str">
            <v>⑪</v>
          </cell>
          <cell r="AF1109" t="str">
            <v/>
          </cell>
          <cell r="AG1109" t="str">
            <v/>
          </cell>
          <cell r="AH1109" t="str">
            <v/>
          </cell>
          <cell r="AI1109" t="str">
            <v/>
          </cell>
        </row>
        <row r="1110">
          <cell r="B1110">
            <v>5422</v>
          </cell>
          <cell r="C1110">
            <v>54</v>
          </cell>
          <cell r="D1110">
            <v>22</v>
          </cell>
          <cell r="F1110" t="str">
            <v>千里Ｃ</v>
          </cell>
          <cell r="G1110" t="str">
            <v>害虫駆除</v>
          </cell>
          <cell r="H1110" t="str">
            <v>シェル商事</v>
          </cell>
          <cell r="I1110">
            <v>340000</v>
          </cell>
          <cell r="J1110">
            <v>374000</v>
          </cell>
          <cell r="K1110">
            <v>2</v>
          </cell>
          <cell r="L1110">
            <v>0</v>
          </cell>
          <cell r="M1110">
            <v>0</v>
          </cell>
          <cell r="N1110">
            <v>0</v>
          </cell>
          <cell r="O1110">
            <v>374000</v>
          </cell>
          <cell r="P1110">
            <v>0</v>
          </cell>
          <cell r="Q1110">
            <v>0</v>
          </cell>
          <cell r="R1110">
            <v>0</v>
          </cell>
          <cell r="S1110">
            <v>0</v>
          </cell>
          <cell r="T1110">
            <v>0</v>
          </cell>
          <cell r="U1110">
            <v>374000</v>
          </cell>
          <cell r="V1110">
            <v>0</v>
          </cell>
          <cell r="W1110">
            <v>0</v>
          </cell>
          <cell r="X1110" t="str">
            <v/>
          </cell>
          <cell r="Y1110" t="str">
            <v/>
          </cell>
          <cell r="Z1110" t="str">
            <v/>
          </cell>
          <cell r="AA1110" t="str">
            <v>⑦</v>
          </cell>
          <cell r="AB1110" t="str">
            <v/>
          </cell>
          <cell r="AC1110" t="str">
            <v/>
          </cell>
          <cell r="AD1110" t="str">
            <v/>
          </cell>
          <cell r="AE1110" t="str">
            <v/>
          </cell>
          <cell r="AF1110" t="str">
            <v/>
          </cell>
          <cell r="AG1110" t="str">
            <v>①</v>
          </cell>
          <cell r="AH1110" t="str">
            <v/>
          </cell>
          <cell r="AI1110" t="str">
            <v/>
          </cell>
        </row>
        <row r="1111">
          <cell r="B1111">
            <v>5423</v>
          </cell>
          <cell r="C1111">
            <v>54</v>
          </cell>
          <cell r="D1111">
            <v>23</v>
          </cell>
          <cell r="F1111" t="str">
            <v>千里Ｃ</v>
          </cell>
          <cell r="G1111" t="str">
            <v>排ガス測定</v>
          </cell>
          <cell r="H1111" t="str">
            <v>ユウキ産業</v>
          </cell>
          <cell r="I1111">
            <v>80000</v>
          </cell>
          <cell r="J1111">
            <v>92000</v>
          </cell>
          <cell r="K1111">
            <v>1</v>
          </cell>
          <cell r="L1111">
            <v>0</v>
          </cell>
          <cell r="M1111">
            <v>0</v>
          </cell>
          <cell r="N1111">
            <v>0</v>
          </cell>
          <cell r="O1111">
            <v>0</v>
          </cell>
          <cell r="P1111">
            <v>0</v>
          </cell>
          <cell r="Q1111">
            <v>92000</v>
          </cell>
          <cell r="R1111">
            <v>0</v>
          </cell>
          <cell r="S1111">
            <v>0</v>
          </cell>
          <cell r="T1111">
            <v>0</v>
          </cell>
          <cell r="U1111">
            <v>0</v>
          </cell>
          <cell r="V1111">
            <v>0</v>
          </cell>
          <cell r="W1111">
            <v>0</v>
          </cell>
          <cell r="X1111" t="str">
            <v/>
          </cell>
          <cell r="Y1111" t="str">
            <v/>
          </cell>
          <cell r="Z1111" t="str">
            <v/>
          </cell>
          <cell r="AA1111" t="str">
            <v/>
          </cell>
          <cell r="AB1111" t="str">
            <v/>
          </cell>
          <cell r="AC1111" t="str">
            <v>⑨</v>
          </cell>
          <cell r="AD1111" t="str">
            <v/>
          </cell>
          <cell r="AE1111" t="str">
            <v/>
          </cell>
          <cell r="AF1111" t="str">
            <v/>
          </cell>
          <cell r="AG1111" t="str">
            <v/>
          </cell>
          <cell r="AH1111" t="str">
            <v/>
          </cell>
          <cell r="AI1111" t="str">
            <v/>
          </cell>
        </row>
        <row r="1112">
          <cell r="B1112">
            <v>5424</v>
          </cell>
          <cell r="C1112">
            <v>54</v>
          </cell>
          <cell r="D1112">
            <v>24</v>
          </cell>
          <cell r="F1112" t="str">
            <v>千里Ｃ</v>
          </cell>
          <cell r="G1112" t="str">
            <v>非常発電機設備保守(外観)</v>
          </cell>
          <cell r="H1112" t="str">
            <v>三菱電機ﾌﾟﾗﾝﾄｴﾝｼﾞﾆｱﾘﾝｸﾞ</v>
          </cell>
          <cell r="I1112">
            <v>870000</v>
          </cell>
          <cell r="J1112">
            <v>890760</v>
          </cell>
          <cell r="K1112">
            <v>1</v>
          </cell>
          <cell r="L1112">
            <v>0</v>
          </cell>
          <cell r="M1112">
            <v>0</v>
          </cell>
          <cell r="N1112">
            <v>890760</v>
          </cell>
          <cell r="O1112">
            <v>0</v>
          </cell>
          <cell r="P1112">
            <v>0</v>
          </cell>
          <cell r="Q1112">
            <v>0</v>
          </cell>
          <cell r="R1112">
            <v>0</v>
          </cell>
          <cell r="S1112">
            <v>0</v>
          </cell>
          <cell r="T1112">
            <v>0</v>
          </cell>
          <cell r="U1112">
            <v>0</v>
          </cell>
          <cell r="V1112">
            <v>0</v>
          </cell>
          <cell r="W1112">
            <v>0</v>
          </cell>
          <cell r="X1112" t="str">
            <v/>
          </cell>
          <cell r="Y1112" t="str">
            <v/>
          </cell>
          <cell r="Z1112" t="str">
            <v>⑥</v>
          </cell>
          <cell r="AA1112" t="str">
            <v/>
          </cell>
          <cell r="AB1112" t="str">
            <v/>
          </cell>
          <cell r="AC1112" t="str">
            <v/>
          </cell>
          <cell r="AD1112" t="str">
            <v/>
          </cell>
          <cell r="AE1112" t="str">
            <v/>
          </cell>
          <cell r="AF1112" t="str">
            <v/>
          </cell>
          <cell r="AG1112" t="str">
            <v/>
          </cell>
          <cell r="AH1112" t="str">
            <v/>
          </cell>
          <cell r="AI1112" t="str">
            <v/>
          </cell>
          <cell r="AJ1112" t="str">
            <v>変</v>
          </cell>
        </row>
        <row r="1113">
          <cell r="B1113">
            <v>5425</v>
          </cell>
          <cell r="C1113">
            <v>54</v>
          </cell>
          <cell r="D1113">
            <v>25</v>
          </cell>
          <cell r="F1113" t="str">
            <v>千里Ｃ</v>
          </cell>
          <cell r="G1113" t="str">
            <v>非常発電機設備保守(総合)</v>
          </cell>
          <cell r="H1113" t="str">
            <v>三菱電機ﾌﾟﾗﾝﾄｴﾝｼﾞﾆｱﾘﾝｸﾞ</v>
          </cell>
          <cell r="I1113">
            <v>870000</v>
          </cell>
          <cell r="J1113">
            <v>890760</v>
          </cell>
          <cell r="K1113">
            <v>1</v>
          </cell>
          <cell r="L1113">
            <v>0</v>
          </cell>
          <cell r="M1113">
            <v>0</v>
          </cell>
          <cell r="N1113">
            <v>0</v>
          </cell>
          <cell r="O1113">
            <v>0</v>
          </cell>
          <cell r="P1113">
            <v>0</v>
          </cell>
          <cell r="Q1113">
            <v>0</v>
          </cell>
          <cell r="R1113">
            <v>0</v>
          </cell>
          <cell r="S1113">
            <v>890760</v>
          </cell>
          <cell r="T1113">
            <v>0</v>
          </cell>
          <cell r="U1113">
            <v>0</v>
          </cell>
          <cell r="V1113">
            <v>0</v>
          </cell>
          <cell r="W1113">
            <v>0</v>
          </cell>
          <cell r="X1113" t="str">
            <v/>
          </cell>
          <cell r="Y1113" t="str">
            <v/>
          </cell>
          <cell r="Z1113" t="str">
            <v/>
          </cell>
          <cell r="AA1113" t="str">
            <v/>
          </cell>
          <cell r="AB1113" t="str">
            <v/>
          </cell>
          <cell r="AC1113" t="str">
            <v/>
          </cell>
          <cell r="AD1113" t="str">
            <v/>
          </cell>
          <cell r="AE1113" t="str">
            <v>⑪</v>
          </cell>
          <cell r="AF1113" t="str">
            <v/>
          </cell>
          <cell r="AG1113" t="str">
            <v/>
          </cell>
          <cell r="AH1113" t="str">
            <v/>
          </cell>
          <cell r="AI1113" t="str">
            <v/>
          </cell>
          <cell r="AJ1113" t="str">
            <v>変</v>
          </cell>
        </row>
        <row r="1114">
          <cell r="B1114">
            <v>5426</v>
          </cell>
          <cell r="C1114">
            <v>54</v>
          </cell>
          <cell r="D1114">
            <v>26</v>
          </cell>
          <cell r="F1114" t="str">
            <v>千里Ｃ</v>
          </cell>
          <cell r="G1114" t="str">
            <v>無停電電源装置設備(150kVA)</v>
          </cell>
          <cell r="H1114" t="str">
            <v>三菱電機ﾌﾟﾗﾝﾄｴﾝｼﾞﾆｱﾘﾝｸﾞ</v>
          </cell>
          <cell r="I1114">
            <v>685000</v>
          </cell>
          <cell r="J1114">
            <v>707100</v>
          </cell>
          <cell r="K1114">
            <v>2</v>
          </cell>
          <cell r="L1114">
            <v>0</v>
          </cell>
          <cell r="M1114">
            <v>0</v>
          </cell>
          <cell r="N1114">
            <v>707100</v>
          </cell>
          <cell r="O1114">
            <v>0</v>
          </cell>
          <cell r="P1114">
            <v>0</v>
          </cell>
          <cell r="Q1114">
            <v>0</v>
          </cell>
          <cell r="R1114">
            <v>0</v>
          </cell>
          <cell r="S1114">
            <v>707100</v>
          </cell>
          <cell r="T1114">
            <v>0</v>
          </cell>
          <cell r="U1114">
            <v>0</v>
          </cell>
          <cell r="V1114">
            <v>0</v>
          </cell>
          <cell r="W1114">
            <v>0</v>
          </cell>
          <cell r="X1114" t="str">
            <v/>
          </cell>
          <cell r="Y1114" t="str">
            <v/>
          </cell>
          <cell r="Z1114" t="str">
            <v>⑥</v>
          </cell>
          <cell r="AA1114" t="str">
            <v/>
          </cell>
          <cell r="AB1114" t="str">
            <v/>
          </cell>
          <cell r="AC1114" t="str">
            <v/>
          </cell>
          <cell r="AD1114" t="str">
            <v/>
          </cell>
          <cell r="AE1114" t="str">
            <v>⑪</v>
          </cell>
          <cell r="AF1114" t="str">
            <v/>
          </cell>
          <cell r="AG1114" t="str">
            <v/>
          </cell>
          <cell r="AH1114" t="str">
            <v/>
          </cell>
          <cell r="AI1114" t="str">
            <v/>
          </cell>
          <cell r="AJ1114" t="str">
            <v>変</v>
          </cell>
        </row>
        <row r="1115">
          <cell r="B1115">
            <v>5427</v>
          </cell>
          <cell r="C1115">
            <v>54</v>
          </cell>
          <cell r="D1115">
            <v>27</v>
          </cell>
          <cell r="F1115" t="str">
            <v>千里Ｃ</v>
          </cell>
          <cell r="G1115" t="str">
            <v>無停電電源装置設備(400kVA)</v>
          </cell>
          <cell r="H1115" t="str">
            <v>三菱電機ﾌﾟﾗﾝﾄｴﾝｼﾞﾆｱﾘﾝｸﾞ</v>
          </cell>
          <cell r="I1115">
            <v>550000</v>
          </cell>
          <cell r="J1115">
            <v>567000</v>
          </cell>
          <cell r="K1115">
            <v>2</v>
          </cell>
          <cell r="L1115">
            <v>0</v>
          </cell>
          <cell r="M1115">
            <v>0</v>
          </cell>
          <cell r="N1115">
            <v>567000</v>
          </cell>
          <cell r="O1115">
            <v>0</v>
          </cell>
          <cell r="P1115">
            <v>0</v>
          </cell>
          <cell r="Q1115">
            <v>0</v>
          </cell>
          <cell r="R1115">
            <v>0</v>
          </cell>
          <cell r="S1115">
            <v>567000</v>
          </cell>
          <cell r="T1115">
            <v>0</v>
          </cell>
          <cell r="U1115">
            <v>0</v>
          </cell>
          <cell r="V1115">
            <v>0</v>
          </cell>
          <cell r="W1115">
            <v>0</v>
          </cell>
          <cell r="X1115" t="str">
            <v/>
          </cell>
          <cell r="Y1115" t="str">
            <v/>
          </cell>
          <cell r="Z1115" t="str">
            <v>⑥</v>
          </cell>
          <cell r="AA1115" t="str">
            <v/>
          </cell>
          <cell r="AB1115" t="str">
            <v/>
          </cell>
          <cell r="AC1115" t="str">
            <v/>
          </cell>
          <cell r="AD1115" t="str">
            <v/>
          </cell>
          <cell r="AE1115" t="str">
            <v>⑪</v>
          </cell>
          <cell r="AF1115" t="str">
            <v/>
          </cell>
          <cell r="AG1115" t="str">
            <v/>
          </cell>
          <cell r="AH1115" t="str">
            <v/>
          </cell>
          <cell r="AI1115" t="str">
            <v/>
          </cell>
          <cell r="AJ1115" t="str">
            <v>変</v>
          </cell>
        </row>
        <row r="1116">
          <cell r="B1116">
            <v>5428</v>
          </cell>
          <cell r="C1116">
            <v>54</v>
          </cell>
          <cell r="D1116">
            <v>28</v>
          </cell>
          <cell r="F1116" t="str">
            <v>千里Ｃ</v>
          </cell>
          <cell r="G1116" t="str">
            <v>電力中央監視設備</v>
          </cell>
          <cell r="H1116" t="str">
            <v>三菱電機ﾌﾟﾗﾝﾄｴﾝｼﾞﾆｱﾘﾝｸﾞ</v>
          </cell>
          <cell r="I1116">
            <v>1000000</v>
          </cell>
          <cell r="J1116">
            <v>1018000</v>
          </cell>
          <cell r="K1116">
            <v>1</v>
          </cell>
          <cell r="L1116">
            <v>0</v>
          </cell>
          <cell r="M1116">
            <v>0</v>
          </cell>
          <cell r="N1116">
            <v>1018000</v>
          </cell>
          <cell r="O1116">
            <v>0</v>
          </cell>
          <cell r="P1116">
            <v>0</v>
          </cell>
          <cell r="Q1116">
            <v>0</v>
          </cell>
          <cell r="R1116">
            <v>0</v>
          </cell>
          <cell r="S1116">
            <v>0</v>
          </cell>
          <cell r="T1116">
            <v>0</v>
          </cell>
          <cell r="U1116">
            <v>0</v>
          </cell>
          <cell r="V1116">
            <v>0</v>
          </cell>
          <cell r="W1116">
            <v>0</v>
          </cell>
          <cell r="X1116" t="str">
            <v/>
          </cell>
          <cell r="Y1116" t="str">
            <v/>
          </cell>
          <cell r="Z1116" t="str">
            <v>⑥</v>
          </cell>
          <cell r="AA1116" t="str">
            <v/>
          </cell>
          <cell r="AB1116" t="str">
            <v/>
          </cell>
          <cell r="AC1116" t="str">
            <v/>
          </cell>
          <cell r="AD1116" t="str">
            <v/>
          </cell>
          <cell r="AE1116" t="str">
            <v/>
          </cell>
          <cell r="AG1116" t="str">
            <v/>
          </cell>
          <cell r="AH1116" t="str">
            <v/>
          </cell>
          <cell r="AI1116" t="str">
            <v/>
          </cell>
        </row>
        <row r="1117">
          <cell r="B1117">
            <v>5429</v>
          </cell>
          <cell r="C1117">
            <v>54</v>
          </cell>
          <cell r="D1117">
            <v>29</v>
          </cell>
          <cell r="F1117" t="str">
            <v>千里Ｃ</v>
          </cell>
          <cell r="G1117" t="str">
            <v>電力中央監視設備</v>
          </cell>
          <cell r="H1117" t="str">
            <v>三菱電機ﾌﾟﾗﾝﾄｴﾝｼﾞﾆｱﾘﾝｸﾞ</v>
          </cell>
          <cell r="I1117">
            <v>800000</v>
          </cell>
          <cell r="J1117">
            <v>814400</v>
          </cell>
          <cell r="K1117">
            <v>1</v>
          </cell>
          <cell r="L1117">
            <v>0</v>
          </cell>
          <cell r="M1117">
            <v>0</v>
          </cell>
          <cell r="N1117">
            <v>0</v>
          </cell>
          <cell r="O1117">
            <v>0</v>
          </cell>
          <cell r="P1117">
            <v>0</v>
          </cell>
          <cell r="Q1117">
            <v>0</v>
          </cell>
          <cell r="R1117">
            <v>0</v>
          </cell>
          <cell r="S1117">
            <v>0</v>
          </cell>
          <cell r="T1117">
            <v>814400</v>
          </cell>
          <cell r="U1117">
            <v>0</v>
          </cell>
          <cell r="V1117">
            <v>0</v>
          </cell>
          <cell r="W1117">
            <v>0</v>
          </cell>
          <cell r="X1117" t="str">
            <v/>
          </cell>
          <cell r="Y1117" t="str">
            <v/>
          </cell>
          <cell r="AA1117" t="str">
            <v/>
          </cell>
          <cell r="AB1117" t="str">
            <v/>
          </cell>
          <cell r="AC1117" t="str">
            <v/>
          </cell>
          <cell r="AD1117" t="str">
            <v/>
          </cell>
          <cell r="AE1117" t="str">
            <v/>
          </cell>
          <cell r="AF1117" t="str">
            <v>⑫</v>
          </cell>
          <cell r="AG1117" t="str">
            <v/>
          </cell>
          <cell r="AH1117" t="str">
            <v/>
          </cell>
          <cell r="AI1117" t="str">
            <v/>
          </cell>
        </row>
        <row r="1118">
          <cell r="B1118">
            <v>5430</v>
          </cell>
          <cell r="C1118">
            <v>54</v>
          </cell>
          <cell r="D1118">
            <v>30</v>
          </cell>
          <cell r="F1118" t="str">
            <v>千里Ｃ</v>
          </cell>
          <cell r="G1118" t="str">
            <v>空調用自動制御機器保守</v>
          </cell>
          <cell r="H1118" t="str">
            <v>山武ビルシステム</v>
          </cell>
          <cell r="I1118">
            <v>898215</v>
          </cell>
          <cell r="J1118">
            <v>898215</v>
          </cell>
          <cell r="K1118">
            <v>12</v>
          </cell>
          <cell r="L1118">
            <v>898215</v>
          </cell>
          <cell r="M1118">
            <v>898215</v>
          </cell>
          <cell r="N1118">
            <v>898215</v>
          </cell>
          <cell r="O1118">
            <v>898215</v>
          </cell>
          <cell r="P1118">
            <v>898215</v>
          </cell>
          <cell r="Q1118">
            <v>898215</v>
          </cell>
          <cell r="R1118">
            <v>898215</v>
          </cell>
          <cell r="S1118">
            <v>898215</v>
          </cell>
          <cell r="T1118">
            <v>898215</v>
          </cell>
          <cell r="U1118">
            <v>898215</v>
          </cell>
          <cell r="V1118">
            <v>898215</v>
          </cell>
          <cell r="W1118">
            <v>898215</v>
          </cell>
          <cell r="X1118" t="str">
            <v>④</v>
          </cell>
          <cell r="Y1118" t="str">
            <v>⑤</v>
          </cell>
          <cell r="Z1118" t="str">
            <v>⑥</v>
          </cell>
          <cell r="AA1118" t="str">
            <v>⑦</v>
          </cell>
          <cell r="AB1118" t="str">
            <v>⑧</v>
          </cell>
          <cell r="AC1118" t="str">
            <v>⑨</v>
          </cell>
          <cell r="AD1118" t="str">
            <v>⑩</v>
          </cell>
          <cell r="AE1118" t="str">
            <v>⑪</v>
          </cell>
          <cell r="AF1118" t="str">
            <v>⑫</v>
          </cell>
          <cell r="AG1118" t="str">
            <v>①</v>
          </cell>
          <cell r="AH1118" t="str">
            <v>②</v>
          </cell>
          <cell r="AI1118" t="str">
            <v>③</v>
          </cell>
        </row>
        <row r="1119">
          <cell r="B1119">
            <v>5431</v>
          </cell>
          <cell r="C1119">
            <v>54</v>
          </cell>
          <cell r="D1119">
            <v>31</v>
          </cell>
          <cell r="F1119" t="str">
            <v>千里Ｃ</v>
          </cell>
          <cell r="G1119" t="str">
            <v>ターボ式冷凍機設備保守</v>
          </cell>
          <cell r="H1119" t="str">
            <v>新菱冷熱工業</v>
          </cell>
          <cell r="I1119">
            <v>300000</v>
          </cell>
          <cell r="J1119">
            <v>312000</v>
          </cell>
          <cell r="K1119">
            <v>2</v>
          </cell>
          <cell r="L1119">
            <v>312000</v>
          </cell>
          <cell r="M1119">
            <v>0</v>
          </cell>
          <cell r="N1119">
            <v>0</v>
          </cell>
          <cell r="O1119">
            <v>0</v>
          </cell>
          <cell r="P1119">
            <v>0</v>
          </cell>
          <cell r="Q1119">
            <v>0</v>
          </cell>
          <cell r="R1119">
            <v>312000</v>
          </cell>
          <cell r="S1119">
            <v>0</v>
          </cell>
          <cell r="T1119">
            <v>0</v>
          </cell>
          <cell r="U1119">
            <v>0</v>
          </cell>
          <cell r="V1119">
            <v>0</v>
          </cell>
          <cell r="W1119">
            <v>0</v>
          </cell>
          <cell r="X1119" t="str">
            <v>④</v>
          </cell>
          <cell r="Y1119" t="str">
            <v/>
          </cell>
          <cell r="Z1119" t="str">
            <v/>
          </cell>
          <cell r="AA1119" t="str">
            <v/>
          </cell>
          <cell r="AB1119" t="str">
            <v/>
          </cell>
          <cell r="AC1119" t="str">
            <v/>
          </cell>
          <cell r="AD1119" t="str">
            <v>⑩</v>
          </cell>
          <cell r="AE1119" t="str">
            <v/>
          </cell>
          <cell r="AF1119" t="str">
            <v/>
          </cell>
          <cell r="AG1119" t="str">
            <v/>
          </cell>
          <cell r="AH1119" t="str">
            <v/>
          </cell>
          <cell r="AI1119" t="str">
            <v/>
          </cell>
          <cell r="AJ1119" t="str">
            <v>変</v>
          </cell>
        </row>
        <row r="1120">
          <cell r="B1120">
            <v>5432</v>
          </cell>
          <cell r="C1120">
            <v>54</v>
          </cell>
          <cell r="D1120">
            <v>32</v>
          </cell>
          <cell r="F1120" t="str">
            <v>千里Ｃ</v>
          </cell>
          <cell r="G1120" t="str">
            <v>汚水･雑排水槽清掃</v>
          </cell>
          <cell r="H1120" t="str">
            <v>八州興業</v>
          </cell>
          <cell r="I1120">
            <v>407456</v>
          </cell>
          <cell r="J1120">
            <v>407456</v>
          </cell>
          <cell r="K1120">
            <v>2</v>
          </cell>
          <cell r="L1120">
            <v>0</v>
          </cell>
          <cell r="M1120">
            <v>0</v>
          </cell>
          <cell r="N1120">
            <v>0</v>
          </cell>
          <cell r="O1120">
            <v>0</v>
          </cell>
          <cell r="P1120">
            <v>407456</v>
          </cell>
          <cell r="Q1120">
            <v>0</v>
          </cell>
          <cell r="R1120">
            <v>0</v>
          </cell>
          <cell r="S1120">
            <v>0</v>
          </cell>
          <cell r="T1120">
            <v>0</v>
          </cell>
          <cell r="U1120">
            <v>0</v>
          </cell>
          <cell r="V1120">
            <v>407456</v>
          </cell>
          <cell r="W1120">
            <v>0</v>
          </cell>
          <cell r="X1120" t="str">
            <v/>
          </cell>
          <cell r="Y1120" t="str">
            <v/>
          </cell>
          <cell r="Z1120" t="str">
            <v/>
          </cell>
          <cell r="AA1120" t="str">
            <v/>
          </cell>
          <cell r="AB1120" t="str">
            <v>⑧</v>
          </cell>
          <cell r="AC1120" t="str">
            <v/>
          </cell>
          <cell r="AD1120" t="str">
            <v/>
          </cell>
          <cell r="AE1120" t="str">
            <v/>
          </cell>
          <cell r="AF1120" t="str">
            <v/>
          </cell>
          <cell r="AG1120" t="str">
            <v/>
          </cell>
          <cell r="AH1120" t="str">
            <v>②</v>
          </cell>
          <cell r="AI1120" t="str">
            <v/>
          </cell>
        </row>
        <row r="1121">
          <cell r="B1121">
            <v>5433</v>
          </cell>
          <cell r="C1121">
            <v>54</v>
          </cell>
          <cell r="D1121">
            <v>33</v>
          </cell>
          <cell r="F1121" t="str">
            <v>千里Ｃ</v>
          </cell>
          <cell r="G1121" t="str">
            <v>受水槽清掃(含む高架水槽)</v>
          </cell>
          <cell r="H1121" t="str">
            <v>八州興業</v>
          </cell>
          <cell r="I1121">
            <v>162720</v>
          </cell>
          <cell r="J1121">
            <v>162720</v>
          </cell>
          <cell r="K1121">
            <v>1</v>
          </cell>
          <cell r="L1121">
            <v>0</v>
          </cell>
          <cell r="M1121">
            <v>0</v>
          </cell>
          <cell r="N1121">
            <v>0</v>
          </cell>
          <cell r="O1121">
            <v>0</v>
          </cell>
          <cell r="P1121">
            <v>0</v>
          </cell>
          <cell r="Q1121">
            <v>0</v>
          </cell>
          <cell r="R1121">
            <v>162720</v>
          </cell>
          <cell r="S1121">
            <v>0</v>
          </cell>
          <cell r="T1121">
            <v>0</v>
          </cell>
          <cell r="U1121">
            <v>0</v>
          </cell>
          <cell r="V1121">
            <v>0</v>
          </cell>
          <cell r="W1121">
            <v>0</v>
          </cell>
          <cell r="AD1121" t="str">
            <v>⑩</v>
          </cell>
        </row>
        <row r="1122">
          <cell r="B1122">
            <v>5434</v>
          </cell>
          <cell r="C1122">
            <v>54</v>
          </cell>
          <cell r="D1122">
            <v>34</v>
          </cell>
          <cell r="F1122" t="str">
            <v>千里Ｃ</v>
          </cell>
          <cell r="G1122" t="str">
            <v>空調用水槽清掃</v>
          </cell>
          <cell r="H1122" t="str">
            <v>八洲興業</v>
          </cell>
          <cell r="I1122">
            <v>8662</v>
          </cell>
          <cell r="J1122">
            <v>9376</v>
          </cell>
          <cell r="K1122">
            <v>12</v>
          </cell>
          <cell r="L1122">
            <v>9376</v>
          </cell>
          <cell r="M1122">
            <v>9376</v>
          </cell>
          <cell r="N1122">
            <v>9376</v>
          </cell>
          <cell r="O1122">
            <v>9376</v>
          </cell>
          <cell r="P1122">
            <v>9376</v>
          </cell>
          <cell r="Q1122">
            <v>9376</v>
          </cell>
          <cell r="R1122">
            <v>9376</v>
          </cell>
          <cell r="S1122">
            <v>9376</v>
          </cell>
          <cell r="T1122">
            <v>9376</v>
          </cell>
          <cell r="U1122">
            <v>9376</v>
          </cell>
          <cell r="V1122">
            <v>9376</v>
          </cell>
          <cell r="W1122">
            <v>9376</v>
          </cell>
          <cell r="X1122" t="str">
            <v>④</v>
          </cell>
          <cell r="Y1122" t="str">
            <v>⑤</v>
          </cell>
          <cell r="Z1122" t="str">
            <v>⑥</v>
          </cell>
          <cell r="AA1122" t="str">
            <v>⑦</v>
          </cell>
          <cell r="AB1122" t="str">
            <v>⑧</v>
          </cell>
          <cell r="AC1122" t="str">
            <v>⑨</v>
          </cell>
          <cell r="AD1122" t="str">
            <v>⑩</v>
          </cell>
          <cell r="AE1122" t="str">
            <v>⑪</v>
          </cell>
          <cell r="AF1122" t="str">
            <v>⑫</v>
          </cell>
          <cell r="AG1122" t="str">
            <v>①</v>
          </cell>
          <cell r="AH1122" t="str">
            <v>②</v>
          </cell>
          <cell r="AI1122" t="str">
            <v>③</v>
          </cell>
          <cell r="AJ1122" t="str">
            <v>変</v>
          </cell>
        </row>
        <row r="1123">
          <cell r="B1123">
            <v>5435</v>
          </cell>
          <cell r="C1123">
            <v>54</v>
          </cell>
          <cell r="D1123">
            <v>35</v>
          </cell>
          <cell r="F1123" t="str">
            <v>千里Ｃ</v>
          </cell>
          <cell r="G1123" t="str">
            <v>空調機設備</v>
          </cell>
          <cell r="H1123" t="str">
            <v>八洲興業</v>
          </cell>
          <cell r="I1123">
            <v>259616</v>
          </cell>
          <cell r="J1123">
            <v>265408</v>
          </cell>
          <cell r="K1123">
            <v>12</v>
          </cell>
          <cell r="L1123">
            <v>265408</v>
          </cell>
          <cell r="M1123">
            <v>265408</v>
          </cell>
          <cell r="N1123">
            <v>265408</v>
          </cell>
          <cell r="O1123">
            <v>265408</v>
          </cell>
          <cell r="P1123">
            <v>265408</v>
          </cell>
          <cell r="Q1123">
            <v>265408</v>
          </cell>
          <cell r="R1123">
            <v>265408</v>
          </cell>
          <cell r="S1123">
            <v>265408</v>
          </cell>
          <cell r="T1123">
            <v>265408</v>
          </cell>
          <cell r="U1123">
            <v>265408</v>
          </cell>
          <cell r="V1123">
            <v>265408</v>
          </cell>
          <cell r="W1123">
            <v>265408</v>
          </cell>
          <cell r="X1123" t="str">
            <v>④</v>
          </cell>
          <cell r="Y1123" t="str">
            <v>⑤</v>
          </cell>
          <cell r="Z1123" t="str">
            <v>⑥</v>
          </cell>
          <cell r="AA1123" t="str">
            <v>⑦</v>
          </cell>
          <cell r="AB1123" t="str">
            <v>⑧</v>
          </cell>
          <cell r="AC1123" t="str">
            <v>⑨</v>
          </cell>
          <cell r="AD1123" t="str">
            <v>⑩</v>
          </cell>
          <cell r="AE1123" t="str">
            <v>⑪</v>
          </cell>
          <cell r="AF1123" t="str">
            <v>⑫</v>
          </cell>
          <cell r="AG1123" t="str">
            <v>①</v>
          </cell>
          <cell r="AH1123" t="str">
            <v>②</v>
          </cell>
          <cell r="AI1123" t="str">
            <v>③</v>
          </cell>
          <cell r="AJ1123" t="str">
            <v>変</v>
          </cell>
        </row>
        <row r="1124">
          <cell r="B1124">
            <v>5436</v>
          </cell>
          <cell r="C1124">
            <v>54</v>
          </cell>
          <cell r="D1124">
            <v>36</v>
          </cell>
          <cell r="F1124" t="str">
            <v>千里Ｃ</v>
          </cell>
          <cell r="G1124" t="str">
            <v>給排風機</v>
          </cell>
          <cell r="H1124" t="str">
            <v>八洲興業</v>
          </cell>
          <cell r="I1124">
            <v>58020</v>
          </cell>
          <cell r="J1124">
            <v>61568</v>
          </cell>
          <cell r="K1124">
            <v>12</v>
          </cell>
          <cell r="L1124">
            <v>61568</v>
          </cell>
          <cell r="M1124">
            <v>61568</v>
          </cell>
          <cell r="N1124">
            <v>61568</v>
          </cell>
          <cell r="O1124">
            <v>61568</v>
          </cell>
          <cell r="P1124">
            <v>61568</v>
          </cell>
          <cell r="Q1124">
            <v>61568</v>
          </cell>
          <cell r="R1124">
            <v>61568</v>
          </cell>
          <cell r="S1124">
            <v>61568</v>
          </cell>
          <cell r="T1124">
            <v>61568</v>
          </cell>
          <cell r="U1124">
            <v>61568</v>
          </cell>
          <cell r="V1124">
            <v>61568</v>
          </cell>
          <cell r="W1124">
            <v>61568</v>
          </cell>
          <cell r="X1124" t="str">
            <v>④</v>
          </cell>
          <cell r="Y1124" t="str">
            <v>⑤</v>
          </cell>
          <cell r="Z1124" t="str">
            <v>⑥</v>
          </cell>
          <cell r="AA1124" t="str">
            <v>⑦</v>
          </cell>
          <cell r="AB1124" t="str">
            <v>⑧</v>
          </cell>
          <cell r="AC1124" t="str">
            <v>⑨</v>
          </cell>
          <cell r="AD1124" t="str">
            <v>⑩</v>
          </cell>
          <cell r="AE1124" t="str">
            <v>⑪</v>
          </cell>
          <cell r="AF1124" t="str">
            <v>⑫</v>
          </cell>
          <cell r="AG1124" t="str">
            <v>①</v>
          </cell>
          <cell r="AH1124" t="str">
            <v>②</v>
          </cell>
          <cell r="AI1124" t="str">
            <v>③</v>
          </cell>
          <cell r="AJ1124" t="str">
            <v>変</v>
          </cell>
        </row>
        <row r="1125">
          <cell r="B1125">
            <v>5437</v>
          </cell>
          <cell r="C1125">
            <v>54</v>
          </cell>
          <cell r="D1125">
            <v>37</v>
          </cell>
          <cell r="F1125" t="str">
            <v>千里Ｃ</v>
          </cell>
          <cell r="G1125" t="str">
            <v>電気集塵機／ﾌｨﾙﾀｰ</v>
          </cell>
          <cell r="H1125" t="str">
            <v>八洲興業</v>
          </cell>
          <cell r="I1125">
            <v>80369</v>
          </cell>
          <cell r="J1125">
            <v>90912</v>
          </cell>
          <cell r="K1125">
            <v>12</v>
          </cell>
          <cell r="L1125">
            <v>90912</v>
          </cell>
          <cell r="M1125">
            <v>90912</v>
          </cell>
          <cell r="N1125">
            <v>90912</v>
          </cell>
          <cell r="O1125">
            <v>90912</v>
          </cell>
          <cell r="P1125">
            <v>90912</v>
          </cell>
          <cell r="Q1125">
            <v>90912</v>
          </cell>
          <cell r="R1125">
            <v>90912</v>
          </cell>
          <cell r="S1125">
            <v>90912</v>
          </cell>
          <cell r="T1125">
            <v>90912</v>
          </cell>
          <cell r="U1125">
            <v>90912</v>
          </cell>
          <cell r="V1125">
            <v>90912</v>
          </cell>
          <cell r="W1125">
            <v>90912</v>
          </cell>
          <cell r="X1125" t="str">
            <v>④</v>
          </cell>
          <cell r="Y1125" t="str">
            <v>⑤</v>
          </cell>
          <cell r="Z1125" t="str">
            <v>⑥</v>
          </cell>
          <cell r="AA1125" t="str">
            <v>⑦</v>
          </cell>
          <cell r="AB1125" t="str">
            <v>⑧</v>
          </cell>
          <cell r="AC1125" t="str">
            <v>⑨</v>
          </cell>
          <cell r="AD1125" t="str">
            <v>⑩</v>
          </cell>
          <cell r="AE1125" t="str">
            <v>⑪</v>
          </cell>
          <cell r="AF1125" t="str">
            <v>⑫</v>
          </cell>
          <cell r="AG1125" t="str">
            <v>①</v>
          </cell>
          <cell r="AH1125" t="str">
            <v>②</v>
          </cell>
          <cell r="AI1125" t="str">
            <v>③</v>
          </cell>
          <cell r="AJ1125" t="str">
            <v>変</v>
          </cell>
        </row>
        <row r="1126">
          <cell r="B1126">
            <v>5438</v>
          </cell>
          <cell r="C1126">
            <v>54</v>
          </cell>
          <cell r="D1126">
            <v>38</v>
          </cell>
          <cell r="F1126" t="str">
            <v>千里Ｃ</v>
          </cell>
          <cell r="G1126" t="str">
            <v>自動ドアー保守</v>
          </cell>
          <cell r="H1126" t="str">
            <v>ナブコドア</v>
          </cell>
          <cell r="I1126">
            <v>123000</v>
          </cell>
          <cell r="J1126">
            <v>123000</v>
          </cell>
          <cell r="K1126">
            <v>2</v>
          </cell>
          <cell r="L1126">
            <v>0</v>
          </cell>
          <cell r="M1126">
            <v>0</v>
          </cell>
          <cell r="N1126">
            <v>123000</v>
          </cell>
          <cell r="O1126">
            <v>0</v>
          </cell>
          <cell r="P1126">
            <v>0</v>
          </cell>
          <cell r="Q1126">
            <v>0</v>
          </cell>
          <cell r="R1126">
            <v>0</v>
          </cell>
          <cell r="S1126">
            <v>0</v>
          </cell>
          <cell r="T1126">
            <v>123000</v>
          </cell>
          <cell r="U1126">
            <v>0</v>
          </cell>
          <cell r="V1126">
            <v>0</v>
          </cell>
          <cell r="W1126">
            <v>0</v>
          </cell>
          <cell r="Z1126" t="str">
            <v>⑥</v>
          </cell>
          <cell r="AF1126" t="str">
            <v>⑫</v>
          </cell>
          <cell r="AJ1126" t="str">
            <v>変</v>
          </cell>
        </row>
        <row r="1127">
          <cell r="B1127">
            <v>5439</v>
          </cell>
          <cell r="C1127">
            <v>54</v>
          </cell>
          <cell r="D1127">
            <v>39</v>
          </cell>
          <cell r="F1127" t="str">
            <v>千里Ｃ</v>
          </cell>
          <cell r="G1127" t="str">
            <v>植栽管理</v>
          </cell>
          <cell r="H1127" t="str">
            <v>近鉄造園土木</v>
          </cell>
          <cell r="I1127">
            <v>308000</v>
          </cell>
          <cell r="J1127">
            <v>319680</v>
          </cell>
          <cell r="K1127">
            <v>2</v>
          </cell>
          <cell r="L1127">
            <v>0</v>
          </cell>
          <cell r="M1127">
            <v>0</v>
          </cell>
          <cell r="N1127">
            <v>0</v>
          </cell>
          <cell r="O1127">
            <v>319680</v>
          </cell>
          <cell r="P1127">
            <v>0</v>
          </cell>
          <cell r="Q1127">
            <v>0</v>
          </cell>
          <cell r="R1127">
            <v>0</v>
          </cell>
          <cell r="S1127">
            <v>0</v>
          </cell>
          <cell r="T1127">
            <v>0</v>
          </cell>
          <cell r="U1127">
            <v>0</v>
          </cell>
          <cell r="V1127">
            <v>319680</v>
          </cell>
          <cell r="W1127">
            <v>0</v>
          </cell>
          <cell r="X1127" t="str">
            <v/>
          </cell>
          <cell r="Y1127" t="str">
            <v/>
          </cell>
          <cell r="Z1127" t="str">
            <v/>
          </cell>
          <cell r="AA1127" t="str">
            <v>⑦</v>
          </cell>
          <cell r="AB1127" t="str">
            <v/>
          </cell>
          <cell r="AC1127" t="str">
            <v/>
          </cell>
          <cell r="AD1127" t="str">
            <v/>
          </cell>
          <cell r="AE1127" t="str">
            <v/>
          </cell>
          <cell r="AF1127" t="str">
            <v/>
          </cell>
          <cell r="AG1127" t="str">
            <v/>
          </cell>
          <cell r="AH1127" t="str">
            <v>②</v>
          </cell>
          <cell r="AI1127" t="str">
            <v/>
          </cell>
          <cell r="AJ1127" t="str">
            <v>変</v>
          </cell>
        </row>
        <row r="1128">
          <cell r="B1128">
            <v>5440</v>
          </cell>
          <cell r="C1128">
            <v>54</v>
          </cell>
          <cell r="D1128">
            <v>40</v>
          </cell>
          <cell r="F1128" t="str">
            <v>千里Ｃ</v>
          </cell>
          <cell r="G1128" t="str">
            <v>空気清浄機集塵ｾﾙ交換整備(活性炭ﾌｨﾙﾀｰ交換含)</v>
          </cell>
          <cell r="H1128" t="str">
            <v>山武ビルシステム</v>
          </cell>
          <cell r="I1128">
            <v>58650</v>
          </cell>
          <cell r="J1128">
            <v>58650</v>
          </cell>
          <cell r="K1128">
            <v>1</v>
          </cell>
          <cell r="L1128">
            <v>0</v>
          </cell>
          <cell r="M1128">
            <v>0</v>
          </cell>
          <cell r="N1128">
            <v>58650</v>
          </cell>
          <cell r="O1128">
            <v>0</v>
          </cell>
          <cell r="P1128">
            <v>0</v>
          </cell>
          <cell r="Q1128">
            <v>0</v>
          </cell>
          <cell r="R1128">
            <v>0</v>
          </cell>
          <cell r="S1128">
            <v>0</v>
          </cell>
          <cell r="T1128">
            <v>0</v>
          </cell>
          <cell r="U1128">
            <v>0</v>
          </cell>
          <cell r="V1128">
            <v>0</v>
          </cell>
          <cell r="W1128">
            <v>0</v>
          </cell>
          <cell r="X1128" t="str">
            <v/>
          </cell>
          <cell r="Y1128" t="str">
            <v/>
          </cell>
          <cell r="Z1128" t="str">
            <v>⑥</v>
          </cell>
          <cell r="AA1128" t="str">
            <v/>
          </cell>
          <cell r="AB1128" t="str">
            <v/>
          </cell>
          <cell r="AC1128" t="str">
            <v/>
          </cell>
          <cell r="AD1128" t="str">
            <v/>
          </cell>
          <cell r="AE1128" t="str">
            <v/>
          </cell>
          <cell r="AF1128" t="str">
            <v/>
          </cell>
          <cell r="AG1128" t="str">
            <v/>
          </cell>
          <cell r="AH1128" t="str">
            <v/>
          </cell>
          <cell r="AI1128" t="str">
            <v/>
          </cell>
          <cell r="AJ1128" t="str">
            <v>追</v>
          </cell>
        </row>
        <row r="1129">
          <cell r="B1129">
            <v>5441</v>
          </cell>
          <cell r="C1129">
            <v>54</v>
          </cell>
          <cell r="D1129">
            <v>41</v>
          </cell>
          <cell r="F1129" t="str">
            <v>千里Ｃ</v>
          </cell>
          <cell r="G1129" t="str">
            <v>空気清浄機集塵ｾﾙ交換整備</v>
          </cell>
          <cell r="H1129" t="str">
            <v>山武ビルシステム</v>
          </cell>
          <cell r="I1129">
            <v>51750</v>
          </cell>
          <cell r="J1129">
            <v>51750</v>
          </cell>
          <cell r="K1129">
            <v>2</v>
          </cell>
          <cell r="L1129">
            <v>0</v>
          </cell>
          <cell r="M1129">
            <v>0</v>
          </cell>
          <cell r="N1129">
            <v>0</v>
          </cell>
          <cell r="O1129">
            <v>0</v>
          </cell>
          <cell r="P1129">
            <v>0</v>
          </cell>
          <cell r="Q1129">
            <v>0</v>
          </cell>
          <cell r="R1129">
            <v>51750</v>
          </cell>
          <cell r="S1129">
            <v>0</v>
          </cell>
          <cell r="T1129">
            <v>0</v>
          </cell>
          <cell r="U1129">
            <v>0</v>
          </cell>
          <cell r="V1129">
            <v>51750</v>
          </cell>
          <cell r="W1129">
            <v>0</v>
          </cell>
          <cell r="X1129" t="str">
            <v/>
          </cell>
          <cell r="Y1129" t="str">
            <v/>
          </cell>
          <cell r="Z1129" t="str">
            <v/>
          </cell>
          <cell r="AA1129" t="str">
            <v/>
          </cell>
          <cell r="AB1129" t="str">
            <v/>
          </cell>
          <cell r="AC1129" t="str">
            <v/>
          </cell>
          <cell r="AD1129" t="str">
            <v>⑩</v>
          </cell>
          <cell r="AE1129" t="str">
            <v/>
          </cell>
          <cell r="AF1129" t="str">
            <v/>
          </cell>
          <cell r="AG1129" t="str">
            <v/>
          </cell>
          <cell r="AH1129" t="str">
            <v>②</v>
          </cell>
          <cell r="AI1129" t="str">
            <v/>
          </cell>
          <cell r="AJ1129" t="str">
            <v>追</v>
          </cell>
        </row>
        <row r="1130">
          <cell r="B1130">
            <v>5501</v>
          </cell>
          <cell r="C1130">
            <v>55</v>
          </cell>
          <cell r="D1130">
            <v>1</v>
          </cell>
          <cell r="F1130" t="str">
            <v>長岡</v>
          </cell>
          <cell r="G1130" t="str">
            <v>昇降機設備保守</v>
          </cell>
          <cell r="H1130" t="str">
            <v>三菱電機ﾋﾞﾙﾃｸﾉｻｰﾋﾞｽ</v>
          </cell>
          <cell r="I1130">
            <v>62800</v>
          </cell>
          <cell r="J1130">
            <v>64056</v>
          </cell>
          <cell r="K1130">
            <v>12</v>
          </cell>
          <cell r="L1130">
            <v>64056</v>
          </cell>
          <cell r="M1130">
            <v>64056</v>
          </cell>
          <cell r="N1130">
            <v>64056</v>
          </cell>
          <cell r="O1130">
            <v>64056</v>
          </cell>
          <cell r="P1130">
            <v>64056</v>
          </cell>
          <cell r="Q1130">
            <v>64056</v>
          </cell>
          <cell r="R1130">
            <v>64056</v>
          </cell>
          <cell r="S1130">
            <v>64056</v>
          </cell>
          <cell r="T1130">
            <v>64056</v>
          </cell>
          <cell r="U1130">
            <v>64056</v>
          </cell>
          <cell r="V1130">
            <v>64056</v>
          </cell>
          <cell r="W1130">
            <v>64056</v>
          </cell>
          <cell r="X1130" t="str">
            <v>④</v>
          </cell>
          <cell r="Y1130" t="str">
            <v>⑤</v>
          </cell>
          <cell r="Z1130" t="str">
            <v>⑥</v>
          </cell>
          <cell r="AA1130" t="str">
            <v>⑦</v>
          </cell>
          <cell r="AB1130" t="str">
            <v>⑧</v>
          </cell>
          <cell r="AC1130" t="str">
            <v>⑨</v>
          </cell>
          <cell r="AD1130" t="str">
            <v>⑩</v>
          </cell>
          <cell r="AE1130" t="str">
            <v>⑪</v>
          </cell>
          <cell r="AF1130" t="str">
            <v>⑫</v>
          </cell>
          <cell r="AG1130" t="str">
            <v>①</v>
          </cell>
          <cell r="AH1130" t="str">
            <v>②</v>
          </cell>
          <cell r="AI1130" t="str">
            <v>③</v>
          </cell>
        </row>
        <row r="1131">
          <cell r="B1131">
            <v>5502</v>
          </cell>
          <cell r="C1131">
            <v>55</v>
          </cell>
          <cell r="D1131">
            <v>2</v>
          </cell>
          <cell r="F1131" t="str">
            <v>長岡</v>
          </cell>
          <cell r="G1131" t="str">
            <v>ﾊﾛｹﾞﾝ化物設備保守(外観)</v>
          </cell>
          <cell r="H1131" t="str">
            <v>能美防災</v>
          </cell>
          <cell r="I1131">
            <v>64000</v>
          </cell>
          <cell r="J1131">
            <v>66924</v>
          </cell>
          <cell r="K1131">
            <v>1</v>
          </cell>
          <cell r="L1131">
            <v>0</v>
          </cell>
          <cell r="M1131">
            <v>0</v>
          </cell>
          <cell r="N1131">
            <v>0</v>
          </cell>
          <cell r="O1131">
            <v>0</v>
          </cell>
          <cell r="P1131">
            <v>66924</v>
          </cell>
          <cell r="Q1131">
            <v>0</v>
          </cell>
          <cell r="R1131">
            <v>0</v>
          </cell>
          <cell r="S1131">
            <v>0</v>
          </cell>
          <cell r="T1131">
            <v>0</v>
          </cell>
          <cell r="U1131">
            <v>0</v>
          </cell>
          <cell r="V1131">
            <v>0</v>
          </cell>
          <cell r="W1131">
            <v>0</v>
          </cell>
          <cell r="X1131" t="str">
            <v/>
          </cell>
          <cell r="Y1131" t="str">
            <v/>
          </cell>
          <cell r="Z1131" t="str">
            <v/>
          </cell>
          <cell r="AA1131" t="str">
            <v/>
          </cell>
          <cell r="AB1131" t="str">
            <v>⑧</v>
          </cell>
          <cell r="AC1131" t="str">
            <v/>
          </cell>
          <cell r="AD1131" t="str">
            <v/>
          </cell>
          <cell r="AE1131" t="str">
            <v/>
          </cell>
          <cell r="AF1131" t="str">
            <v/>
          </cell>
          <cell r="AG1131" t="str">
            <v/>
          </cell>
          <cell r="AH1131" t="str">
            <v/>
          </cell>
          <cell r="AI1131" t="str">
            <v/>
          </cell>
          <cell r="AJ1131" t="str">
            <v>変</v>
          </cell>
        </row>
        <row r="1132">
          <cell r="B1132">
            <v>5503</v>
          </cell>
          <cell r="C1132">
            <v>55</v>
          </cell>
          <cell r="D1132">
            <v>3</v>
          </cell>
          <cell r="F1132" t="str">
            <v>長岡</v>
          </cell>
          <cell r="G1132" t="str">
            <v>ﾊﾛｹﾞﾝ化物設備保守(総合)</v>
          </cell>
          <cell r="H1132" t="str">
            <v>能美防災</v>
          </cell>
          <cell r="I1132">
            <v>68000</v>
          </cell>
          <cell r="J1132">
            <v>71076</v>
          </cell>
          <cell r="K1132">
            <v>1</v>
          </cell>
          <cell r="L1132">
            <v>0</v>
          </cell>
          <cell r="M1132">
            <v>0</v>
          </cell>
          <cell r="N1132">
            <v>0</v>
          </cell>
          <cell r="O1132">
            <v>0</v>
          </cell>
          <cell r="P1132">
            <v>0</v>
          </cell>
          <cell r="Q1132">
            <v>0</v>
          </cell>
          <cell r="R1132">
            <v>0</v>
          </cell>
          <cell r="S1132">
            <v>0</v>
          </cell>
          <cell r="T1132">
            <v>0</v>
          </cell>
          <cell r="U1132">
            <v>0</v>
          </cell>
          <cell r="V1132">
            <v>71076</v>
          </cell>
          <cell r="W1132">
            <v>0</v>
          </cell>
          <cell r="X1132" t="str">
            <v/>
          </cell>
          <cell r="Y1132" t="str">
            <v/>
          </cell>
          <cell r="Z1132" t="str">
            <v/>
          </cell>
          <cell r="AA1132" t="str">
            <v/>
          </cell>
          <cell r="AB1132" t="str">
            <v/>
          </cell>
          <cell r="AC1132" t="str">
            <v/>
          </cell>
          <cell r="AD1132" t="str">
            <v/>
          </cell>
          <cell r="AE1132" t="str">
            <v/>
          </cell>
          <cell r="AF1132" t="str">
            <v/>
          </cell>
          <cell r="AG1132" t="str">
            <v/>
          </cell>
          <cell r="AH1132" t="str">
            <v>②</v>
          </cell>
          <cell r="AI1132" t="str">
            <v/>
          </cell>
          <cell r="AJ1132" t="str">
            <v>変</v>
          </cell>
        </row>
        <row r="1133">
          <cell r="B1133">
            <v>5504</v>
          </cell>
          <cell r="C1133">
            <v>55</v>
          </cell>
          <cell r="D1133">
            <v>4</v>
          </cell>
          <cell r="F1133" t="str">
            <v>長岡</v>
          </cell>
          <cell r="G1133" t="str">
            <v>自動火災報知設備(外観)</v>
          </cell>
          <cell r="H1133" t="str">
            <v>長岡電業</v>
          </cell>
          <cell r="I1133">
            <v>30000</v>
          </cell>
          <cell r="J1133">
            <v>31236</v>
          </cell>
          <cell r="K1133">
            <v>1</v>
          </cell>
          <cell r="L1133">
            <v>0</v>
          </cell>
          <cell r="M1133">
            <v>0</v>
          </cell>
          <cell r="N1133">
            <v>0</v>
          </cell>
          <cell r="O1133">
            <v>0</v>
          </cell>
          <cell r="P1133">
            <v>31236</v>
          </cell>
          <cell r="Q1133">
            <v>0</v>
          </cell>
          <cell r="R1133">
            <v>0</v>
          </cell>
          <cell r="S1133">
            <v>0</v>
          </cell>
          <cell r="T1133">
            <v>0</v>
          </cell>
          <cell r="U1133">
            <v>0</v>
          </cell>
          <cell r="V1133">
            <v>0</v>
          </cell>
          <cell r="W1133">
            <v>0</v>
          </cell>
          <cell r="X1133" t="str">
            <v/>
          </cell>
          <cell r="Y1133" t="str">
            <v/>
          </cell>
          <cell r="Z1133" t="str">
            <v/>
          </cell>
          <cell r="AA1133" t="str">
            <v/>
          </cell>
          <cell r="AB1133" t="str">
            <v>⑧</v>
          </cell>
          <cell r="AC1133" t="str">
            <v/>
          </cell>
          <cell r="AD1133" t="str">
            <v/>
          </cell>
          <cell r="AE1133" t="str">
            <v/>
          </cell>
          <cell r="AF1133" t="str">
            <v/>
          </cell>
          <cell r="AG1133" t="str">
            <v/>
          </cell>
          <cell r="AH1133" t="str">
            <v/>
          </cell>
          <cell r="AI1133" t="str">
            <v/>
          </cell>
          <cell r="AJ1133" t="str">
            <v>変</v>
          </cell>
        </row>
        <row r="1134">
          <cell r="B1134">
            <v>5505</v>
          </cell>
          <cell r="C1134">
            <v>55</v>
          </cell>
          <cell r="D1134">
            <v>5</v>
          </cell>
          <cell r="F1134" t="str">
            <v>長岡</v>
          </cell>
          <cell r="G1134" t="str">
            <v>自動火災報知設備(総合)</v>
          </cell>
          <cell r="H1134" t="str">
            <v>長岡電業</v>
          </cell>
          <cell r="I1134">
            <v>70000</v>
          </cell>
          <cell r="J1134">
            <v>72372</v>
          </cell>
          <cell r="K1134">
            <v>1</v>
          </cell>
          <cell r="L1134">
            <v>0</v>
          </cell>
          <cell r="M1134">
            <v>0</v>
          </cell>
          <cell r="N1134">
            <v>0</v>
          </cell>
          <cell r="O1134">
            <v>0</v>
          </cell>
          <cell r="P1134">
            <v>0</v>
          </cell>
          <cell r="Q1134">
            <v>0</v>
          </cell>
          <cell r="R1134">
            <v>0</v>
          </cell>
          <cell r="S1134">
            <v>0</v>
          </cell>
          <cell r="T1134">
            <v>0</v>
          </cell>
          <cell r="U1134">
            <v>0</v>
          </cell>
          <cell r="V1134">
            <v>72372</v>
          </cell>
          <cell r="W1134">
            <v>0</v>
          </cell>
          <cell r="X1134" t="str">
            <v/>
          </cell>
          <cell r="Y1134" t="str">
            <v/>
          </cell>
          <cell r="Z1134" t="str">
            <v/>
          </cell>
          <cell r="AA1134" t="str">
            <v/>
          </cell>
          <cell r="AB1134" t="str">
            <v/>
          </cell>
          <cell r="AC1134" t="str">
            <v/>
          </cell>
          <cell r="AD1134" t="str">
            <v/>
          </cell>
          <cell r="AE1134" t="str">
            <v/>
          </cell>
          <cell r="AF1134" t="str">
            <v/>
          </cell>
          <cell r="AG1134" t="str">
            <v/>
          </cell>
          <cell r="AH1134" t="str">
            <v>②</v>
          </cell>
          <cell r="AI1134" t="str">
            <v/>
          </cell>
          <cell r="AJ1134" t="str">
            <v>変</v>
          </cell>
        </row>
        <row r="1135">
          <cell r="B1135">
            <v>5506</v>
          </cell>
          <cell r="C1135">
            <v>55</v>
          </cell>
          <cell r="D1135">
            <v>6</v>
          </cell>
          <cell r="F1135" t="str">
            <v>長岡</v>
          </cell>
          <cell r="G1135" t="str">
            <v>消火器設備保守(外観)</v>
          </cell>
          <cell r="H1135" t="str">
            <v>越後ビルサービス</v>
          </cell>
          <cell r="I1135">
            <v>15500</v>
          </cell>
          <cell r="J1135">
            <v>16050</v>
          </cell>
          <cell r="K1135">
            <v>2</v>
          </cell>
          <cell r="L1135">
            <v>0</v>
          </cell>
          <cell r="M1135">
            <v>0</v>
          </cell>
          <cell r="N1135">
            <v>0</v>
          </cell>
          <cell r="O1135">
            <v>0</v>
          </cell>
          <cell r="P1135">
            <v>16050</v>
          </cell>
          <cell r="Q1135">
            <v>0</v>
          </cell>
          <cell r="R1135">
            <v>0</v>
          </cell>
          <cell r="S1135">
            <v>0</v>
          </cell>
          <cell r="T1135">
            <v>0</v>
          </cell>
          <cell r="U1135">
            <v>0</v>
          </cell>
          <cell r="V1135">
            <v>16050</v>
          </cell>
          <cell r="W1135">
            <v>0</v>
          </cell>
          <cell r="X1135" t="str">
            <v/>
          </cell>
          <cell r="Y1135" t="str">
            <v/>
          </cell>
          <cell r="Z1135" t="str">
            <v/>
          </cell>
          <cell r="AA1135" t="str">
            <v/>
          </cell>
          <cell r="AB1135" t="str">
            <v>⑧</v>
          </cell>
          <cell r="AC1135" t="str">
            <v/>
          </cell>
          <cell r="AD1135" t="str">
            <v/>
          </cell>
          <cell r="AE1135" t="str">
            <v/>
          </cell>
          <cell r="AF1135" t="str">
            <v/>
          </cell>
          <cell r="AG1135" t="str">
            <v/>
          </cell>
          <cell r="AH1135" t="str">
            <v>②</v>
          </cell>
          <cell r="AI1135" t="str">
            <v/>
          </cell>
          <cell r="AJ1135" t="str">
            <v>変</v>
          </cell>
        </row>
        <row r="1136">
          <cell r="B1136">
            <v>5507</v>
          </cell>
          <cell r="C1136">
            <v>55</v>
          </cell>
          <cell r="D1136">
            <v>7</v>
          </cell>
          <cell r="F1136" t="str">
            <v>長岡</v>
          </cell>
          <cell r="G1136" t="str">
            <v>防排煙設備保守(外観)</v>
          </cell>
          <cell r="H1136" t="str">
            <v>長岡電業</v>
          </cell>
          <cell r="I1136">
            <v>13000</v>
          </cell>
          <cell r="J1136">
            <v>13500</v>
          </cell>
          <cell r="K1136">
            <v>1</v>
          </cell>
          <cell r="L1136">
            <v>0</v>
          </cell>
          <cell r="M1136">
            <v>0</v>
          </cell>
          <cell r="N1136">
            <v>0</v>
          </cell>
          <cell r="O1136">
            <v>0</v>
          </cell>
          <cell r="P1136">
            <v>13500</v>
          </cell>
          <cell r="Q1136">
            <v>0</v>
          </cell>
          <cell r="R1136">
            <v>0</v>
          </cell>
          <cell r="S1136">
            <v>0</v>
          </cell>
          <cell r="T1136">
            <v>0</v>
          </cell>
          <cell r="U1136">
            <v>0</v>
          </cell>
          <cell r="V1136">
            <v>0</v>
          </cell>
          <cell r="W1136">
            <v>0</v>
          </cell>
          <cell r="X1136" t="str">
            <v/>
          </cell>
          <cell r="Y1136" t="str">
            <v/>
          </cell>
          <cell r="Z1136" t="str">
            <v/>
          </cell>
          <cell r="AA1136" t="str">
            <v/>
          </cell>
          <cell r="AB1136" t="str">
            <v>⑧</v>
          </cell>
          <cell r="AC1136" t="str">
            <v/>
          </cell>
          <cell r="AD1136" t="str">
            <v/>
          </cell>
          <cell r="AE1136" t="str">
            <v/>
          </cell>
          <cell r="AF1136" t="str">
            <v/>
          </cell>
          <cell r="AG1136" t="str">
            <v/>
          </cell>
          <cell r="AH1136" t="str">
            <v/>
          </cell>
          <cell r="AI1136" t="str">
            <v/>
          </cell>
          <cell r="AJ1136" t="str">
            <v>変</v>
          </cell>
        </row>
        <row r="1137">
          <cell r="B1137">
            <v>5508</v>
          </cell>
          <cell r="C1137">
            <v>55</v>
          </cell>
          <cell r="D1137">
            <v>8</v>
          </cell>
          <cell r="F1137" t="str">
            <v>長岡</v>
          </cell>
          <cell r="G1137" t="str">
            <v>防排煙設備保守(総合)</v>
          </cell>
          <cell r="H1137" t="str">
            <v>長岡電業</v>
          </cell>
          <cell r="I1137">
            <v>20000</v>
          </cell>
          <cell r="J1137">
            <v>20700</v>
          </cell>
          <cell r="K1137">
            <v>1</v>
          </cell>
          <cell r="L1137">
            <v>0</v>
          </cell>
          <cell r="M1137">
            <v>0</v>
          </cell>
          <cell r="N1137">
            <v>0</v>
          </cell>
          <cell r="O1137">
            <v>0</v>
          </cell>
          <cell r="P1137">
            <v>0</v>
          </cell>
          <cell r="Q1137">
            <v>0</v>
          </cell>
          <cell r="R1137">
            <v>0</v>
          </cell>
          <cell r="S1137">
            <v>0</v>
          </cell>
          <cell r="T1137">
            <v>0</v>
          </cell>
          <cell r="U1137">
            <v>0</v>
          </cell>
          <cell r="V1137">
            <v>20700</v>
          </cell>
          <cell r="W1137">
            <v>0</v>
          </cell>
          <cell r="X1137" t="str">
            <v/>
          </cell>
          <cell r="Y1137" t="str">
            <v/>
          </cell>
          <cell r="Z1137" t="str">
            <v/>
          </cell>
          <cell r="AA1137" t="str">
            <v/>
          </cell>
          <cell r="AB1137" t="str">
            <v/>
          </cell>
          <cell r="AC1137" t="str">
            <v/>
          </cell>
          <cell r="AD1137" t="str">
            <v/>
          </cell>
          <cell r="AE1137" t="str">
            <v/>
          </cell>
          <cell r="AF1137" t="str">
            <v/>
          </cell>
          <cell r="AG1137" t="str">
            <v/>
          </cell>
          <cell r="AH1137" t="str">
            <v>②</v>
          </cell>
          <cell r="AI1137" t="str">
            <v/>
          </cell>
          <cell r="AJ1137" t="str">
            <v>変</v>
          </cell>
        </row>
        <row r="1138">
          <cell r="B1138">
            <v>5509</v>
          </cell>
          <cell r="C1138">
            <v>55</v>
          </cell>
          <cell r="D1138">
            <v>9</v>
          </cell>
          <cell r="F1138" t="str">
            <v>長岡</v>
          </cell>
          <cell r="G1138" t="str">
            <v>誘導灯設備保守(外観)</v>
          </cell>
          <cell r="H1138" t="str">
            <v>長岡電業</v>
          </cell>
          <cell r="I1138">
            <v>20000</v>
          </cell>
          <cell r="J1138">
            <v>20748</v>
          </cell>
          <cell r="K1138">
            <v>1</v>
          </cell>
          <cell r="L1138">
            <v>0</v>
          </cell>
          <cell r="M1138">
            <v>0</v>
          </cell>
          <cell r="N1138">
            <v>0</v>
          </cell>
          <cell r="O1138">
            <v>0</v>
          </cell>
          <cell r="P1138">
            <v>20748</v>
          </cell>
          <cell r="Q1138">
            <v>0</v>
          </cell>
          <cell r="R1138">
            <v>0</v>
          </cell>
          <cell r="S1138">
            <v>0</v>
          </cell>
          <cell r="T1138">
            <v>0</v>
          </cell>
          <cell r="U1138">
            <v>0</v>
          </cell>
          <cell r="V1138">
            <v>0</v>
          </cell>
          <cell r="W1138">
            <v>0</v>
          </cell>
          <cell r="X1138" t="str">
            <v/>
          </cell>
          <cell r="Y1138" t="str">
            <v/>
          </cell>
          <cell r="Z1138" t="str">
            <v/>
          </cell>
          <cell r="AA1138" t="str">
            <v/>
          </cell>
          <cell r="AB1138" t="str">
            <v>⑧</v>
          </cell>
          <cell r="AC1138" t="str">
            <v/>
          </cell>
          <cell r="AD1138" t="str">
            <v/>
          </cell>
          <cell r="AE1138" t="str">
            <v/>
          </cell>
          <cell r="AF1138" t="str">
            <v/>
          </cell>
          <cell r="AG1138" t="str">
            <v/>
          </cell>
          <cell r="AH1138" t="str">
            <v/>
          </cell>
          <cell r="AI1138" t="str">
            <v/>
          </cell>
          <cell r="AJ1138" t="str">
            <v>変</v>
          </cell>
        </row>
        <row r="1139">
          <cell r="B1139">
            <v>5510</v>
          </cell>
          <cell r="C1139">
            <v>55</v>
          </cell>
          <cell r="D1139">
            <v>10</v>
          </cell>
          <cell r="F1139" t="str">
            <v>長岡</v>
          </cell>
          <cell r="G1139" t="str">
            <v>誘導灯設備保守(総合)</v>
          </cell>
          <cell r="H1139" t="str">
            <v>長岡電業</v>
          </cell>
          <cell r="I1139">
            <v>23000</v>
          </cell>
          <cell r="J1139">
            <v>23820</v>
          </cell>
          <cell r="K1139">
            <v>1</v>
          </cell>
          <cell r="L1139">
            <v>0</v>
          </cell>
          <cell r="M1139">
            <v>0</v>
          </cell>
          <cell r="N1139">
            <v>0</v>
          </cell>
          <cell r="O1139">
            <v>0</v>
          </cell>
          <cell r="P1139">
            <v>0</v>
          </cell>
          <cell r="Q1139">
            <v>0</v>
          </cell>
          <cell r="R1139">
            <v>0</v>
          </cell>
          <cell r="S1139">
            <v>0</v>
          </cell>
          <cell r="T1139">
            <v>0</v>
          </cell>
          <cell r="U1139">
            <v>0</v>
          </cell>
          <cell r="V1139">
            <v>23820</v>
          </cell>
          <cell r="W1139">
            <v>0</v>
          </cell>
          <cell r="X1139" t="str">
            <v/>
          </cell>
          <cell r="Y1139" t="str">
            <v/>
          </cell>
          <cell r="Z1139" t="str">
            <v/>
          </cell>
          <cell r="AA1139" t="str">
            <v/>
          </cell>
          <cell r="AB1139" t="str">
            <v/>
          </cell>
          <cell r="AC1139" t="str">
            <v/>
          </cell>
          <cell r="AD1139" t="str">
            <v/>
          </cell>
          <cell r="AE1139" t="str">
            <v/>
          </cell>
          <cell r="AF1139" t="str">
            <v/>
          </cell>
          <cell r="AG1139" t="str">
            <v/>
          </cell>
          <cell r="AH1139" t="str">
            <v>②</v>
          </cell>
          <cell r="AI1139" t="str">
            <v/>
          </cell>
          <cell r="AJ1139" t="str">
            <v>変</v>
          </cell>
        </row>
        <row r="1140">
          <cell r="B1140">
            <v>5511</v>
          </cell>
          <cell r="C1140">
            <v>55</v>
          </cell>
          <cell r="D1140">
            <v>11</v>
          </cell>
          <cell r="F1140" t="str">
            <v>長岡</v>
          </cell>
          <cell r="G1140" t="str">
            <v>非常放送設備保守(外観)</v>
          </cell>
          <cell r="H1140" t="str">
            <v>ﾖｺｾｴｰ･ｳﾞｨｼｽﾃﾑ</v>
          </cell>
          <cell r="I1140">
            <v>22000</v>
          </cell>
          <cell r="J1140">
            <v>22980</v>
          </cell>
          <cell r="K1140">
            <v>1</v>
          </cell>
          <cell r="L1140">
            <v>0</v>
          </cell>
          <cell r="M1140">
            <v>0</v>
          </cell>
          <cell r="N1140">
            <v>0</v>
          </cell>
          <cell r="O1140">
            <v>0</v>
          </cell>
          <cell r="P1140">
            <v>22980</v>
          </cell>
          <cell r="Q1140">
            <v>0</v>
          </cell>
          <cell r="R1140">
            <v>0</v>
          </cell>
          <cell r="S1140">
            <v>0</v>
          </cell>
          <cell r="T1140">
            <v>0</v>
          </cell>
          <cell r="U1140">
            <v>0</v>
          </cell>
          <cell r="V1140">
            <v>0</v>
          </cell>
          <cell r="W1140">
            <v>0</v>
          </cell>
          <cell r="X1140" t="str">
            <v/>
          </cell>
          <cell r="Y1140" t="str">
            <v/>
          </cell>
          <cell r="Z1140" t="str">
            <v/>
          </cell>
          <cell r="AA1140" t="str">
            <v/>
          </cell>
          <cell r="AB1140" t="str">
            <v>⑧</v>
          </cell>
          <cell r="AC1140" t="str">
            <v/>
          </cell>
          <cell r="AD1140" t="str">
            <v/>
          </cell>
          <cell r="AE1140" t="str">
            <v/>
          </cell>
          <cell r="AF1140" t="str">
            <v/>
          </cell>
          <cell r="AG1140" t="str">
            <v/>
          </cell>
          <cell r="AH1140" t="str">
            <v/>
          </cell>
          <cell r="AI1140" t="str">
            <v/>
          </cell>
          <cell r="AJ1140" t="str">
            <v>変</v>
          </cell>
        </row>
        <row r="1141">
          <cell r="B1141">
            <v>5512</v>
          </cell>
          <cell r="C1141">
            <v>55</v>
          </cell>
          <cell r="D1141">
            <v>12</v>
          </cell>
          <cell r="F1141" t="str">
            <v>長岡</v>
          </cell>
          <cell r="G1141" t="str">
            <v>非常放送設備保守(総合)</v>
          </cell>
          <cell r="H1141" t="str">
            <v>ﾖｺｾｴｰ･ｳﾞｨｼｽﾃﾑ</v>
          </cell>
          <cell r="I1141">
            <v>37000</v>
          </cell>
          <cell r="J1141">
            <v>38520</v>
          </cell>
          <cell r="K1141">
            <v>1</v>
          </cell>
          <cell r="L1141">
            <v>0</v>
          </cell>
          <cell r="M1141">
            <v>0</v>
          </cell>
          <cell r="N1141">
            <v>0</v>
          </cell>
          <cell r="O1141">
            <v>0</v>
          </cell>
          <cell r="P1141">
            <v>0</v>
          </cell>
          <cell r="Q1141">
            <v>0</v>
          </cell>
          <cell r="R1141">
            <v>0</v>
          </cell>
          <cell r="S1141">
            <v>0</v>
          </cell>
          <cell r="T1141">
            <v>0</v>
          </cell>
          <cell r="U1141">
            <v>0</v>
          </cell>
          <cell r="V1141">
            <v>38520</v>
          </cell>
          <cell r="W1141">
            <v>0</v>
          </cell>
          <cell r="X1141" t="str">
            <v/>
          </cell>
          <cell r="Y1141" t="str">
            <v/>
          </cell>
          <cell r="Z1141" t="str">
            <v/>
          </cell>
          <cell r="AA1141" t="str">
            <v/>
          </cell>
          <cell r="AB1141" t="str">
            <v/>
          </cell>
          <cell r="AC1141" t="str">
            <v/>
          </cell>
          <cell r="AD1141" t="str">
            <v/>
          </cell>
          <cell r="AE1141" t="str">
            <v/>
          </cell>
          <cell r="AF1141" t="str">
            <v/>
          </cell>
          <cell r="AG1141" t="str">
            <v/>
          </cell>
          <cell r="AH1141" t="str">
            <v>②</v>
          </cell>
          <cell r="AI1141" t="str">
            <v/>
          </cell>
          <cell r="AJ1141" t="str">
            <v>変</v>
          </cell>
        </row>
        <row r="1142">
          <cell r="B1142">
            <v>5513</v>
          </cell>
          <cell r="C1142">
            <v>55</v>
          </cell>
          <cell r="D1142">
            <v>13</v>
          </cell>
          <cell r="F1142" t="str">
            <v>長岡</v>
          </cell>
          <cell r="G1142" t="str">
            <v>立体駐車場装置保守</v>
          </cell>
          <cell r="H1142" t="str">
            <v>三菱重工ﾊﾟｰｷﾝｸﾞ建設</v>
          </cell>
          <cell r="I1142">
            <v>111000</v>
          </cell>
          <cell r="J1142">
            <v>113220</v>
          </cell>
          <cell r="K1142">
            <v>12</v>
          </cell>
          <cell r="L1142">
            <v>113220</v>
          </cell>
          <cell r="M1142">
            <v>113220</v>
          </cell>
          <cell r="N1142">
            <v>113220</v>
          </cell>
          <cell r="O1142">
            <v>113220</v>
          </cell>
          <cell r="P1142">
            <v>113220</v>
          </cell>
          <cell r="Q1142">
            <v>113220</v>
          </cell>
          <cell r="R1142">
            <v>113220</v>
          </cell>
          <cell r="S1142">
            <v>113220</v>
          </cell>
          <cell r="T1142">
            <v>113220</v>
          </cell>
          <cell r="U1142">
            <v>113220</v>
          </cell>
          <cell r="V1142">
            <v>113220</v>
          </cell>
          <cell r="W1142">
            <v>113220</v>
          </cell>
          <cell r="X1142" t="str">
            <v>④</v>
          </cell>
          <cell r="Y1142" t="str">
            <v>⑤</v>
          </cell>
          <cell r="Z1142" t="str">
            <v>⑥</v>
          </cell>
          <cell r="AA1142" t="str">
            <v>⑦</v>
          </cell>
          <cell r="AB1142" t="str">
            <v>⑧</v>
          </cell>
          <cell r="AC1142" t="str">
            <v>⑨</v>
          </cell>
          <cell r="AD1142" t="str">
            <v>⑩</v>
          </cell>
          <cell r="AE1142" t="str">
            <v>⑪</v>
          </cell>
          <cell r="AF1142" t="str">
            <v>⑫</v>
          </cell>
          <cell r="AG1142" t="str">
            <v>①</v>
          </cell>
          <cell r="AH1142" t="str">
            <v>②</v>
          </cell>
          <cell r="AI1142" t="str">
            <v>③</v>
          </cell>
        </row>
        <row r="1143">
          <cell r="B1143">
            <v>5514</v>
          </cell>
          <cell r="C1143">
            <v>55</v>
          </cell>
          <cell r="D1143">
            <v>14</v>
          </cell>
          <cell r="F1143" t="str">
            <v>長岡</v>
          </cell>
          <cell r="G1143" t="str">
            <v>害虫駆除</v>
          </cell>
          <cell r="H1143" t="str">
            <v>越後ビルサービス</v>
          </cell>
          <cell r="I1143">
            <v>54500</v>
          </cell>
          <cell r="J1143">
            <v>62350</v>
          </cell>
          <cell r="K1143">
            <v>2</v>
          </cell>
          <cell r="L1143">
            <v>62350</v>
          </cell>
          <cell r="M1143">
            <v>0</v>
          </cell>
          <cell r="N1143">
            <v>0</v>
          </cell>
          <cell r="O1143">
            <v>0</v>
          </cell>
          <cell r="P1143">
            <v>0</v>
          </cell>
          <cell r="Q1143">
            <v>0</v>
          </cell>
          <cell r="R1143">
            <v>62350</v>
          </cell>
          <cell r="S1143">
            <v>0</v>
          </cell>
          <cell r="T1143">
            <v>0</v>
          </cell>
          <cell r="U1143">
            <v>0</v>
          </cell>
          <cell r="V1143">
            <v>0</v>
          </cell>
          <cell r="W1143">
            <v>0</v>
          </cell>
          <cell r="X1143" t="str">
            <v>④</v>
          </cell>
          <cell r="Y1143" t="str">
            <v/>
          </cell>
          <cell r="Z1143" t="str">
            <v/>
          </cell>
          <cell r="AA1143" t="str">
            <v/>
          </cell>
          <cell r="AB1143" t="str">
            <v/>
          </cell>
          <cell r="AC1143" t="str">
            <v/>
          </cell>
          <cell r="AD1143" t="str">
            <v>⑩</v>
          </cell>
          <cell r="AE1143" t="str">
            <v/>
          </cell>
          <cell r="AF1143" t="str">
            <v/>
          </cell>
          <cell r="AG1143" t="str">
            <v/>
          </cell>
          <cell r="AH1143" t="str">
            <v/>
          </cell>
          <cell r="AI1143" t="str">
            <v/>
          </cell>
          <cell r="AJ1143" t="str">
            <v>変</v>
          </cell>
        </row>
        <row r="1144">
          <cell r="B1144">
            <v>5515</v>
          </cell>
          <cell r="C1144">
            <v>55</v>
          </cell>
          <cell r="D1144">
            <v>15</v>
          </cell>
          <cell r="F1144" t="str">
            <v>長岡</v>
          </cell>
          <cell r="G1144" t="str">
            <v>雑排水槽清掃</v>
          </cell>
          <cell r="H1144" t="str">
            <v>越後ビルサービス</v>
          </cell>
          <cell r="I1144">
            <v>52000</v>
          </cell>
          <cell r="J1144">
            <v>60000</v>
          </cell>
          <cell r="K1144">
            <v>2</v>
          </cell>
          <cell r="L1144">
            <v>60000</v>
          </cell>
          <cell r="M1144">
            <v>0</v>
          </cell>
          <cell r="N1144">
            <v>0</v>
          </cell>
          <cell r="O1144">
            <v>0</v>
          </cell>
          <cell r="P1144">
            <v>0</v>
          </cell>
          <cell r="Q1144">
            <v>0</v>
          </cell>
          <cell r="R1144">
            <v>60000</v>
          </cell>
          <cell r="S1144">
            <v>0</v>
          </cell>
          <cell r="T1144">
            <v>0</v>
          </cell>
          <cell r="U1144">
            <v>0</v>
          </cell>
          <cell r="V1144">
            <v>0</v>
          </cell>
          <cell r="W1144">
            <v>0</v>
          </cell>
          <cell r="X1144" t="str">
            <v>④</v>
          </cell>
          <cell r="Y1144" t="str">
            <v/>
          </cell>
          <cell r="Z1144" t="str">
            <v/>
          </cell>
          <cell r="AA1144" t="str">
            <v/>
          </cell>
          <cell r="AB1144" t="str">
            <v/>
          </cell>
          <cell r="AC1144" t="str">
            <v/>
          </cell>
          <cell r="AD1144" t="str">
            <v>⑩</v>
          </cell>
          <cell r="AE1144" t="str">
            <v/>
          </cell>
          <cell r="AF1144" t="str">
            <v/>
          </cell>
          <cell r="AG1144" t="str">
            <v/>
          </cell>
          <cell r="AH1144" t="str">
            <v/>
          </cell>
          <cell r="AI1144" t="str">
            <v/>
          </cell>
          <cell r="AJ1144" t="str">
            <v>変</v>
          </cell>
        </row>
        <row r="1145">
          <cell r="B1145">
            <v>5516</v>
          </cell>
          <cell r="C1145">
            <v>55</v>
          </cell>
          <cell r="D1145">
            <v>16</v>
          </cell>
          <cell r="F1145" t="str">
            <v>長岡</v>
          </cell>
          <cell r="G1145" t="str">
            <v>受水槽清掃</v>
          </cell>
          <cell r="H1145" t="str">
            <v>越後ビルサービス</v>
          </cell>
          <cell r="I1145">
            <v>57000</v>
          </cell>
          <cell r="J1145">
            <v>66480</v>
          </cell>
          <cell r="K1145">
            <v>1</v>
          </cell>
          <cell r="L1145">
            <v>0</v>
          </cell>
          <cell r="M1145">
            <v>0</v>
          </cell>
          <cell r="N1145">
            <v>0</v>
          </cell>
          <cell r="O1145">
            <v>0</v>
          </cell>
          <cell r="P1145">
            <v>66480</v>
          </cell>
          <cell r="Q1145">
            <v>0</v>
          </cell>
          <cell r="R1145">
            <v>0</v>
          </cell>
          <cell r="S1145">
            <v>0</v>
          </cell>
          <cell r="T1145">
            <v>0</v>
          </cell>
          <cell r="U1145">
            <v>0</v>
          </cell>
          <cell r="V1145">
            <v>0</v>
          </cell>
          <cell r="W1145">
            <v>0</v>
          </cell>
          <cell r="X1145" t="str">
            <v/>
          </cell>
          <cell r="Y1145" t="str">
            <v/>
          </cell>
          <cell r="Z1145" t="str">
            <v/>
          </cell>
          <cell r="AA1145" t="str">
            <v/>
          </cell>
          <cell r="AB1145" t="str">
            <v>⑧</v>
          </cell>
          <cell r="AC1145" t="str">
            <v/>
          </cell>
          <cell r="AD1145" t="str">
            <v/>
          </cell>
          <cell r="AE1145" t="str">
            <v/>
          </cell>
          <cell r="AF1145" t="str">
            <v/>
          </cell>
          <cell r="AG1145" t="str">
            <v/>
          </cell>
          <cell r="AH1145" t="str">
            <v/>
          </cell>
          <cell r="AI1145" t="str">
            <v/>
          </cell>
          <cell r="AJ1145" t="str">
            <v>変</v>
          </cell>
        </row>
        <row r="1146">
          <cell r="B1146">
            <v>5517</v>
          </cell>
          <cell r="C1146">
            <v>55</v>
          </cell>
          <cell r="D1146">
            <v>17</v>
          </cell>
          <cell r="F1146" t="str">
            <v>長岡</v>
          </cell>
          <cell r="G1146" t="str">
            <v>ファンコイル設備保守</v>
          </cell>
          <cell r="H1146" t="str">
            <v>ナカムラ</v>
          </cell>
          <cell r="I1146">
            <v>32000</v>
          </cell>
          <cell r="J1146">
            <v>32940</v>
          </cell>
          <cell r="K1146">
            <v>2</v>
          </cell>
          <cell r="L1146">
            <v>0</v>
          </cell>
          <cell r="M1146">
            <v>32940</v>
          </cell>
          <cell r="N1146">
            <v>0</v>
          </cell>
          <cell r="O1146">
            <v>0</v>
          </cell>
          <cell r="P1146">
            <v>0</v>
          </cell>
          <cell r="Q1146">
            <v>0</v>
          </cell>
          <cell r="R1146">
            <v>32940</v>
          </cell>
          <cell r="S1146">
            <v>0</v>
          </cell>
          <cell r="T1146">
            <v>0</v>
          </cell>
          <cell r="U1146">
            <v>0</v>
          </cell>
          <cell r="V1146">
            <v>0</v>
          </cell>
          <cell r="W1146">
            <v>0</v>
          </cell>
          <cell r="X1146" t="str">
            <v/>
          </cell>
          <cell r="Y1146" t="str">
            <v>⑤</v>
          </cell>
          <cell r="Z1146" t="str">
            <v/>
          </cell>
          <cell r="AA1146" t="str">
            <v/>
          </cell>
          <cell r="AB1146" t="str">
            <v/>
          </cell>
          <cell r="AC1146" t="str">
            <v/>
          </cell>
          <cell r="AD1146" t="str">
            <v>⑩</v>
          </cell>
          <cell r="AE1146" t="str">
            <v/>
          </cell>
          <cell r="AF1146" t="str">
            <v/>
          </cell>
          <cell r="AG1146" t="str">
            <v/>
          </cell>
          <cell r="AH1146" t="str">
            <v/>
          </cell>
          <cell r="AI1146" t="str">
            <v/>
          </cell>
          <cell r="AJ1146" t="str">
            <v>変</v>
          </cell>
        </row>
        <row r="1147">
          <cell r="B1147">
            <v>5518</v>
          </cell>
          <cell r="C1147">
            <v>55</v>
          </cell>
          <cell r="D1147">
            <v>18</v>
          </cell>
          <cell r="F1147" t="str">
            <v>長岡</v>
          </cell>
          <cell r="G1147" t="str">
            <v>冷温水発生機設備保守</v>
          </cell>
          <cell r="H1147" t="str">
            <v>ナカムラ</v>
          </cell>
          <cell r="I1147">
            <v>115000</v>
          </cell>
          <cell r="J1147">
            <v>122125</v>
          </cell>
          <cell r="K1147">
            <v>1</v>
          </cell>
          <cell r="L1147">
            <v>0</v>
          </cell>
          <cell r="M1147">
            <v>122125</v>
          </cell>
          <cell r="N1147">
            <v>0</v>
          </cell>
          <cell r="O1147">
            <v>0</v>
          </cell>
          <cell r="P1147">
            <v>0</v>
          </cell>
          <cell r="Q1147">
            <v>0</v>
          </cell>
          <cell r="R1147">
            <v>0</v>
          </cell>
          <cell r="S1147">
            <v>0</v>
          </cell>
          <cell r="T1147">
            <v>0</v>
          </cell>
          <cell r="U1147">
            <v>0</v>
          </cell>
          <cell r="V1147">
            <v>0</v>
          </cell>
          <cell r="W1147">
            <v>0</v>
          </cell>
          <cell r="X1147" t="str">
            <v/>
          </cell>
          <cell r="Y1147" t="str">
            <v>⑤</v>
          </cell>
          <cell r="Z1147" t="str">
            <v/>
          </cell>
          <cell r="AA1147" t="str">
            <v/>
          </cell>
          <cell r="AB1147" t="str">
            <v/>
          </cell>
          <cell r="AC1147" t="str">
            <v/>
          </cell>
          <cell r="AD1147" t="str">
            <v/>
          </cell>
          <cell r="AE1147" t="str">
            <v/>
          </cell>
          <cell r="AF1147" t="str">
            <v/>
          </cell>
          <cell r="AG1147" t="str">
            <v/>
          </cell>
          <cell r="AH1147" t="str">
            <v/>
          </cell>
          <cell r="AI1147" t="str">
            <v/>
          </cell>
          <cell r="AJ1147" t="str">
            <v>変</v>
          </cell>
        </row>
        <row r="1148">
          <cell r="B1148">
            <v>5519</v>
          </cell>
          <cell r="C1148">
            <v>55</v>
          </cell>
          <cell r="D1148">
            <v>19</v>
          </cell>
          <cell r="F1148" t="str">
            <v>長岡</v>
          </cell>
          <cell r="G1148" t="str">
            <v>冷温水発生機設備保守</v>
          </cell>
          <cell r="H1148" t="str">
            <v>ナカムラ</v>
          </cell>
          <cell r="I1148">
            <v>84000</v>
          </cell>
          <cell r="J1148">
            <v>89205</v>
          </cell>
          <cell r="K1148">
            <v>1</v>
          </cell>
          <cell r="L1148">
            <v>0</v>
          </cell>
          <cell r="M1148">
            <v>0</v>
          </cell>
          <cell r="N1148">
            <v>0</v>
          </cell>
          <cell r="O1148">
            <v>0</v>
          </cell>
          <cell r="P1148">
            <v>89205</v>
          </cell>
          <cell r="Q1148">
            <v>0</v>
          </cell>
          <cell r="R1148">
            <v>0</v>
          </cell>
          <cell r="S1148">
            <v>0</v>
          </cell>
          <cell r="T1148">
            <v>0</v>
          </cell>
          <cell r="U1148">
            <v>0</v>
          </cell>
          <cell r="V1148">
            <v>0</v>
          </cell>
          <cell r="W1148">
            <v>0</v>
          </cell>
          <cell r="X1148" t="str">
            <v/>
          </cell>
          <cell r="Y1148" t="str">
            <v/>
          </cell>
          <cell r="Z1148" t="str">
            <v/>
          </cell>
          <cell r="AA1148" t="str">
            <v/>
          </cell>
          <cell r="AB1148" t="str">
            <v>⑧</v>
          </cell>
          <cell r="AC1148" t="str">
            <v/>
          </cell>
          <cell r="AD1148" t="str">
            <v/>
          </cell>
          <cell r="AE1148" t="str">
            <v/>
          </cell>
          <cell r="AF1148" t="str">
            <v/>
          </cell>
          <cell r="AG1148" t="str">
            <v/>
          </cell>
          <cell r="AH1148" t="str">
            <v/>
          </cell>
          <cell r="AI1148" t="str">
            <v/>
          </cell>
          <cell r="AJ1148" t="str">
            <v>変</v>
          </cell>
        </row>
        <row r="1149">
          <cell r="B1149">
            <v>5520</v>
          </cell>
          <cell r="C1149">
            <v>55</v>
          </cell>
          <cell r="D1149">
            <v>20</v>
          </cell>
          <cell r="F1149" t="str">
            <v>長岡</v>
          </cell>
          <cell r="G1149" t="str">
            <v>冷温水発生機設備保守</v>
          </cell>
          <cell r="H1149" t="str">
            <v>ナカムラ</v>
          </cell>
          <cell r="I1149">
            <v>107000</v>
          </cell>
          <cell r="J1149">
            <v>113630</v>
          </cell>
          <cell r="K1149">
            <v>1</v>
          </cell>
          <cell r="L1149">
            <v>0</v>
          </cell>
          <cell r="M1149">
            <v>0</v>
          </cell>
          <cell r="N1149">
            <v>0</v>
          </cell>
          <cell r="O1149">
            <v>0</v>
          </cell>
          <cell r="P1149">
            <v>0</v>
          </cell>
          <cell r="Q1149">
            <v>0</v>
          </cell>
          <cell r="R1149">
            <v>113630</v>
          </cell>
          <cell r="S1149">
            <v>0</v>
          </cell>
          <cell r="T1149">
            <v>0</v>
          </cell>
          <cell r="U1149">
            <v>0</v>
          </cell>
          <cell r="V1149">
            <v>0</v>
          </cell>
          <cell r="W1149">
            <v>0</v>
          </cell>
          <cell r="X1149" t="str">
            <v/>
          </cell>
          <cell r="Y1149" t="str">
            <v/>
          </cell>
          <cell r="Z1149" t="str">
            <v/>
          </cell>
          <cell r="AA1149" t="str">
            <v/>
          </cell>
          <cell r="AB1149" t="str">
            <v/>
          </cell>
          <cell r="AC1149" t="str">
            <v/>
          </cell>
          <cell r="AD1149" t="str">
            <v>⑩</v>
          </cell>
          <cell r="AE1149" t="str">
            <v/>
          </cell>
          <cell r="AF1149" t="str">
            <v/>
          </cell>
          <cell r="AG1149" t="str">
            <v/>
          </cell>
          <cell r="AH1149" t="str">
            <v/>
          </cell>
          <cell r="AI1149" t="str">
            <v/>
          </cell>
          <cell r="AJ1149" t="str">
            <v>変</v>
          </cell>
        </row>
        <row r="1150">
          <cell r="B1150">
            <v>5521</v>
          </cell>
          <cell r="C1150">
            <v>55</v>
          </cell>
          <cell r="D1150">
            <v>21</v>
          </cell>
          <cell r="F1150" t="str">
            <v>長岡</v>
          </cell>
          <cell r="G1150" t="str">
            <v>空調機設備保守</v>
          </cell>
          <cell r="H1150" t="str">
            <v>ナカムラ</v>
          </cell>
          <cell r="I1150">
            <v>38000</v>
          </cell>
          <cell r="J1150">
            <v>41640</v>
          </cell>
          <cell r="K1150">
            <v>1</v>
          </cell>
          <cell r="L1150">
            <v>0</v>
          </cell>
          <cell r="M1150">
            <v>41640</v>
          </cell>
          <cell r="N1150">
            <v>0</v>
          </cell>
          <cell r="O1150">
            <v>0</v>
          </cell>
          <cell r="P1150">
            <v>0</v>
          </cell>
          <cell r="Q1150">
            <v>0</v>
          </cell>
          <cell r="R1150">
            <v>0</v>
          </cell>
          <cell r="S1150">
            <v>0</v>
          </cell>
          <cell r="T1150">
            <v>0</v>
          </cell>
          <cell r="U1150">
            <v>0</v>
          </cell>
          <cell r="V1150">
            <v>0</v>
          </cell>
          <cell r="W1150">
            <v>0</v>
          </cell>
          <cell r="X1150" t="str">
            <v/>
          </cell>
          <cell r="Y1150" t="str">
            <v>⑤</v>
          </cell>
          <cell r="Z1150" t="str">
            <v/>
          </cell>
          <cell r="AA1150" t="str">
            <v/>
          </cell>
          <cell r="AB1150" t="str">
            <v/>
          </cell>
          <cell r="AC1150" t="str">
            <v/>
          </cell>
          <cell r="AD1150" t="str">
            <v/>
          </cell>
          <cell r="AE1150" t="str">
            <v/>
          </cell>
          <cell r="AF1150" t="str">
            <v/>
          </cell>
          <cell r="AG1150" t="str">
            <v/>
          </cell>
          <cell r="AH1150" t="str">
            <v/>
          </cell>
          <cell r="AI1150" t="str">
            <v/>
          </cell>
          <cell r="AJ1150" t="str">
            <v>変</v>
          </cell>
        </row>
        <row r="1151">
          <cell r="B1151">
            <v>5522</v>
          </cell>
          <cell r="C1151">
            <v>55</v>
          </cell>
          <cell r="D1151">
            <v>22</v>
          </cell>
          <cell r="F1151" t="str">
            <v>長岡</v>
          </cell>
          <cell r="G1151" t="str">
            <v>空調機設備保守</v>
          </cell>
          <cell r="H1151" t="str">
            <v>ナカムラ</v>
          </cell>
          <cell r="I1151">
            <v>38000</v>
          </cell>
          <cell r="J1151">
            <v>41640</v>
          </cell>
          <cell r="K1151">
            <v>1</v>
          </cell>
          <cell r="L1151">
            <v>0</v>
          </cell>
          <cell r="M1151">
            <v>0</v>
          </cell>
          <cell r="N1151">
            <v>0</v>
          </cell>
          <cell r="O1151">
            <v>0</v>
          </cell>
          <cell r="P1151">
            <v>0</v>
          </cell>
          <cell r="Q1151">
            <v>0</v>
          </cell>
          <cell r="R1151">
            <v>41640</v>
          </cell>
          <cell r="S1151">
            <v>0</v>
          </cell>
          <cell r="T1151">
            <v>0</v>
          </cell>
          <cell r="U1151">
            <v>0</v>
          </cell>
          <cell r="V1151">
            <v>0</v>
          </cell>
          <cell r="W1151">
            <v>0</v>
          </cell>
          <cell r="X1151" t="str">
            <v/>
          </cell>
          <cell r="Y1151" t="str">
            <v/>
          </cell>
          <cell r="Z1151" t="str">
            <v/>
          </cell>
          <cell r="AA1151" t="str">
            <v/>
          </cell>
          <cell r="AB1151" t="str">
            <v/>
          </cell>
          <cell r="AC1151" t="str">
            <v/>
          </cell>
          <cell r="AD1151" t="str">
            <v>⑩</v>
          </cell>
          <cell r="AE1151" t="str">
            <v/>
          </cell>
          <cell r="AF1151" t="str">
            <v/>
          </cell>
          <cell r="AG1151" t="str">
            <v/>
          </cell>
          <cell r="AH1151" t="str">
            <v/>
          </cell>
          <cell r="AI1151" t="str">
            <v/>
          </cell>
          <cell r="AJ1151" t="str">
            <v>変</v>
          </cell>
        </row>
        <row r="1152">
          <cell r="B1152">
            <v>5523</v>
          </cell>
          <cell r="C1152">
            <v>55</v>
          </cell>
          <cell r="D1152">
            <v>23</v>
          </cell>
          <cell r="F1152" t="str">
            <v>長岡</v>
          </cell>
          <cell r="G1152" t="str">
            <v>空調用自動制御機器保守</v>
          </cell>
          <cell r="H1152" t="str">
            <v>ナカムラ</v>
          </cell>
          <cell r="I1152">
            <v>13000</v>
          </cell>
          <cell r="J1152">
            <v>13380</v>
          </cell>
          <cell r="K1152">
            <v>2</v>
          </cell>
          <cell r="L1152">
            <v>0</v>
          </cell>
          <cell r="M1152">
            <v>13380</v>
          </cell>
          <cell r="N1152">
            <v>0</v>
          </cell>
          <cell r="O1152">
            <v>0</v>
          </cell>
          <cell r="P1152">
            <v>0</v>
          </cell>
          <cell r="Q1152">
            <v>0</v>
          </cell>
          <cell r="R1152">
            <v>13380</v>
          </cell>
          <cell r="S1152">
            <v>0</v>
          </cell>
          <cell r="T1152">
            <v>0</v>
          </cell>
          <cell r="U1152">
            <v>0</v>
          </cell>
          <cell r="V1152">
            <v>0</v>
          </cell>
          <cell r="W1152">
            <v>0</v>
          </cell>
          <cell r="X1152" t="str">
            <v/>
          </cell>
          <cell r="Y1152" t="str">
            <v>⑤</v>
          </cell>
          <cell r="Z1152" t="str">
            <v/>
          </cell>
          <cell r="AA1152" t="str">
            <v/>
          </cell>
          <cell r="AB1152" t="str">
            <v/>
          </cell>
          <cell r="AC1152" t="str">
            <v/>
          </cell>
          <cell r="AD1152" t="str">
            <v>⑩</v>
          </cell>
          <cell r="AE1152" t="str">
            <v/>
          </cell>
          <cell r="AF1152" t="str">
            <v/>
          </cell>
          <cell r="AG1152" t="str">
            <v/>
          </cell>
          <cell r="AH1152" t="str">
            <v/>
          </cell>
          <cell r="AI1152" t="str">
            <v/>
          </cell>
          <cell r="AJ1152" t="str">
            <v>変</v>
          </cell>
        </row>
        <row r="1153">
          <cell r="B1153">
            <v>5524</v>
          </cell>
          <cell r="C1153">
            <v>55</v>
          </cell>
          <cell r="D1153">
            <v>24</v>
          </cell>
          <cell r="F1153" t="str">
            <v>長岡</v>
          </cell>
          <cell r="G1153" t="str">
            <v>冷却塔設備保守</v>
          </cell>
          <cell r="H1153" t="str">
            <v>ナカムラ</v>
          </cell>
          <cell r="I1153">
            <v>33000</v>
          </cell>
          <cell r="J1153">
            <v>36420</v>
          </cell>
          <cell r="K1153">
            <v>1</v>
          </cell>
          <cell r="L1153">
            <v>0</v>
          </cell>
          <cell r="M1153">
            <v>36420</v>
          </cell>
          <cell r="N1153">
            <v>0</v>
          </cell>
          <cell r="O1153">
            <v>0</v>
          </cell>
          <cell r="P1153">
            <v>0</v>
          </cell>
          <cell r="Q1153">
            <v>0</v>
          </cell>
          <cell r="R1153">
            <v>0</v>
          </cell>
          <cell r="S1153">
            <v>0</v>
          </cell>
          <cell r="T1153">
            <v>0</v>
          </cell>
          <cell r="U1153">
            <v>0</v>
          </cell>
          <cell r="V1153">
            <v>0</v>
          </cell>
          <cell r="W1153">
            <v>0</v>
          </cell>
          <cell r="X1153" t="str">
            <v/>
          </cell>
          <cell r="Y1153" t="str">
            <v>⑤</v>
          </cell>
          <cell r="Z1153" t="str">
            <v/>
          </cell>
          <cell r="AA1153" t="str">
            <v/>
          </cell>
          <cell r="AB1153" t="str">
            <v/>
          </cell>
          <cell r="AC1153" t="str">
            <v/>
          </cell>
          <cell r="AD1153" t="str">
            <v/>
          </cell>
          <cell r="AE1153" t="str">
            <v/>
          </cell>
          <cell r="AF1153" t="str">
            <v/>
          </cell>
          <cell r="AG1153" t="str">
            <v/>
          </cell>
          <cell r="AH1153" t="str">
            <v/>
          </cell>
          <cell r="AI1153" t="str">
            <v/>
          </cell>
          <cell r="AJ1153" t="str">
            <v>変</v>
          </cell>
        </row>
        <row r="1154">
          <cell r="B1154">
            <v>5525</v>
          </cell>
          <cell r="C1154">
            <v>55</v>
          </cell>
          <cell r="D1154">
            <v>25</v>
          </cell>
          <cell r="F1154" t="str">
            <v>長岡</v>
          </cell>
          <cell r="G1154" t="str">
            <v>冷却水･冷温水ﾎﾟﾝﾌﾟ設備保守</v>
          </cell>
          <cell r="H1154" t="str">
            <v>ナカムラ</v>
          </cell>
          <cell r="I1154">
            <v>28000</v>
          </cell>
          <cell r="J1154">
            <v>30390</v>
          </cell>
          <cell r="K1154">
            <v>1</v>
          </cell>
          <cell r="L1154">
            <v>0</v>
          </cell>
          <cell r="M1154">
            <v>30390</v>
          </cell>
          <cell r="N1154">
            <v>0</v>
          </cell>
          <cell r="O1154">
            <v>0</v>
          </cell>
          <cell r="P1154">
            <v>0</v>
          </cell>
          <cell r="Q1154">
            <v>0</v>
          </cell>
          <cell r="R1154">
            <v>0</v>
          </cell>
          <cell r="S1154">
            <v>0</v>
          </cell>
          <cell r="T1154">
            <v>0</v>
          </cell>
          <cell r="U1154">
            <v>0</v>
          </cell>
          <cell r="V1154">
            <v>0</v>
          </cell>
          <cell r="W1154">
            <v>0</v>
          </cell>
          <cell r="X1154" t="str">
            <v/>
          </cell>
          <cell r="Y1154" t="str">
            <v>⑤</v>
          </cell>
          <cell r="Z1154" t="str">
            <v/>
          </cell>
          <cell r="AA1154" t="str">
            <v/>
          </cell>
          <cell r="AB1154" t="str">
            <v/>
          </cell>
          <cell r="AC1154" t="str">
            <v/>
          </cell>
          <cell r="AD1154" t="str">
            <v/>
          </cell>
          <cell r="AE1154" t="str">
            <v/>
          </cell>
          <cell r="AF1154" t="str">
            <v/>
          </cell>
          <cell r="AG1154" t="str">
            <v/>
          </cell>
          <cell r="AH1154" t="str">
            <v/>
          </cell>
          <cell r="AI1154" t="str">
            <v/>
          </cell>
          <cell r="AJ1154" t="str">
            <v>変</v>
          </cell>
        </row>
        <row r="1155">
          <cell r="B1155">
            <v>5526</v>
          </cell>
          <cell r="C1155">
            <v>55</v>
          </cell>
          <cell r="D1155">
            <v>26</v>
          </cell>
          <cell r="F1155" t="str">
            <v>長岡</v>
          </cell>
          <cell r="G1155" t="str">
            <v>冷却水･冷温水ﾎﾟﾝﾌﾟ設備保守</v>
          </cell>
          <cell r="H1155" t="str">
            <v>ナカムラ</v>
          </cell>
          <cell r="I1155">
            <v>13000</v>
          </cell>
          <cell r="J1155">
            <v>15390</v>
          </cell>
          <cell r="K1155">
            <v>1</v>
          </cell>
          <cell r="L1155">
            <v>0</v>
          </cell>
          <cell r="M1155">
            <v>0</v>
          </cell>
          <cell r="N1155">
            <v>0</v>
          </cell>
          <cell r="O1155">
            <v>0</v>
          </cell>
          <cell r="P1155">
            <v>0</v>
          </cell>
          <cell r="Q1155">
            <v>0</v>
          </cell>
          <cell r="R1155">
            <v>15390</v>
          </cell>
          <cell r="S1155">
            <v>0</v>
          </cell>
          <cell r="T1155">
            <v>0</v>
          </cell>
          <cell r="U1155">
            <v>0</v>
          </cell>
          <cell r="V1155">
            <v>0</v>
          </cell>
          <cell r="W1155">
            <v>0</v>
          </cell>
          <cell r="X1155" t="str">
            <v/>
          </cell>
          <cell r="Y1155" t="str">
            <v/>
          </cell>
          <cell r="Z1155" t="str">
            <v/>
          </cell>
          <cell r="AA1155" t="str">
            <v/>
          </cell>
          <cell r="AB1155" t="str">
            <v/>
          </cell>
          <cell r="AC1155" t="str">
            <v/>
          </cell>
          <cell r="AD1155" t="str">
            <v>⑩</v>
          </cell>
          <cell r="AE1155" t="str">
            <v/>
          </cell>
          <cell r="AF1155" t="str">
            <v/>
          </cell>
          <cell r="AG1155" t="str">
            <v/>
          </cell>
          <cell r="AH1155" t="str">
            <v/>
          </cell>
          <cell r="AI1155" t="str">
            <v/>
          </cell>
          <cell r="AJ1155" t="str">
            <v>変</v>
          </cell>
        </row>
        <row r="1156">
          <cell r="B1156">
            <v>5527</v>
          </cell>
          <cell r="C1156">
            <v>55</v>
          </cell>
          <cell r="D1156">
            <v>27</v>
          </cell>
          <cell r="F1156" t="str">
            <v>長岡</v>
          </cell>
          <cell r="G1156" t="str">
            <v>給排水ポンプ設備保守点検</v>
          </cell>
          <cell r="H1156" t="str">
            <v>荏原テクノサーブ</v>
          </cell>
          <cell r="I1156">
            <v>50000</v>
          </cell>
          <cell r="J1156">
            <v>51600</v>
          </cell>
          <cell r="K1156">
            <v>2</v>
          </cell>
          <cell r="L1156">
            <v>0</v>
          </cell>
          <cell r="M1156">
            <v>0</v>
          </cell>
          <cell r="N1156">
            <v>0</v>
          </cell>
          <cell r="O1156">
            <v>51600</v>
          </cell>
          <cell r="P1156">
            <v>0</v>
          </cell>
          <cell r="Q1156">
            <v>0</v>
          </cell>
          <cell r="R1156">
            <v>0</v>
          </cell>
          <cell r="S1156">
            <v>0</v>
          </cell>
          <cell r="T1156">
            <v>0</v>
          </cell>
          <cell r="U1156">
            <v>51600</v>
          </cell>
          <cell r="V1156">
            <v>0</v>
          </cell>
          <cell r="W1156">
            <v>0</v>
          </cell>
          <cell r="X1156" t="str">
            <v/>
          </cell>
          <cell r="Y1156" t="str">
            <v/>
          </cell>
          <cell r="Z1156" t="str">
            <v/>
          </cell>
          <cell r="AA1156" t="str">
            <v>⑦</v>
          </cell>
          <cell r="AB1156" t="str">
            <v/>
          </cell>
          <cell r="AC1156" t="str">
            <v/>
          </cell>
          <cell r="AD1156" t="str">
            <v/>
          </cell>
          <cell r="AE1156" t="str">
            <v/>
          </cell>
          <cell r="AF1156" t="str">
            <v/>
          </cell>
          <cell r="AG1156" t="str">
            <v>①</v>
          </cell>
          <cell r="AH1156" t="str">
            <v/>
          </cell>
          <cell r="AI1156" t="str">
            <v/>
          </cell>
          <cell r="AJ1156" t="str">
            <v>変</v>
          </cell>
        </row>
        <row r="1157">
          <cell r="B1157">
            <v>5528</v>
          </cell>
          <cell r="C1157">
            <v>55</v>
          </cell>
          <cell r="D1157">
            <v>28</v>
          </cell>
          <cell r="F1157" t="str">
            <v>長岡</v>
          </cell>
          <cell r="G1157" t="str">
            <v>自動ドアー保守</v>
          </cell>
          <cell r="H1157" t="str">
            <v>新潟ナブコ</v>
          </cell>
          <cell r="I1157">
            <v>12500</v>
          </cell>
          <cell r="J1157">
            <v>13350</v>
          </cell>
          <cell r="K1157">
            <v>2</v>
          </cell>
          <cell r="L1157">
            <v>0</v>
          </cell>
          <cell r="M1157">
            <v>13350</v>
          </cell>
          <cell r="N1157">
            <v>0</v>
          </cell>
          <cell r="O1157">
            <v>0</v>
          </cell>
          <cell r="P1157">
            <v>0</v>
          </cell>
          <cell r="Q1157">
            <v>0</v>
          </cell>
          <cell r="R1157">
            <v>0</v>
          </cell>
          <cell r="S1157">
            <v>13350</v>
          </cell>
          <cell r="T1157">
            <v>0</v>
          </cell>
          <cell r="U1157">
            <v>0</v>
          </cell>
          <cell r="V1157">
            <v>0</v>
          </cell>
          <cell r="W1157">
            <v>0</v>
          </cell>
          <cell r="X1157" t="str">
            <v/>
          </cell>
          <cell r="Y1157" t="str">
            <v>⑤</v>
          </cell>
          <cell r="Z1157" t="str">
            <v/>
          </cell>
          <cell r="AA1157" t="str">
            <v/>
          </cell>
          <cell r="AC1157" t="str">
            <v/>
          </cell>
          <cell r="AD1157" t="str">
            <v/>
          </cell>
          <cell r="AE1157" t="str">
            <v>⑪</v>
          </cell>
          <cell r="AG1157" t="str">
            <v/>
          </cell>
          <cell r="AH1157" t="str">
            <v/>
          </cell>
          <cell r="AI1157" t="str">
            <v/>
          </cell>
          <cell r="AJ1157" t="str">
            <v>変</v>
          </cell>
        </row>
        <row r="1158">
          <cell r="B1158">
            <v>5529</v>
          </cell>
          <cell r="C1158">
            <v>55</v>
          </cell>
          <cell r="D1158">
            <v>29</v>
          </cell>
          <cell r="F1158" t="str">
            <v>長岡</v>
          </cell>
          <cell r="G1158" t="str">
            <v>植栽管理</v>
          </cell>
          <cell r="H1158" t="str">
            <v>吉茂造園</v>
          </cell>
          <cell r="I1158">
            <v>20000</v>
          </cell>
          <cell r="J1158">
            <v>20940</v>
          </cell>
          <cell r="K1158">
            <v>2</v>
          </cell>
          <cell r="L1158">
            <v>0</v>
          </cell>
          <cell r="M1158">
            <v>0</v>
          </cell>
          <cell r="N1158">
            <v>0</v>
          </cell>
          <cell r="O1158">
            <v>20940</v>
          </cell>
          <cell r="P1158">
            <v>0</v>
          </cell>
          <cell r="Q1158">
            <v>20940</v>
          </cell>
          <cell r="R1158">
            <v>0</v>
          </cell>
          <cell r="S1158">
            <v>0</v>
          </cell>
          <cell r="T1158">
            <v>0</v>
          </cell>
          <cell r="U1158">
            <v>0</v>
          </cell>
          <cell r="V1158">
            <v>0</v>
          </cell>
          <cell r="W1158">
            <v>0</v>
          </cell>
          <cell r="X1158" t="str">
            <v/>
          </cell>
          <cell r="Y1158" t="str">
            <v/>
          </cell>
          <cell r="Z1158" t="str">
            <v/>
          </cell>
          <cell r="AA1158" t="str">
            <v>⑦</v>
          </cell>
          <cell r="AB1158" t="str">
            <v/>
          </cell>
          <cell r="AC1158" t="str">
            <v>⑨</v>
          </cell>
          <cell r="AD1158" t="str">
            <v/>
          </cell>
          <cell r="AE1158" t="str">
            <v/>
          </cell>
          <cell r="AF1158" t="str">
            <v/>
          </cell>
          <cell r="AG1158" t="str">
            <v/>
          </cell>
          <cell r="AH1158" t="str">
            <v/>
          </cell>
          <cell r="AI1158" t="str">
            <v/>
          </cell>
          <cell r="AJ1158" t="str">
            <v>変</v>
          </cell>
        </row>
        <row r="1159">
          <cell r="B1159">
            <v>5601</v>
          </cell>
          <cell r="C1159">
            <v>56</v>
          </cell>
          <cell r="D1159">
            <v>1</v>
          </cell>
          <cell r="F1159" t="str">
            <v>新潟</v>
          </cell>
          <cell r="G1159" t="str">
            <v>昇降機設備保守</v>
          </cell>
          <cell r="H1159" t="str">
            <v>三菱電機ﾋﾞﾙﾃｸﾉｻｰﾋﾞｽ</v>
          </cell>
          <cell r="I1159">
            <v>239200</v>
          </cell>
          <cell r="J1159">
            <v>243984</v>
          </cell>
          <cell r="K1159">
            <v>12</v>
          </cell>
          <cell r="L1159">
            <v>243984</v>
          </cell>
          <cell r="M1159">
            <v>243984</v>
          </cell>
          <cell r="N1159">
            <v>243984</v>
          </cell>
          <cell r="O1159">
            <v>243984</v>
          </cell>
          <cell r="P1159">
            <v>243984</v>
          </cell>
          <cell r="Q1159">
            <v>243984</v>
          </cell>
          <cell r="R1159">
            <v>243984</v>
          </cell>
          <cell r="S1159">
            <v>243984</v>
          </cell>
          <cell r="T1159">
            <v>243984</v>
          </cell>
          <cell r="U1159">
            <v>243984</v>
          </cell>
          <cell r="V1159">
            <v>243984</v>
          </cell>
          <cell r="W1159">
            <v>243984</v>
          </cell>
          <cell r="X1159" t="str">
            <v>④</v>
          </cell>
          <cell r="Y1159" t="str">
            <v>⑤</v>
          </cell>
          <cell r="Z1159" t="str">
            <v>⑥</v>
          </cell>
          <cell r="AA1159" t="str">
            <v>⑦</v>
          </cell>
          <cell r="AB1159" t="str">
            <v>⑧</v>
          </cell>
          <cell r="AC1159" t="str">
            <v>⑨</v>
          </cell>
          <cell r="AD1159" t="str">
            <v>⑩</v>
          </cell>
          <cell r="AE1159" t="str">
            <v>⑪</v>
          </cell>
          <cell r="AF1159" t="str">
            <v>⑫</v>
          </cell>
          <cell r="AG1159" t="str">
            <v>①</v>
          </cell>
          <cell r="AH1159" t="str">
            <v>②</v>
          </cell>
          <cell r="AI1159" t="str">
            <v>③</v>
          </cell>
        </row>
        <row r="1160">
          <cell r="B1160">
            <v>5602</v>
          </cell>
          <cell r="C1160">
            <v>56</v>
          </cell>
          <cell r="D1160">
            <v>2</v>
          </cell>
          <cell r="F1160" t="str">
            <v>新潟</v>
          </cell>
          <cell r="G1160" t="str">
            <v>消火器(外観)</v>
          </cell>
          <cell r="H1160" t="str">
            <v>ホーチキ</v>
          </cell>
          <cell r="I1160">
            <v>44000</v>
          </cell>
          <cell r="J1160">
            <v>44880</v>
          </cell>
          <cell r="K1160">
            <v>2</v>
          </cell>
          <cell r="L1160">
            <v>0</v>
          </cell>
          <cell r="M1160">
            <v>0</v>
          </cell>
          <cell r="N1160">
            <v>0</v>
          </cell>
          <cell r="O1160">
            <v>44880</v>
          </cell>
          <cell r="P1160">
            <v>0</v>
          </cell>
          <cell r="Q1160">
            <v>0</v>
          </cell>
          <cell r="R1160">
            <v>0</v>
          </cell>
          <cell r="S1160">
            <v>0</v>
          </cell>
          <cell r="T1160">
            <v>0</v>
          </cell>
          <cell r="U1160">
            <v>44880</v>
          </cell>
          <cell r="V1160">
            <v>0</v>
          </cell>
          <cell r="W1160">
            <v>0</v>
          </cell>
          <cell r="X1160" t="str">
            <v/>
          </cell>
          <cell r="Y1160" t="str">
            <v/>
          </cell>
          <cell r="Z1160" t="str">
            <v/>
          </cell>
          <cell r="AA1160" t="str">
            <v>⑦</v>
          </cell>
          <cell r="AB1160" t="str">
            <v/>
          </cell>
          <cell r="AC1160" t="str">
            <v/>
          </cell>
          <cell r="AD1160" t="str">
            <v/>
          </cell>
          <cell r="AE1160" t="str">
            <v/>
          </cell>
          <cell r="AF1160" t="str">
            <v/>
          </cell>
          <cell r="AG1160" t="str">
            <v>①</v>
          </cell>
          <cell r="AH1160" t="str">
            <v/>
          </cell>
          <cell r="AI1160" t="str">
            <v/>
          </cell>
        </row>
        <row r="1161">
          <cell r="B1161">
            <v>5603</v>
          </cell>
          <cell r="C1161">
            <v>56</v>
          </cell>
          <cell r="D1161">
            <v>3</v>
          </cell>
          <cell r="F1161" t="str">
            <v>新潟</v>
          </cell>
          <cell r="G1161" t="str">
            <v>屋内消火栓(外観)</v>
          </cell>
          <cell r="H1161" t="str">
            <v>ホーチキ</v>
          </cell>
          <cell r="I1161">
            <v>40000</v>
          </cell>
          <cell r="J1161">
            <v>40800</v>
          </cell>
          <cell r="K1161">
            <v>1</v>
          </cell>
          <cell r="L1161">
            <v>0</v>
          </cell>
          <cell r="M1161">
            <v>0</v>
          </cell>
          <cell r="N1161">
            <v>0</v>
          </cell>
          <cell r="O1161">
            <v>0</v>
          </cell>
          <cell r="P1161">
            <v>0</v>
          </cell>
          <cell r="Q1161">
            <v>0</v>
          </cell>
          <cell r="R1161">
            <v>0</v>
          </cell>
          <cell r="S1161">
            <v>0</v>
          </cell>
          <cell r="T1161">
            <v>0</v>
          </cell>
          <cell r="U1161">
            <v>40800</v>
          </cell>
          <cell r="V1161">
            <v>0</v>
          </cell>
          <cell r="W1161">
            <v>0</v>
          </cell>
          <cell r="X1161" t="str">
            <v/>
          </cell>
          <cell r="Y1161" t="str">
            <v/>
          </cell>
          <cell r="Z1161" t="str">
            <v/>
          </cell>
          <cell r="AA1161" t="str">
            <v/>
          </cell>
          <cell r="AB1161" t="str">
            <v/>
          </cell>
          <cell r="AC1161" t="str">
            <v/>
          </cell>
          <cell r="AD1161" t="str">
            <v/>
          </cell>
          <cell r="AE1161" t="str">
            <v/>
          </cell>
          <cell r="AF1161" t="str">
            <v/>
          </cell>
          <cell r="AG1161" t="str">
            <v>①</v>
          </cell>
          <cell r="AH1161" t="str">
            <v/>
          </cell>
          <cell r="AI1161" t="str">
            <v/>
          </cell>
        </row>
        <row r="1162">
          <cell r="B1162">
            <v>5604</v>
          </cell>
          <cell r="C1162">
            <v>56</v>
          </cell>
          <cell r="D1162">
            <v>4</v>
          </cell>
          <cell r="F1162" t="str">
            <v>新潟</v>
          </cell>
          <cell r="G1162" t="str">
            <v>屋内消火栓(総合)</v>
          </cell>
          <cell r="H1162" t="str">
            <v>ホーチキ</v>
          </cell>
          <cell r="I1162">
            <v>58000</v>
          </cell>
          <cell r="J1162">
            <v>59160</v>
          </cell>
          <cell r="K1162">
            <v>1</v>
          </cell>
          <cell r="L1162">
            <v>0</v>
          </cell>
          <cell r="M1162">
            <v>0</v>
          </cell>
          <cell r="N1162">
            <v>0</v>
          </cell>
          <cell r="O1162">
            <v>59160</v>
          </cell>
          <cell r="P1162">
            <v>0</v>
          </cell>
          <cell r="Q1162">
            <v>0</v>
          </cell>
          <cell r="R1162">
            <v>0</v>
          </cell>
          <cell r="S1162">
            <v>0</v>
          </cell>
          <cell r="T1162">
            <v>0</v>
          </cell>
          <cell r="U1162">
            <v>0</v>
          </cell>
          <cell r="V1162">
            <v>0</v>
          </cell>
          <cell r="W1162">
            <v>0</v>
          </cell>
          <cell r="X1162" t="str">
            <v/>
          </cell>
          <cell r="Y1162" t="str">
            <v/>
          </cell>
          <cell r="Z1162" t="str">
            <v/>
          </cell>
          <cell r="AA1162" t="str">
            <v>⑦</v>
          </cell>
          <cell r="AB1162" t="str">
            <v/>
          </cell>
          <cell r="AC1162" t="str">
            <v/>
          </cell>
          <cell r="AD1162" t="str">
            <v/>
          </cell>
          <cell r="AE1162" t="str">
            <v/>
          </cell>
          <cell r="AF1162" t="str">
            <v/>
          </cell>
          <cell r="AG1162" t="str">
            <v/>
          </cell>
          <cell r="AH1162" t="str">
            <v/>
          </cell>
          <cell r="AI1162" t="str">
            <v/>
          </cell>
        </row>
        <row r="1163">
          <cell r="B1163">
            <v>5605</v>
          </cell>
          <cell r="C1163">
            <v>56</v>
          </cell>
          <cell r="D1163">
            <v>5</v>
          </cell>
          <cell r="F1163" t="str">
            <v>新潟</v>
          </cell>
          <cell r="G1163" t="str">
            <v>非常放送(外観)</v>
          </cell>
          <cell r="H1163" t="str">
            <v>ホーチキ</v>
          </cell>
          <cell r="I1163">
            <v>46000</v>
          </cell>
          <cell r="J1163">
            <v>46920</v>
          </cell>
          <cell r="K1163">
            <v>1</v>
          </cell>
          <cell r="L1163">
            <v>0</v>
          </cell>
          <cell r="M1163">
            <v>0</v>
          </cell>
          <cell r="N1163">
            <v>0</v>
          </cell>
          <cell r="O1163">
            <v>0</v>
          </cell>
          <cell r="P1163">
            <v>0</v>
          </cell>
          <cell r="Q1163">
            <v>0</v>
          </cell>
          <cell r="R1163">
            <v>0</v>
          </cell>
          <cell r="S1163">
            <v>0</v>
          </cell>
          <cell r="T1163">
            <v>0</v>
          </cell>
          <cell r="U1163">
            <v>46920</v>
          </cell>
          <cell r="V1163">
            <v>0</v>
          </cell>
          <cell r="W1163">
            <v>0</v>
          </cell>
          <cell r="X1163" t="str">
            <v/>
          </cell>
          <cell r="Y1163" t="str">
            <v/>
          </cell>
          <cell r="Z1163" t="str">
            <v/>
          </cell>
          <cell r="AA1163" t="str">
            <v/>
          </cell>
          <cell r="AB1163" t="str">
            <v/>
          </cell>
          <cell r="AC1163" t="str">
            <v/>
          </cell>
          <cell r="AD1163" t="str">
            <v/>
          </cell>
          <cell r="AE1163" t="str">
            <v/>
          </cell>
          <cell r="AF1163" t="str">
            <v/>
          </cell>
          <cell r="AG1163" t="str">
            <v>①</v>
          </cell>
          <cell r="AH1163" t="str">
            <v/>
          </cell>
          <cell r="AI1163" t="str">
            <v/>
          </cell>
        </row>
        <row r="1164">
          <cell r="B1164">
            <v>5606</v>
          </cell>
          <cell r="C1164">
            <v>56</v>
          </cell>
          <cell r="D1164">
            <v>6</v>
          </cell>
          <cell r="F1164" t="str">
            <v>新潟</v>
          </cell>
          <cell r="G1164" t="str">
            <v>非常放送(総合)</v>
          </cell>
          <cell r="H1164" t="str">
            <v>ホーチキ</v>
          </cell>
          <cell r="I1164">
            <v>96000</v>
          </cell>
          <cell r="J1164">
            <v>97920</v>
          </cell>
          <cell r="K1164">
            <v>1</v>
          </cell>
          <cell r="L1164">
            <v>0</v>
          </cell>
          <cell r="M1164">
            <v>0</v>
          </cell>
          <cell r="N1164">
            <v>0</v>
          </cell>
          <cell r="O1164">
            <v>97920</v>
          </cell>
          <cell r="P1164">
            <v>0</v>
          </cell>
          <cell r="Q1164">
            <v>0</v>
          </cell>
          <cell r="R1164">
            <v>0</v>
          </cell>
          <cell r="S1164">
            <v>0</v>
          </cell>
          <cell r="T1164">
            <v>0</v>
          </cell>
          <cell r="U1164">
            <v>0</v>
          </cell>
          <cell r="V1164">
            <v>0</v>
          </cell>
          <cell r="W1164">
            <v>0</v>
          </cell>
          <cell r="X1164" t="str">
            <v/>
          </cell>
          <cell r="Y1164" t="str">
            <v/>
          </cell>
          <cell r="Z1164" t="str">
            <v/>
          </cell>
          <cell r="AA1164" t="str">
            <v>⑦</v>
          </cell>
          <cell r="AB1164" t="str">
            <v/>
          </cell>
          <cell r="AC1164" t="str">
            <v/>
          </cell>
          <cell r="AD1164" t="str">
            <v/>
          </cell>
          <cell r="AE1164" t="str">
            <v/>
          </cell>
          <cell r="AF1164" t="str">
            <v/>
          </cell>
          <cell r="AG1164" t="str">
            <v/>
          </cell>
          <cell r="AH1164" t="str">
            <v/>
          </cell>
          <cell r="AI1164" t="str">
            <v/>
          </cell>
        </row>
        <row r="1165">
          <cell r="B1165">
            <v>5607</v>
          </cell>
          <cell r="C1165">
            <v>56</v>
          </cell>
          <cell r="D1165">
            <v>7</v>
          </cell>
          <cell r="F1165" t="str">
            <v>新潟</v>
          </cell>
          <cell r="G1165" t="str">
            <v>誘導灯(外観)</v>
          </cell>
          <cell r="H1165" t="str">
            <v>ホーチキ</v>
          </cell>
          <cell r="I1165">
            <v>49000</v>
          </cell>
          <cell r="J1165">
            <v>49980</v>
          </cell>
          <cell r="K1165">
            <v>1</v>
          </cell>
          <cell r="L1165">
            <v>0</v>
          </cell>
          <cell r="M1165">
            <v>0</v>
          </cell>
          <cell r="N1165">
            <v>0</v>
          </cell>
          <cell r="O1165">
            <v>0</v>
          </cell>
          <cell r="P1165">
            <v>0</v>
          </cell>
          <cell r="Q1165">
            <v>0</v>
          </cell>
          <cell r="R1165">
            <v>0</v>
          </cell>
          <cell r="S1165">
            <v>0</v>
          </cell>
          <cell r="T1165">
            <v>0</v>
          </cell>
          <cell r="U1165">
            <v>49980</v>
          </cell>
          <cell r="V1165">
            <v>0</v>
          </cell>
          <cell r="W1165">
            <v>0</v>
          </cell>
          <cell r="X1165" t="str">
            <v/>
          </cell>
          <cell r="Y1165" t="str">
            <v/>
          </cell>
          <cell r="Z1165" t="str">
            <v/>
          </cell>
          <cell r="AA1165" t="str">
            <v/>
          </cell>
          <cell r="AB1165" t="str">
            <v/>
          </cell>
          <cell r="AC1165" t="str">
            <v/>
          </cell>
          <cell r="AD1165" t="str">
            <v/>
          </cell>
          <cell r="AE1165" t="str">
            <v/>
          </cell>
          <cell r="AF1165" t="str">
            <v/>
          </cell>
          <cell r="AG1165" t="str">
            <v>①</v>
          </cell>
          <cell r="AH1165" t="str">
            <v/>
          </cell>
          <cell r="AI1165" t="str">
            <v/>
          </cell>
        </row>
        <row r="1166">
          <cell r="B1166">
            <v>5608</v>
          </cell>
          <cell r="C1166">
            <v>56</v>
          </cell>
          <cell r="D1166">
            <v>8</v>
          </cell>
          <cell r="F1166" t="str">
            <v>新潟</v>
          </cell>
          <cell r="G1166" t="str">
            <v>誘導灯(総合)</v>
          </cell>
          <cell r="H1166" t="str">
            <v>ホーチキ</v>
          </cell>
          <cell r="I1166">
            <v>51000</v>
          </cell>
          <cell r="J1166">
            <v>52020</v>
          </cell>
          <cell r="K1166">
            <v>1</v>
          </cell>
          <cell r="L1166">
            <v>0</v>
          </cell>
          <cell r="M1166">
            <v>0</v>
          </cell>
          <cell r="N1166">
            <v>0</v>
          </cell>
          <cell r="O1166">
            <v>52020</v>
          </cell>
          <cell r="P1166">
            <v>0</v>
          </cell>
          <cell r="Q1166">
            <v>0</v>
          </cell>
          <cell r="R1166">
            <v>0</v>
          </cell>
          <cell r="S1166">
            <v>0</v>
          </cell>
          <cell r="T1166">
            <v>0</v>
          </cell>
          <cell r="U1166">
            <v>0</v>
          </cell>
          <cell r="V1166">
            <v>0</v>
          </cell>
          <cell r="W1166">
            <v>0</v>
          </cell>
          <cell r="X1166" t="str">
            <v/>
          </cell>
          <cell r="Y1166" t="str">
            <v/>
          </cell>
          <cell r="Z1166" t="str">
            <v/>
          </cell>
          <cell r="AA1166" t="str">
            <v>⑦</v>
          </cell>
          <cell r="AB1166" t="str">
            <v/>
          </cell>
          <cell r="AC1166" t="str">
            <v/>
          </cell>
          <cell r="AD1166" t="str">
            <v/>
          </cell>
          <cell r="AE1166" t="str">
            <v/>
          </cell>
          <cell r="AF1166" t="str">
            <v/>
          </cell>
          <cell r="AG1166" t="str">
            <v/>
          </cell>
          <cell r="AH1166" t="str">
            <v/>
          </cell>
          <cell r="AI1166" t="str">
            <v/>
          </cell>
        </row>
        <row r="1167">
          <cell r="B1167">
            <v>5609</v>
          </cell>
          <cell r="C1167">
            <v>56</v>
          </cell>
          <cell r="D1167">
            <v>9</v>
          </cell>
          <cell r="F1167" t="str">
            <v>新潟</v>
          </cell>
          <cell r="G1167" t="str">
            <v>Ｐ型防排煙制御(外観)</v>
          </cell>
          <cell r="H1167" t="str">
            <v>ホーチキ</v>
          </cell>
          <cell r="I1167">
            <v>85000</v>
          </cell>
          <cell r="J1167">
            <v>86700</v>
          </cell>
          <cell r="K1167">
            <v>1</v>
          </cell>
          <cell r="L1167">
            <v>0</v>
          </cell>
          <cell r="M1167">
            <v>0</v>
          </cell>
          <cell r="N1167">
            <v>0</v>
          </cell>
          <cell r="O1167">
            <v>0</v>
          </cell>
          <cell r="P1167">
            <v>0</v>
          </cell>
          <cell r="Q1167">
            <v>0</v>
          </cell>
          <cell r="R1167">
            <v>0</v>
          </cell>
          <cell r="S1167">
            <v>0</v>
          </cell>
          <cell r="T1167">
            <v>0</v>
          </cell>
          <cell r="U1167">
            <v>86700</v>
          </cell>
          <cell r="V1167">
            <v>0</v>
          </cell>
          <cell r="W1167">
            <v>0</v>
          </cell>
          <cell r="X1167" t="str">
            <v/>
          </cell>
          <cell r="Y1167" t="str">
            <v/>
          </cell>
          <cell r="Z1167" t="str">
            <v/>
          </cell>
          <cell r="AA1167" t="str">
            <v/>
          </cell>
          <cell r="AB1167" t="str">
            <v/>
          </cell>
          <cell r="AC1167" t="str">
            <v/>
          </cell>
          <cell r="AD1167" t="str">
            <v/>
          </cell>
          <cell r="AE1167" t="str">
            <v/>
          </cell>
          <cell r="AF1167" t="str">
            <v/>
          </cell>
          <cell r="AG1167" t="str">
            <v>①</v>
          </cell>
          <cell r="AH1167" t="str">
            <v/>
          </cell>
          <cell r="AI1167" t="str">
            <v/>
          </cell>
        </row>
        <row r="1168">
          <cell r="B1168">
            <v>5610</v>
          </cell>
          <cell r="C1168">
            <v>56</v>
          </cell>
          <cell r="D1168">
            <v>10</v>
          </cell>
          <cell r="F1168" t="str">
            <v>新潟</v>
          </cell>
          <cell r="G1168" t="str">
            <v>Ｐ型防排煙制御(総合)</v>
          </cell>
          <cell r="H1168" t="str">
            <v>ホーチキ</v>
          </cell>
          <cell r="I1168">
            <v>97000</v>
          </cell>
          <cell r="J1168">
            <v>98940</v>
          </cell>
          <cell r="K1168">
            <v>1</v>
          </cell>
          <cell r="L1168">
            <v>0</v>
          </cell>
          <cell r="M1168">
            <v>0</v>
          </cell>
          <cell r="N1168">
            <v>0</v>
          </cell>
          <cell r="O1168">
            <v>98940</v>
          </cell>
          <cell r="P1168">
            <v>0</v>
          </cell>
          <cell r="Q1168">
            <v>0</v>
          </cell>
          <cell r="R1168">
            <v>0</v>
          </cell>
          <cell r="S1168">
            <v>0</v>
          </cell>
          <cell r="T1168">
            <v>0</v>
          </cell>
          <cell r="U1168">
            <v>0</v>
          </cell>
          <cell r="V1168">
            <v>0</v>
          </cell>
          <cell r="W1168">
            <v>0</v>
          </cell>
          <cell r="X1168" t="str">
            <v/>
          </cell>
          <cell r="Y1168" t="str">
            <v/>
          </cell>
          <cell r="Z1168" t="str">
            <v/>
          </cell>
          <cell r="AA1168" t="str">
            <v>⑦</v>
          </cell>
          <cell r="AB1168" t="str">
            <v/>
          </cell>
          <cell r="AC1168" t="str">
            <v/>
          </cell>
          <cell r="AD1168" t="str">
            <v/>
          </cell>
          <cell r="AE1168" t="str">
            <v/>
          </cell>
          <cell r="AF1168" t="str">
            <v/>
          </cell>
          <cell r="AG1168" t="str">
            <v/>
          </cell>
          <cell r="AH1168" t="str">
            <v/>
          </cell>
          <cell r="AI1168" t="str">
            <v/>
          </cell>
        </row>
        <row r="1169">
          <cell r="B1169">
            <v>5611</v>
          </cell>
          <cell r="C1169">
            <v>56</v>
          </cell>
          <cell r="D1169">
            <v>11</v>
          </cell>
          <cell r="F1169" t="str">
            <v>新潟</v>
          </cell>
          <cell r="G1169" t="str">
            <v>連結散水(外観)</v>
          </cell>
          <cell r="H1169" t="str">
            <v>ホーチキ</v>
          </cell>
          <cell r="I1169">
            <v>19000</v>
          </cell>
          <cell r="J1169">
            <v>19380</v>
          </cell>
          <cell r="K1169">
            <v>1</v>
          </cell>
          <cell r="L1169">
            <v>0</v>
          </cell>
          <cell r="M1169">
            <v>0</v>
          </cell>
          <cell r="N1169">
            <v>0</v>
          </cell>
          <cell r="O1169">
            <v>0</v>
          </cell>
          <cell r="P1169">
            <v>0</v>
          </cell>
          <cell r="Q1169">
            <v>0</v>
          </cell>
          <cell r="R1169">
            <v>0</v>
          </cell>
          <cell r="S1169">
            <v>0</v>
          </cell>
          <cell r="T1169">
            <v>0</v>
          </cell>
          <cell r="U1169">
            <v>19380</v>
          </cell>
          <cell r="V1169">
            <v>0</v>
          </cell>
          <cell r="W1169">
            <v>0</v>
          </cell>
          <cell r="X1169" t="str">
            <v/>
          </cell>
          <cell r="Y1169" t="str">
            <v/>
          </cell>
          <cell r="Z1169" t="str">
            <v/>
          </cell>
          <cell r="AA1169" t="str">
            <v/>
          </cell>
          <cell r="AB1169" t="str">
            <v/>
          </cell>
          <cell r="AC1169" t="str">
            <v/>
          </cell>
          <cell r="AD1169" t="str">
            <v/>
          </cell>
          <cell r="AE1169" t="str">
            <v/>
          </cell>
          <cell r="AF1169" t="str">
            <v/>
          </cell>
          <cell r="AG1169" t="str">
            <v>①</v>
          </cell>
          <cell r="AH1169" t="str">
            <v/>
          </cell>
          <cell r="AI1169" t="str">
            <v/>
          </cell>
        </row>
        <row r="1170">
          <cell r="B1170">
            <v>5612</v>
          </cell>
          <cell r="C1170">
            <v>56</v>
          </cell>
          <cell r="D1170">
            <v>12</v>
          </cell>
          <cell r="F1170" t="str">
            <v>新潟</v>
          </cell>
          <cell r="G1170" t="str">
            <v>連結散水(総合)</v>
          </cell>
          <cell r="H1170" t="str">
            <v>ホーチキ</v>
          </cell>
          <cell r="I1170">
            <v>19000</v>
          </cell>
          <cell r="J1170">
            <v>19380</v>
          </cell>
          <cell r="K1170">
            <v>1</v>
          </cell>
          <cell r="L1170">
            <v>0</v>
          </cell>
          <cell r="M1170">
            <v>0</v>
          </cell>
          <cell r="N1170">
            <v>0</v>
          </cell>
          <cell r="O1170">
            <v>19380</v>
          </cell>
          <cell r="P1170">
            <v>0</v>
          </cell>
          <cell r="Q1170">
            <v>0</v>
          </cell>
          <cell r="R1170">
            <v>0</v>
          </cell>
          <cell r="S1170">
            <v>0</v>
          </cell>
          <cell r="T1170">
            <v>0</v>
          </cell>
          <cell r="U1170">
            <v>0</v>
          </cell>
          <cell r="V1170">
            <v>0</v>
          </cell>
          <cell r="W1170">
            <v>0</v>
          </cell>
          <cell r="X1170" t="str">
            <v/>
          </cell>
          <cell r="Y1170" t="str">
            <v/>
          </cell>
          <cell r="Z1170" t="str">
            <v/>
          </cell>
          <cell r="AA1170" t="str">
            <v>⑦</v>
          </cell>
          <cell r="AB1170" t="str">
            <v/>
          </cell>
          <cell r="AC1170" t="str">
            <v/>
          </cell>
          <cell r="AD1170" t="str">
            <v/>
          </cell>
          <cell r="AE1170" t="str">
            <v/>
          </cell>
          <cell r="AF1170" t="str">
            <v/>
          </cell>
          <cell r="AG1170" t="str">
            <v/>
          </cell>
          <cell r="AH1170" t="str">
            <v/>
          </cell>
          <cell r="AI1170" t="str">
            <v/>
          </cell>
        </row>
        <row r="1171">
          <cell r="B1171">
            <v>5613</v>
          </cell>
          <cell r="C1171">
            <v>56</v>
          </cell>
          <cell r="D1171">
            <v>13</v>
          </cell>
          <cell r="F1171" t="str">
            <v>新潟</v>
          </cell>
          <cell r="G1171" t="str">
            <v>連結送水管(外観)</v>
          </cell>
          <cell r="H1171" t="str">
            <v>ホーチキ</v>
          </cell>
          <cell r="I1171">
            <v>14000</v>
          </cell>
          <cell r="J1171">
            <v>14280</v>
          </cell>
          <cell r="K1171">
            <v>1</v>
          </cell>
          <cell r="L1171">
            <v>0</v>
          </cell>
          <cell r="M1171">
            <v>0</v>
          </cell>
          <cell r="N1171">
            <v>0</v>
          </cell>
          <cell r="O1171">
            <v>0</v>
          </cell>
          <cell r="P1171">
            <v>0</v>
          </cell>
          <cell r="Q1171">
            <v>0</v>
          </cell>
          <cell r="R1171">
            <v>0</v>
          </cell>
          <cell r="S1171">
            <v>0</v>
          </cell>
          <cell r="T1171">
            <v>0</v>
          </cell>
          <cell r="U1171">
            <v>14280</v>
          </cell>
          <cell r="V1171">
            <v>0</v>
          </cell>
          <cell r="W1171">
            <v>0</v>
          </cell>
          <cell r="X1171" t="str">
            <v/>
          </cell>
          <cell r="Y1171" t="str">
            <v/>
          </cell>
          <cell r="Z1171" t="str">
            <v/>
          </cell>
          <cell r="AA1171" t="str">
            <v/>
          </cell>
          <cell r="AB1171" t="str">
            <v/>
          </cell>
          <cell r="AC1171" t="str">
            <v/>
          </cell>
          <cell r="AD1171" t="str">
            <v/>
          </cell>
          <cell r="AE1171" t="str">
            <v/>
          </cell>
          <cell r="AF1171" t="str">
            <v/>
          </cell>
          <cell r="AG1171" t="str">
            <v>①</v>
          </cell>
          <cell r="AH1171" t="str">
            <v/>
          </cell>
          <cell r="AI1171" t="str">
            <v/>
          </cell>
        </row>
        <row r="1172">
          <cell r="B1172">
            <v>5614</v>
          </cell>
          <cell r="C1172">
            <v>56</v>
          </cell>
          <cell r="D1172">
            <v>14</v>
          </cell>
          <cell r="F1172" t="str">
            <v>新潟</v>
          </cell>
          <cell r="G1172" t="str">
            <v>連結送水管(総合)</v>
          </cell>
          <cell r="H1172" t="str">
            <v>ホーチキ</v>
          </cell>
          <cell r="I1172">
            <v>14000</v>
          </cell>
          <cell r="J1172">
            <v>14280</v>
          </cell>
          <cell r="K1172">
            <v>1</v>
          </cell>
          <cell r="L1172">
            <v>0</v>
          </cell>
          <cell r="M1172">
            <v>0</v>
          </cell>
          <cell r="N1172">
            <v>0</v>
          </cell>
          <cell r="O1172">
            <v>14280</v>
          </cell>
          <cell r="P1172">
            <v>0</v>
          </cell>
          <cell r="Q1172">
            <v>0</v>
          </cell>
          <cell r="R1172">
            <v>0</v>
          </cell>
          <cell r="S1172">
            <v>0</v>
          </cell>
          <cell r="T1172">
            <v>0</v>
          </cell>
          <cell r="U1172">
            <v>0</v>
          </cell>
          <cell r="V1172">
            <v>0</v>
          </cell>
          <cell r="W1172">
            <v>0</v>
          </cell>
          <cell r="X1172" t="str">
            <v/>
          </cell>
          <cell r="Y1172" t="str">
            <v/>
          </cell>
          <cell r="Z1172" t="str">
            <v/>
          </cell>
          <cell r="AA1172" t="str">
            <v>⑦</v>
          </cell>
          <cell r="AB1172" t="str">
            <v/>
          </cell>
          <cell r="AC1172" t="str">
            <v/>
          </cell>
          <cell r="AD1172" t="str">
            <v/>
          </cell>
          <cell r="AE1172" t="str">
            <v/>
          </cell>
          <cell r="AF1172" t="str">
            <v/>
          </cell>
          <cell r="AG1172" t="str">
            <v/>
          </cell>
          <cell r="AH1172" t="str">
            <v/>
          </cell>
          <cell r="AI1172" t="str">
            <v/>
          </cell>
        </row>
        <row r="1173">
          <cell r="B1173">
            <v>5615</v>
          </cell>
          <cell r="C1173">
            <v>56</v>
          </cell>
          <cell r="D1173">
            <v>15</v>
          </cell>
          <cell r="F1173" t="str">
            <v>新潟</v>
          </cell>
          <cell r="G1173" t="str">
            <v>蓄電池(外観)</v>
          </cell>
          <cell r="H1173" t="str">
            <v>ホーチキ</v>
          </cell>
          <cell r="I1173">
            <v>27000</v>
          </cell>
          <cell r="J1173">
            <v>27540</v>
          </cell>
          <cell r="K1173">
            <v>1</v>
          </cell>
          <cell r="L1173">
            <v>0</v>
          </cell>
          <cell r="M1173">
            <v>0</v>
          </cell>
          <cell r="N1173">
            <v>0</v>
          </cell>
          <cell r="O1173">
            <v>0</v>
          </cell>
          <cell r="P1173">
            <v>0</v>
          </cell>
          <cell r="Q1173">
            <v>0</v>
          </cell>
          <cell r="R1173">
            <v>0</v>
          </cell>
          <cell r="S1173">
            <v>0</v>
          </cell>
          <cell r="T1173">
            <v>0</v>
          </cell>
          <cell r="U1173">
            <v>27540</v>
          </cell>
          <cell r="V1173">
            <v>0</v>
          </cell>
          <cell r="W1173">
            <v>0</v>
          </cell>
          <cell r="X1173" t="str">
            <v/>
          </cell>
          <cell r="Y1173" t="str">
            <v/>
          </cell>
          <cell r="Z1173" t="str">
            <v/>
          </cell>
          <cell r="AA1173" t="str">
            <v/>
          </cell>
          <cell r="AB1173" t="str">
            <v/>
          </cell>
          <cell r="AC1173" t="str">
            <v/>
          </cell>
          <cell r="AD1173" t="str">
            <v/>
          </cell>
          <cell r="AE1173" t="str">
            <v/>
          </cell>
          <cell r="AF1173" t="str">
            <v/>
          </cell>
          <cell r="AG1173" t="str">
            <v>①</v>
          </cell>
          <cell r="AH1173" t="str">
            <v/>
          </cell>
          <cell r="AI1173" t="str">
            <v/>
          </cell>
        </row>
        <row r="1174">
          <cell r="B1174">
            <v>5616</v>
          </cell>
          <cell r="C1174">
            <v>56</v>
          </cell>
          <cell r="D1174">
            <v>16</v>
          </cell>
          <cell r="F1174" t="str">
            <v>新潟</v>
          </cell>
          <cell r="G1174" t="str">
            <v>蓄電池(総合)</v>
          </cell>
          <cell r="H1174" t="str">
            <v>ホーチキ</v>
          </cell>
          <cell r="I1174">
            <v>32000</v>
          </cell>
          <cell r="J1174">
            <v>32640</v>
          </cell>
          <cell r="K1174">
            <v>1</v>
          </cell>
          <cell r="L1174">
            <v>0</v>
          </cell>
          <cell r="M1174">
            <v>0</v>
          </cell>
          <cell r="N1174">
            <v>0</v>
          </cell>
          <cell r="O1174">
            <v>32640</v>
          </cell>
          <cell r="P1174">
            <v>0</v>
          </cell>
          <cell r="Q1174">
            <v>0</v>
          </cell>
          <cell r="R1174">
            <v>0</v>
          </cell>
          <cell r="S1174">
            <v>0</v>
          </cell>
          <cell r="T1174">
            <v>0</v>
          </cell>
          <cell r="U1174">
            <v>0</v>
          </cell>
          <cell r="V1174">
            <v>0</v>
          </cell>
          <cell r="W1174">
            <v>0</v>
          </cell>
          <cell r="X1174" t="str">
            <v/>
          </cell>
          <cell r="Y1174" t="str">
            <v/>
          </cell>
          <cell r="Z1174" t="str">
            <v/>
          </cell>
          <cell r="AA1174" t="str">
            <v>⑦</v>
          </cell>
          <cell r="AB1174" t="str">
            <v/>
          </cell>
          <cell r="AC1174" t="str">
            <v/>
          </cell>
          <cell r="AD1174" t="str">
            <v/>
          </cell>
          <cell r="AE1174" t="str">
            <v/>
          </cell>
          <cell r="AF1174" t="str">
            <v/>
          </cell>
          <cell r="AG1174" t="str">
            <v/>
          </cell>
          <cell r="AH1174" t="str">
            <v/>
          </cell>
          <cell r="AI1174" t="str">
            <v/>
          </cell>
        </row>
        <row r="1175">
          <cell r="B1175">
            <v>5617</v>
          </cell>
          <cell r="C1175">
            <v>56</v>
          </cell>
          <cell r="D1175">
            <v>17</v>
          </cell>
          <cell r="F1175" t="str">
            <v>新潟</v>
          </cell>
          <cell r="G1175" t="str">
            <v>Ｐ型自火報(外観)</v>
          </cell>
          <cell r="H1175" t="str">
            <v>ホーチキ</v>
          </cell>
          <cell r="I1175">
            <v>87000</v>
          </cell>
          <cell r="J1175">
            <v>88740</v>
          </cell>
          <cell r="K1175">
            <v>1</v>
          </cell>
          <cell r="L1175">
            <v>0</v>
          </cell>
          <cell r="M1175">
            <v>0</v>
          </cell>
          <cell r="N1175">
            <v>0</v>
          </cell>
          <cell r="O1175">
            <v>0</v>
          </cell>
          <cell r="P1175">
            <v>0</v>
          </cell>
          <cell r="Q1175">
            <v>0</v>
          </cell>
          <cell r="R1175">
            <v>0</v>
          </cell>
          <cell r="S1175">
            <v>0</v>
          </cell>
          <cell r="T1175">
            <v>0</v>
          </cell>
          <cell r="U1175">
            <v>88740</v>
          </cell>
          <cell r="V1175">
            <v>0</v>
          </cell>
          <cell r="W1175">
            <v>0</v>
          </cell>
          <cell r="X1175" t="str">
            <v/>
          </cell>
          <cell r="Y1175" t="str">
            <v/>
          </cell>
          <cell r="Z1175" t="str">
            <v/>
          </cell>
          <cell r="AA1175" t="str">
            <v/>
          </cell>
          <cell r="AB1175" t="str">
            <v/>
          </cell>
          <cell r="AC1175" t="str">
            <v/>
          </cell>
          <cell r="AD1175" t="str">
            <v/>
          </cell>
          <cell r="AE1175" t="str">
            <v/>
          </cell>
          <cell r="AF1175" t="str">
            <v/>
          </cell>
          <cell r="AG1175" t="str">
            <v>①</v>
          </cell>
          <cell r="AH1175" t="str">
            <v/>
          </cell>
          <cell r="AI1175" t="str">
            <v/>
          </cell>
        </row>
        <row r="1176">
          <cell r="B1176">
            <v>5618</v>
          </cell>
          <cell r="C1176">
            <v>56</v>
          </cell>
          <cell r="D1176">
            <v>18</v>
          </cell>
          <cell r="F1176" t="str">
            <v>新潟</v>
          </cell>
          <cell r="G1176" t="str">
            <v>Ｐ型自火報(総合)</v>
          </cell>
          <cell r="H1176" t="str">
            <v>ホーチキ</v>
          </cell>
          <cell r="I1176">
            <v>231000</v>
          </cell>
          <cell r="J1176">
            <v>235620</v>
          </cell>
          <cell r="K1176">
            <v>1</v>
          </cell>
          <cell r="L1176">
            <v>0</v>
          </cell>
          <cell r="M1176">
            <v>0</v>
          </cell>
          <cell r="N1176">
            <v>0</v>
          </cell>
          <cell r="O1176">
            <v>235620</v>
          </cell>
          <cell r="P1176">
            <v>0</v>
          </cell>
          <cell r="Q1176">
            <v>0</v>
          </cell>
          <cell r="R1176">
            <v>0</v>
          </cell>
          <cell r="S1176">
            <v>0</v>
          </cell>
          <cell r="T1176">
            <v>0</v>
          </cell>
          <cell r="U1176">
            <v>0</v>
          </cell>
          <cell r="V1176">
            <v>0</v>
          </cell>
          <cell r="W1176">
            <v>0</v>
          </cell>
          <cell r="X1176" t="str">
            <v/>
          </cell>
          <cell r="Y1176" t="str">
            <v/>
          </cell>
          <cell r="Z1176" t="str">
            <v/>
          </cell>
          <cell r="AA1176" t="str">
            <v>⑦</v>
          </cell>
          <cell r="AB1176" t="str">
            <v/>
          </cell>
          <cell r="AC1176" t="str">
            <v/>
          </cell>
          <cell r="AD1176" t="str">
            <v/>
          </cell>
          <cell r="AE1176" t="str">
            <v/>
          </cell>
          <cell r="AF1176" t="str">
            <v/>
          </cell>
          <cell r="AG1176" t="str">
            <v/>
          </cell>
          <cell r="AH1176" t="str">
            <v/>
          </cell>
          <cell r="AI1176" t="str">
            <v/>
          </cell>
        </row>
        <row r="1177">
          <cell r="B1177">
            <v>5619</v>
          </cell>
          <cell r="C1177">
            <v>56</v>
          </cell>
          <cell r="D1177">
            <v>19</v>
          </cell>
          <cell r="F1177" t="str">
            <v>新潟</v>
          </cell>
          <cell r="G1177" t="str">
            <v>ﾊﾛｹﾞﾝ化物設備保守(外観)</v>
          </cell>
          <cell r="H1177" t="str">
            <v>日本ドライケミカル</v>
          </cell>
          <cell r="I1177">
            <v>107000</v>
          </cell>
          <cell r="J1177">
            <v>112404</v>
          </cell>
          <cell r="K1177">
            <v>1</v>
          </cell>
          <cell r="L1177">
            <v>0</v>
          </cell>
          <cell r="M1177">
            <v>0</v>
          </cell>
          <cell r="N1177">
            <v>0</v>
          </cell>
          <cell r="O1177">
            <v>0</v>
          </cell>
          <cell r="P1177">
            <v>0</v>
          </cell>
          <cell r="Q1177">
            <v>0</v>
          </cell>
          <cell r="R1177">
            <v>0</v>
          </cell>
          <cell r="S1177">
            <v>0</v>
          </cell>
          <cell r="T1177">
            <v>0</v>
          </cell>
          <cell r="U1177">
            <v>112404</v>
          </cell>
          <cell r="V1177">
            <v>0</v>
          </cell>
          <cell r="W1177">
            <v>0</v>
          </cell>
          <cell r="X1177" t="str">
            <v/>
          </cell>
          <cell r="Y1177" t="str">
            <v/>
          </cell>
          <cell r="Z1177" t="str">
            <v/>
          </cell>
          <cell r="AA1177" t="str">
            <v/>
          </cell>
          <cell r="AB1177" t="str">
            <v/>
          </cell>
          <cell r="AC1177" t="str">
            <v/>
          </cell>
          <cell r="AD1177" t="str">
            <v/>
          </cell>
          <cell r="AE1177" t="str">
            <v/>
          </cell>
          <cell r="AF1177" t="str">
            <v/>
          </cell>
          <cell r="AG1177" t="str">
            <v>①</v>
          </cell>
          <cell r="AH1177" t="str">
            <v/>
          </cell>
          <cell r="AI1177" t="str">
            <v/>
          </cell>
          <cell r="AJ1177" t="str">
            <v>変</v>
          </cell>
        </row>
        <row r="1178">
          <cell r="B1178">
            <v>5620</v>
          </cell>
          <cell r="C1178">
            <v>56</v>
          </cell>
          <cell r="D1178">
            <v>20</v>
          </cell>
          <cell r="F1178" t="str">
            <v>新潟</v>
          </cell>
          <cell r="G1178" t="str">
            <v>ﾊﾛｹﾞﾝ化物設備保守(総合)</v>
          </cell>
          <cell r="H1178" t="str">
            <v>日本ドライケミカル</v>
          </cell>
          <cell r="I1178">
            <v>134000</v>
          </cell>
          <cell r="J1178">
            <v>140736</v>
          </cell>
          <cell r="K1178">
            <v>1</v>
          </cell>
          <cell r="L1178">
            <v>0</v>
          </cell>
          <cell r="M1178">
            <v>0</v>
          </cell>
          <cell r="N1178">
            <v>0</v>
          </cell>
          <cell r="O1178">
            <v>140736</v>
          </cell>
          <cell r="P1178">
            <v>0</v>
          </cell>
          <cell r="Q1178">
            <v>0</v>
          </cell>
          <cell r="R1178">
            <v>0</v>
          </cell>
          <cell r="S1178">
            <v>0</v>
          </cell>
          <cell r="T1178">
            <v>0</v>
          </cell>
          <cell r="U1178">
            <v>0</v>
          </cell>
          <cell r="V1178">
            <v>0</v>
          </cell>
          <cell r="W1178">
            <v>0</v>
          </cell>
          <cell r="X1178" t="str">
            <v/>
          </cell>
          <cell r="Y1178" t="str">
            <v/>
          </cell>
          <cell r="Z1178" t="str">
            <v/>
          </cell>
          <cell r="AA1178" t="str">
            <v>⑦</v>
          </cell>
          <cell r="AB1178" t="str">
            <v/>
          </cell>
          <cell r="AC1178" t="str">
            <v/>
          </cell>
          <cell r="AD1178" t="str">
            <v/>
          </cell>
          <cell r="AE1178" t="str">
            <v/>
          </cell>
          <cell r="AF1178" t="str">
            <v/>
          </cell>
          <cell r="AG1178" t="str">
            <v/>
          </cell>
          <cell r="AH1178" t="str">
            <v/>
          </cell>
          <cell r="AI1178" t="str">
            <v/>
          </cell>
          <cell r="AJ1178" t="str">
            <v>変</v>
          </cell>
        </row>
        <row r="1179">
          <cell r="B1179">
            <v>5621</v>
          </cell>
          <cell r="C1179">
            <v>56</v>
          </cell>
          <cell r="D1179">
            <v>21</v>
          </cell>
          <cell r="F1179" t="str">
            <v>新潟</v>
          </cell>
          <cell r="G1179" t="str">
            <v>避難器具保守(外観)</v>
          </cell>
          <cell r="H1179" t="str">
            <v>日本ドライケミカル</v>
          </cell>
          <cell r="I1179">
            <v>60000</v>
          </cell>
          <cell r="J1179">
            <v>62976</v>
          </cell>
          <cell r="K1179">
            <v>1</v>
          </cell>
          <cell r="L1179">
            <v>0</v>
          </cell>
          <cell r="M1179">
            <v>0</v>
          </cell>
          <cell r="N1179">
            <v>0</v>
          </cell>
          <cell r="O1179">
            <v>0</v>
          </cell>
          <cell r="P1179">
            <v>0</v>
          </cell>
          <cell r="Q1179">
            <v>0</v>
          </cell>
          <cell r="R1179">
            <v>0</v>
          </cell>
          <cell r="S1179">
            <v>0</v>
          </cell>
          <cell r="T1179">
            <v>0</v>
          </cell>
          <cell r="U1179">
            <v>62976</v>
          </cell>
          <cell r="V1179">
            <v>0</v>
          </cell>
          <cell r="W1179">
            <v>0</v>
          </cell>
          <cell r="X1179" t="str">
            <v/>
          </cell>
          <cell r="Y1179" t="str">
            <v/>
          </cell>
          <cell r="Z1179" t="str">
            <v/>
          </cell>
          <cell r="AA1179" t="str">
            <v/>
          </cell>
          <cell r="AB1179" t="str">
            <v/>
          </cell>
          <cell r="AC1179" t="str">
            <v/>
          </cell>
          <cell r="AD1179" t="str">
            <v/>
          </cell>
          <cell r="AE1179" t="str">
            <v/>
          </cell>
          <cell r="AF1179" t="str">
            <v/>
          </cell>
          <cell r="AG1179" t="str">
            <v>①</v>
          </cell>
          <cell r="AH1179" t="str">
            <v/>
          </cell>
          <cell r="AI1179" t="str">
            <v/>
          </cell>
          <cell r="AJ1179" t="str">
            <v>変</v>
          </cell>
        </row>
        <row r="1180">
          <cell r="B1180">
            <v>5622</v>
          </cell>
          <cell r="C1180">
            <v>56</v>
          </cell>
          <cell r="D1180">
            <v>22</v>
          </cell>
          <cell r="F1180" t="str">
            <v>新潟</v>
          </cell>
          <cell r="G1180" t="str">
            <v>避難器具保守(総合)</v>
          </cell>
          <cell r="H1180" t="str">
            <v>日本ドライケミカル</v>
          </cell>
          <cell r="I1180">
            <v>94500</v>
          </cell>
          <cell r="J1180">
            <v>99234</v>
          </cell>
          <cell r="K1180">
            <v>1</v>
          </cell>
          <cell r="L1180">
            <v>0</v>
          </cell>
          <cell r="M1180">
            <v>0</v>
          </cell>
          <cell r="N1180">
            <v>0</v>
          </cell>
          <cell r="O1180">
            <v>99234</v>
          </cell>
          <cell r="P1180">
            <v>0</v>
          </cell>
          <cell r="Q1180">
            <v>0</v>
          </cell>
          <cell r="R1180">
            <v>0</v>
          </cell>
          <cell r="S1180">
            <v>0</v>
          </cell>
          <cell r="T1180">
            <v>0</v>
          </cell>
          <cell r="U1180">
            <v>0</v>
          </cell>
          <cell r="V1180">
            <v>0</v>
          </cell>
          <cell r="W1180">
            <v>0</v>
          </cell>
          <cell r="X1180" t="str">
            <v/>
          </cell>
          <cell r="Y1180" t="str">
            <v/>
          </cell>
          <cell r="Z1180" t="str">
            <v/>
          </cell>
          <cell r="AA1180" t="str">
            <v>⑦</v>
          </cell>
          <cell r="AB1180" t="str">
            <v/>
          </cell>
          <cell r="AC1180" t="str">
            <v/>
          </cell>
          <cell r="AD1180" t="str">
            <v/>
          </cell>
          <cell r="AE1180" t="str">
            <v/>
          </cell>
          <cell r="AF1180" t="str">
            <v/>
          </cell>
          <cell r="AG1180" t="str">
            <v/>
          </cell>
          <cell r="AH1180" t="str">
            <v/>
          </cell>
          <cell r="AI1180" t="str">
            <v/>
          </cell>
          <cell r="AJ1180" t="str">
            <v>変</v>
          </cell>
        </row>
        <row r="1181">
          <cell r="B1181">
            <v>5623</v>
          </cell>
          <cell r="C1181">
            <v>56</v>
          </cell>
          <cell r="D1181">
            <v>23</v>
          </cell>
          <cell r="F1181" t="str">
            <v>新潟</v>
          </cell>
          <cell r="G1181" t="str">
            <v>立体駐車場装置保守</v>
          </cell>
          <cell r="H1181" t="str">
            <v>三菱重工ﾊﾟｰｷﾝｸﾞ建設</v>
          </cell>
          <cell r="I1181">
            <v>232000</v>
          </cell>
          <cell r="J1181">
            <v>236640</v>
          </cell>
          <cell r="K1181">
            <v>12</v>
          </cell>
          <cell r="L1181">
            <v>236640</v>
          </cell>
          <cell r="M1181">
            <v>236640</v>
          </cell>
          <cell r="N1181">
            <v>236640</v>
          </cell>
          <cell r="O1181">
            <v>236640</v>
          </cell>
          <cell r="P1181">
            <v>236640</v>
          </cell>
          <cell r="Q1181">
            <v>236640</v>
          </cell>
          <cell r="R1181">
            <v>236640</v>
          </cell>
          <cell r="S1181">
            <v>236640</v>
          </cell>
          <cell r="T1181">
            <v>236640</v>
          </cell>
          <cell r="U1181">
            <v>236640</v>
          </cell>
          <cell r="V1181">
            <v>236640</v>
          </cell>
          <cell r="W1181">
            <v>236640</v>
          </cell>
          <cell r="X1181" t="str">
            <v>④</v>
          </cell>
          <cell r="Y1181" t="str">
            <v>⑤</v>
          </cell>
          <cell r="Z1181" t="str">
            <v>⑥</v>
          </cell>
          <cell r="AA1181" t="str">
            <v>⑦</v>
          </cell>
          <cell r="AB1181" t="str">
            <v>⑧</v>
          </cell>
          <cell r="AC1181" t="str">
            <v>⑨</v>
          </cell>
          <cell r="AD1181" t="str">
            <v>⑩</v>
          </cell>
          <cell r="AE1181" t="str">
            <v>⑪</v>
          </cell>
          <cell r="AF1181" t="str">
            <v>⑫</v>
          </cell>
          <cell r="AG1181" t="str">
            <v>①</v>
          </cell>
          <cell r="AH1181" t="str">
            <v>②</v>
          </cell>
          <cell r="AI1181" t="str">
            <v>③</v>
          </cell>
        </row>
        <row r="1182">
          <cell r="B1182">
            <v>5624</v>
          </cell>
          <cell r="C1182">
            <v>56</v>
          </cell>
          <cell r="D1182">
            <v>24</v>
          </cell>
          <cell r="F1182" t="str">
            <v>新潟</v>
          </cell>
          <cell r="G1182" t="str">
            <v>シャッター設備保守</v>
          </cell>
          <cell r="H1182" t="str">
            <v>文化シャッター</v>
          </cell>
          <cell r="I1182">
            <v>20000</v>
          </cell>
          <cell r="J1182">
            <v>22800</v>
          </cell>
          <cell r="K1182">
            <v>1</v>
          </cell>
          <cell r="L1182">
            <v>0</v>
          </cell>
          <cell r="M1182">
            <v>0</v>
          </cell>
          <cell r="N1182">
            <v>0</v>
          </cell>
          <cell r="O1182">
            <v>0</v>
          </cell>
          <cell r="P1182">
            <v>22800</v>
          </cell>
          <cell r="Q1182">
            <v>0</v>
          </cell>
          <cell r="R1182">
            <v>0</v>
          </cell>
          <cell r="S1182">
            <v>0</v>
          </cell>
          <cell r="T1182">
            <v>0</v>
          </cell>
          <cell r="U1182">
            <v>0</v>
          </cell>
          <cell r="V1182">
            <v>0</v>
          </cell>
          <cell r="W1182">
            <v>0</v>
          </cell>
          <cell r="X1182" t="str">
            <v/>
          </cell>
          <cell r="Y1182" t="str">
            <v/>
          </cell>
          <cell r="Z1182" t="str">
            <v/>
          </cell>
          <cell r="AA1182" t="str">
            <v/>
          </cell>
          <cell r="AB1182" t="str">
            <v>⑧</v>
          </cell>
          <cell r="AC1182" t="str">
            <v/>
          </cell>
          <cell r="AD1182" t="str">
            <v/>
          </cell>
          <cell r="AE1182" t="str">
            <v/>
          </cell>
          <cell r="AF1182" t="str">
            <v/>
          </cell>
          <cell r="AG1182" t="str">
            <v/>
          </cell>
          <cell r="AI1182" t="str">
            <v/>
          </cell>
          <cell r="AJ1182" t="str">
            <v>変</v>
          </cell>
        </row>
        <row r="1183">
          <cell r="B1183">
            <v>5625</v>
          </cell>
          <cell r="C1183">
            <v>56</v>
          </cell>
          <cell r="D1183">
            <v>25</v>
          </cell>
          <cell r="F1183" t="str">
            <v>新潟</v>
          </cell>
          <cell r="G1183" t="str">
            <v>害虫駆除</v>
          </cell>
          <cell r="H1183" t="str">
            <v>三共消毒</v>
          </cell>
          <cell r="I1183">
            <v>308000</v>
          </cell>
          <cell r="J1183">
            <v>338800</v>
          </cell>
          <cell r="K1183">
            <v>2</v>
          </cell>
          <cell r="L1183">
            <v>0</v>
          </cell>
          <cell r="M1183">
            <v>338800</v>
          </cell>
          <cell r="N1183">
            <v>0</v>
          </cell>
          <cell r="O1183">
            <v>0</v>
          </cell>
          <cell r="P1183">
            <v>0</v>
          </cell>
          <cell r="Q1183">
            <v>0</v>
          </cell>
          <cell r="R1183">
            <v>0</v>
          </cell>
          <cell r="S1183">
            <v>338800</v>
          </cell>
          <cell r="T1183">
            <v>0</v>
          </cell>
          <cell r="U1183">
            <v>0</v>
          </cell>
          <cell r="V1183">
            <v>0</v>
          </cell>
          <cell r="W1183">
            <v>0</v>
          </cell>
          <cell r="X1183" t="str">
            <v/>
          </cell>
          <cell r="Y1183" t="str">
            <v>⑤</v>
          </cell>
          <cell r="Z1183" t="str">
            <v/>
          </cell>
          <cell r="AA1183" t="str">
            <v/>
          </cell>
          <cell r="AB1183" t="str">
            <v/>
          </cell>
          <cell r="AC1183" t="str">
            <v/>
          </cell>
          <cell r="AD1183" t="str">
            <v/>
          </cell>
          <cell r="AE1183" t="str">
            <v>⑪</v>
          </cell>
          <cell r="AF1183" t="str">
            <v/>
          </cell>
          <cell r="AG1183" t="str">
            <v/>
          </cell>
          <cell r="AH1183" t="str">
            <v/>
          </cell>
          <cell r="AI1183" t="str">
            <v/>
          </cell>
        </row>
        <row r="1184">
          <cell r="B1184">
            <v>5626</v>
          </cell>
          <cell r="C1184">
            <v>56</v>
          </cell>
          <cell r="D1184">
            <v>26</v>
          </cell>
          <cell r="F1184" t="str">
            <v>新潟</v>
          </cell>
          <cell r="G1184" t="str">
            <v>煤煙測定</v>
          </cell>
          <cell r="H1184" t="str">
            <v>北日本ビルサービス</v>
          </cell>
          <cell r="I1184">
            <v>66000</v>
          </cell>
          <cell r="J1184">
            <v>75900</v>
          </cell>
          <cell r="K1184">
            <v>2</v>
          </cell>
          <cell r="L1184">
            <v>0</v>
          </cell>
          <cell r="M1184">
            <v>0</v>
          </cell>
          <cell r="N1184">
            <v>75900</v>
          </cell>
          <cell r="O1184">
            <v>0</v>
          </cell>
          <cell r="P1184">
            <v>0</v>
          </cell>
          <cell r="Q1184">
            <v>0</v>
          </cell>
          <cell r="R1184">
            <v>0</v>
          </cell>
          <cell r="S1184">
            <v>0</v>
          </cell>
          <cell r="T1184">
            <v>75900</v>
          </cell>
          <cell r="U1184">
            <v>0</v>
          </cell>
          <cell r="V1184">
            <v>0</v>
          </cell>
          <cell r="W1184">
            <v>0</v>
          </cell>
          <cell r="X1184" t="str">
            <v/>
          </cell>
          <cell r="Y1184" t="str">
            <v/>
          </cell>
          <cell r="Z1184" t="str">
            <v>⑥</v>
          </cell>
          <cell r="AA1184" t="str">
            <v/>
          </cell>
          <cell r="AB1184" t="str">
            <v/>
          </cell>
          <cell r="AC1184" t="str">
            <v/>
          </cell>
          <cell r="AD1184" t="str">
            <v/>
          </cell>
          <cell r="AE1184" t="str">
            <v/>
          </cell>
          <cell r="AF1184" t="str">
            <v>⑫</v>
          </cell>
          <cell r="AG1184" t="str">
            <v/>
          </cell>
          <cell r="AH1184" t="str">
            <v/>
          </cell>
          <cell r="AI1184" t="str">
            <v/>
          </cell>
        </row>
        <row r="1185">
          <cell r="B1185">
            <v>5627</v>
          </cell>
          <cell r="C1185">
            <v>56</v>
          </cell>
          <cell r="D1185">
            <v>27</v>
          </cell>
          <cell r="F1185" t="str">
            <v>新潟</v>
          </cell>
          <cell r="G1185" t="str">
            <v>受水槽清掃</v>
          </cell>
          <cell r="H1185" t="str">
            <v>北日本ビルサービス</v>
          </cell>
          <cell r="I1185">
            <v>44000</v>
          </cell>
          <cell r="J1185">
            <v>50870</v>
          </cell>
          <cell r="K1185">
            <v>1</v>
          </cell>
          <cell r="L1185">
            <v>0</v>
          </cell>
          <cell r="M1185">
            <v>0</v>
          </cell>
          <cell r="N1185">
            <v>50870</v>
          </cell>
          <cell r="O1185">
            <v>0</v>
          </cell>
          <cell r="P1185">
            <v>0</v>
          </cell>
          <cell r="Q1185">
            <v>0</v>
          </cell>
          <cell r="R1185">
            <v>0</v>
          </cell>
          <cell r="S1185">
            <v>0</v>
          </cell>
          <cell r="T1185">
            <v>0</v>
          </cell>
          <cell r="U1185">
            <v>0</v>
          </cell>
          <cell r="V1185">
            <v>0</v>
          </cell>
          <cell r="W1185">
            <v>0</v>
          </cell>
          <cell r="X1185" t="str">
            <v/>
          </cell>
          <cell r="Y1185" t="str">
            <v/>
          </cell>
          <cell r="Z1185" t="str">
            <v>⑥</v>
          </cell>
          <cell r="AA1185" t="str">
            <v/>
          </cell>
          <cell r="AB1185" t="str">
            <v/>
          </cell>
          <cell r="AC1185" t="str">
            <v/>
          </cell>
          <cell r="AD1185" t="str">
            <v/>
          </cell>
          <cell r="AE1185" t="str">
            <v/>
          </cell>
          <cell r="AF1185" t="str">
            <v/>
          </cell>
          <cell r="AG1185" t="str">
            <v/>
          </cell>
          <cell r="AH1185" t="str">
            <v/>
          </cell>
          <cell r="AI1185" t="str">
            <v/>
          </cell>
          <cell r="AJ1185" t="str">
            <v>変</v>
          </cell>
        </row>
        <row r="1186">
          <cell r="B1186">
            <v>5628</v>
          </cell>
          <cell r="C1186">
            <v>56</v>
          </cell>
          <cell r="D1186">
            <v>28</v>
          </cell>
          <cell r="F1186" t="str">
            <v>新潟</v>
          </cell>
          <cell r="G1186" t="str">
            <v>湧水槽清掃(含む各排水槽)</v>
          </cell>
          <cell r="H1186" t="str">
            <v>北日本ビルサービス</v>
          </cell>
          <cell r="I1186">
            <v>140000</v>
          </cell>
          <cell r="J1186">
            <v>159110</v>
          </cell>
          <cell r="K1186">
            <v>2</v>
          </cell>
          <cell r="L1186">
            <v>0</v>
          </cell>
          <cell r="M1186">
            <v>0</v>
          </cell>
          <cell r="N1186">
            <v>159110</v>
          </cell>
          <cell r="O1186">
            <v>0</v>
          </cell>
          <cell r="P1186">
            <v>0</v>
          </cell>
          <cell r="Q1186">
            <v>0</v>
          </cell>
          <cell r="R1186">
            <v>0</v>
          </cell>
          <cell r="S1186">
            <v>0</v>
          </cell>
          <cell r="T1186">
            <v>159110</v>
          </cell>
          <cell r="U1186">
            <v>0</v>
          </cell>
          <cell r="V1186">
            <v>0</v>
          </cell>
          <cell r="W1186">
            <v>0</v>
          </cell>
          <cell r="X1186" t="str">
            <v/>
          </cell>
          <cell r="Y1186" t="str">
            <v/>
          </cell>
          <cell r="Z1186" t="str">
            <v>⑥</v>
          </cell>
          <cell r="AA1186" t="str">
            <v/>
          </cell>
          <cell r="AB1186" t="str">
            <v/>
          </cell>
          <cell r="AC1186" t="str">
            <v/>
          </cell>
          <cell r="AD1186" t="str">
            <v/>
          </cell>
          <cell r="AE1186" t="str">
            <v/>
          </cell>
          <cell r="AF1186" t="str">
            <v>⑫</v>
          </cell>
          <cell r="AG1186" t="str">
            <v/>
          </cell>
          <cell r="AH1186" t="str">
            <v/>
          </cell>
          <cell r="AI1186" t="str">
            <v/>
          </cell>
          <cell r="AJ1186" t="str">
            <v>変</v>
          </cell>
        </row>
        <row r="1187">
          <cell r="B1187">
            <v>5629</v>
          </cell>
          <cell r="C1187">
            <v>56</v>
          </cell>
          <cell r="D1187">
            <v>29</v>
          </cell>
          <cell r="F1187" t="str">
            <v>新潟</v>
          </cell>
          <cell r="G1187" t="str">
            <v>冷温水発生機設備保守</v>
          </cell>
          <cell r="H1187" t="str">
            <v>新菱冷熱工業</v>
          </cell>
          <cell r="I1187">
            <v>540000</v>
          </cell>
          <cell r="J1187">
            <v>565680</v>
          </cell>
          <cell r="K1187">
            <v>1</v>
          </cell>
          <cell r="L1187">
            <v>565680</v>
          </cell>
          <cell r="M1187">
            <v>0</v>
          </cell>
          <cell r="N1187">
            <v>0</v>
          </cell>
          <cell r="O1187">
            <v>0</v>
          </cell>
          <cell r="P1187">
            <v>0</v>
          </cell>
          <cell r="Q1187">
            <v>0</v>
          </cell>
          <cell r="R1187">
            <v>0</v>
          </cell>
          <cell r="S1187">
            <v>0</v>
          </cell>
          <cell r="T1187">
            <v>0</v>
          </cell>
          <cell r="U1187">
            <v>0</v>
          </cell>
          <cell r="V1187">
            <v>0</v>
          </cell>
          <cell r="W1187">
            <v>0</v>
          </cell>
          <cell r="X1187" t="str">
            <v>④</v>
          </cell>
          <cell r="Y1187" t="str">
            <v/>
          </cell>
          <cell r="Z1187" t="str">
            <v/>
          </cell>
          <cell r="AA1187" t="str">
            <v/>
          </cell>
          <cell r="AB1187" t="str">
            <v/>
          </cell>
          <cell r="AC1187" t="str">
            <v/>
          </cell>
          <cell r="AD1187" t="str">
            <v/>
          </cell>
          <cell r="AE1187" t="str">
            <v/>
          </cell>
          <cell r="AF1187" t="str">
            <v/>
          </cell>
          <cell r="AG1187" t="str">
            <v/>
          </cell>
          <cell r="AH1187" t="str">
            <v/>
          </cell>
          <cell r="AI1187" t="str">
            <v/>
          </cell>
          <cell r="AJ1187" t="str">
            <v>変</v>
          </cell>
        </row>
        <row r="1188">
          <cell r="B1188">
            <v>5630</v>
          </cell>
          <cell r="C1188">
            <v>56</v>
          </cell>
          <cell r="D1188">
            <v>30</v>
          </cell>
          <cell r="F1188" t="str">
            <v>新潟</v>
          </cell>
          <cell r="G1188" t="str">
            <v>冷温水発生機設備保守</v>
          </cell>
          <cell r="H1188" t="str">
            <v>新菱冷熱工業</v>
          </cell>
          <cell r="I1188">
            <v>320000</v>
          </cell>
          <cell r="J1188">
            <v>335218</v>
          </cell>
          <cell r="K1188">
            <v>1</v>
          </cell>
          <cell r="L1188">
            <v>0</v>
          </cell>
          <cell r="M1188">
            <v>0</v>
          </cell>
          <cell r="N1188">
            <v>0</v>
          </cell>
          <cell r="O1188">
            <v>335218</v>
          </cell>
          <cell r="P1188">
            <v>0</v>
          </cell>
          <cell r="Q1188">
            <v>0</v>
          </cell>
          <cell r="R1188">
            <v>0</v>
          </cell>
          <cell r="S1188">
            <v>0</v>
          </cell>
          <cell r="T1188">
            <v>0</v>
          </cell>
          <cell r="U1188">
            <v>0</v>
          </cell>
          <cell r="V1188">
            <v>0</v>
          </cell>
          <cell r="W1188">
            <v>0</v>
          </cell>
          <cell r="X1188" t="str">
            <v/>
          </cell>
          <cell r="Y1188" t="str">
            <v/>
          </cell>
          <cell r="Z1188" t="str">
            <v/>
          </cell>
          <cell r="AA1188" t="str">
            <v>⑦</v>
          </cell>
          <cell r="AB1188" t="str">
            <v/>
          </cell>
          <cell r="AC1188" t="str">
            <v/>
          </cell>
          <cell r="AD1188" t="str">
            <v/>
          </cell>
          <cell r="AE1188" t="str">
            <v/>
          </cell>
          <cell r="AF1188" t="str">
            <v/>
          </cell>
          <cell r="AG1188" t="str">
            <v/>
          </cell>
          <cell r="AH1188" t="str">
            <v/>
          </cell>
          <cell r="AI1188" t="str">
            <v/>
          </cell>
          <cell r="AJ1188" t="str">
            <v>変</v>
          </cell>
        </row>
        <row r="1189">
          <cell r="B1189">
            <v>5631</v>
          </cell>
          <cell r="C1189">
            <v>56</v>
          </cell>
          <cell r="D1189">
            <v>31</v>
          </cell>
          <cell r="F1189" t="str">
            <v>新潟</v>
          </cell>
          <cell r="G1189" t="str">
            <v>冷温水発生機設備保守</v>
          </cell>
          <cell r="H1189" t="str">
            <v>新菱冷熱工業</v>
          </cell>
          <cell r="I1189">
            <v>490000</v>
          </cell>
          <cell r="J1189">
            <v>513302</v>
          </cell>
          <cell r="K1189">
            <v>1</v>
          </cell>
          <cell r="L1189">
            <v>0</v>
          </cell>
          <cell r="M1189">
            <v>0</v>
          </cell>
          <cell r="N1189">
            <v>0</v>
          </cell>
          <cell r="O1189">
            <v>0</v>
          </cell>
          <cell r="P1189">
            <v>0</v>
          </cell>
          <cell r="Q1189">
            <v>0</v>
          </cell>
          <cell r="R1189">
            <v>513302</v>
          </cell>
          <cell r="S1189">
            <v>0</v>
          </cell>
          <cell r="T1189">
            <v>0</v>
          </cell>
          <cell r="U1189">
            <v>0</v>
          </cell>
          <cell r="V1189">
            <v>0</v>
          </cell>
          <cell r="W1189">
            <v>0</v>
          </cell>
          <cell r="X1189" t="str">
            <v/>
          </cell>
          <cell r="Y1189" t="str">
            <v/>
          </cell>
          <cell r="Z1189" t="str">
            <v/>
          </cell>
          <cell r="AA1189" t="str">
            <v/>
          </cell>
          <cell r="AB1189" t="str">
            <v/>
          </cell>
          <cell r="AC1189" t="str">
            <v/>
          </cell>
          <cell r="AD1189" t="str">
            <v>⑩</v>
          </cell>
          <cell r="AE1189" t="str">
            <v/>
          </cell>
          <cell r="AF1189" t="str">
            <v/>
          </cell>
          <cell r="AG1189" t="str">
            <v/>
          </cell>
          <cell r="AH1189" t="str">
            <v/>
          </cell>
          <cell r="AI1189" t="str">
            <v/>
          </cell>
          <cell r="AJ1189" t="str">
            <v>変</v>
          </cell>
        </row>
        <row r="1190">
          <cell r="B1190">
            <v>5632</v>
          </cell>
          <cell r="C1190">
            <v>56</v>
          </cell>
          <cell r="D1190">
            <v>32</v>
          </cell>
          <cell r="F1190" t="str">
            <v>新潟</v>
          </cell>
          <cell r="G1190" t="str">
            <v>給排水ポンプ設備保守点検</v>
          </cell>
          <cell r="H1190" t="str">
            <v>荏原テクノサーブ</v>
          </cell>
          <cell r="I1190">
            <v>150000</v>
          </cell>
          <cell r="J1190">
            <v>155400</v>
          </cell>
          <cell r="K1190">
            <v>2</v>
          </cell>
          <cell r="L1190">
            <v>0</v>
          </cell>
          <cell r="M1190">
            <v>0</v>
          </cell>
          <cell r="N1190">
            <v>0</v>
          </cell>
          <cell r="O1190">
            <v>0</v>
          </cell>
          <cell r="P1190">
            <v>0</v>
          </cell>
          <cell r="Q1190">
            <v>155400</v>
          </cell>
          <cell r="R1190">
            <v>0</v>
          </cell>
          <cell r="S1190">
            <v>0</v>
          </cell>
          <cell r="T1190">
            <v>0</v>
          </cell>
          <cell r="U1190">
            <v>0</v>
          </cell>
          <cell r="V1190">
            <v>0</v>
          </cell>
          <cell r="W1190">
            <v>155400</v>
          </cell>
          <cell r="X1190" t="str">
            <v/>
          </cell>
          <cell r="Y1190" t="str">
            <v/>
          </cell>
          <cell r="Z1190" t="str">
            <v/>
          </cell>
          <cell r="AA1190" t="str">
            <v/>
          </cell>
          <cell r="AC1190" t="str">
            <v>⑨</v>
          </cell>
          <cell r="AD1190" t="str">
            <v/>
          </cell>
          <cell r="AE1190" t="str">
            <v/>
          </cell>
          <cell r="AF1190" t="str">
            <v/>
          </cell>
          <cell r="AG1190" t="str">
            <v/>
          </cell>
          <cell r="AI1190" t="str">
            <v>③</v>
          </cell>
          <cell r="AJ1190" t="str">
            <v>変</v>
          </cell>
        </row>
        <row r="1191">
          <cell r="B1191">
            <v>5633</v>
          </cell>
          <cell r="C1191">
            <v>56</v>
          </cell>
          <cell r="D1191">
            <v>33</v>
          </cell>
          <cell r="F1191" t="str">
            <v>新潟</v>
          </cell>
          <cell r="G1191" t="str">
            <v>自動ドアー保守</v>
          </cell>
          <cell r="H1191" t="str">
            <v>新潟ナブコ</v>
          </cell>
          <cell r="I1191">
            <v>25000</v>
          </cell>
          <cell r="J1191">
            <v>27657</v>
          </cell>
          <cell r="K1191">
            <v>1</v>
          </cell>
          <cell r="L1191">
            <v>0</v>
          </cell>
          <cell r="M1191">
            <v>27657</v>
          </cell>
          <cell r="N1191">
            <v>0</v>
          </cell>
          <cell r="O1191">
            <v>0</v>
          </cell>
          <cell r="P1191">
            <v>0</v>
          </cell>
          <cell r="Q1191">
            <v>0</v>
          </cell>
          <cell r="R1191">
            <v>0</v>
          </cell>
          <cell r="S1191">
            <v>0</v>
          </cell>
          <cell r="T1191">
            <v>0</v>
          </cell>
          <cell r="U1191">
            <v>0</v>
          </cell>
          <cell r="V1191">
            <v>0</v>
          </cell>
          <cell r="W1191">
            <v>0</v>
          </cell>
          <cell r="X1191" t="str">
            <v/>
          </cell>
          <cell r="Y1191" t="str">
            <v>⑤</v>
          </cell>
          <cell r="Z1191" t="str">
            <v/>
          </cell>
          <cell r="AA1191" t="str">
            <v/>
          </cell>
          <cell r="AC1191" t="str">
            <v/>
          </cell>
          <cell r="AD1191" t="str">
            <v/>
          </cell>
          <cell r="AG1191" t="str">
            <v/>
          </cell>
          <cell r="AH1191" t="str">
            <v/>
          </cell>
          <cell r="AI1191" t="str">
            <v/>
          </cell>
          <cell r="AJ1191" t="str">
            <v>変</v>
          </cell>
        </row>
        <row r="1192">
          <cell r="B1192">
            <v>5634</v>
          </cell>
          <cell r="C1192">
            <v>56</v>
          </cell>
          <cell r="D1192">
            <v>34</v>
          </cell>
          <cell r="F1192" t="str">
            <v>新潟</v>
          </cell>
          <cell r="G1192" t="str">
            <v>自動ドアー保守</v>
          </cell>
          <cell r="H1192" t="str">
            <v>新潟ナブコ</v>
          </cell>
          <cell r="I1192">
            <v>25000</v>
          </cell>
          <cell r="J1192">
            <v>27657</v>
          </cell>
          <cell r="K1192">
            <v>1</v>
          </cell>
          <cell r="L1192">
            <v>0</v>
          </cell>
          <cell r="M1192">
            <v>0</v>
          </cell>
          <cell r="N1192">
            <v>0</v>
          </cell>
          <cell r="O1192">
            <v>0</v>
          </cell>
          <cell r="P1192">
            <v>0</v>
          </cell>
          <cell r="Q1192">
            <v>0</v>
          </cell>
          <cell r="R1192">
            <v>0</v>
          </cell>
          <cell r="S1192">
            <v>27657</v>
          </cell>
          <cell r="T1192">
            <v>0</v>
          </cell>
          <cell r="U1192">
            <v>0</v>
          </cell>
          <cell r="V1192">
            <v>0</v>
          </cell>
          <cell r="W1192">
            <v>0</v>
          </cell>
          <cell r="X1192" t="str">
            <v/>
          </cell>
          <cell r="Y1192" t="str">
            <v/>
          </cell>
          <cell r="Z1192" t="str">
            <v/>
          </cell>
          <cell r="AA1192" t="str">
            <v/>
          </cell>
          <cell r="AC1192" t="str">
            <v/>
          </cell>
          <cell r="AD1192" t="str">
            <v/>
          </cell>
          <cell r="AE1192" t="str">
            <v>⑪</v>
          </cell>
          <cell r="AF1192" t="str">
            <v/>
          </cell>
          <cell r="AG1192" t="str">
            <v/>
          </cell>
          <cell r="AH1192" t="str">
            <v/>
          </cell>
          <cell r="AI1192" t="str">
            <v/>
          </cell>
          <cell r="AJ1192" t="str">
            <v>変</v>
          </cell>
        </row>
        <row r="1193">
          <cell r="B1193">
            <v>5635</v>
          </cell>
          <cell r="C1193">
            <v>56</v>
          </cell>
          <cell r="D1193">
            <v>35</v>
          </cell>
          <cell r="F1193" t="str">
            <v>新潟</v>
          </cell>
          <cell r="G1193" t="str">
            <v>植栽管理</v>
          </cell>
          <cell r="H1193" t="str">
            <v>浦浜農園</v>
          </cell>
          <cell r="I1193">
            <v>5000</v>
          </cell>
          <cell r="J1193">
            <v>5100</v>
          </cell>
          <cell r="K1193">
            <v>1</v>
          </cell>
          <cell r="L1193">
            <v>0</v>
          </cell>
          <cell r="M1193">
            <v>5100</v>
          </cell>
          <cell r="N1193">
            <v>0</v>
          </cell>
          <cell r="O1193">
            <v>0</v>
          </cell>
          <cell r="P1193">
            <v>0</v>
          </cell>
          <cell r="Q1193">
            <v>0</v>
          </cell>
          <cell r="R1193">
            <v>0</v>
          </cell>
          <cell r="S1193">
            <v>0</v>
          </cell>
          <cell r="T1193">
            <v>0</v>
          </cell>
          <cell r="U1193">
            <v>0</v>
          </cell>
          <cell r="V1193">
            <v>0</v>
          </cell>
          <cell r="W1193">
            <v>0</v>
          </cell>
          <cell r="X1193" t="str">
            <v/>
          </cell>
          <cell r="Y1193" t="str">
            <v>⑤</v>
          </cell>
          <cell r="Z1193" t="str">
            <v/>
          </cell>
          <cell r="AA1193" t="str">
            <v/>
          </cell>
          <cell r="AB1193" t="str">
            <v/>
          </cell>
          <cell r="AC1193" t="str">
            <v/>
          </cell>
          <cell r="AD1193" t="str">
            <v/>
          </cell>
          <cell r="AE1193" t="str">
            <v/>
          </cell>
          <cell r="AF1193" t="str">
            <v/>
          </cell>
          <cell r="AG1193" t="str">
            <v/>
          </cell>
          <cell r="AH1193" t="str">
            <v/>
          </cell>
          <cell r="AI1193" t="str">
            <v/>
          </cell>
        </row>
        <row r="1194">
          <cell r="B1194">
            <v>5636</v>
          </cell>
          <cell r="C1194">
            <v>56</v>
          </cell>
          <cell r="D1194">
            <v>36</v>
          </cell>
          <cell r="F1194" t="str">
            <v>新潟</v>
          </cell>
          <cell r="G1194" t="str">
            <v>植栽管理</v>
          </cell>
          <cell r="H1194" t="str">
            <v>浦浜農園</v>
          </cell>
          <cell r="I1194">
            <v>12000</v>
          </cell>
          <cell r="J1194">
            <v>12240</v>
          </cell>
          <cell r="K1194">
            <v>1</v>
          </cell>
          <cell r="L1194">
            <v>0</v>
          </cell>
          <cell r="M1194">
            <v>0</v>
          </cell>
          <cell r="N1194">
            <v>0</v>
          </cell>
          <cell r="O1194">
            <v>12240</v>
          </cell>
          <cell r="P1194">
            <v>0</v>
          </cell>
          <cell r="Q1194">
            <v>0</v>
          </cell>
          <cell r="R1194">
            <v>0</v>
          </cell>
          <cell r="S1194">
            <v>0</v>
          </cell>
          <cell r="T1194">
            <v>0</v>
          </cell>
          <cell r="U1194">
            <v>0</v>
          </cell>
          <cell r="V1194">
            <v>0</v>
          </cell>
          <cell r="W1194">
            <v>0</v>
          </cell>
          <cell r="X1194" t="str">
            <v/>
          </cell>
          <cell r="Y1194" t="str">
            <v/>
          </cell>
          <cell r="Z1194" t="str">
            <v/>
          </cell>
          <cell r="AA1194" t="str">
            <v>⑦</v>
          </cell>
          <cell r="AB1194" t="str">
            <v/>
          </cell>
          <cell r="AC1194" t="str">
            <v/>
          </cell>
          <cell r="AD1194" t="str">
            <v/>
          </cell>
          <cell r="AE1194" t="str">
            <v/>
          </cell>
          <cell r="AF1194" t="str">
            <v/>
          </cell>
          <cell r="AG1194" t="str">
            <v/>
          </cell>
          <cell r="AH1194" t="str">
            <v/>
          </cell>
          <cell r="AI1194" t="str">
            <v/>
          </cell>
        </row>
        <row r="1195">
          <cell r="B1195">
            <v>5637</v>
          </cell>
          <cell r="C1195">
            <v>56</v>
          </cell>
          <cell r="D1195">
            <v>37</v>
          </cell>
          <cell r="F1195" t="str">
            <v>新潟</v>
          </cell>
          <cell r="G1195" t="str">
            <v>植栽管理</v>
          </cell>
          <cell r="H1195" t="str">
            <v>浦浜農園</v>
          </cell>
          <cell r="I1195">
            <v>3000</v>
          </cell>
          <cell r="J1195">
            <v>3060</v>
          </cell>
          <cell r="K1195">
            <v>1</v>
          </cell>
          <cell r="L1195">
            <v>0</v>
          </cell>
          <cell r="M1195">
            <v>0</v>
          </cell>
          <cell r="N1195">
            <v>0</v>
          </cell>
          <cell r="O1195">
            <v>0</v>
          </cell>
          <cell r="P1195">
            <v>3060</v>
          </cell>
          <cell r="Q1195">
            <v>0</v>
          </cell>
          <cell r="R1195">
            <v>0</v>
          </cell>
          <cell r="S1195">
            <v>0</v>
          </cell>
          <cell r="T1195">
            <v>0</v>
          </cell>
          <cell r="U1195">
            <v>0</v>
          </cell>
          <cell r="V1195">
            <v>0</v>
          </cell>
          <cell r="W1195">
            <v>0</v>
          </cell>
          <cell r="X1195" t="str">
            <v/>
          </cell>
          <cell r="Y1195" t="str">
            <v/>
          </cell>
          <cell r="Z1195" t="str">
            <v/>
          </cell>
          <cell r="AA1195" t="str">
            <v/>
          </cell>
          <cell r="AB1195" t="str">
            <v>⑧</v>
          </cell>
          <cell r="AC1195" t="str">
            <v/>
          </cell>
          <cell r="AD1195" t="str">
            <v/>
          </cell>
          <cell r="AE1195" t="str">
            <v/>
          </cell>
          <cell r="AF1195" t="str">
            <v/>
          </cell>
          <cell r="AG1195" t="str">
            <v/>
          </cell>
          <cell r="AH1195" t="str">
            <v/>
          </cell>
          <cell r="AI1195" t="str">
            <v/>
          </cell>
        </row>
        <row r="1196">
          <cell r="B1196">
            <v>5638</v>
          </cell>
          <cell r="C1196">
            <v>56</v>
          </cell>
          <cell r="D1196">
            <v>38</v>
          </cell>
          <cell r="F1196" t="str">
            <v>新潟</v>
          </cell>
          <cell r="G1196" t="str">
            <v>植栽管理</v>
          </cell>
          <cell r="H1196" t="str">
            <v>浦浜農園</v>
          </cell>
          <cell r="I1196">
            <v>30000</v>
          </cell>
          <cell r="J1196">
            <v>30600</v>
          </cell>
          <cell r="K1196">
            <v>1</v>
          </cell>
          <cell r="L1196">
            <v>0</v>
          </cell>
          <cell r="M1196">
            <v>0</v>
          </cell>
          <cell r="N1196">
            <v>0</v>
          </cell>
          <cell r="O1196">
            <v>0</v>
          </cell>
          <cell r="P1196">
            <v>0</v>
          </cell>
          <cell r="Q1196">
            <v>0</v>
          </cell>
          <cell r="R1196">
            <v>0</v>
          </cell>
          <cell r="S1196">
            <v>0</v>
          </cell>
          <cell r="T1196">
            <v>30600</v>
          </cell>
          <cell r="U1196">
            <v>0</v>
          </cell>
          <cell r="V1196">
            <v>0</v>
          </cell>
          <cell r="W1196">
            <v>0</v>
          </cell>
          <cell r="X1196" t="str">
            <v/>
          </cell>
          <cell r="Y1196" t="str">
            <v/>
          </cell>
          <cell r="Z1196" t="str">
            <v/>
          </cell>
          <cell r="AA1196" t="str">
            <v/>
          </cell>
          <cell r="AB1196" t="str">
            <v/>
          </cell>
          <cell r="AC1196" t="str">
            <v/>
          </cell>
          <cell r="AD1196" t="str">
            <v/>
          </cell>
          <cell r="AE1196" t="str">
            <v/>
          </cell>
          <cell r="AF1196" t="str">
            <v>⑫</v>
          </cell>
          <cell r="AG1196" t="str">
            <v/>
          </cell>
          <cell r="AH1196" t="str">
            <v/>
          </cell>
          <cell r="AI1196" t="str">
            <v/>
          </cell>
        </row>
        <row r="1197">
          <cell r="B1197">
            <v>5639</v>
          </cell>
          <cell r="C1197">
            <v>56</v>
          </cell>
          <cell r="D1197">
            <v>39</v>
          </cell>
          <cell r="F1197" t="str">
            <v>新潟</v>
          </cell>
          <cell r="G1197" t="str">
            <v>植栽管理</v>
          </cell>
          <cell r="H1197" t="str">
            <v>浦浜農園</v>
          </cell>
          <cell r="I1197">
            <v>8000</v>
          </cell>
          <cell r="J1197">
            <v>8160</v>
          </cell>
          <cell r="K1197">
            <v>1</v>
          </cell>
          <cell r="L1197">
            <v>0</v>
          </cell>
          <cell r="M1197">
            <v>0</v>
          </cell>
          <cell r="N1197">
            <v>0</v>
          </cell>
          <cell r="O1197">
            <v>0</v>
          </cell>
          <cell r="P1197">
            <v>0</v>
          </cell>
          <cell r="Q1197">
            <v>0</v>
          </cell>
          <cell r="R1197">
            <v>0</v>
          </cell>
          <cell r="S1197">
            <v>0</v>
          </cell>
          <cell r="T1197">
            <v>0</v>
          </cell>
          <cell r="U1197">
            <v>0</v>
          </cell>
          <cell r="V1197">
            <v>8160</v>
          </cell>
          <cell r="W1197">
            <v>0</v>
          </cell>
          <cell r="X1197" t="str">
            <v/>
          </cell>
          <cell r="Y1197" t="str">
            <v/>
          </cell>
          <cell r="Z1197" t="str">
            <v/>
          </cell>
          <cell r="AA1197" t="str">
            <v/>
          </cell>
          <cell r="AB1197" t="str">
            <v/>
          </cell>
          <cell r="AC1197" t="str">
            <v/>
          </cell>
          <cell r="AD1197" t="str">
            <v/>
          </cell>
          <cell r="AE1197" t="str">
            <v/>
          </cell>
          <cell r="AF1197" t="str">
            <v/>
          </cell>
          <cell r="AG1197" t="str">
            <v/>
          </cell>
          <cell r="AH1197" t="str">
            <v>②</v>
          </cell>
          <cell r="AI1197" t="str">
            <v/>
          </cell>
        </row>
        <row r="1198">
          <cell r="B1198">
            <v>5640</v>
          </cell>
          <cell r="C1198">
            <v>56</v>
          </cell>
          <cell r="D1198">
            <v>40</v>
          </cell>
          <cell r="F1198" t="str">
            <v>新潟</v>
          </cell>
          <cell r="G1198" t="str">
            <v>植栽管理</v>
          </cell>
          <cell r="H1198" t="str">
            <v>浦浜農園</v>
          </cell>
          <cell r="I1198">
            <v>6000</v>
          </cell>
          <cell r="J1198">
            <v>6120</v>
          </cell>
          <cell r="K1198">
            <v>1</v>
          </cell>
          <cell r="L1198">
            <v>0</v>
          </cell>
          <cell r="M1198">
            <v>0</v>
          </cell>
          <cell r="N1198">
            <v>0</v>
          </cell>
          <cell r="O1198">
            <v>0</v>
          </cell>
          <cell r="P1198">
            <v>0</v>
          </cell>
          <cell r="Q1198">
            <v>0</v>
          </cell>
          <cell r="R1198">
            <v>0</v>
          </cell>
          <cell r="S1198">
            <v>0</v>
          </cell>
          <cell r="T1198">
            <v>0</v>
          </cell>
          <cell r="U1198">
            <v>0</v>
          </cell>
          <cell r="V1198">
            <v>0</v>
          </cell>
          <cell r="W1198">
            <v>6120</v>
          </cell>
          <cell r="X1198" t="str">
            <v/>
          </cell>
          <cell r="Y1198" t="str">
            <v/>
          </cell>
          <cell r="Z1198" t="str">
            <v/>
          </cell>
          <cell r="AA1198" t="str">
            <v/>
          </cell>
          <cell r="AB1198" t="str">
            <v/>
          </cell>
          <cell r="AC1198" t="str">
            <v/>
          </cell>
          <cell r="AD1198" t="str">
            <v/>
          </cell>
          <cell r="AE1198" t="str">
            <v/>
          </cell>
          <cell r="AF1198" t="str">
            <v/>
          </cell>
          <cell r="AG1198" t="str">
            <v/>
          </cell>
          <cell r="AH1198" t="str">
            <v/>
          </cell>
          <cell r="AI1198" t="str">
            <v>③</v>
          </cell>
        </row>
        <row r="1199">
          <cell r="B1199">
            <v>5641</v>
          </cell>
          <cell r="C1199">
            <v>56</v>
          </cell>
          <cell r="D1199">
            <v>41</v>
          </cell>
          <cell r="F1199" t="str">
            <v>新潟</v>
          </cell>
          <cell r="G1199" t="str">
            <v>全熱交換器清掃</v>
          </cell>
          <cell r="H1199" t="str">
            <v>熱研</v>
          </cell>
          <cell r="I1199">
            <v>90000</v>
          </cell>
          <cell r="J1199">
            <v>103500</v>
          </cell>
          <cell r="K1199">
            <v>1</v>
          </cell>
          <cell r="L1199">
            <v>0</v>
          </cell>
          <cell r="M1199">
            <v>103500</v>
          </cell>
          <cell r="N1199">
            <v>0</v>
          </cell>
          <cell r="O1199">
            <v>0</v>
          </cell>
          <cell r="P1199">
            <v>0</v>
          </cell>
          <cell r="Q1199">
            <v>0</v>
          </cell>
          <cell r="R1199">
            <v>0</v>
          </cell>
          <cell r="S1199">
            <v>0</v>
          </cell>
          <cell r="T1199">
            <v>0</v>
          </cell>
          <cell r="U1199">
            <v>0</v>
          </cell>
          <cell r="V1199">
            <v>0</v>
          </cell>
          <cell r="W1199">
            <v>0</v>
          </cell>
          <cell r="X1199" t="str">
            <v/>
          </cell>
          <cell r="Y1199" t="str">
            <v>⑤</v>
          </cell>
          <cell r="Z1199" t="str">
            <v/>
          </cell>
          <cell r="AA1199" t="str">
            <v/>
          </cell>
          <cell r="AB1199" t="str">
            <v/>
          </cell>
          <cell r="AC1199" t="str">
            <v/>
          </cell>
          <cell r="AD1199" t="str">
            <v/>
          </cell>
          <cell r="AE1199" t="str">
            <v/>
          </cell>
          <cell r="AF1199" t="str">
            <v/>
          </cell>
          <cell r="AG1199" t="str">
            <v/>
          </cell>
          <cell r="AH1199" t="str">
            <v/>
          </cell>
          <cell r="AI1199" t="str">
            <v/>
          </cell>
          <cell r="AJ1199" t="str">
            <v>追</v>
          </cell>
        </row>
        <row r="1200">
          <cell r="B1200">
            <v>5701</v>
          </cell>
          <cell r="C1200">
            <v>57</v>
          </cell>
          <cell r="D1200">
            <v>1</v>
          </cell>
          <cell r="F1200" t="str">
            <v>甲府</v>
          </cell>
          <cell r="G1200" t="str">
            <v>昇降機設備保守</v>
          </cell>
          <cell r="H1200" t="str">
            <v>三菱電機ﾋﾞﾙﾃｸﾉｻｰﾋﾞｽ</v>
          </cell>
          <cell r="I1200">
            <v>70100</v>
          </cell>
          <cell r="J1200">
            <v>71502</v>
          </cell>
          <cell r="K1200">
            <v>12</v>
          </cell>
          <cell r="L1200">
            <v>71502</v>
          </cell>
          <cell r="M1200">
            <v>71502</v>
          </cell>
          <cell r="N1200">
            <v>71502</v>
          </cell>
          <cell r="O1200">
            <v>71502</v>
          </cell>
          <cell r="P1200">
            <v>71502</v>
          </cell>
          <cell r="Q1200">
            <v>71502</v>
          </cell>
          <cell r="R1200">
            <v>71502</v>
          </cell>
          <cell r="S1200">
            <v>71502</v>
          </cell>
          <cell r="T1200">
            <v>71502</v>
          </cell>
          <cell r="U1200">
            <v>71502</v>
          </cell>
          <cell r="V1200">
            <v>71502</v>
          </cell>
          <cell r="W1200">
            <v>71502</v>
          </cell>
          <cell r="X1200" t="str">
            <v>④</v>
          </cell>
          <cell r="Y1200" t="str">
            <v>⑤</v>
          </cell>
          <cell r="Z1200" t="str">
            <v>⑥</v>
          </cell>
          <cell r="AA1200" t="str">
            <v>⑦</v>
          </cell>
          <cell r="AB1200" t="str">
            <v>⑧</v>
          </cell>
          <cell r="AC1200" t="str">
            <v>⑨</v>
          </cell>
          <cell r="AD1200" t="str">
            <v>⑩</v>
          </cell>
          <cell r="AE1200" t="str">
            <v>⑪</v>
          </cell>
          <cell r="AF1200" t="str">
            <v>⑫</v>
          </cell>
          <cell r="AG1200" t="str">
            <v>①</v>
          </cell>
          <cell r="AH1200" t="str">
            <v>②</v>
          </cell>
          <cell r="AI1200" t="str">
            <v>③</v>
          </cell>
        </row>
        <row r="1201">
          <cell r="B1201">
            <v>5702</v>
          </cell>
          <cell r="C1201">
            <v>57</v>
          </cell>
          <cell r="D1201">
            <v>2</v>
          </cell>
          <cell r="F1201" t="str">
            <v>甲府</v>
          </cell>
          <cell r="G1201" t="str">
            <v>消火器(外観)</v>
          </cell>
          <cell r="H1201" t="str">
            <v>ホーチキ</v>
          </cell>
          <cell r="I1201">
            <v>11000</v>
          </cell>
          <cell r="J1201">
            <v>11220</v>
          </cell>
          <cell r="K1201">
            <v>2</v>
          </cell>
          <cell r="L1201">
            <v>0</v>
          </cell>
          <cell r="M1201">
            <v>0</v>
          </cell>
          <cell r="N1201">
            <v>0</v>
          </cell>
          <cell r="O1201">
            <v>11220</v>
          </cell>
          <cell r="P1201">
            <v>0</v>
          </cell>
          <cell r="Q1201">
            <v>0</v>
          </cell>
          <cell r="R1201">
            <v>0</v>
          </cell>
          <cell r="S1201">
            <v>0</v>
          </cell>
          <cell r="T1201">
            <v>0</v>
          </cell>
          <cell r="U1201">
            <v>11220</v>
          </cell>
          <cell r="V1201">
            <v>0</v>
          </cell>
          <cell r="W1201">
            <v>0</v>
          </cell>
          <cell r="X1201" t="str">
            <v/>
          </cell>
          <cell r="Y1201" t="str">
            <v/>
          </cell>
          <cell r="Z1201" t="str">
            <v/>
          </cell>
          <cell r="AA1201" t="str">
            <v>⑦</v>
          </cell>
          <cell r="AB1201" t="str">
            <v/>
          </cell>
          <cell r="AC1201" t="str">
            <v/>
          </cell>
          <cell r="AD1201" t="str">
            <v/>
          </cell>
          <cell r="AE1201" t="str">
            <v/>
          </cell>
          <cell r="AF1201" t="str">
            <v/>
          </cell>
          <cell r="AG1201" t="str">
            <v>①</v>
          </cell>
          <cell r="AH1201" t="str">
            <v/>
          </cell>
          <cell r="AI1201" t="str">
            <v/>
          </cell>
        </row>
        <row r="1202">
          <cell r="B1202">
            <v>5703</v>
          </cell>
          <cell r="C1202">
            <v>57</v>
          </cell>
          <cell r="D1202">
            <v>3</v>
          </cell>
          <cell r="F1202" t="str">
            <v>甲府</v>
          </cell>
          <cell r="G1202" t="str">
            <v>屋内消火栓(外観)</v>
          </cell>
          <cell r="H1202" t="str">
            <v>ホーチキ</v>
          </cell>
          <cell r="I1202">
            <v>18000</v>
          </cell>
          <cell r="J1202">
            <v>18360</v>
          </cell>
          <cell r="K1202">
            <v>1</v>
          </cell>
          <cell r="L1202">
            <v>0</v>
          </cell>
          <cell r="M1202">
            <v>0</v>
          </cell>
          <cell r="N1202">
            <v>0</v>
          </cell>
          <cell r="O1202">
            <v>18360</v>
          </cell>
          <cell r="P1202">
            <v>0</v>
          </cell>
          <cell r="Q1202">
            <v>0</v>
          </cell>
          <cell r="R1202">
            <v>0</v>
          </cell>
          <cell r="S1202">
            <v>0</v>
          </cell>
          <cell r="T1202">
            <v>0</v>
          </cell>
          <cell r="U1202">
            <v>0</v>
          </cell>
          <cell r="V1202">
            <v>0</v>
          </cell>
          <cell r="W1202">
            <v>0</v>
          </cell>
          <cell r="X1202" t="str">
            <v/>
          </cell>
          <cell r="Y1202" t="str">
            <v/>
          </cell>
          <cell r="Z1202" t="str">
            <v/>
          </cell>
          <cell r="AA1202" t="str">
            <v>⑦</v>
          </cell>
          <cell r="AB1202" t="str">
            <v/>
          </cell>
          <cell r="AC1202" t="str">
            <v/>
          </cell>
          <cell r="AD1202" t="str">
            <v/>
          </cell>
          <cell r="AE1202" t="str">
            <v/>
          </cell>
          <cell r="AF1202" t="str">
            <v/>
          </cell>
          <cell r="AG1202" t="str">
            <v/>
          </cell>
          <cell r="AH1202" t="str">
            <v/>
          </cell>
          <cell r="AI1202" t="str">
            <v/>
          </cell>
        </row>
        <row r="1203">
          <cell r="B1203">
            <v>5704</v>
          </cell>
          <cell r="C1203">
            <v>57</v>
          </cell>
          <cell r="D1203">
            <v>4</v>
          </cell>
          <cell r="F1203" t="str">
            <v>甲府</v>
          </cell>
          <cell r="G1203" t="str">
            <v>屋内消火栓(総合)</v>
          </cell>
          <cell r="H1203" t="str">
            <v>ホーチキ</v>
          </cell>
          <cell r="I1203">
            <v>44000</v>
          </cell>
          <cell r="J1203">
            <v>44880</v>
          </cell>
          <cell r="K1203">
            <v>1</v>
          </cell>
          <cell r="L1203">
            <v>0</v>
          </cell>
          <cell r="M1203">
            <v>0</v>
          </cell>
          <cell r="N1203">
            <v>0</v>
          </cell>
          <cell r="O1203">
            <v>0</v>
          </cell>
          <cell r="P1203">
            <v>0</v>
          </cell>
          <cell r="Q1203">
            <v>0</v>
          </cell>
          <cell r="R1203">
            <v>0</v>
          </cell>
          <cell r="S1203">
            <v>0</v>
          </cell>
          <cell r="T1203">
            <v>0</v>
          </cell>
          <cell r="U1203">
            <v>44880</v>
          </cell>
          <cell r="V1203">
            <v>0</v>
          </cell>
          <cell r="W1203">
            <v>0</v>
          </cell>
          <cell r="X1203" t="str">
            <v/>
          </cell>
          <cell r="Y1203" t="str">
            <v/>
          </cell>
          <cell r="Z1203" t="str">
            <v/>
          </cell>
          <cell r="AA1203" t="str">
            <v/>
          </cell>
          <cell r="AB1203" t="str">
            <v/>
          </cell>
          <cell r="AC1203" t="str">
            <v/>
          </cell>
          <cell r="AD1203" t="str">
            <v/>
          </cell>
          <cell r="AE1203" t="str">
            <v/>
          </cell>
          <cell r="AF1203" t="str">
            <v/>
          </cell>
          <cell r="AG1203" t="str">
            <v>①</v>
          </cell>
          <cell r="AH1203" t="str">
            <v/>
          </cell>
          <cell r="AI1203" t="str">
            <v/>
          </cell>
        </row>
        <row r="1204">
          <cell r="B1204">
            <v>5705</v>
          </cell>
          <cell r="C1204">
            <v>57</v>
          </cell>
          <cell r="D1204">
            <v>5</v>
          </cell>
          <cell r="F1204" t="str">
            <v>甲府</v>
          </cell>
          <cell r="G1204" t="str">
            <v>自動火災報知設備(外観)</v>
          </cell>
          <cell r="H1204" t="str">
            <v>ホーチキ</v>
          </cell>
          <cell r="I1204">
            <v>22000</v>
          </cell>
          <cell r="J1204">
            <v>22440</v>
          </cell>
          <cell r="K1204">
            <v>1</v>
          </cell>
          <cell r="L1204">
            <v>0</v>
          </cell>
          <cell r="M1204">
            <v>0</v>
          </cell>
          <cell r="N1204">
            <v>0</v>
          </cell>
          <cell r="O1204">
            <v>22440</v>
          </cell>
          <cell r="P1204">
            <v>0</v>
          </cell>
          <cell r="Q1204">
            <v>0</v>
          </cell>
          <cell r="R1204">
            <v>0</v>
          </cell>
          <cell r="S1204">
            <v>0</v>
          </cell>
          <cell r="T1204">
            <v>0</v>
          </cell>
          <cell r="U1204">
            <v>0</v>
          </cell>
          <cell r="V1204">
            <v>0</v>
          </cell>
          <cell r="W1204">
            <v>0</v>
          </cell>
          <cell r="X1204" t="str">
            <v/>
          </cell>
          <cell r="Y1204" t="str">
            <v/>
          </cell>
          <cell r="Z1204" t="str">
            <v/>
          </cell>
          <cell r="AA1204" t="str">
            <v>⑦</v>
          </cell>
          <cell r="AB1204" t="str">
            <v/>
          </cell>
          <cell r="AC1204" t="str">
            <v/>
          </cell>
          <cell r="AD1204" t="str">
            <v/>
          </cell>
          <cell r="AE1204" t="str">
            <v/>
          </cell>
          <cell r="AF1204" t="str">
            <v/>
          </cell>
          <cell r="AG1204" t="str">
            <v/>
          </cell>
          <cell r="AH1204" t="str">
            <v/>
          </cell>
          <cell r="AI1204" t="str">
            <v/>
          </cell>
        </row>
        <row r="1205">
          <cell r="B1205">
            <v>5706</v>
          </cell>
          <cell r="C1205">
            <v>57</v>
          </cell>
          <cell r="D1205">
            <v>6</v>
          </cell>
          <cell r="F1205" t="str">
            <v>甲府</v>
          </cell>
          <cell r="G1205" t="str">
            <v>自動火災報知設備(総合)</v>
          </cell>
          <cell r="H1205" t="str">
            <v>ホーチキ</v>
          </cell>
          <cell r="I1205">
            <v>43000</v>
          </cell>
          <cell r="J1205">
            <v>43860</v>
          </cell>
          <cell r="K1205">
            <v>1</v>
          </cell>
          <cell r="L1205">
            <v>0</v>
          </cell>
          <cell r="M1205">
            <v>0</v>
          </cell>
          <cell r="N1205">
            <v>0</v>
          </cell>
          <cell r="O1205">
            <v>0</v>
          </cell>
          <cell r="P1205">
            <v>0</v>
          </cell>
          <cell r="Q1205">
            <v>0</v>
          </cell>
          <cell r="R1205">
            <v>0</v>
          </cell>
          <cell r="S1205">
            <v>0</v>
          </cell>
          <cell r="T1205">
            <v>0</v>
          </cell>
          <cell r="U1205">
            <v>43860</v>
          </cell>
          <cell r="V1205">
            <v>0</v>
          </cell>
          <cell r="W1205">
            <v>0</v>
          </cell>
          <cell r="X1205" t="str">
            <v/>
          </cell>
          <cell r="Y1205" t="str">
            <v/>
          </cell>
          <cell r="Z1205" t="str">
            <v/>
          </cell>
          <cell r="AA1205" t="str">
            <v/>
          </cell>
          <cell r="AB1205" t="str">
            <v/>
          </cell>
          <cell r="AC1205" t="str">
            <v/>
          </cell>
          <cell r="AD1205" t="str">
            <v/>
          </cell>
          <cell r="AE1205" t="str">
            <v/>
          </cell>
          <cell r="AF1205" t="str">
            <v/>
          </cell>
          <cell r="AG1205" t="str">
            <v>①</v>
          </cell>
          <cell r="AH1205" t="str">
            <v/>
          </cell>
          <cell r="AI1205" t="str">
            <v/>
          </cell>
        </row>
        <row r="1206">
          <cell r="B1206">
            <v>5707</v>
          </cell>
          <cell r="C1206">
            <v>57</v>
          </cell>
          <cell r="D1206">
            <v>7</v>
          </cell>
          <cell r="F1206" t="str">
            <v>甲府</v>
          </cell>
          <cell r="G1206" t="str">
            <v>誘導灯(外観)</v>
          </cell>
          <cell r="H1206" t="str">
            <v>ホーチキ</v>
          </cell>
          <cell r="I1206">
            <v>10000</v>
          </cell>
          <cell r="J1206">
            <v>10200</v>
          </cell>
          <cell r="K1206">
            <v>2</v>
          </cell>
          <cell r="L1206">
            <v>0</v>
          </cell>
          <cell r="M1206">
            <v>0</v>
          </cell>
          <cell r="N1206">
            <v>0</v>
          </cell>
          <cell r="O1206">
            <v>10200</v>
          </cell>
          <cell r="P1206">
            <v>0</v>
          </cell>
          <cell r="Q1206">
            <v>0</v>
          </cell>
          <cell r="R1206">
            <v>0</v>
          </cell>
          <cell r="S1206">
            <v>0</v>
          </cell>
          <cell r="T1206">
            <v>0</v>
          </cell>
          <cell r="U1206">
            <v>10200</v>
          </cell>
          <cell r="V1206">
            <v>0</v>
          </cell>
          <cell r="W1206">
            <v>0</v>
          </cell>
          <cell r="X1206" t="str">
            <v/>
          </cell>
          <cell r="Y1206" t="str">
            <v/>
          </cell>
          <cell r="Z1206" t="str">
            <v/>
          </cell>
          <cell r="AA1206" t="str">
            <v>⑦</v>
          </cell>
          <cell r="AB1206" t="str">
            <v/>
          </cell>
          <cell r="AC1206" t="str">
            <v/>
          </cell>
          <cell r="AD1206" t="str">
            <v/>
          </cell>
          <cell r="AE1206" t="str">
            <v/>
          </cell>
          <cell r="AF1206" t="str">
            <v/>
          </cell>
          <cell r="AG1206" t="str">
            <v>①</v>
          </cell>
          <cell r="AH1206" t="str">
            <v/>
          </cell>
          <cell r="AI1206" t="str">
            <v/>
          </cell>
        </row>
        <row r="1207">
          <cell r="B1207">
            <v>5708</v>
          </cell>
          <cell r="C1207">
            <v>57</v>
          </cell>
          <cell r="D1207">
            <v>8</v>
          </cell>
          <cell r="F1207" t="str">
            <v>甲府</v>
          </cell>
          <cell r="G1207" t="str">
            <v>防排煙制御(外観)</v>
          </cell>
          <cell r="H1207" t="str">
            <v>ホーチキ</v>
          </cell>
          <cell r="I1207">
            <v>50000</v>
          </cell>
          <cell r="J1207">
            <v>51000</v>
          </cell>
          <cell r="K1207">
            <v>1</v>
          </cell>
          <cell r="L1207">
            <v>0</v>
          </cell>
          <cell r="M1207">
            <v>0</v>
          </cell>
          <cell r="N1207">
            <v>0</v>
          </cell>
          <cell r="O1207">
            <v>51000</v>
          </cell>
          <cell r="P1207">
            <v>0</v>
          </cell>
          <cell r="Q1207">
            <v>0</v>
          </cell>
          <cell r="R1207">
            <v>0</v>
          </cell>
          <cell r="S1207">
            <v>0</v>
          </cell>
          <cell r="T1207">
            <v>0</v>
          </cell>
          <cell r="U1207">
            <v>0</v>
          </cell>
          <cell r="V1207">
            <v>0</v>
          </cell>
          <cell r="W1207">
            <v>0</v>
          </cell>
          <cell r="X1207" t="str">
            <v/>
          </cell>
          <cell r="Y1207" t="str">
            <v/>
          </cell>
          <cell r="Z1207" t="str">
            <v/>
          </cell>
          <cell r="AA1207" t="str">
            <v>⑦</v>
          </cell>
          <cell r="AB1207" t="str">
            <v/>
          </cell>
          <cell r="AC1207" t="str">
            <v/>
          </cell>
          <cell r="AD1207" t="str">
            <v/>
          </cell>
          <cell r="AE1207" t="str">
            <v/>
          </cell>
          <cell r="AF1207" t="str">
            <v/>
          </cell>
          <cell r="AG1207" t="str">
            <v/>
          </cell>
          <cell r="AH1207" t="str">
            <v/>
          </cell>
          <cell r="AI1207" t="str">
            <v/>
          </cell>
        </row>
        <row r="1208">
          <cell r="B1208">
            <v>5709</v>
          </cell>
          <cell r="C1208">
            <v>57</v>
          </cell>
          <cell r="D1208">
            <v>9</v>
          </cell>
          <cell r="F1208" t="str">
            <v>甲府</v>
          </cell>
          <cell r="G1208" t="str">
            <v>防排煙制御(総合)</v>
          </cell>
          <cell r="H1208" t="str">
            <v>ホーチキ</v>
          </cell>
          <cell r="I1208">
            <v>78700</v>
          </cell>
          <cell r="J1208">
            <v>80274</v>
          </cell>
          <cell r="K1208">
            <v>1</v>
          </cell>
          <cell r="L1208">
            <v>0</v>
          </cell>
          <cell r="M1208">
            <v>0</v>
          </cell>
          <cell r="N1208">
            <v>0</v>
          </cell>
          <cell r="O1208">
            <v>0</v>
          </cell>
          <cell r="P1208">
            <v>0</v>
          </cell>
          <cell r="Q1208">
            <v>0</v>
          </cell>
          <cell r="R1208">
            <v>0</v>
          </cell>
          <cell r="S1208">
            <v>0</v>
          </cell>
          <cell r="T1208">
            <v>0</v>
          </cell>
          <cell r="U1208">
            <v>80274</v>
          </cell>
          <cell r="V1208">
            <v>0</v>
          </cell>
          <cell r="W1208">
            <v>0</v>
          </cell>
          <cell r="X1208" t="str">
            <v/>
          </cell>
          <cell r="Y1208" t="str">
            <v/>
          </cell>
          <cell r="Z1208" t="str">
            <v/>
          </cell>
          <cell r="AA1208" t="str">
            <v/>
          </cell>
          <cell r="AB1208" t="str">
            <v/>
          </cell>
          <cell r="AC1208" t="str">
            <v/>
          </cell>
          <cell r="AD1208" t="str">
            <v/>
          </cell>
          <cell r="AE1208" t="str">
            <v/>
          </cell>
          <cell r="AF1208" t="str">
            <v/>
          </cell>
          <cell r="AG1208" t="str">
            <v>①</v>
          </cell>
          <cell r="AH1208" t="str">
            <v/>
          </cell>
          <cell r="AI1208" t="str">
            <v/>
          </cell>
        </row>
        <row r="1209">
          <cell r="B1209">
            <v>5710</v>
          </cell>
          <cell r="C1209">
            <v>57</v>
          </cell>
          <cell r="D1209">
            <v>10</v>
          </cell>
          <cell r="F1209" t="str">
            <v>甲府</v>
          </cell>
          <cell r="G1209" t="str">
            <v>連結送水管(外観)</v>
          </cell>
          <cell r="H1209" t="str">
            <v>ホーチキ</v>
          </cell>
          <cell r="I1209">
            <v>10000</v>
          </cell>
          <cell r="J1209">
            <v>10200</v>
          </cell>
          <cell r="K1209">
            <v>1</v>
          </cell>
          <cell r="L1209">
            <v>0</v>
          </cell>
          <cell r="M1209">
            <v>0</v>
          </cell>
          <cell r="N1209">
            <v>0</v>
          </cell>
          <cell r="O1209">
            <v>10200</v>
          </cell>
          <cell r="P1209">
            <v>0</v>
          </cell>
          <cell r="Q1209">
            <v>0</v>
          </cell>
          <cell r="R1209">
            <v>0</v>
          </cell>
          <cell r="S1209">
            <v>0</v>
          </cell>
          <cell r="T1209">
            <v>0</v>
          </cell>
          <cell r="U1209">
            <v>0</v>
          </cell>
          <cell r="V1209">
            <v>0</v>
          </cell>
          <cell r="W1209">
            <v>0</v>
          </cell>
          <cell r="X1209" t="str">
            <v/>
          </cell>
          <cell r="Y1209" t="str">
            <v/>
          </cell>
          <cell r="Z1209" t="str">
            <v/>
          </cell>
          <cell r="AA1209" t="str">
            <v>⑦</v>
          </cell>
          <cell r="AB1209" t="str">
            <v/>
          </cell>
          <cell r="AC1209" t="str">
            <v/>
          </cell>
          <cell r="AD1209" t="str">
            <v/>
          </cell>
          <cell r="AE1209" t="str">
            <v/>
          </cell>
          <cell r="AF1209" t="str">
            <v/>
          </cell>
          <cell r="AG1209" t="str">
            <v/>
          </cell>
          <cell r="AH1209" t="str">
            <v/>
          </cell>
          <cell r="AI1209" t="str">
            <v/>
          </cell>
        </row>
        <row r="1210">
          <cell r="B1210">
            <v>5711</v>
          </cell>
          <cell r="C1210">
            <v>57</v>
          </cell>
          <cell r="D1210">
            <v>11</v>
          </cell>
          <cell r="F1210" t="str">
            <v>甲府</v>
          </cell>
          <cell r="G1210" t="str">
            <v>連結送水管(総合)</v>
          </cell>
          <cell r="H1210" t="str">
            <v>ホーチキ</v>
          </cell>
          <cell r="I1210">
            <v>10000</v>
          </cell>
          <cell r="J1210">
            <v>10200</v>
          </cell>
          <cell r="K1210">
            <v>1</v>
          </cell>
          <cell r="L1210">
            <v>0</v>
          </cell>
          <cell r="M1210">
            <v>0</v>
          </cell>
          <cell r="N1210">
            <v>0</v>
          </cell>
          <cell r="O1210">
            <v>0</v>
          </cell>
          <cell r="P1210">
            <v>0</v>
          </cell>
          <cell r="Q1210">
            <v>0</v>
          </cell>
          <cell r="R1210">
            <v>0</v>
          </cell>
          <cell r="S1210">
            <v>0</v>
          </cell>
          <cell r="T1210">
            <v>0</v>
          </cell>
          <cell r="U1210">
            <v>10200</v>
          </cell>
          <cell r="V1210">
            <v>0</v>
          </cell>
          <cell r="W1210">
            <v>0</v>
          </cell>
          <cell r="X1210" t="str">
            <v/>
          </cell>
          <cell r="Y1210" t="str">
            <v/>
          </cell>
          <cell r="Z1210" t="str">
            <v/>
          </cell>
          <cell r="AA1210" t="str">
            <v/>
          </cell>
          <cell r="AB1210" t="str">
            <v/>
          </cell>
          <cell r="AC1210" t="str">
            <v/>
          </cell>
          <cell r="AD1210" t="str">
            <v/>
          </cell>
          <cell r="AE1210" t="str">
            <v/>
          </cell>
          <cell r="AF1210" t="str">
            <v/>
          </cell>
          <cell r="AG1210" t="str">
            <v>①</v>
          </cell>
          <cell r="AH1210" t="str">
            <v/>
          </cell>
          <cell r="AI1210" t="str">
            <v/>
          </cell>
        </row>
        <row r="1211">
          <cell r="B1211">
            <v>5712</v>
          </cell>
          <cell r="C1211">
            <v>57</v>
          </cell>
          <cell r="D1211">
            <v>12</v>
          </cell>
          <cell r="F1211" t="str">
            <v>甲府</v>
          </cell>
          <cell r="G1211" t="str">
            <v>非常放送設備保守(外観)</v>
          </cell>
          <cell r="H1211" t="str">
            <v>山梨ﾅｼｮﾅﾙｼｽﾃﾑｽﾞ</v>
          </cell>
          <cell r="I1211">
            <v>55000</v>
          </cell>
          <cell r="J1211">
            <v>56904</v>
          </cell>
          <cell r="K1211">
            <v>1</v>
          </cell>
          <cell r="L1211">
            <v>56904</v>
          </cell>
          <cell r="M1211">
            <v>0</v>
          </cell>
          <cell r="N1211">
            <v>0</v>
          </cell>
          <cell r="O1211">
            <v>0</v>
          </cell>
          <cell r="P1211">
            <v>0</v>
          </cell>
          <cell r="Q1211">
            <v>0</v>
          </cell>
          <cell r="R1211">
            <v>0</v>
          </cell>
          <cell r="S1211">
            <v>0</v>
          </cell>
          <cell r="T1211">
            <v>0</v>
          </cell>
          <cell r="U1211">
            <v>0</v>
          </cell>
          <cell r="V1211">
            <v>0</v>
          </cell>
          <cell r="W1211">
            <v>0</v>
          </cell>
          <cell r="X1211" t="str">
            <v>④</v>
          </cell>
          <cell r="Y1211" t="str">
            <v/>
          </cell>
          <cell r="Z1211" t="str">
            <v/>
          </cell>
          <cell r="AA1211" t="str">
            <v/>
          </cell>
          <cell r="AB1211" t="str">
            <v/>
          </cell>
          <cell r="AC1211" t="str">
            <v/>
          </cell>
          <cell r="AD1211" t="str">
            <v/>
          </cell>
          <cell r="AE1211" t="str">
            <v/>
          </cell>
          <cell r="AF1211" t="str">
            <v/>
          </cell>
          <cell r="AG1211" t="str">
            <v/>
          </cell>
          <cell r="AH1211" t="str">
            <v/>
          </cell>
          <cell r="AI1211" t="str">
            <v/>
          </cell>
          <cell r="AJ1211" t="str">
            <v>変</v>
          </cell>
        </row>
        <row r="1212">
          <cell r="B1212">
            <v>5713</v>
          </cell>
          <cell r="C1212">
            <v>57</v>
          </cell>
          <cell r="D1212">
            <v>13</v>
          </cell>
          <cell r="F1212" t="str">
            <v>甲府</v>
          </cell>
          <cell r="G1212" t="str">
            <v>非常放送設備保守(総合)</v>
          </cell>
          <cell r="H1212" t="str">
            <v>山梨ﾅｼｮﾅﾙｼｽﾃﾑｽﾞ</v>
          </cell>
          <cell r="I1212">
            <v>55000</v>
          </cell>
          <cell r="J1212">
            <v>56904</v>
          </cell>
          <cell r="K1212">
            <v>1</v>
          </cell>
          <cell r="L1212">
            <v>0</v>
          </cell>
          <cell r="M1212">
            <v>0</v>
          </cell>
          <cell r="N1212">
            <v>0</v>
          </cell>
          <cell r="O1212">
            <v>0</v>
          </cell>
          <cell r="P1212">
            <v>0</v>
          </cell>
          <cell r="Q1212">
            <v>0</v>
          </cell>
          <cell r="R1212">
            <v>56904</v>
          </cell>
          <cell r="S1212">
            <v>0</v>
          </cell>
          <cell r="T1212">
            <v>0</v>
          </cell>
          <cell r="U1212">
            <v>0</v>
          </cell>
          <cell r="V1212">
            <v>0</v>
          </cell>
          <cell r="W1212">
            <v>0</v>
          </cell>
          <cell r="X1212" t="str">
            <v/>
          </cell>
          <cell r="Y1212" t="str">
            <v/>
          </cell>
          <cell r="Z1212" t="str">
            <v/>
          </cell>
          <cell r="AA1212" t="str">
            <v/>
          </cell>
          <cell r="AB1212" t="str">
            <v/>
          </cell>
          <cell r="AC1212" t="str">
            <v/>
          </cell>
          <cell r="AD1212" t="str">
            <v>⑩</v>
          </cell>
          <cell r="AE1212" t="str">
            <v/>
          </cell>
          <cell r="AF1212" t="str">
            <v/>
          </cell>
          <cell r="AG1212" t="str">
            <v/>
          </cell>
          <cell r="AH1212" t="str">
            <v/>
          </cell>
          <cell r="AI1212" t="str">
            <v/>
          </cell>
          <cell r="AJ1212" t="str">
            <v>変</v>
          </cell>
        </row>
        <row r="1213">
          <cell r="B1213">
            <v>5714</v>
          </cell>
          <cell r="C1213">
            <v>57</v>
          </cell>
          <cell r="D1213">
            <v>14</v>
          </cell>
          <cell r="F1213" t="str">
            <v>甲府</v>
          </cell>
          <cell r="G1213" t="str">
            <v>機械式駐車場設備保守</v>
          </cell>
          <cell r="H1213" t="str">
            <v>石川島運搬機械</v>
          </cell>
          <cell r="I1213">
            <v>34000</v>
          </cell>
          <cell r="J1213">
            <v>36900</v>
          </cell>
          <cell r="K1213">
            <v>12</v>
          </cell>
          <cell r="L1213">
            <v>36900</v>
          </cell>
          <cell r="M1213">
            <v>36900</v>
          </cell>
          <cell r="N1213">
            <v>36900</v>
          </cell>
          <cell r="O1213">
            <v>36900</v>
          </cell>
          <cell r="P1213">
            <v>36900</v>
          </cell>
          <cell r="Q1213">
            <v>36900</v>
          </cell>
          <cell r="R1213">
            <v>36900</v>
          </cell>
          <cell r="S1213">
            <v>36900</v>
          </cell>
          <cell r="T1213">
            <v>36900</v>
          </cell>
          <cell r="U1213">
            <v>36900</v>
          </cell>
          <cell r="V1213">
            <v>36900</v>
          </cell>
          <cell r="W1213">
            <v>36900</v>
          </cell>
          <cell r="X1213" t="str">
            <v>④</v>
          </cell>
          <cell r="Y1213" t="str">
            <v>⑤</v>
          </cell>
          <cell r="Z1213" t="str">
            <v>⑥</v>
          </cell>
          <cell r="AA1213" t="str">
            <v>⑦</v>
          </cell>
          <cell r="AB1213" t="str">
            <v>⑧</v>
          </cell>
          <cell r="AC1213" t="str">
            <v>⑨</v>
          </cell>
          <cell r="AD1213" t="str">
            <v>⑩</v>
          </cell>
          <cell r="AE1213" t="str">
            <v>⑪</v>
          </cell>
          <cell r="AF1213" t="str">
            <v>⑫</v>
          </cell>
          <cell r="AG1213" t="str">
            <v>①</v>
          </cell>
          <cell r="AH1213" t="str">
            <v>②</v>
          </cell>
          <cell r="AI1213" t="str">
            <v>③</v>
          </cell>
        </row>
        <row r="1214">
          <cell r="B1214">
            <v>5715</v>
          </cell>
          <cell r="C1214">
            <v>57</v>
          </cell>
          <cell r="D1214">
            <v>15</v>
          </cell>
          <cell r="F1214" t="str">
            <v>甲府</v>
          </cell>
          <cell r="G1214" t="str">
            <v>害虫駆除</v>
          </cell>
          <cell r="H1214" t="str">
            <v>ティーエイシー</v>
          </cell>
          <cell r="I1214">
            <v>75000</v>
          </cell>
          <cell r="J1214">
            <v>82500</v>
          </cell>
          <cell r="K1214">
            <v>2</v>
          </cell>
          <cell r="L1214">
            <v>0</v>
          </cell>
          <cell r="M1214">
            <v>82500</v>
          </cell>
          <cell r="N1214">
            <v>0</v>
          </cell>
          <cell r="O1214">
            <v>0</v>
          </cell>
          <cell r="P1214">
            <v>0</v>
          </cell>
          <cell r="Q1214">
            <v>0</v>
          </cell>
          <cell r="R1214">
            <v>0</v>
          </cell>
          <cell r="S1214">
            <v>82500</v>
          </cell>
          <cell r="T1214">
            <v>0</v>
          </cell>
          <cell r="U1214">
            <v>0</v>
          </cell>
          <cell r="V1214">
            <v>0</v>
          </cell>
          <cell r="W1214">
            <v>0</v>
          </cell>
          <cell r="X1214" t="str">
            <v/>
          </cell>
          <cell r="Y1214" t="str">
            <v>⑤</v>
          </cell>
          <cell r="Z1214" t="str">
            <v/>
          </cell>
          <cell r="AA1214" t="str">
            <v/>
          </cell>
          <cell r="AB1214" t="str">
            <v/>
          </cell>
          <cell r="AC1214" t="str">
            <v/>
          </cell>
          <cell r="AD1214" t="str">
            <v/>
          </cell>
          <cell r="AE1214" t="str">
            <v>⑪</v>
          </cell>
          <cell r="AF1214" t="str">
            <v/>
          </cell>
          <cell r="AG1214" t="str">
            <v/>
          </cell>
          <cell r="AH1214" t="str">
            <v/>
          </cell>
          <cell r="AI1214" t="str">
            <v/>
          </cell>
        </row>
        <row r="1215">
          <cell r="B1215">
            <v>5716</v>
          </cell>
          <cell r="C1215">
            <v>57</v>
          </cell>
          <cell r="D1215">
            <v>16</v>
          </cell>
          <cell r="F1215" t="str">
            <v>甲府</v>
          </cell>
          <cell r="G1215" t="str">
            <v>貯水槽清掃</v>
          </cell>
          <cell r="H1215" t="str">
            <v>イカリ環境サービス</v>
          </cell>
          <cell r="I1215">
            <v>85500</v>
          </cell>
          <cell r="J1215">
            <v>98800</v>
          </cell>
          <cell r="K1215">
            <v>1</v>
          </cell>
          <cell r="L1215">
            <v>0</v>
          </cell>
          <cell r="M1215">
            <v>0</v>
          </cell>
          <cell r="N1215">
            <v>0</v>
          </cell>
          <cell r="O1215">
            <v>0</v>
          </cell>
          <cell r="P1215">
            <v>0</v>
          </cell>
          <cell r="Q1215">
            <v>0</v>
          </cell>
          <cell r="R1215">
            <v>0</v>
          </cell>
          <cell r="S1215">
            <v>98800</v>
          </cell>
          <cell r="T1215">
            <v>0</v>
          </cell>
          <cell r="U1215">
            <v>0</v>
          </cell>
          <cell r="V1215">
            <v>0</v>
          </cell>
          <cell r="W1215">
            <v>0</v>
          </cell>
          <cell r="X1215" t="str">
            <v/>
          </cell>
          <cell r="Y1215" t="str">
            <v/>
          </cell>
          <cell r="Z1215" t="str">
            <v/>
          </cell>
          <cell r="AA1215" t="str">
            <v/>
          </cell>
          <cell r="AB1215" t="str">
            <v/>
          </cell>
          <cell r="AC1215" t="str">
            <v/>
          </cell>
          <cell r="AD1215" t="str">
            <v/>
          </cell>
          <cell r="AE1215" t="str">
            <v>⑪</v>
          </cell>
          <cell r="AF1215" t="str">
            <v/>
          </cell>
          <cell r="AG1215" t="str">
            <v/>
          </cell>
          <cell r="AH1215" t="str">
            <v/>
          </cell>
          <cell r="AI1215" t="str">
            <v/>
          </cell>
          <cell r="AJ1215" t="str">
            <v>変</v>
          </cell>
        </row>
        <row r="1216">
          <cell r="B1216">
            <v>5717</v>
          </cell>
          <cell r="C1216">
            <v>57</v>
          </cell>
          <cell r="D1216">
            <v>17</v>
          </cell>
          <cell r="F1216" t="str">
            <v>甲府</v>
          </cell>
          <cell r="G1216" t="str">
            <v>自動ドアー保守</v>
          </cell>
          <cell r="H1216" t="str">
            <v>長野ナブコ</v>
          </cell>
          <cell r="I1216">
            <v>13500</v>
          </cell>
          <cell r="J1216">
            <v>14850</v>
          </cell>
          <cell r="K1216">
            <v>2</v>
          </cell>
          <cell r="L1216">
            <v>0</v>
          </cell>
          <cell r="M1216">
            <v>0</v>
          </cell>
          <cell r="N1216">
            <v>14850</v>
          </cell>
          <cell r="O1216">
            <v>0</v>
          </cell>
          <cell r="P1216">
            <v>0</v>
          </cell>
          <cell r="Q1216">
            <v>0</v>
          </cell>
          <cell r="R1216">
            <v>0</v>
          </cell>
          <cell r="S1216">
            <v>0</v>
          </cell>
          <cell r="T1216">
            <v>14850</v>
          </cell>
          <cell r="U1216">
            <v>0</v>
          </cell>
          <cell r="V1216">
            <v>0</v>
          </cell>
          <cell r="W1216">
            <v>0</v>
          </cell>
          <cell r="X1216" t="str">
            <v/>
          </cell>
          <cell r="Y1216" t="str">
            <v/>
          </cell>
          <cell r="Z1216" t="str">
            <v>⑥</v>
          </cell>
          <cell r="AA1216" t="str">
            <v/>
          </cell>
          <cell r="AB1216" t="str">
            <v/>
          </cell>
          <cell r="AD1216" t="str">
            <v/>
          </cell>
          <cell r="AE1216" t="str">
            <v/>
          </cell>
          <cell r="AF1216" t="str">
            <v>⑫</v>
          </cell>
          <cell r="AG1216" t="str">
            <v/>
          </cell>
          <cell r="AH1216" t="str">
            <v/>
          </cell>
          <cell r="AJ1216" t="str">
            <v>変</v>
          </cell>
        </row>
        <row r="1217">
          <cell r="B1217">
            <v>5718</v>
          </cell>
          <cell r="C1217">
            <v>57</v>
          </cell>
          <cell r="D1217">
            <v>18</v>
          </cell>
          <cell r="F1217" t="str">
            <v>甲府</v>
          </cell>
          <cell r="G1217" t="str">
            <v>植栽管理</v>
          </cell>
          <cell r="H1217" t="str">
            <v>梶原造園</v>
          </cell>
          <cell r="I1217">
            <v>47000</v>
          </cell>
          <cell r="J1217">
            <v>47940</v>
          </cell>
          <cell r="K1217">
            <v>2</v>
          </cell>
          <cell r="L1217">
            <v>0</v>
          </cell>
          <cell r="M1217">
            <v>47940</v>
          </cell>
          <cell r="N1217">
            <v>0</v>
          </cell>
          <cell r="O1217">
            <v>0</v>
          </cell>
          <cell r="P1217">
            <v>0</v>
          </cell>
          <cell r="Q1217">
            <v>0</v>
          </cell>
          <cell r="R1217">
            <v>0</v>
          </cell>
          <cell r="S1217">
            <v>47940</v>
          </cell>
          <cell r="T1217">
            <v>0</v>
          </cell>
          <cell r="U1217">
            <v>0</v>
          </cell>
          <cell r="V1217">
            <v>0</v>
          </cell>
          <cell r="W1217">
            <v>0</v>
          </cell>
          <cell r="X1217" t="str">
            <v/>
          </cell>
          <cell r="Y1217" t="str">
            <v>⑤</v>
          </cell>
          <cell r="Z1217" t="str">
            <v/>
          </cell>
          <cell r="AA1217" t="str">
            <v/>
          </cell>
          <cell r="AB1217" t="str">
            <v/>
          </cell>
          <cell r="AC1217" t="str">
            <v/>
          </cell>
          <cell r="AD1217" t="str">
            <v/>
          </cell>
          <cell r="AE1217" t="str">
            <v>⑪</v>
          </cell>
          <cell r="AF1217" t="str">
            <v/>
          </cell>
          <cell r="AG1217" t="str">
            <v/>
          </cell>
          <cell r="AH1217" t="str">
            <v/>
          </cell>
          <cell r="AI1217" t="str">
            <v/>
          </cell>
        </row>
        <row r="1218">
          <cell r="B1218">
            <v>5719</v>
          </cell>
          <cell r="C1218">
            <v>57</v>
          </cell>
          <cell r="D1218">
            <v>19</v>
          </cell>
          <cell r="F1218" t="str">
            <v>甲府</v>
          </cell>
          <cell r="G1218" t="str">
            <v>ボイラー点検･整備･清掃</v>
          </cell>
          <cell r="H1218" t="str">
            <v>甲府ビルサービス</v>
          </cell>
          <cell r="I1218">
            <v>150000</v>
          </cell>
          <cell r="J1218">
            <v>172500</v>
          </cell>
          <cell r="K1218">
            <v>1</v>
          </cell>
          <cell r="L1218">
            <v>0</v>
          </cell>
          <cell r="M1218">
            <v>0</v>
          </cell>
          <cell r="N1218">
            <v>0</v>
          </cell>
          <cell r="O1218">
            <v>0</v>
          </cell>
          <cell r="P1218">
            <v>0</v>
          </cell>
          <cell r="Q1218">
            <v>0</v>
          </cell>
          <cell r="R1218">
            <v>172500</v>
          </cell>
          <cell r="S1218">
            <v>0</v>
          </cell>
          <cell r="T1218">
            <v>0</v>
          </cell>
          <cell r="U1218">
            <v>0</v>
          </cell>
          <cell r="V1218">
            <v>0</v>
          </cell>
          <cell r="W1218">
            <v>0</v>
          </cell>
          <cell r="X1218" t="str">
            <v/>
          </cell>
          <cell r="Y1218" t="str">
            <v/>
          </cell>
          <cell r="Z1218" t="str">
            <v/>
          </cell>
          <cell r="AA1218" t="str">
            <v/>
          </cell>
          <cell r="AB1218" t="str">
            <v/>
          </cell>
          <cell r="AC1218" t="str">
            <v/>
          </cell>
          <cell r="AD1218" t="str">
            <v>⑩</v>
          </cell>
          <cell r="AE1218" t="str">
            <v/>
          </cell>
          <cell r="AF1218" t="str">
            <v/>
          </cell>
          <cell r="AG1218" t="str">
            <v/>
          </cell>
          <cell r="AH1218" t="str">
            <v/>
          </cell>
          <cell r="AI1218" t="str">
            <v/>
          </cell>
          <cell r="AJ1218" t="str">
            <v>追</v>
          </cell>
        </row>
        <row r="1219">
          <cell r="B1219">
            <v>5801</v>
          </cell>
          <cell r="C1219">
            <v>58</v>
          </cell>
          <cell r="D1219">
            <v>1</v>
          </cell>
          <cell r="F1219" t="str">
            <v>甲府ＴＭ</v>
          </cell>
          <cell r="G1219" t="str">
            <v>昇降機設備保守</v>
          </cell>
          <cell r="H1219" t="str">
            <v>三菱電機ﾋﾞﾙﾃｸﾉｻｰﾋﾞｽ</v>
          </cell>
          <cell r="I1219">
            <v>80300</v>
          </cell>
          <cell r="J1219">
            <v>81906</v>
          </cell>
          <cell r="K1219">
            <v>12</v>
          </cell>
          <cell r="L1219">
            <v>81906</v>
          </cell>
          <cell r="M1219">
            <v>81906</v>
          </cell>
          <cell r="N1219">
            <v>81906</v>
          </cell>
          <cell r="O1219">
            <v>81906</v>
          </cell>
          <cell r="P1219">
            <v>81906</v>
          </cell>
          <cell r="Q1219">
            <v>81906</v>
          </cell>
          <cell r="R1219">
            <v>81906</v>
          </cell>
          <cell r="S1219">
            <v>81906</v>
          </cell>
          <cell r="T1219">
            <v>81906</v>
          </cell>
          <cell r="U1219">
            <v>81906</v>
          </cell>
          <cell r="V1219">
            <v>81906</v>
          </cell>
          <cell r="W1219">
            <v>81906</v>
          </cell>
          <cell r="X1219" t="str">
            <v>④</v>
          </cell>
          <cell r="Y1219" t="str">
            <v>⑤</v>
          </cell>
          <cell r="Z1219" t="str">
            <v>⑥</v>
          </cell>
          <cell r="AA1219" t="str">
            <v>⑦</v>
          </cell>
          <cell r="AB1219" t="str">
            <v>⑧</v>
          </cell>
          <cell r="AC1219" t="str">
            <v>⑨</v>
          </cell>
          <cell r="AD1219" t="str">
            <v>⑩</v>
          </cell>
          <cell r="AE1219" t="str">
            <v>⑪</v>
          </cell>
          <cell r="AF1219" t="str">
            <v>⑫</v>
          </cell>
          <cell r="AG1219" t="str">
            <v>①</v>
          </cell>
          <cell r="AH1219" t="str">
            <v>②</v>
          </cell>
          <cell r="AI1219" t="str">
            <v>③</v>
          </cell>
        </row>
        <row r="1220">
          <cell r="B1220">
            <v>5802</v>
          </cell>
          <cell r="C1220">
            <v>58</v>
          </cell>
          <cell r="D1220">
            <v>2</v>
          </cell>
          <cell r="F1220" t="str">
            <v>甲府ＴＭ</v>
          </cell>
          <cell r="G1220" t="str">
            <v>自動火災報知設備(外観)</v>
          </cell>
          <cell r="H1220" t="str">
            <v>東ポン商会</v>
          </cell>
          <cell r="I1220">
            <v>20000</v>
          </cell>
          <cell r="J1220">
            <v>20400</v>
          </cell>
          <cell r="K1220">
            <v>1</v>
          </cell>
          <cell r="L1220">
            <v>20400</v>
          </cell>
          <cell r="M1220">
            <v>0</v>
          </cell>
          <cell r="N1220">
            <v>0</v>
          </cell>
          <cell r="O1220">
            <v>0</v>
          </cell>
          <cell r="P1220">
            <v>0</v>
          </cell>
          <cell r="Q1220">
            <v>0</v>
          </cell>
          <cell r="R1220">
            <v>0</v>
          </cell>
          <cell r="S1220">
            <v>0</v>
          </cell>
          <cell r="T1220">
            <v>0</v>
          </cell>
          <cell r="U1220">
            <v>0</v>
          </cell>
          <cell r="V1220">
            <v>0</v>
          </cell>
          <cell r="W1220">
            <v>0</v>
          </cell>
          <cell r="X1220" t="str">
            <v>④</v>
          </cell>
          <cell r="Y1220" t="str">
            <v/>
          </cell>
          <cell r="Z1220" t="str">
            <v/>
          </cell>
          <cell r="AA1220" t="str">
            <v/>
          </cell>
          <cell r="AB1220" t="str">
            <v/>
          </cell>
          <cell r="AC1220" t="str">
            <v/>
          </cell>
          <cell r="AD1220" t="str">
            <v/>
          </cell>
          <cell r="AE1220" t="str">
            <v/>
          </cell>
          <cell r="AF1220" t="str">
            <v/>
          </cell>
          <cell r="AG1220" t="str">
            <v/>
          </cell>
          <cell r="AH1220" t="str">
            <v/>
          </cell>
          <cell r="AI1220" t="str">
            <v/>
          </cell>
        </row>
        <row r="1221">
          <cell r="B1221">
            <v>5803</v>
          </cell>
          <cell r="C1221">
            <v>58</v>
          </cell>
          <cell r="D1221">
            <v>3</v>
          </cell>
          <cell r="F1221" t="str">
            <v>甲府ＴＭ</v>
          </cell>
          <cell r="G1221" t="str">
            <v>自動火災報知設備(総合)</v>
          </cell>
          <cell r="H1221" t="str">
            <v>東ポン商会</v>
          </cell>
          <cell r="I1221">
            <v>20000</v>
          </cell>
          <cell r="J1221">
            <v>20400</v>
          </cell>
          <cell r="K1221">
            <v>1</v>
          </cell>
          <cell r="L1221">
            <v>0</v>
          </cell>
          <cell r="M1221">
            <v>0</v>
          </cell>
          <cell r="N1221">
            <v>0</v>
          </cell>
          <cell r="O1221">
            <v>0</v>
          </cell>
          <cell r="P1221">
            <v>0</v>
          </cell>
          <cell r="Q1221">
            <v>0</v>
          </cell>
          <cell r="R1221">
            <v>20400</v>
          </cell>
          <cell r="S1221">
            <v>0</v>
          </cell>
          <cell r="T1221">
            <v>0</v>
          </cell>
          <cell r="U1221">
            <v>0</v>
          </cell>
          <cell r="V1221">
            <v>0</v>
          </cell>
          <cell r="W1221">
            <v>0</v>
          </cell>
          <cell r="X1221" t="str">
            <v/>
          </cell>
          <cell r="Y1221" t="str">
            <v/>
          </cell>
          <cell r="Z1221" t="str">
            <v/>
          </cell>
          <cell r="AA1221" t="str">
            <v/>
          </cell>
          <cell r="AB1221" t="str">
            <v/>
          </cell>
          <cell r="AC1221" t="str">
            <v/>
          </cell>
          <cell r="AD1221" t="str">
            <v>⑩</v>
          </cell>
          <cell r="AE1221" t="str">
            <v/>
          </cell>
          <cell r="AF1221" t="str">
            <v/>
          </cell>
          <cell r="AG1221" t="str">
            <v/>
          </cell>
          <cell r="AH1221" t="str">
            <v/>
          </cell>
          <cell r="AI1221" t="str">
            <v/>
          </cell>
        </row>
        <row r="1222">
          <cell r="B1222">
            <v>5804</v>
          </cell>
          <cell r="C1222">
            <v>58</v>
          </cell>
          <cell r="D1222">
            <v>4</v>
          </cell>
          <cell r="F1222" t="str">
            <v>甲府ＴＭ</v>
          </cell>
          <cell r="G1222" t="str">
            <v>消火器設備保守(外観)</v>
          </cell>
          <cell r="H1222" t="str">
            <v>東ポン商会</v>
          </cell>
          <cell r="I1222">
            <v>15000</v>
          </cell>
          <cell r="J1222">
            <v>15300</v>
          </cell>
          <cell r="K1222">
            <v>2</v>
          </cell>
          <cell r="L1222">
            <v>15300</v>
          </cell>
          <cell r="M1222">
            <v>0</v>
          </cell>
          <cell r="N1222">
            <v>0</v>
          </cell>
          <cell r="O1222">
            <v>0</v>
          </cell>
          <cell r="P1222">
            <v>0</v>
          </cell>
          <cell r="Q1222">
            <v>0</v>
          </cell>
          <cell r="R1222">
            <v>15300</v>
          </cell>
          <cell r="S1222">
            <v>0</v>
          </cell>
          <cell r="T1222">
            <v>0</v>
          </cell>
          <cell r="U1222">
            <v>0</v>
          </cell>
          <cell r="V1222">
            <v>0</v>
          </cell>
          <cell r="W1222">
            <v>0</v>
          </cell>
          <cell r="X1222" t="str">
            <v>④</v>
          </cell>
          <cell r="Y1222" t="str">
            <v/>
          </cell>
          <cell r="Z1222" t="str">
            <v/>
          </cell>
          <cell r="AA1222" t="str">
            <v/>
          </cell>
          <cell r="AB1222" t="str">
            <v/>
          </cell>
          <cell r="AC1222" t="str">
            <v/>
          </cell>
          <cell r="AD1222" t="str">
            <v>⑩</v>
          </cell>
          <cell r="AE1222" t="str">
            <v/>
          </cell>
          <cell r="AF1222" t="str">
            <v/>
          </cell>
          <cell r="AG1222" t="str">
            <v/>
          </cell>
          <cell r="AH1222" t="str">
            <v/>
          </cell>
          <cell r="AI1222" t="str">
            <v/>
          </cell>
        </row>
        <row r="1223">
          <cell r="B1223">
            <v>5805</v>
          </cell>
          <cell r="C1223">
            <v>58</v>
          </cell>
          <cell r="D1223">
            <v>5</v>
          </cell>
          <cell r="F1223" t="str">
            <v>甲府ＴＭ</v>
          </cell>
          <cell r="G1223" t="str">
            <v>誘導灯設備保守(外観)</v>
          </cell>
          <cell r="H1223" t="str">
            <v>東ポン商会</v>
          </cell>
          <cell r="I1223">
            <v>15000</v>
          </cell>
          <cell r="J1223">
            <v>15300</v>
          </cell>
          <cell r="K1223">
            <v>2</v>
          </cell>
          <cell r="L1223">
            <v>15300</v>
          </cell>
          <cell r="M1223">
            <v>0</v>
          </cell>
          <cell r="N1223">
            <v>0</v>
          </cell>
          <cell r="O1223">
            <v>0</v>
          </cell>
          <cell r="P1223">
            <v>0</v>
          </cell>
          <cell r="Q1223">
            <v>0</v>
          </cell>
          <cell r="R1223">
            <v>15300</v>
          </cell>
          <cell r="S1223">
            <v>0</v>
          </cell>
          <cell r="T1223">
            <v>0</v>
          </cell>
          <cell r="U1223">
            <v>0</v>
          </cell>
          <cell r="V1223">
            <v>0</v>
          </cell>
          <cell r="W1223">
            <v>0</v>
          </cell>
          <cell r="X1223" t="str">
            <v>④</v>
          </cell>
          <cell r="Y1223" t="str">
            <v/>
          </cell>
          <cell r="Z1223" t="str">
            <v/>
          </cell>
          <cell r="AA1223" t="str">
            <v/>
          </cell>
          <cell r="AB1223" t="str">
            <v/>
          </cell>
          <cell r="AC1223" t="str">
            <v/>
          </cell>
          <cell r="AD1223" t="str">
            <v>⑩</v>
          </cell>
          <cell r="AE1223" t="str">
            <v/>
          </cell>
          <cell r="AF1223" t="str">
            <v/>
          </cell>
          <cell r="AG1223" t="str">
            <v/>
          </cell>
          <cell r="AH1223" t="str">
            <v/>
          </cell>
          <cell r="AI1223" t="str">
            <v/>
          </cell>
        </row>
        <row r="1224">
          <cell r="B1224">
            <v>5806</v>
          </cell>
          <cell r="C1224">
            <v>58</v>
          </cell>
          <cell r="D1224">
            <v>6</v>
          </cell>
          <cell r="F1224" t="str">
            <v>甲府ＴＭ</v>
          </cell>
          <cell r="G1224" t="str">
            <v>連結送水管設備保守(外観)</v>
          </cell>
          <cell r="H1224" t="str">
            <v>東ポン商会</v>
          </cell>
          <cell r="I1224">
            <v>10000</v>
          </cell>
          <cell r="J1224">
            <v>10200</v>
          </cell>
          <cell r="K1224">
            <v>1</v>
          </cell>
          <cell r="L1224">
            <v>10200</v>
          </cell>
          <cell r="M1224">
            <v>0</v>
          </cell>
          <cell r="N1224">
            <v>0</v>
          </cell>
          <cell r="O1224">
            <v>0</v>
          </cell>
          <cell r="P1224">
            <v>0</v>
          </cell>
          <cell r="Q1224">
            <v>0</v>
          </cell>
          <cell r="R1224">
            <v>0</v>
          </cell>
          <cell r="S1224">
            <v>0</v>
          </cell>
          <cell r="T1224">
            <v>0</v>
          </cell>
          <cell r="U1224">
            <v>0</v>
          </cell>
          <cell r="V1224">
            <v>0</v>
          </cell>
          <cell r="W1224">
            <v>0</v>
          </cell>
          <cell r="X1224" t="str">
            <v>④</v>
          </cell>
          <cell r="Y1224" t="str">
            <v/>
          </cell>
          <cell r="Z1224" t="str">
            <v/>
          </cell>
          <cell r="AA1224" t="str">
            <v/>
          </cell>
          <cell r="AB1224" t="str">
            <v/>
          </cell>
          <cell r="AC1224" t="str">
            <v/>
          </cell>
          <cell r="AD1224" t="str">
            <v/>
          </cell>
          <cell r="AE1224" t="str">
            <v/>
          </cell>
          <cell r="AF1224" t="str">
            <v/>
          </cell>
          <cell r="AG1224" t="str">
            <v/>
          </cell>
          <cell r="AH1224" t="str">
            <v/>
          </cell>
          <cell r="AI1224" t="str">
            <v/>
          </cell>
        </row>
        <row r="1225">
          <cell r="B1225">
            <v>5807</v>
          </cell>
          <cell r="C1225">
            <v>58</v>
          </cell>
          <cell r="D1225">
            <v>7</v>
          </cell>
          <cell r="F1225" t="str">
            <v>甲府ＴＭ</v>
          </cell>
          <cell r="G1225" t="str">
            <v>連結送水管設備保守(総合)</v>
          </cell>
          <cell r="H1225" t="str">
            <v>東ポン商会</v>
          </cell>
          <cell r="I1225">
            <v>10000</v>
          </cell>
          <cell r="J1225">
            <v>10200</v>
          </cell>
          <cell r="K1225">
            <v>1</v>
          </cell>
          <cell r="L1225">
            <v>0</v>
          </cell>
          <cell r="M1225">
            <v>0</v>
          </cell>
          <cell r="N1225">
            <v>0</v>
          </cell>
          <cell r="O1225">
            <v>0</v>
          </cell>
          <cell r="P1225">
            <v>0</v>
          </cell>
          <cell r="Q1225">
            <v>0</v>
          </cell>
          <cell r="R1225">
            <v>10200</v>
          </cell>
          <cell r="S1225">
            <v>0</v>
          </cell>
          <cell r="T1225">
            <v>0</v>
          </cell>
          <cell r="U1225">
            <v>0</v>
          </cell>
          <cell r="V1225">
            <v>0</v>
          </cell>
          <cell r="W1225">
            <v>0</v>
          </cell>
          <cell r="X1225" t="str">
            <v/>
          </cell>
          <cell r="Y1225" t="str">
            <v/>
          </cell>
          <cell r="Z1225" t="str">
            <v/>
          </cell>
          <cell r="AA1225" t="str">
            <v/>
          </cell>
          <cell r="AB1225" t="str">
            <v/>
          </cell>
          <cell r="AC1225" t="str">
            <v/>
          </cell>
          <cell r="AD1225" t="str">
            <v>⑩</v>
          </cell>
          <cell r="AE1225" t="str">
            <v/>
          </cell>
          <cell r="AF1225" t="str">
            <v/>
          </cell>
          <cell r="AG1225" t="str">
            <v/>
          </cell>
          <cell r="AH1225" t="str">
            <v/>
          </cell>
          <cell r="AI1225" t="str">
            <v/>
          </cell>
        </row>
        <row r="1226">
          <cell r="B1226">
            <v>5808</v>
          </cell>
          <cell r="C1226">
            <v>58</v>
          </cell>
          <cell r="D1226">
            <v>8</v>
          </cell>
          <cell r="F1226" t="str">
            <v>甲府ＴＭ</v>
          </cell>
          <cell r="G1226" t="str">
            <v>害虫駆除</v>
          </cell>
          <cell r="H1226" t="str">
            <v>ティーエイシー</v>
          </cell>
          <cell r="I1226">
            <v>57000</v>
          </cell>
          <cell r="J1226">
            <v>62700</v>
          </cell>
          <cell r="K1226">
            <v>2</v>
          </cell>
          <cell r="L1226">
            <v>0</v>
          </cell>
          <cell r="M1226">
            <v>62700</v>
          </cell>
          <cell r="N1226">
            <v>0</v>
          </cell>
          <cell r="O1226">
            <v>0</v>
          </cell>
          <cell r="P1226">
            <v>0</v>
          </cell>
          <cell r="Q1226">
            <v>0</v>
          </cell>
          <cell r="R1226">
            <v>0</v>
          </cell>
          <cell r="S1226">
            <v>62700</v>
          </cell>
          <cell r="T1226">
            <v>0</v>
          </cell>
          <cell r="U1226">
            <v>0</v>
          </cell>
          <cell r="V1226">
            <v>0</v>
          </cell>
          <cell r="W1226">
            <v>0</v>
          </cell>
          <cell r="X1226" t="str">
            <v/>
          </cell>
          <cell r="Y1226" t="str">
            <v>⑤</v>
          </cell>
          <cell r="Z1226" t="str">
            <v/>
          </cell>
          <cell r="AA1226" t="str">
            <v/>
          </cell>
          <cell r="AB1226" t="str">
            <v/>
          </cell>
          <cell r="AC1226" t="str">
            <v/>
          </cell>
          <cell r="AD1226" t="str">
            <v/>
          </cell>
          <cell r="AE1226" t="str">
            <v>⑪</v>
          </cell>
          <cell r="AF1226" t="str">
            <v/>
          </cell>
          <cell r="AG1226" t="str">
            <v/>
          </cell>
          <cell r="AH1226" t="str">
            <v/>
          </cell>
          <cell r="AI1226" t="str">
            <v/>
          </cell>
        </row>
        <row r="1227">
          <cell r="B1227">
            <v>5809</v>
          </cell>
          <cell r="C1227">
            <v>58</v>
          </cell>
          <cell r="D1227">
            <v>9</v>
          </cell>
          <cell r="F1227" t="str">
            <v>甲府ＴＭ</v>
          </cell>
          <cell r="G1227" t="str">
            <v>貯水槽清掃</v>
          </cell>
          <cell r="H1227" t="str">
            <v>ソートマン山梨</v>
          </cell>
          <cell r="I1227">
            <v>90000</v>
          </cell>
          <cell r="J1227">
            <v>101700</v>
          </cell>
          <cell r="K1227">
            <v>1</v>
          </cell>
          <cell r="L1227">
            <v>0</v>
          </cell>
          <cell r="M1227">
            <v>0</v>
          </cell>
          <cell r="N1227">
            <v>0</v>
          </cell>
          <cell r="O1227">
            <v>0</v>
          </cell>
          <cell r="P1227">
            <v>0</v>
          </cell>
          <cell r="Q1227">
            <v>0</v>
          </cell>
          <cell r="R1227">
            <v>0</v>
          </cell>
          <cell r="S1227">
            <v>0</v>
          </cell>
          <cell r="T1227">
            <v>0</v>
          </cell>
          <cell r="U1227">
            <v>0</v>
          </cell>
          <cell r="V1227">
            <v>101700</v>
          </cell>
          <cell r="W1227">
            <v>0</v>
          </cell>
          <cell r="X1227" t="str">
            <v/>
          </cell>
          <cell r="Y1227" t="str">
            <v/>
          </cell>
          <cell r="Z1227" t="str">
            <v/>
          </cell>
          <cell r="AA1227" t="str">
            <v/>
          </cell>
          <cell r="AB1227" t="str">
            <v/>
          </cell>
          <cell r="AC1227" t="str">
            <v/>
          </cell>
          <cell r="AD1227" t="str">
            <v/>
          </cell>
          <cell r="AE1227" t="str">
            <v/>
          </cell>
          <cell r="AF1227" t="str">
            <v/>
          </cell>
          <cell r="AG1227" t="str">
            <v/>
          </cell>
          <cell r="AH1227" t="str">
            <v>②</v>
          </cell>
          <cell r="AI1227" t="str">
            <v/>
          </cell>
        </row>
        <row r="1228">
          <cell r="B1228">
            <v>5901</v>
          </cell>
          <cell r="C1228">
            <v>59</v>
          </cell>
          <cell r="D1228">
            <v>1</v>
          </cell>
          <cell r="F1228" t="str">
            <v>長野</v>
          </cell>
          <cell r="G1228" t="str">
            <v>昇降機設備保守</v>
          </cell>
          <cell r="H1228" t="str">
            <v>三菱電機ﾋﾞﾙﾃｸﾉｻｰﾋﾞｽ</v>
          </cell>
          <cell r="I1228">
            <v>131900</v>
          </cell>
          <cell r="J1228">
            <v>134538</v>
          </cell>
          <cell r="K1228">
            <v>12</v>
          </cell>
          <cell r="L1228">
            <v>134538</v>
          </cell>
          <cell r="M1228">
            <v>134538</v>
          </cell>
          <cell r="N1228">
            <v>134538</v>
          </cell>
          <cell r="O1228">
            <v>134538</v>
          </cell>
          <cell r="P1228">
            <v>134538</v>
          </cell>
          <cell r="Q1228">
            <v>134538</v>
          </cell>
          <cell r="R1228">
            <v>134538</v>
          </cell>
          <cell r="S1228">
            <v>134538</v>
          </cell>
          <cell r="T1228">
            <v>134538</v>
          </cell>
          <cell r="U1228">
            <v>134538</v>
          </cell>
          <cell r="V1228">
            <v>134538</v>
          </cell>
          <cell r="W1228">
            <v>134538</v>
          </cell>
          <cell r="X1228" t="str">
            <v>④</v>
          </cell>
          <cell r="Y1228" t="str">
            <v>⑤</v>
          </cell>
          <cell r="Z1228" t="str">
            <v>⑥</v>
          </cell>
          <cell r="AA1228" t="str">
            <v>⑦</v>
          </cell>
          <cell r="AB1228" t="str">
            <v>⑧</v>
          </cell>
          <cell r="AC1228" t="str">
            <v>⑨</v>
          </cell>
          <cell r="AD1228" t="str">
            <v>⑩</v>
          </cell>
          <cell r="AE1228" t="str">
            <v>⑪</v>
          </cell>
          <cell r="AF1228" t="str">
            <v>⑫</v>
          </cell>
          <cell r="AG1228" t="str">
            <v>①</v>
          </cell>
          <cell r="AH1228" t="str">
            <v>②</v>
          </cell>
          <cell r="AI1228" t="str">
            <v>③</v>
          </cell>
        </row>
        <row r="1229">
          <cell r="B1229">
            <v>5902</v>
          </cell>
          <cell r="C1229">
            <v>59</v>
          </cell>
          <cell r="D1229">
            <v>2</v>
          </cell>
          <cell r="F1229" t="str">
            <v>長野</v>
          </cell>
          <cell r="G1229" t="str">
            <v>ﾊﾛｹﾞﾝ化物設備保守(外観)</v>
          </cell>
          <cell r="H1229" t="str">
            <v>川重防災工業</v>
          </cell>
          <cell r="I1229">
            <v>80000</v>
          </cell>
          <cell r="J1229">
            <v>85440</v>
          </cell>
          <cell r="K1229">
            <v>1</v>
          </cell>
          <cell r="L1229">
            <v>0</v>
          </cell>
          <cell r="M1229">
            <v>0</v>
          </cell>
          <cell r="N1229">
            <v>0</v>
          </cell>
          <cell r="O1229">
            <v>0</v>
          </cell>
          <cell r="P1229">
            <v>0</v>
          </cell>
          <cell r="Q1229">
            <v>0</v>
          </cell>
          <cell r="R1229">
            <v>0</v>
          </cell>
          <cell r="S1229">
            <v>0</v>
          </cell>
          <cell r="T1229">
            <v>0</v>
          </cell>
          <cell r="U1229">
            <v>85440</v>
          </cell>
          <cell r="V1229">
            <v>0</v>
          </cell>
          <cell r="W1229">
            <v>0</v>
          </cell>
          <cell r="X1229" t="str">
            <v/>
          </cell>
          <cell r="Y1229" t="str">
            <v/>
          </cell>
          <cell r="Z1229" t="str">
            <v/>
          </cell>
          <cell r="AA1229" t="str">
            <v/>
          </cell>
          <cell r="AB1229" t="str">
            <v/>
          </cell>
          <cell r="AC1229" t="str">
            <v/>
          </cell>
          <cell r="AD1229" t="str">
            <v/>
          </cell>
          <cell r="AE1229" t="str">
            <v/>
          </cell>
          <cell r="AF1229" t="str">
            <v/>
          </cell>
          <cell r="AG1229" t="str">
            <v>①</v>
          </cell>
          <cell r="AI1229" t="str">
            <v/>
          </cell>
          <cell r="AJ1229" t="str">
            <v>変</v>
          </cell>
        </row>
        <row r="1230">
          <cell r="B1230">
            <v>5903</v>
          </cell>
          <cell r="C1230">
            <v>59</v>
          </cell>
          <cell r="D1230">
            <v>3</v>
          </cell>
          <cell r="F1230" t="str">
            <v>長野</v>
          </cell>
          <cell r="G1230" t="str">
            <v>ﾊﾛｹﾞﾝ化物設備保守(総合)</v>
          </cell>
          <cell r="H1230" t="str">
            <v>川重防災工業</v>
          </cell>
          <cell r="I1230">
            <v>140000</v>
          </cell>
          <cell r="J1230">
            <v>148320</v>
          </cell>
          <cell r="K1230">
            <v>1</v>
          </cell>
          <cell r="L1230">
            <v>0</v>
          </cell>
          <cell r="M1230">
            <v>0</v>
          </cell>
          <cell r="N1230">
            <v>0</v>
          </cell>
          <cell r="O1230">
            <v>148320</v>
          </cell>
          <cell r="P1230">
            <v>0</v>
          </cell>
          <cell r="Q1230">
            <v>0</v>
          </cell>
          <cell r="R1230">
            <v>0</v>
          </cell>
          <cell r="S1230">
            <v>0</v>
          </cell>
          <cell r="T1230">
            <v>0</v>
          </cell>
          <cell r="U1230">
            <v>0</v>
          </cell>
          <cell r="V1230">
            <v>0</v>
          </cell>
          <cell r="W1230">
            <v>0</v>
          </cell>
          <cell r="X1230" t="str">
            <v/>
          </cell>
          <cell r="Y1230" t="str">
            <v/>
          </cell>
          <cell r="Z1230" t="str">
            <v/>
          </cell>
          <cell r="AA1230" t="str">
            <v>⑦</v>
          </cell>
          <cell r="AC1230" t="str">
            <v/>
          </cell>
          <cell r="AD1230" t="str">
            <v/>
          </cell>
          <cell r="AE1230" t="str">
            <v/>
          </cell>
          <cell r="AF1230" t="str">
            <v/>
          </cell>
          <cell r="AG1230" t="str">
            <v/>
          </cell>
          <cell r="AH1230" t="str">
            <v/>
          </cell>
          <cell r="AI1230" t="str">
            <v/>
          </cell>
          <cell r="AJ1230" t="str">
            <v>変</v>
          </cell>
        </row>
        <row r="1231">
          <cell r="B1231">
            <v>5904</v>
          </cell>
          <cell r="C1231">
            <v>59</v>
          </cell>
          <cell r="D1231">
            <v>4</v>
          </cell>
          <cell r="F1231" t="str">
            <v>長野</v>
          </cell>
          <cell r="G1231" t="str">
            <v>非常電源設備(外観)</v>
          </cell>
          <cell r="H1231" t="str">
            <v>ミツワヤンマー</v>
          </cell>
          <cell r="I1231">
            <v>30000</v>
          </cell>
          <cell r="J1231">
            <v>31200</v>
          </cell>
          <cell r="K1231">
            <v>1</v>
          </cell>
          <cell r="L1231">
            <v>0</v>
          </cell>
          <cell r="M1231">
            <v>0</v>
          </cell>
          <cell r="N1231">
            <v>0</v>
          </cell>
          <cell r="O1231">
            <v>0</v>
          </cell>
          <cell r="P1231">
            <v>0</v>
          </cell>
          <cell r="Q1231">
            <v>0</v>
          </cell>
          <cell r="R1231">
            <v>31200</v>
          </cell>
          <cell r="S1231">
            <v>0</v>
          </cell>
          <cell r="T1231">
            <v>0</v>
          </cell>
          <cell r="U1231">
            <v>0</v>
          </cell>
          <cell r="V1231">
            <v>0</v>
          </cell>
          <cell r="W1231">
            <v>0</v>
          </cell>
          <cell r="X1231" t="str">
            <v/>
          </cell>
          <cell r="Y1231" t="str">
            <v/>
          </cell>
          <cell r="Z1231" t="str">
            <v/>
          </cell>
          <cell r="AA1231" t="str">
            <v/>
          </cell>
          <cell r="AB1231" t="str">
            <v/>
          </cell>
          <cell r="AC1231" t="str">
            <v/>
          </cell>
          <cell r="AD1231" t="str">
            <v>⑩</v>
          </cell>
          <cell r="AF1231" t="str">
            <v/>
          </cell>
          <cell r="AG1231" t="str">
            <v/>
          </cell>
          <cell r="AH1231" t="str">
            <v/>
          </cell>
          <cell r="AI1231" t="str">
            <v/>
          </cell>
          <cell r="AJ1231" t="str">
            <v>変</v>
          </cell>
        </row>
        <row r="1232">
          <cell r="B1232">
            <v>5905</v>
          </cell>
          <cell r="C1232">
            <v>59</v>
          </cell>
          <cell r="D1232">
            <v>5</v>
          </cell>
          <cell r="F1232" t="str">
            <v>長野</v>
          </cell>
          <cell r="G1232" t="str">
            <v>非常電源設備(総合)</v>
          </cell>
          <cell r="H1232" t="str">
            <v>ミツワヤンマー</v>
          </cell>
          <cell r="I1232">
            <v>30000</v>
          </cell>
          <cell r="J1232">
            <v>31200</v>
          </cell>
          <cell r="K1232">
            <v>1</v>
          </cell>
          <cell r="L1232">
            <v>31200</v>
          </cell>
          <cell r="M1232">
            <v>0</v>
          </cell>
          <cell r="N1232">
            <v>0</v>
          </cell>
          <cell r="O1232">
            <v>0</v>
          </cell>
          <cell r="P1232">
            <v>0</v>
          </cell>
          <cell r="Q1232">
            <v>0</v>
          </cell>
          <cell r="R1232">
            <v>0</v>
          </cell>
          <cell r="S1232">
            <v>0</v>
          </cell>
          <cell r="T1232">
            <v>0</v>
          </cell>
          <cell r="U1232">
            <v>0</v>
          </cell>
          <cell r="V1232">
            <v>0</v>
          </cell>
          <cell r="W1232">
            <v>0</v>
          </cell>
          <cell r="X1232" t="str">
            <v>④</v>
          </cell>
          <cell r="Z1232" t="str">
            <v/>
          </cell>
          <cell r="AA1232" t="str">
            <v/>
          </cell>
          <cell r="AB1232" t="str">
            <v/>
          </cell>
          <cell r="AC1232" t="str">
            <v/>
          </cell>
          <cell r="AE1232" t="str">
            <v/>
          </cell>
          <cell r="AF1232" t="str">
            <v/>
          </cell>
          <cell r="AG1232" t="str">
            <v/>
          </cell>
          <cell r="AH1232" t="str">
            <v/>
          </cell>
          <cell r="AI1232" t="str">
            <v/>
          </cell>
          <cell r="AJ1232" t="str">
            <v>変</v>
          </cell>
        </row>
        <row r="1233">
          <cell r="B1233">
            <v>5906</v>
          </cell>
          <cell r="C1233">
            <v>59</v>
          </cell>
          <cell r="D1233">
            <v>6</v>
          </cell>
          <cell r="F1233" t="str">
            <v>長野</v>
          </cell>
          <cell r="G1233" t="str">
            <v>非常発電機設備保守(外観)</v>
          </cell>
          <cell r="H1233" t="str">
            <v>長野三菱電機機器販売</v>
          </cell>
          <cell r="I1233">
            <v>30000</v>
          </cell>
          <cell r="J1233">
            <v>31200</v>
          </cell>
          <cell r="K1233">
            <v>1</v>
          </cell>
          <cell r="L1233">
            <v>0</v>
          </cell>
          <cell r="M1233">
            <v>0</v>
          </cell>
          <cell r="N1233">
            <v>0</v>
          </cell>
          <cell r="O1233">
            <v>0</v>
          </cell>
          <cell r="P1233">
            <v>0</v>
          </cell>
          <cell r="Q1233">
            <v>0</v>
          </cell>
          <cell r="R1233">
            <v>31200</v>
          </cell>
          <cell r="S1233">
            <v>0</v>
          </cell>
          <cell r="T1233">
            <v>0</v>
          </cell>
          <cell r="U1233">
            <v>0</v>
          </cell>
          <cell r="V1233">
            <v>0</v>
          </cell>
          <cell r="W1233">
            <v>0</v>
          </cell>
          <cell r="Y1233" t="str">
            <v/>
          </cell>
          <cell r="Z1233" t="str">
            <v/>
          </cell>
          <cell r="AA1233" t="str">
            <v/>
          </cell>
          <cell r="AB1233" t="str">
            <v/>
          </cell>
          <cell r="AC1233" t="str">
            <v/>
          </cell>
          <cell r="AD1233" t="str">
            <v>⑩</v>
          </cell>
          <cell r="AF1233" t="str">
            <v/>
          </cell>
          <cell r="AG1233" t="str">
            <v/>
          </cell>
          <cell r="AH1233" t="str">
            <v/>
          </cell>
          <cell r="AI1233" t="str">
            <v/>
          </cell>
          <cell r="AJ1233" t="str">
            <v>変</v>
          </cell>
        </row>
        <row r="1234">
          <cell r="B1234">
            <v>5907</v>
          </cell>
          <cell r="C1234">
            <v>59</v>
          </cell>
          <cell r="D1234">
            <v>7</v>
          </cell>
          <cell r="F1234" t="str">
            <v>長野</v>
          </cell>
          <cell r="G1234" t="str">
            <v>非常発電機設備保守(総合)</v>
          </cell>
          <cell r="H1234" t="str">
            <v>長野三菱電機機器販売</v>
          </cell>
          <cell r="I1234">
            <v>30000</v>
          </cell>
          <cell r="J1234">
            <v>31200</v>
          </cell>
          <cell r="K1234">
            <v>1</v>
          </cell>
          <cell r="L1234">
            <v>31200</v>
          </cell>
          <cell r="M1234">
            <v>0</v>
          </cell>
          <cell r="N1234">
            <v>0</v>
          </cell>
          <cell r="O1234">
            <v>0</v>
          </cell>
          <cell r="P1234">
            <v>0</v>
          </cell>
          <cell r="Q1234">
            <v>0</v>
          </cell>
          <cell r="R1234">
            <v>0</v>
          </cell>
          <cell r="S1234">
            <v>0</v>
          </cell>
          <cell r="T1234">
            <v>0</v>
          </cell>
          <cell r="U1234">
            <v>0</v>
          </cell>
          <cell r="V1234">
            <v>0</v>
          </cell>
          <cell r="W1234">
            <v>0</v>
          </cell>
          <cell r="X1234" t="str">
            <v>④</v>
          </cell>
          <cell r="Z1234" t="str">
            <v/>
          </cell>
          <cell r="AA1234" t="str">
            <v/>
          </cell>
          <cell r="AB1234" t="str">
            <v/>
          </cell>
          <cell r="AC1234" t="str">
            <v/>
          </cell>
          <cell r="AD1234" t="str">
            <v/>
          </cell>
          <cell r="AE1234" t="str">
            <v/>
          </cell>
          <cell r="AF1234" t="str">
            <v/>
          </cell>
          <cell r="AG1234" t="str">
            <v/>
          </cell>
          <cell r="AH1234" t="str">
            <v/>
          </cell>
          <cell r="AI1234" t="str">
            <v/>
          </cell>
          <cell r="AJ1234" t="str">
            <v>変</v>
          </cell>
        </row>
        <row r="1235">
          <cell r="B1235">
            <v>5908</v>
          </cell>
          <cell r="C1235">
            <v>59</v>
          </cell>
          <cell r="D1235">
            <v>8</v>
          </cell>
          <cell r="F1235" t="str">
            <v>長野</v>
          </cell>
          <cell r="G1235" t="str">
            <v>消火器(外観)</v>
          </cell>
          <cell r="H1235" t="str">
            <v>ホーチキ</v>
          </cell>
          <cell r="I1235">
            <v>22000</v>
          </cell>
          <cell r="J1235">
            <v>22440</v>
          </cell>
          <cell r="K1235">
            <v>1</v>
          </cell>
          <cell r="L1235">
            <v>22440</v>
          </cell>
          <cell r="M1235">
            <v>0</v>
          </cell>
          <cell r="N1235">
            <v>0</v>
          </cell>
          <cell r="O1235">
            <v>0</v>
          </cell>
          <cell r="P1235">
            <v>0</v>
          </cell>
          <cell r="Q1235">
            <v>0</v>
          </cell>
          <cell r="R1235">
            <v>0</v>
          </cell>
          <cell r="S1235">
            <v>0</v>
          </cell>
          <cell r="T1235">
            <v>0</v>
          </cell>
          <cell r="U1235">
            <v>0</v>
          </cell>
          <cell r="V1235">
            <v>0</v>
          </cell>
          <cell r="W1235">
            <v>0</v>
          </cell>
          <cell r="X1235" t="str">
            <v>④</v>
          </cell>
          <cell r="Y1235" t="str">
            <v/>
          </cell>
          <cell r="Z1235" t="str">
            <v/>
          </cell>
          <cell r="AA1235" t="str">
            <v/>
          </cell>
          <cell r="AB1235" t="str">
            <v/>
          </cell>
          <cell r="AC1235" t="str">
            <v/>
          </cell>
          <cell r="AE1235" t="str">
            <v/>
          </cell>
          <cell r="AF1235" t="str">
            <v/>
          </cell>
          <cell r="AG1235" t="str">
            <v/>
          </cell>
          <cell r="AH1235" t="str">
            <v/>
          </cell>
          <cell r="AI1235" t="str">
            <v/>
          </cell>
        </row>
        <row r="1236">
          <cell r="B1236">
            <v>5909</v>
          </cell>
          <cell r="C1236">
            <v>59</v>
          </cell>
          <cell r="D1236">
            <v>9</v>
          </cell>
          <cell r="F1236" t="str">
            <v>長野</v>
          </cell>
          <cell r="G1236" t="str">
            <v>消火器(総合)</v>
          </cell>
          <cell r="H1236" t="str">
            <v>ホーチキ</v>
          </cell>
          <cell r="I1236">
            <v>22000</v>
          </cell>
          <cell r="J1236">
            <v>22440</v>
          </cell>
          <cell r="K1236">
            <v>1</v>
          </cell>
          <cell r="L1236">
            <v>0</v>
          </cell>
          <cell r="M1236">
            <v>0</v>
          </cell>
          <cell r="N1236">
            <v>0</v>
          </cell>
          <cell r="O1236">
            <v>0</v>
          </cell>
          <cell r="P1236">
            <v>0</v>
          </cell>
          <cell r="Q1236">
            <v>0</v>
          </cell>
          <cell r="R1236">
            <v>22440</v>
          </cell>
          <cell r="S1236">
            <v>0</v>
          </cell>
          <cell r="T1236">
            <v>0</v>
          </cell>
          <cell r="U1236">
            <v>0</v>
          </cell>
          <cell r="V1236">
            <v>0</v>
          </cell>
          <cell r="W1236">
            <v>0</v>
          </cell>
          <cell r="Y1236" t="str">
            <v/>
          </cell>
          <cell r="Z1236" t="str">
            <v/>
          </cell>
          <cell r="AA1236" t="str">
            <v/>
          </cell>
          <cell r="AB1236" t="str">
            <v/>
          </cell>
          <cell r="AC1236" t="str">
            <v/>
          </cell>
          <cell r="AD1236" t="str">
            <v>⑩</v>
          </cell>
          <cell r="AE1236" t="str">
            <v/>
          </cell>
          <cell r="AF1236" t="str">
            <v/>
          </cell>
          <cell r="AG1236" t="str">
            <v/>
          </cell>
          <cell r="AH1236" t="str">
            <v/>
          </cell>
          <cell r="AI1236" t="str">
            <v/>
          </cell>
        </row>
        <row r="1237">
          <cell r="B1237">
            <v>5910</v>
          </cell>
          <cell r="C1237">
            <v>59</v>
          </cell>
          <cell r="D1237">
            <v>10</v>
          </cell>
          <cell r="F1237" t="str">
            <v>長野</v>
          </cell>
          <cell r="G1237" t="str">
            <v>屋内消火栓(外観)</v>
          </cell>
          <cell r="H1237" t="str">
            <v>ホーチキ</v>
          </cell>
          <cell r="I1237">
            <v>35000</v>
          </cell>
          <cell r="J1237">
            <v>35700</v>
          </cell>
          <cell r="K1237">
            <v>1</v>
          </cell>
          <cell r="L1237">
            <v>35700</v>
          </cell>
          <cell r="M1237">
            <v>0</v>
          </cell>
          <cell r="N1237">
            <v>0</v>
          </cell>
          <cell r="O1237">
            <v>0</v>
          </cell>
          <cell r="P1237">
            <v>0</v>
          </cell>
          <cell r="Q1237">
            <v>0</v>
          </cell>
          <cell r="R1237">
            <v>0</v>
          </cell>
          <cell r="S1237">
            <v>0</v>
          </cell>
          <cell r="T1237">
            <v>0</v>
          </cell>
          <cell r="U1237">
            <v>0</v>
          </cell>
          <cell r="V1237">
            <v>0</v>
          </cell>
          <cell r="W1237">
            <v>0</v>
          </cell>
          <cell r="X1237" t="str">
            <v>④</v>
          </cell>
          <cell r="Y1237" t="str">
            <v/>
          </cell>
          <cell r="Z1237" t="str">
            <v/>
          </cell>
          <cell r="AA1237" t="str">
            <v/>
          </cell>
          <cell r="AB1237" t="str">
            <v/>
          </cell>
          <cell r="AC1237" t="str">
            <v/>
          </cell>
          <cell r="AD1237" t="str">
            <v/>
          </cell>
          <cell r="AE1237" t="str">
            <v/>
          </cell>
          <cell r="AF1237" t="str">
            <v/>
          </cell>
          <cell r="AG1237" t="str">
            <v/>
          </cell>
          <cell r="AH1237" t="str">
            <v/>
          </cell>
          <cell r="AI1237" t="str">
            <v/>
          </cell>
        </row>
        <row r="1238">
          <cell r="B1238">
            <v>5911</v>
          </cell>
          <cell r="C1238">
            <v>59</v>
          </cell>
          <cell r="D1238">
            <v>11</v>
          </cell>
          <cell r="F1238" t="str">
            <v>長野</v>
          </cell>
          <cell r="G1238" t="str">
            <v>屋内消火栓(総合)</v>
          </cell>
          <cell r="H1238" t="str">
            <v>ホーチキ</v>
          </cell>
          <cell r="I1238">
            <v>35000</v>
          </cell>
          <cell r="J1238">
            <v>35700</v>
          </cell>
          <cell r="K1238">
            <v>1</v>
          </cell>
          <cell r="L1238">
            <v>0</v>
          </cell>
          <cell r="M1238">
            <v>0</v>
          </cell>
          <cell r="N1238">
            <v>0</v>
          </cell>
          <cell r="O1238">
            <v>0</v>
          </cell>
          <cell r="P1238">
            <v>0</v>
          </cell>
          <cell r="Q1238">
            <v>0</v>
          </cell>
          <cell r="R1238">
            <v>35700</v>
          </cell>
          <cell r="S1238">
            <v>0</v>
          </cell>
          <cell r="T1238">
            <v>0</v>
          </cell>
          <cell r="U1238">
            <v>0</v>
          </cell>
          <cell r="V1238">
            <v>0</v>
          </cell>
          <cell r="W1238">
            <v>0</v>
          </cell>
          <cell r="X1238" t="str">
            <v/>
          </cell>
          <cell r="Y1238" t="str">
            <v/>
          </cell>
          <cell r="Z1238" t="str">
            <v/>
          </cell>
          <cell r="AA1238" t="str">
            <v/>
          </cell>
          <cell r="AB1238" t="str">
            <v/>
          </cell>
          <cell r="AC1238" t="str">
            <v/>
          </cell>
          <cell r="AD1238" t="str">
            <v>⑩</v>
          </cell>
          <cell r="AE1238" t="str">
            <v/>
          </cell>
          <cell r="AF1238" t="str">
            <v/>
          </cell>
          <cell r="AG1238" t="str">
            <v/>
          </cell>
          <cell r="AH1238" t="str">
            <v/>
          </cell>
          <cell r="AI1238" t="str">
            <v/>
          </cell>
        </row>
        <row r="1239">
          <cell r="B1239">
            <v>5912</v>
          </cell>
          <cell r="C1239">
            <v>59</v>
          </cell>
          <cell r="D1239">
            <v>12</v>
          </cell>
          <cell r="F1239" t="str">
            <v>長野</v>
          </cell>
          <cell r="G1239" t="str">
            <v>非常放送(外観)</v>
          </cell>
          <cell r="H1239" t="str">
            <v>ホーチキ</v>
          </cell>
          <cell r="I1239">
            <v>36000</v>
          </cell>
          <cell r="J1239">
            <v>36720</v>
          </cell>
          <cell r="K1239">
            <v>1</v>
          </cell>
          <cell r="L1239">
            <v>36720</v>
          </cell>
          <cell r="M1239">
            <v>0</v>
          </cell>
          <cell r="N1239">
            <v>0</v>
          </cell>
          <cell r="O1239">
            <v>0</v>
          </cell>
          <cell r="P1239">
            <v>0</v>
          </cell>
          <cell r="Q1239">
            <v>0</v>
          </cell>
          <cell r="R1239">
            <v>0</v>
          </cell>
          <cell r="S1239">
            <v>0</v>
          </cell>
          <cell r="T1239">
            <v>0</v>
          </cell>
          <cell r="U1239">
            <v>0</v>
          </cell>
          <cell r="V1239">
            <v>0</v>
          </cell>
          <cell r="W1239">
            <v>0</v>
          </cell>
          <cell r="X1239" t="str">
            <v>④</v>
          </cell>
          <cell r="Y1239" t="str">
            <v/>
          </cell>
          <cell r="Z1239" t="str">
            <v/>
          </cell>
          <cell r="AA1239" t="str">
            <v/>
          </cell>
          <cell r="AB1239" t="str">
            <v/>
          </cell>
          <cell r="AC1239" t="str">
            <v/>
          </cell>
          <cell r="AD1239" t="str">
            <v/>
          </cell>
          <cell r="AE1239" t="str">
            <v/>
          </cell>
          <cell r="AF1239" t="str">
            <v/>
          </cell>
          <cell r="AG1239" t="str">
            <v/>
          </cell>
          <cell r="AH1239" t="str">
            <v/>
          </cell>
          <cell r="AI1239" t="str">
            <v/>
          </cell>
        </row>
        <row r="1240">
          <cell r="B1240">
            <v>5913</v>
          </cell>
          <cell r="C1240">
            <v>59</v>
          </cell>
          <cell r="D1240">
            <v>13</v>
          </cell>
          <cell r="F1240" t="str">
            <v>長野</v>
          </cell>
          <cell r="G1240" t="str">
            <v>非常放送(総合)</v>
          </cell>
          <cell r="H1240" t="str">
            <v>ホーチキ</v>
          </cell>
          <cell r="I1240">
            <v>36000</v>
          </cell>
          <cell r="J1240">
            <v>36720</v>
          </cell>
          <cell r="K1240">
            <v>1</v>
          </cell>
          <cell r="L1240">
            <v>0</v>
          </cell>
          <cell r="M1240">
            <v>0</v>
          </cell>
          <cell r="N1240">
            <v>0</v>
          </cell>
          <cell r="O1240">
            <v>0</v>
          </cell>
          <cell r="P1240">
            <v>0</v>
          </cell>
          <cell r="Q1240">
            <v>0</v>
          </cell>
          <cell r="R1240">
            <v>36720</v>
          </cell>
          <cell r="S1240">
            <v>0</v>
          </cell>
          <cell r="T1240">
            <v>0</v>
          </cell>
          <cell r="U1240">
            <v>0</v>
          </cell>
          <cell r="V1240">
            <v>0</v>
          </cell>
          <cell r="W1240">
            <v>0</v>
          </cell>
          <cell r="X1240" t="str">
            <v/>
          </cell>
          <cell r="Y1240" t="str">
            <v/>
          </cell>
          <cell r="Z1240" t="str">
            <v/>
          </cell>
          <cell r="AA1240" t="str">
            <v/>
          </cell>
          <cell r="AB1240" t="str">
            <v/>
          </cell>
          <cell r="AC1240" t="str">
            <v/>
          </cell>
          <cell r="AD1240" t="str">
            <v>⑩</v>
          </cell>
          <cell r="AE1240" t="str">
            <v/>
          </cell>
          <cell r="AF1240" t="str">
            <v/>
          </cell>
          <cell r="AG1240" t="str">
            <v/>
          </cell>
          <cell r="AH1240" t="str">
            <v/>
          </cell>
          <cell r="AI1240" t="str">
            <v/>
          </cell>
        </row>
        <row r="1241">
          <cell r="B1241">
            <v>5914</v>
          </cell>
          <cell r="C1241">
            <v>59</v>
          </cell>
          <cell r="D1241">
            <v>14</v>
          </cell>
          <cell r="F1241" t="str">
            <v>長野</v>
          </cell>
          <cell r="G1241" t="str">
            <v>誘導灯(外観)</v>
          </cell>
          <cell r="H1241" t="str">
            <v>ホーチキ</v>
          </cell>
          <cell r="I1241">
            <v>27000</v>
          </cell>
          <cell r="J1241">
            <v>27540</v>
          </cell>
          <cell r="K1241">
            <v>1</v>
          </cell>
          <cell r="L1241">
            <v>27540</v>
          </cell>
          <cell r="M1241">
            <v>0</v>
          </cell>
          <cell r="N1241">
            <v>0</v>
          </cell>
          <cell r="O1241">
            <v>0</v>
          </cell>
          <cell r="P1241">
            <v>0</v>
          </cell>
          <cell r="Q1241">
            <v>0</v>
          </cell>
          <cell r="R1241">
            <v>0</v>
          </cell>
          <cell r="S1241">
            <v>0</v>
          </cell>
          <cell r="T1241">
            <v>0</v>
          </cell>
          <cell r="U1241">
            <v>0</v>
          </cell>
          <cell r="V1241">
            <v>0</v>
          </cell>
          <cell r="W1241">
            <v>0</v>
          </cell>
          <cell r="X1241" t="str">
            <v>④</v>
          </cell>
          <cell r="Y1241" t="str">
            <v/>
          </cell>
          <cell r="Z1241" t="str">
            <v/>
          </cell>
          <cell r="AA1241" t="str">
            <v/>
          </cell>
          <cell r="AB1241" t="str">
            <v/>
          </cell>
          <cell r="AC1241" t="str">
            <v/>
          </cell>
          <cell r="AE1241" t="str">
            <v/>
          </cell>
          <cell r="AF1241" t="str">
            <v/>
          </cell>
          <cell r="AG1241" t="str">
            <v/>
          </cell>
          <cell r="AH1241" t="str">
            <v/>
          </cell>
          <cell r="AI1241" t="str">
            <v/>
          </cell>
        </row>
        <row r="1242">
          <cell r="B1242">
            <v>5915</v>
          </cell>
          <cell r="C1242">
            <v>59</v>
          </cell>
          <cell r="D1242">
            <v>15</v>
          </cell>
          <cell r="F1242" t="str">
            <v>長野</v>
          </cell>
          <cell r="G1242" t="str">
            <v>誘導灯(総合)</v>
          </cell>
          <cell r="H1242" t="str">
            <v>ホーチキ</v>
          </cell>
          <cell r="I1242">
            <v>27000</v>
          </cell>
          <cell r="J1242">
            <v>27540</v>
          </cell>
          <cell r="K1242">
            <v>1</v>
          </cell>
          <cell r="L1242">
            <v>0</v>
          </cell>
          <cell r="M1242">
            <v>0</v>
          </cell>
          <cell r="N1242">
            <v>0</v>
          </cell>
          <cell r="O1242">
            <v>0</v>
          </cell>
          <cell r="P1242">
            <v>0</v>
          </cell>
          <cell r="Q1242">
            <v>0</v>
          </cell>
          <cell r="R1242">
            <v>27540</v>
          </cell>
          <cell r="S1242">
            <v>0</v>
          </cell>
          <cell r="T1242">
            <v>0</v>
          </cell>
          <cell r="U1242">
            <v>0</v>
          </cell>
          <cell r="V1242">
            <v>0</v>
          </cell>
          <cell r="W1242">
            <v>0</v>
          </cell>
          <cell r="Y1242" t="str">
            <v/>
          </cell>
          <cell r="Z1242" t="str">
            <v/>
          </cell>
          <cell r="AA1242" t="str">
            <v/>
          </cell>
          <cell r="AB1242" t="str">
            <v/>
          </cell>
          <cell r="AC1242" t="str">
            <v/>
          </cell>
          <cell r="AD1242" t="str">
            <v>⑩</v>
          </cell>
          <cell r="AE1242" t="str">
            <v/>
          </cell>
          <cell r="AF1242" t="str">
            <v/>
          </cell>
          <cell r="AG1242" t="str">
            <v/>
          </cell>
          <cell r="AH1242" t="str">
            <v/>
          </cell>
          <cell r="AI1242" t="str">
            <v/>
          </cell>
        </row>
        <row r="1243">
          <cell r="B1243">
            <v>5916</v>
          </cell>
          <cell r="C1243">
            <v>59</v>
          </cell>
          <cell r="D1243">
            <v>16</v>
          </cell>
          <cell r="F1243" t="str">
            <v>長野</v>
          </cell>
          <cell r="G1243" t="str">
            <v>Ｐ型防排煙制御(外観)</v>
          </cell>
          <cell r="H1243" t="str">
            <v>ホーチキ</v>
          </cell>
          <cell r="I1243">
            <v>94000</v>
          </cell>
          <cell r="J1243">
            <v>95880</v>
          </cell>
          <cell r="K1243">
            <v>1</v>
          </cell>
          <cell r="L1243">
            <v>95880</v>
          </cell>
          <cell r="M1243">
            <v>0</v>
          </cell>
          <cell r="N1243">
            <v>0</v>
          </cell>
          <cell r="O1243">
            <v>0</v>
          </cell>
          <cell r="P1243">
            <v>0</v>
          </cell>
          <cell r="Q1243">
            <v>0</v>
          </cell>
          <cell r="R1243">
            <v>0</v>
          </cell>
          <cell r="S1243">
            <v>0</v>
          </cell>
          <cell r="T1243">
            <v>0</v>
          </cell>
          <cell r="U1243">
            <v>0</v>
          </cell>
          <cell r="V1243">
            <v>0</v>
          </cell>
          <cell r="W1243">
            <v>0</v>
          </cell>
          <cell r="X1243" t="str">
            <v>④</v>
          </cell>
          <cell r="Y1243" t="str">
            <v/>
          </cell>
          <cell r="Z1243" t="str">
            <v/>
          </cell>
          <cell r="AA1243" t="str">
            <v/>
          </cell>
          <cell r="AB1243" t="str">
            <v/>
          </cell>
          <cell r="AC1243" t="str">
            <v/>
          </cell>
          <cell r="AD1243" t="str">
            <v/>
          </cell>
          <cell r="AE1243" t="str">
            <v/>
          </cell>
          <cell r="AF1243" t="str">
            <v/>
          </cell>
          <cell r="AG1243" t="str">
            <v/>
          </cell>
          <cell r="AH1243" t="str">
            <v/>
          </cell>
          <cell r="AI1243" t="str">
            <v/>
          </cell>
        </row>
        <row r="1244">
          <cell r="B1244">
            <v>5917</v>
          </cell>
          <cell r="C1244">
            <v>59</v>
          </cell>
          <cell r="D1244">
            <v>17</v>
          </cell>
          <cell r="F1244" t="str">
            <v>長野</v>
          </cell>
          <cell r="G1244" t="str">
            <v>Ｐ型防排煙制御(総合)</v>
          </cell>
          <cell r="H1244" t="str">
            <v>ホーチキ</v>
          </cell>
          <cell r="I1244">
            <v>110000</v>
          </cell>
          <cell r="J1244">
            <v>112200</v>
          </cell>
          <cell r="K1244">
            <v>1</v>
          </cell>
          <cell r="L1244">
            <v>0</v>
          </cell>
          <cell r="M1244">
            <v>0</v>
          </cell>
          <cell r="N1244">
            <v>0</v>
          </cell>
          <cell r="O1244">
            <v>0</v>
          </cell>
          <cell r="P1244">
            <v>0</v>
          </cell>
          <cell r="Q1244">
            <v>0</v>
          </cell>
          <cell r="R1244">
            <v>112200</v>
          </cell>
          <cell r="S1244">
            <v>0</v>
          </cell>
          <cell r="T1244">
            <v>0</v>
          </cell>
          <cell r="U1244">
            <v>0</v>
          </cell>
          <cell r="V1244">
            <v>0</v>
          </cell>
          <cell r="W1244">
            <v>0</v>
          </cell>
          <cell r="X1244" t="str">
            <v/>
          </cell>
          <cell r="Y1244" t="str">
            <v/>
          </cell>
          <cell r="Z1244" t="str">
            <v/>
          </cell>
          <cell r="AA1244" t="str">
            <v/>
          </cell>
          <cell r="AB1244" t="str">
            <v/>
          </cell>
          <cell r="AC1244" t="str">
            <v/>
          </cell>
          <cell r="AD1244" t="str">
            <v>⑩</v>
          </cell>
          <cell r="AE1244" t="str">
            <v/>
          </cell>
          <cell r="AF1244" t="str">
            <v/>
          </cell>
          <cell r="AG1244" t="str">
            <v/>
          </cell>
          <cell r="AH1244" t="str">
            <v/>
          </cell>
          <cell r="AI1244" t="str">
            <v/>
          </cell>
        </row>
        <row r="1245">
          <cell r="B1245">
            <v>5918</v>
          </cell>
          <cell r="C1245">
            <v>59</v>
          </cell>
          <cell r="D1245">
            <v>18</v>
          </cell>
          <cell r="F1245" t="str">
            <v>長野</v>
          </cell>
          <cell r="G1245" t="str">
            <v>Ｐ型自火報(外観)</v>
          </cell>
          <cell r="H1245" t="str">
            <v>ホーチキ</v>
          </cell>
          <cell r="I1245">
            <v>96000</v>
          </cell>
          <cell r="J1245">
            <v>97920</v>
          </cell>
          <cell r="K1245">
            <v>1</v>
          </cell>
          <cell r="L1245">
            <v>97920</v>
          </cell>
          <cell r="M1245">
            <v>0</v>
          </cell>
          <cell r="N1245">
            <v>0</v>
          </cell>
          <cell r="O1245">
            <v>0</v>
          </cell>
          <cell r="P1245">
            <v>0</v>
          </cell>
          <cell r="Q1245">
            <v>0</v>
          </cell>
          <cell r="R1245">
            <v>0</v>
          </cell>
          <cell r="S1245">
            <v>0</v>
          </cell>
          <cell r="T1245">
            <v>0</v>
          </cell>
          <cell r="U1245">
            <v>0</v>
          </cell>
          <cell r="V1245">
            <v>0</v>
          </cell>
          <cell r="W1245">
            <v>0</v>
          </cell>
          <cell r="X1245" t="str">
            <v>④</v>
          </cell>
          <cell r="Y1245" t="str">
            <v/>
          </cell>
          <cell r="Z1245" t="str">
            <v/>
          </cell>
          <cell r="AA1245" t="str">
            <v/>
          </cell>
          <cell r="AB1245" t="str">
            <v/>
          </cell>
          <cell r="AC1245" t="str">
            <v/>
          </cell>
          <cell r="AD1245" t="str">
            <v/>
          </cell>
          <cell r="AE1245" t="str">
            <v/>
          </cell>
          <cell r="AF1245" t="str">
            <v/>
          </cell>
          <cell r="AG1245" t="str">
            <v/>
          </cell>
          <cell r="AH1245" t="str">
            <v/>
          </cell>
          <cell r="AI1245" t="str">
            <v/>
          </cell>
        </row>
        <row r="1246">
          <cell r="B1246">
            <v>5919</v>
          </cell>
          <cell r="C1246">
            <v>59</v>
          </cell>
          <cell r="D1246">
            <v>19</v>
          </cell>
          <cell r="F1246" t="str">
            <v>長野</v>
          </cell>
          <cell r="G1246" t="str">
            <v>Ｐ型自火報(総合)</v>
          </cell>
          <cell r="H1246" t="str">
            <v>ホーチキ</v>
          </cell>
          <cell r="I1246">
            <v>260000</v>
          </cell>
          <cell r="J1246">
            <v>265200</v>
          </cell>
          <cell r="K1246">
            <v>1</v>
          </cell>
          <cell r="L1246">
            <v>0</v>
          </cell>
          <cell r="M1246">
            <v>0</v>
          </cell>
          <cell r="N1246">
            <v>0</v>
          </cell>
          <cell r="O1246">
            <v>0</v>
          </cell>
          <cell r="P1246">
            <v>0</v>
          </cell>
          <cell r="Q1246">
            <v>0</v>
          </cell>
          <cell r="R1246">
            <v>265200</v>
          </cell>
          <cell r="S1246">
            <v>0</v>
          </cell>
          <cell r="T1246">
            <v>0</v>
          </cell>
          <cell r="U1246">
            <v>0</v>
          </cell>
          <cell r="V1246">
            <v>0</v>
          </cell>
          <cell r="W1246">
            <v>0</v>
          </cell>
          <cell r="X1246" t="str">
            <v/>
          </cell>
          <cell r="Y1246" t="str">
            <v/>
          </cell>
          <cell r="Z1246" t="str">
            <v/>
          </cell>
          <cell r="AA1246" t="str">
            <v/>
          </cell>
          <cell r="AB1246" t="str">
            <v/>
          </cell>
          <cell r="AC1246" t="str">
            <v/>
          </cell>
          <cell r="AD1246" t="str">
            <v>⑩</v>
          </cell>
          <cell r="AE1246" t="str">
            <v/>
          </cell>
          <cell r="AF1246" t="str">
            <v/>
          </cell>
          <cell r="AG1246" t="str">
            <v/>
          </cell>
          <cell r="AH1246" t="str">
            <v/>
          </cell>
          <cell r="AI1246" t="str">
            <v/>
          </cell>
        </row>
        <row r="1247">
          <cell r="B1247">
            <v>5920</v>
          </cell>
          <cell r="C1247">
            <v>59</v>
          </cell>
          <cell r="D1247">
            <v>20</v>
          </cell>
          <cell r="F1247" t="str">
            <v>長野</v>
          </cell>
          <cell r="G1247" t="str">
            <v>立体駐車場装置保守</v>
          </cell>
          <cell r="H1247" t="str">
            <v>三菱重工ﾊﾟｰｷﾝｸﾞ建設</v>
          </cell>
          <cell r="I1247">
            <v>204000</v>
          </cell>
          <cell r="J1247">
            <v>208080</v>
          </cell>
          <cell r="K1247">
            <v>12</v>
          </cell>
          <cell r="L1247">
            <v>208080</v>
          </cell>
          <cell r="M1247">
            <v>208080</v>
          </cell>
          <cell r="N1247">
            <v>208080</v>
          </cell>
          <cell r="O1247">
            <v>208080</v>
          </cell>
          <cell r="P1247">
            <v>208080</v>
          </cell>
          <cell r="Q1247">
            <v>208080</v>
          </cell>
          <cell r="R1247">
            <v>208080</v>
          </cell>
          <cell r="S1247">
            <v>208080</v>
          </cell>
          <cell r="T1247">
            <v>208080</v>
          </cell>
          <cell r="U1247">
            <v>208080</v>
          </cell>
          <cell r="V1247">
            <v>208080</v>
          </cell>
          <cell r="W1247">
            <v>208080</v>
          </cell>
          <cell r="X1247" t="str">
            <v>④</v>
          </cell>
          <cell r="Y1247" t="str">
            <v>⑤</v>
          </cell>
          <cell r="Z1247" t="str">
            <v>⑥</v>
          </cell>
          <cell r="AA1247" t="str">
            <v>⑦</v>
          </cell>
          <cell r="AB1247" t="str">
            <v>⑧</v>
          </cell>
          <cell r="AC1247" t="str">
            <v>⑨</v>
          </cell>
          <cell r="AD1247" t="str">
            <v>⑩</v>
          </cell>
          <cell r="AE1247" t="str">
            <v>⑪</v>
          </cell>
          <cell r="AF1247" t="str">
            <v>⑫</v>
          </cell>
          <cell r="AG1247" t="str">
            <v>①</v>
          </cell>
          <cell r="AH1247" t="str">
            <v>②</v>
          </cell>
          <cell r="AI1247" t="str">
            <v>③</v>
          </cell>
        </row>
        <row r="1248">
          <cell r="B1248">
            <v>5921</v>
          </cell>
          <cell r="C1248">
            <v>59</v>
          </cell>
          <cell r="D1248">
            <v>21</v>
          </cell>
          <cell r="F1248" t="str">
            <v>長野</v>
          </cell>
          <cell r="G1248" t="str">
            <v>害虫駆除</v>
          </cell>
          <cell r="H1248" t="str">
            <v>朝日サニター</v>
          </cell>
          <cell r="I1248">
            <v>134000</v>
          </cell>
          <cell r="J1248">
            <v>156600</v>
          </cell>
          <cell r="K1248">
            <v>2</v>
          </cell>
          <cell r="L1248">
            <v>156600</v>
          </cell>
          <cell r="M1248">
            <v>0</v>
          </cell>
          <cell r="N1248">
            <v>0</v>
          </cell>
          <cell r="O1248">
            <v>0</v>
          </cell>
          <cell r="P1248">
            <v>0</v>
          </cell>
          <cell r="Q1248">
            <v>0</v>
          </cell>
          <cell r="R1248">
            <v>156600</v>
          </cell>
          <cell r="S1248">
            <v>0</v>
          </cell>
          <cell r="T1248">
            <v>0</v>
          </cell>
          <cell r="U1248">
            <v>0</v>
          </cell>
          <cell r="V1248">
            <v>0</v>
          </cell>
          <cell r="W1248">
            <v>0</v>
          </cell>
          <cell r="X1248" t="str">
            <v>④</v>
          </cell>
          <cell r="Y1248" t="str">
            <v/>
          </cell>
          <cell r="Z1248" t="str">
            <v/>
          </cell>
          <cell r="AA1248" t="str">
            <v/>
          </cell>
          <cell r="AB1248" t="str">
            <v/>
          </cell>
          <cell r="AC1248" t="str">
            <v/>
          </cell>
          <cell r="AD1248" t="str">
            <v>⑩</v>
          </cell>
          <cell r="AE1248" t="str">
            <v/>
          </cell>
          <cell r="AF1248" t="str">
            <v/>
          </cell>
          <cell r="AG1248" t="str">
            <v/>
          </cell>
          <cell r="AH1248" t="str">
            <v/>
          </cell>
          <cell r="AI1248" t="str">
            <v/>
          </cell>
          <cell r="AJ1248" t="str">
            <v>変</v>
          </cell>
        </row>
        <row r="1249">
          <cell r="B1249">
            <v>5922</v>
          </cell>
          <cell r="C1249">
            <v>59</v>
          </cell>
          <cell r="D1249">
            <v>22</v>
          </cell>
          <cell r="F1249" t="str">
            <v>長野</v>
          </cell>
          <cell r="G1249" t="str">
            <v>貯水槽清掃</v>
          </cell>
          <cell r="H1249" t="str">
            <v>信越ビル美装</v>
          </cell>
          <cell r="I1249">
            <v>73000</v>
          </cell>
          <cell r="J1249">
            <v>82950</v>
          </cell>
          <cell r="K1249">
            <v>1</v>
          </cell>
          <cell r="L1249">
            <v>0</v>
          </cell>
          <cell r="M1249">
            <v>0</v>
          </cell>
          <cell r="N1249">
            <v>0</v>
          </cell>
          <cell r="O1249">
            <v>82950</v>
          </cell>
          <cell r="P1249">
            <v>0</v>
          </cell>
          <cell r="Q1249">
            <v>0</v>
          </cell>
          <cell r="R1249">
            <v>0</v>
          </cell>
          <cell r="S1249">
            <v>0</v>
          </cell>
          <cell r="T1249">
            <v>0</v>
          </cell>
          <cell r="U1249">
            <v>0</v>
          </cell>
          <cell r="V1249">
            <v>0</v>
          </cell>
          <cell r="W1249">
            <v>0</v>
          </cell>
          <cell r="X1249" t="str">
            <v/>
          </cell>
          <cell r="Y1249" t="str">
            <v/>
          </cell>
          <cell r="Z1249" t="str">
            <v/>
          </cell>
          <cell r="AA1249" t="str">
            <v>⑦</v>
          </cell>
          <cell r="AB1249" t="str">
            <v/>
          </cell>
          <cell r="AC1249" t="str">
            <v/>
          </cell>
          <cell r="AD1249" t="str">
            <v/>
          </cell>
          <cell r="AE1249" t="str">
            <v/>
          </cell>
          <cell r="AF1249" t="str">
            <v/>
          </cell>
          <cell r="AG1249" t="str">
            <v/>
          </cell>
          <cell r="AH1249" t="str">
            <v/>
          </cell>
          <cell r="AI1249" t="str">
            <v/>
          </cell>
          <cell r="AJ1249" t="str">
            <v>変</v>
          </cell>
        </row>
        <row r="1250">
          <cell r="B1250">
            <v>5923</v>
          </cell>
          <cell r="C1250">
            <v>59</v>
          </cell>
          <cell r="D1250">
            <v>23</v>
          </cell>
          <cell r="F1250" t="str">
            <v>長野</v>
          </cell>
          <cell r="G1250" t="str">
            <v>冷温水発生機設備保守</v>
          </cell>
          <cell r="H1250" t="str">
            <v>三洋空調ｼｽﾃﾑｻｰﾋﾞｽ</v>
          </cell>
          <cell r="I1250">
            <v>194000</v>
          </cell>
          <cell r="J1250">
            <v>198600</v>
          </cell>
          <cell r="K1250">
            <v>2</v>
          </cell>
          <cell r="L1250">
            <v>0</v>
          </cell>
          <cell r="M1250">
            <v>198600</v>
          </cell>
          <cell r="N1250">
            <v>0</v>
          </cell>
          <cell r="O1250">
            <v>0</v>
          </cell>
          <cell r="P1250">
            <v>0</v>
          </cell>
          <cell r="Q1250">
            <v>0</v>
          </cell>
          <cell r="R1250">
            <v>198600</v>
          </cell>
          <cell r="S1250">
            <v>0</v>
          </cell>
          <cell r="T1250">
            <v>0</v>
          </cell>
          <cell r="U1250">
            <v>0</v>
          </cell>
          <cell r="V1250">
            <v>0</v>
          </cell>
          <cell r="W1250">
            <v>0</v>
          </cell>
          <cell r="X1250" t="str">
            <v/>
          </cell>
          <cell r="Y1250" t="str">
            <v>⑤</v>
          </cell>
          <cell r="AA1250" t="str">
            <v/>
          </cell>
          <cell r="AB1250" t="str">
            <v/>
          </cell>
          <cell r="AC1250" t="str">
            <v/>
          </cell>
          <cell r="AD1250" t="str">
            <v>⑩</v>
          </cell>
          <cell r="AF1250" t="str">
            <v/>
          </cell>
          <cell r="AG1250" t="str">
            <v/>
          </cell>
          <cell r="AH1250" t="str">
            <v/>
          </cell>
          <cell r="AI1250" t="str">
            <v/>
          </cell>
          <cell r="AJ1250" t="str">
            <v>変</v>
          </cell>
        </row>
        <row r="1251">
          <cell r="B1251">
            <v>5924</v>
          </cell>
          <cell r="C1251">
            <v>59</v>
          </cell>
          <cell r="D1251">
            <v>24</v>
          </cell>
          <cell r="F1251" t="str">
            <v>長野</v>
          </cell>
          <cell r="G1251" t="str">
            <v>自動ドアー保守</v>
          </cell>
          <cell r="H1251" t="str">
            <v>長野ナブコ</v>
          </cell>
          <cell r="I1251">
            <v>45000</v>
          </cell>
          <cell r="J1251">
            <v>47700</v>
          </cell>
          <cell r="K1251">
            <v>2</v>
          </cell>
          <cell r="L1251">
            <v>0</v>
          </cell>
          <cell r="M1251">
            <v>0</v>
          </cell>
          <cell r="N1251">
            <v>0</v>
          </cell>
          <cell r="O1251">
            <v>0</v>
          </cell>
          <cell r="P1251">
            <v>47700</v>
          </cell>
          <cell r="Q1251">
            <v>0</v>
          </cell>
          <cell r="R1251">
            <v>0</v>
          </cell>
          <cell r="S1251">
            <v>0</v>
          </cell>
          <cell r="T1251">
            <v>0</v>
          </cell>
          <cell r="U1251">
            <v>0</v>
          </cell>
          <cell r="V1251">
            <v>47700</v>
          </cell>
          <cell r="W1251">
            <v>0</v>
          </cell>
          <cell r="X1251" t="str">
            <v/>
          </cell>
          <cell r="Y1251" t="str">
            <v/>
          </cell>
          <cell r="Z1251" t="str">
            <v/>
          </cell>
          <cell r="AA1251" t="str">
            <v/>
          </cell>
          <cell r="AB1251" t="str">
            <v>⑧</v>
          </cell>
          <cell r="AC1251" t="str">
            <v/>
          </cell>
          <cell r="AD1251" t="str">
            <v/>
          </cell>
          <cell r="AE1251" t="str">
            <v/>
          </cell>
          <cell r="AF1251" t="str">
            <v/>
          </cell>
          <cell r="AG1251" t="str">
            <v/>
          </cell>
          <cell r="AH1251" t="str">
            <v>②</v>
          </cell>
          <cell r="AI1251" t="str">
            <v/>
          </cell>
          <cell r="AJ1251" t="str">
            <v>変</v>
          </cell>
        </row>
        <row r="1252">
          <cell r="B1252">
            <v>5925</v>
          </cell>
          <cell r="C1252">
            <v>59</v>
          </cell>
          <cell r="D1252">
            <v>25</v>
          </cell>
          <cell r="F1252" t="str">
            <v>長野</v>
          </cell>
          <cell r="G1252" t="str">
            <v>植栽管理</v>
          </cell>
          <cell r="H1252" t="str">
            <v>インテック</v>
          </cell>
          <cell r="I1252">
            <v>50000</v>
          </cell>
          <cell r="J1252">
            <v>51000</v>
          </cell>
          <cell r="K1252">
            <v>1</v>
          </cell>
          <cell r="L1252">
            <v>0</v>
          </cell>
          <cell r="M1252">
            <v>0</v>
          </cell>
          <cell r="N1252">
            <v>0</v>
          </cell>
          <cell r="O1252">
            <v>0</v>
          </cell>
          <cell r="P1252">
            <v>0</v>
          </cell>
          <cell r="Q1252">
            <v>0</v>
          </cell>
          <cell r="R1252">
            <v>51000</v>
          </cell>
          <cell r="S1252">
            <v>0</v>
          </cell>
          <cell r="T1252">
            <v>0</v>
          </cell>
          <cell r="U1252">
            <v>0</v>
          </cell>
          <cell r="V1252">
            <v>0</v>
          </cell>
          <cell r="W1252">
            <v>0</v>
          </cell>
          <cell r="X1252" t="str">
            <v/>
          </cell>
          <cell r="Y1252" t="str">
            <v/>
          </cell>
          <cell r="Z1252" t="str">
            <v/>
          </cell>
          <cell r="AA1252" t="str">
            <v/>
          </cell>
          <cell r="AB1252" t="str">
            <v/>
          </cell>
          <cell r="AC1252" t="str">
            <v/>
          </cell>
          <cell r="AD1252" t="str">
            <v>⑩</v>
          </cell>
          <cell r="AE1252" t="str">
            <v/>
          </cell>
          <cell r="AF1252" t="str">
            <v/>
          </cell>
          <cell r="AG1252" t="str">
            <v/>
          </cell>
          <cell r="AH1252" t="str">
            <v/>
          </cell>
          <cell r="AI1252" t="str">
            <v/>
          </cell>
        </row>
        <row r="1253">
          <cell r="B1253">
            <v>5926</v>
          </cell>
          <cell r="C1253">
            <v>59</v>
          </cell>
          <cell r="D1253">
            <v>26</v>
          </cell>
          <cell r="F1253" t="str">
            <v>長野</v>
          </cell>
          <cell r="G1253" t="str">
            <v>ボイラー整備</v>
          </cell>
          <cell r="H1253" t="str">
            <v>中央エンジニヤ</v>
          </cell>
          <cell r="I1253">
            <v>83000</v>
          </cell>
          <cell r="J1253">
            <v>95450</v>
          </cell>
          <cell r="K1253">
            <v>1</v>
          </cell>
          <cell r="L1253">
            <v>0</v>
          </cell>
          <cell r="M1253">
            <v>0</v>
          </cell>
          <cell r="N1253">
            <v>0</v>
          </cell>
          <cell r="O1253">
            <v>0</v>
          </cell>
          <cell r="P1253">
            <v>0</v>
          </cell>
          <cell r="Q1253">
            <v>0</v>
          </cell>
          <cell r="R1253">
            <v>95450</v>
          </cell>
          <cell r="S1253">
            <v>0</v>
          </cell>
          <cell r="T1253">
            <v>0</v>
          </cell>
          <cell r="U1253">
            <v>0</v>
          </cell>
          <cell r="V1253">
            <v>0</v>
          </cell>
          <cell r="W1253">
            <v>0</v>
          </cell>
          <cell r="X1253" t="str">
            <v/>
          </cell>
          <cell r="Y1253" t="str">
            <v/>
          </cell>
          <cell r="Z1253" t="str">
            <v/>
          </cell>
          <cell r="AA1253" t="str">
            <v/>
          </cell>
          <cell r="AB1253" t="str">
            <v/>
          </cell>
          <cell r="AC1253" t="str">
            <v/>
          </cell>
          <cell r="AD1253" t="str">
            <v>⑩</v>
          </cell>
          <cell r="AF1253" t="str">
            <v/>
          </cell>
          <cell r="AG1253" t="str">
            <v/>
          </cell>
          <cell r="AH1253" t="str">
            <v/>
          </cell>
          <cell r="AI1253" t="str">
            <v/>
          </cell>
          <cell r="AJ1253" t="str">
            <v>追</v>
          </cell>
        </row>
        <row r="1254">
          <cell r="B1254">
            <v>5927</v>
          </cell>
          <cell r="C1254">
            <v>59</v>
          </cell>
          <cell r="D1254">
            <v>27</v>
          </cell>
          <cell r="F1254" t="str">
            <v>長野</v>
          </cell>
          <cell r="G1254" t="str">
            <v>空調機器点検整備</v>
          </cell>
          <cell r="H1254" t="str">
            <v>インダック</v>
          </cell>
          <cell r="I1254">
            <v>210000</v>
          </cell>
          <cell r="J1254">
            <v>241500</v>
          </cell>
          <cell r="K1254">
            <v>1</v>
          </cell>
          <cell r="L1254">
            <v>0</v>
          </cell>
          <cell r="M1254">
            <v>0</v>
          </cell>
          <cell r="N1254">
            <v>0</v>
          </cell>
          <cell r="O1254">
            <v>0</v>
          </cell>
          <cell r="P1254">
            <v>0</v>
          </cell>
          <cell r="Q1254">
            <v>0</v>
          </cell>
          <cell r="R1254">
            <v>241500</v>
          </cell>
          <cell r="S1254">
            <v>0</v>
          </cell>
          <cell r="T1254">
            <v>0</v>
          </cell>
          <cell r="U1254">
            <v>0</v>
          </cell>
          <cell r="V1254">
            <v>0</v>
          </cell>
          <cell r="W1254">
            <v>0</v>
          </cell>
          <cell r="X1254" t="str">
            <v/>
          </cell>
          <cell r="Y1254" t="str">
            <v/>
          </cell>
          <cell r="Z1254" t="str">
            <v/>
          </cell>
          <cell r="AA1254" t="str">
            <v/>
          </cell>
          <cell r="AB1254" t="str">
            <v/>
          </cell>
          <cell r="AC1254" t="str">
            <v/>
          </cell>
          <cell r="AD1254" t="str">
            <v>⑩</v>
          </cell>
          <cell r="AE1254" t="str">
            <v/>
          </cell>
          <cell r="AF1254" t="str">
            <v/>
          </cell>
          <cell r="AG1254" t="str">
            <v/>
          </cell>
          <cell r="AH1254" t="str">
            <v/>
          </cell>
          <cell r="AI1254" t="str">
            <v/>
          </cell>
          <cell r="AJ1254" t="str">
            <v>追</v>
          </cell>
        </row>
        <row r="1255">
          <cell r="B1255">
            <v>6001</v>
          </cell>
          <cell r="C1255">
            <v>60</v>
          </cell>
          <cell r="D1255">
            <v>1</v>
          </cell>
          <cell r="F1255" t="str">
            <v>高岡</v>
          </cell>
          <cell r="G1255" t="str">
            <v>駐車場設備保守</v>
          </cell>
          <cell r="H1255" t="str">
            <v>石川島運搬機械</v>
          </cell>
          <cell r="I1255">
            <v>45000</v>
          </cell>
          <cell r="J1255">
            <v>48300</v>
          </cell>
          <cell r="K1255">
            <v>12</v>
          </cell>
          <cell r="L1255">
            <v>48300</v>
          </cell>
          <cell r="M1255">
            <v>48300</v>
          </cell>
          <cell r="N1255">
            <v>48300</v>
          </cell>
          <cell r="O1255">
            <v>48300</v>
          </cell>
          <cell r="P1255">
            <v>48300</v>
          </cell>
          <cell r="Q1255">
            <v>48300</v>
          </cell>
          <cell r="R1255">
            <v>48300</v>
          </cell>
          <cell r="S1255">
            <v>48300</v>
          </cell>
          <cell r="T1255">
            <v>48300</v>
          </cell>
          <cell r="U1255">
            <v>48300</v>
          </cell>
          <cell r="V1255">
            <v>48300</v>
          </cell>
          <cell r="W1255">
            <v>48300</v>
          </cell>
          <cell r="X1255" t="str">
            <v>④</v>
          </cell>
          <cell r="Y1255" t="str">
            <v>⑤</v>
          </cell>
          <cell r="Z1255" t="str">
            <v>⑥</v>
          </cell>
          <cell r="AA1255" t="str">
            <v>⑦</v>
          </cell>
          <cell r="AB1255" t="str">
            <v>⑧</v>
          </cell>
          <cell r="AC1255" t="str">
            <v>⑨</v>
          </cell>
          <cell r="AD1255" t="str">
            <v>⑩</v>
          </cell>
          <cell r="AE1255" t="str">
            <v>⑪</v>
          </cell>
          <cell r="AF1255" t="str">
            <v>⑫</v>
          </cell>
          <cell r="AG1255" t="str">
            <v>①</v>
          </cell>
          <cell r="AH1255" t="str">
            <v>②</v>
          </cell>
          <cell r="AI1255" t="str">
            <v>③</v>
          </cell>
        </row>
        <row r="1256">
          <cell r="B1256">
            <v>6002</v>
          </cell>
          <cell r="C1256">
            <v>60</v>
          </cell>
          <cell r="D1256">
            <v>2</v>
          </cell>
          <cell r="F1256" t="str">
            <v>高岡</v>
          </cell>
          <cell r="G1256" t="str">
            <v>エレベーター保守</v>
          </cell>
          <cell r="H1256" t="str">
            <v>三菱電機ﾋﾞﾙﾃｸﾉｻｰﾋﾞｽ</v>
          </cell>
          <cell r="I1256">
            <v>61700</v>
          </cell>
          <cell r="J1256">
            <v>62934</v>
          </cell>
          <cell r="K1256">
            <v>12</v>
          </cell>
          <cell r="L1256">
            <v>62934</v>
          </cell>
          <cell r="M1256">
            <v>62934</v>
          </cell>
          <cell r="N1256">
            <v>62934</v>
          </cell>
          <cell r="O1256">
            <v>62934</v>
          </cell>
          <cell r="P1256">
            <v>62934</v>
          </cell>
          <cell r="Q1256">
            <v>62934</v>
          </cell>
          <cell r="R1256">
            <v>62934</v>
          </cell>
          <cell r="S1256">
            <v>62934</v>
          </cell>
          <cell r="T1256">
            <v>62934</v>
          </cell>
          <cell r="U1256">
            <v>62934</v>
          </cell>
          <cell r="V1256">
            <v>62934</v>
          </cell>
          <cell r="W1256">
            <v>62934</v>
          </cell>
          <cell r="X1256" t="str">
            <v>④</v>
          </cell>
          <cell r="Y1256" t="str">
            <v>⑤</v>
          </cell>
          <cell r="Z1256" t="str">
            <v>⑥</v>
          </cell>
          <cell r="AA1256" t="str">
            <v>⑦</v>
          </cell>
          <cell r="AB1256" t="str">
            <v>⑧</v>
          </cell>
          <cell r="AC1256" t="str">
            <v>⑨</v>
          </cell>
          <cell r="AD1256" t="str">
            <v>⑩</v>
          </cell>
          <cell r="AE1256" t="str">
            <v>⑪</v>
          </cell>
          <cell r="AF1256" t="str">
            <v>⑫</v>
          </cell>
          <cell r="AG1256" t="str">
            <v>①</v>
          </cell>
          <cell r="AH1256" t="str">
            <v>②</v>
          </cell>
          <cell r="AI1256" t="str">
            <v>③</v>
          </cell>
        </row>
        <row r="1257">
          <cell r="B1257">
            <v>6101</v>
          </cell>
          <cell r="C1257">
            <v>61</v>
          </cell>
          <cell r="D1257">
            <v>1</v>
          </cell>
          <cell r="F1257" t="str">
            <v>富山</v>
          </cell>
          <cell r="G1257" t="str">
            <v>駐車場設備保守</v>
          </cell>
          <cell r="H1257" t="str">
            <v>三菱重工ﾊﾟｰｷﾝｸﾞ建設</v>
          </cell>
          <cell r="I1257">
            <v>111000</v>
          </cell>
          <cell r="J1257">
            <v>113220</v>
          </cell>
          <cell r="K1257">
            <v>12</v>
          </cell>
          <cell r="L1257">
            <v>113220</v>
          </cell>
          <cell r="M1257">
            <v>113220</v>
          </cell>
          <cell r="N1257">
            <v>113220</v>
          </cell>
          <cell r="O1257">
            <v>113220</v>
          </cell>
          <cell r="P1257">
            <v>113220</v>
          </cell>
          <cell r="Q1257">
            <v>113220</v>
          </cell>
          <cell r="R1257">
            <v>113220</v>
          </cell>
          <cell r="S1257">
            <v>113220</v>
          </cell>
          <cell r="T1257">
            <v>113220</v>
          </cell>
          <cell r="U1257">
            <v>113220</v>
          </cell>
          <cell r="V1257">
            <v>113220</v>
          </cell>
          <cell r="W1257">
            <v>113220</v>
          </cell>
          <cell r="X1257" t="str">
            <v>④</v>
          </cell>
          <cell r="Y1257" t="str">
            <v>⑤</v>
          </cell>
          <cell r="Z1257" t="str">
            <v>⑥</v>
          </cell>
          <cell r="AA1257" t="str">
            <v>⑦</v>
          </cell>
          <cell r="AB1257" t="str">
            <v>⑧</v>
          </cell>
          <cell r="AC1257" t="str">
            <v>⑨</v>
          </cell>
          <cell r="AD1257" t="str">
            <v>⑩</v>
          </cell>
          <cell r="AE1257" t="str">
            <v>⑪</v>
          </cell>
          <cell r="AF1257" t="str">
            <v>⑫</v>
          </cell>
          <cell r="AG1257" t="str">
            <v>①</v>
          </cell>
          <cell r="AH1257" t="str">
            <v>②</v>
          </cell>
          <cell r="AI1257" t="str">
            <v>③</v>
          </cell>
        </row>
        <row r="1258">
          <cell r="B1258">
            <v>6102</v>
          </cell>
          <cell r="C1258">
            <v>61</v>
          </cell>
          <cell r="D1258">
            <v>2</v>
          </cell>
          <cell r="F1258" t="str">
            <v>富山</v>
          </cell>
          <cell r="G1258" t="str">
            <v>エレベーター保守</v>
          </cell>
          <cell r="H1258" t="str">
            <v>三菱電機ﾋﾞﾙﾃｸﾉｻｰﾋﾞｽ</v>
          </cell>
          <cell r="I1258">
            <v>134400</v>
          </cell>
          <cell r="J1258">
            <v>137088</v>
          </cell>
          <cell r="K1258">
            <v>12</v>
          </cell>
          <cell r="L1258">
            <v>137088</v>
          </cell>
          <cell r="M1258">
            <v>137088</v>
          </cell>
          <cell r="N1258">
            <v>137088</v>
          </cell>
          <cell r="O1258">
            <v>137088</v>
          </cell>
          <cell r="P1258">
            <v>137088</v>
          </cell>
          <cell r="Q1258">
            <v>137088</v>
          </cell>
          <cell r="R1258">
            <v>137088</v>
          </cell>
          <cell r="S1258">
            <v>137088</v>
          </cell>
          <cell r="T1258">
            <v>137088</v>
          </cell>
          <cell r="U1258">
            <v>137088</v>
          </cell>
          <cell r="V1258">
            <v>137088</v>
          </cell>
          <cell r="W1258">
            <v>137088</v>
          </cell>
          <cell r="X1258" t="str">
            <v>④</v>
          </cell>
          <cell r="Y1258" t="str">
            <v>⑤</v>
          </cell>
          <cell r="Z1258" t="str">
            <v>⑥</v>
          </cell>
          <cell r="AA1258" t="str">
            <v>⑦</v>
          </cell>
          <cell r="AB1258" t="str">
            <v>⑧</v>
          </cell>
          <cell r="AC1258" t="str">
            <v>⑨</v>
          </cell>
          <cell r="AD1258" t="str">
            <v>⑩</v>
          </cell>
          <cell r="AE1258" t="str">
            <v>⑪</v>
          </cell>
          <cell r="AF1258" t="str">
            <v>⑫</v>
          </cell>
          <cell r="AG1258" t="str">
            <v>①</v>
          </cell>
          <cell r="AH1258" t="str">
            <v>②</v>
          </cell>
          <cell r="AI1258" t="str">
            <v>③</v>
          </cell>
        </row>
        <row r="1259">
          <cell r="B1259">
            <v>6103</v>
          </cell>
          <cell r="C1259">
            <v>61</v>
          </cell>
          <cell r="D1259">
            <v>3</v>
          </cell>
          <cell r="F1259" t="str">
            <v>富山</v>
          </cell>
          <cell r="G1259" t="str">
            <v>消防設備点検保守(総合)</v>
          </cell>
          <cell r="H1259" t="str">
            <v>米原商事</v>
          </cell>
          <cell r="I1259">
            <v>340000</v>
          </cell>
          <cell r="J1259">
            <v>346800</v>
          </cell>
          <cell r="K1259">
            <v>1</v>
          </cell>
          <cell r="L1259">
            <v>0</v>
          </cell>
          <cell r="M1259">
            <v>0</v>
          </cell>
          <cell r="N1259">
            <v>0</v>
          </cell>
          <cell r="O1259">
            <v>346800</v>
          </cell>
          <cell r="P1259">
            <v>0</v>
          </cell>
          <cell r="Q1259">
            <v>0</v>
          </cell>
          <cell r="R1259">
            <v>0</v>
          </cell>
          <cell r="S1259">
            <v>0</v>
          </cell>
          <cell r="T1259">
            <v>0</v>
          </cell>
          <cell r="U1259">
            <v>0</v>
          </cell>
          <cell r="V1259">
            <v>0</v>
          </cell>
          <cell r="W1259">
            <v>0</v>
          </cell>
          <cell r="X1259" t="str">
            <v/>
          </cell>
          <cell r="Y1259" t="str">
            <v/>
          </cell>
          <cell r="Z1259" t="str">
            <v/>
          </cell>
          <cell r="AA1259" t="str">
            <v>⑦</v>
          </cell>
          <cell r="AB1259" t="str">
            <v/>
          </cell>
          <cell r="AC1259" t="str">
            <v/>
          </cell>
          <cell r="AD1259" t="str">
            <v/>
          </cell>
          <cell r="AE1259" t="str">
            <v/>
          </cell>
          <cell r="AF1259" t="str">
            <v/>
          </cell>
          <cell r="AG1259" t="str">
            <v/>
          </cell>
          <cell r="AH1259" t="str">
            <v/>
          </cell>
          <cell r="AI1259" t="str">
            <v/>
          </cell>
        </row>
        <row r="1260">
          <cell r="B1260">
            <v>6104</v>
          </cell>
          <cell r="C1260">
            <v>61</v>
          </cell>
          <cell r="D1260">
            <v>4</v>
          </cell>
          <cell r="F1260" t="str">
            <v>富山</v>
          </cell>
          <cell r="G1260" t="str">
            <v>消防設備点検保守(外観)</v>
          </cell>
          <cell r="H1260" t="str">
            <v>米原商事</v>
          </cell>
          <cell r="I1260">
            <v>230000</v>
          </cell>
          <cell r="J1260">
            <v>234600</v>
          </cell>
          <cell r="K1260">
            <v>1</v>
          </cell>
          <cell r="L1260">
            <v>0</v>
          </cell>
          <cell r="M1260">
            <v>0</v>
          </cell>
          <cell r="N1260">
            <v>0</v>
          </cell>
          <cell r="O1260">
            <v>0</v>
          </cell>
          <cell r="P1260">
            <v>0</v>
          </cell>
          <cell r="Q1260">
            <v>0</v>
          </cell>
          <cell r="R1260">
            <v>0</v>
          </cell>
          <cell r="S1260">
            <v>0</v>
          </cell>
          <cell r="T1260">
            <v>0</v>
          </cell>
          <cell r="U1260">
            <v>234600</v>
          </cell>
          <cell r="V1260">
            <v>0</v>
          </cell>
          <cell r="W1260">
            <v>0</v>
          </cell>
          <cell r="X1260" t="str">
            <v/>
          </cell>
          <cell r="Y1260" t="str">
            <v/>
          </cell>
          <cell r="Z1260" t="str">
            <v/>
          </cell>
          <cell r="AA1260" t="str">
            <v/>
          </cell>
          <cell r="AB1260" t="str">
            <v/>
          </cell>
          <cell r="AC1260" t="str">
            <v/>
          </cell>
          <cell r="AD1260" t="str">
            <v/>
          </cell>
          <cell r="AE1260" t="str">
            <v/>
          </cell>
          <cell r="AF1260" t="str">
            <v/>
          </cell>
          <cell r="AG1260" t="str">
            <v>①</v>
          </cell>
          <cell r="AH1260" t="str">
            <v/>
          </cell>
          <cell r="AI1260" t="str">
            <v/>
          </cell>
        </row>
        <row r="1261">
          <cell r="B1261">
            <v>6105</v>
          </cell>
          <cell r="C1261">
            <v>61</v>
          </cell>
          <cell r="D1261">
            <v>5</v>
          </cell>
          <cell r="F1261" t="str">
            <v>富山</v>
          </cell>
          <cell r="G1261" t="str">
            <v>害虫駆除</v>
          </cell>
          <cell r="H1261" t="str">
            <v>北陸ビル防設</v>
          </cell>
          <cell r="I1261">
            <v>109000</v>
          </cell>
          <cell r="J1261">
            <v>119900</v>
          </cell>
          <cell r="K1261">
            <v>2</v>
          </cell>
          <cell r="L1261">
            <v>0</v>
          </cell>
          <cell r="M1261">
            <v>119900</v>
          </cell>
          <cell r="N1261">
            <v>0</v>
          </cell>
          <cell r="O1261">
            <v>0</v>
          </cell>
          <cell r="P1261">
            <v>0</v>
          </cell>
          <cell r="Q1261">
            <v>0</v>
          </cell>
          <cell r="R1261">
            <v>0</v>
          </cell>
          <cell r="S1261">
            <v>119900</v>
          </cell>
          <cell r="T1261">
            <v>0</v>
          </cell>
          <cell r="U1261">
            <v>0</v>
          </cell>
          <cell r="V1261">
            <v>0</v>
          </cell>
          <cell r="W1261">
            <v>0</v>
          </cell>
          <cell r="X1261" t="str">
            <v/>
          </cell>
          <cell r="Y1261" t="str">
            <v>⑤</v>
          </cell>
          <cell r="Z1261" t="str">
            <v/>
          </cell>
          <cell r="AA1261" t="str">
            <v/>
          </cell>
          <cell r="AB1261" t="str">
            <v/>
          </cell>
          <cell r="AC1261" t="str">
            <v/>
          </cell>
          <cell r="AD1261" t="str">
            <v/>
          </cell>
          <cell r="AE1261" t="str">
            <v>⑪</v>
          </cell>
          <cell r="AF1261" t="str">
            <v/>
          </cell>
          <cell r="AG1261" t="str">
            <v/>
          </cell>
          <cell r="AH1261" t="str">
            <v/>
          </cell>
          <cell r="AI1261" t="str">
            <v/>
          </cell>
        </row>
        <row r="1262">
          <cell r="B1262">
            <v>6106</v>
          </cell>
          <cell r="C1262">
            <v>61</v>
          </cell>
          <cell r="D1262">
            <v>6</v>
          </cell>
          <cell r="F1262" t="str">
            <v>富山</v>
          </cell>
          <cell r="G1262" t="str">
            <v>貯水槽清掃</v>
          </cell>
          <cell r="H1262" t="str">
            <v>北陸バロン美装</v>
          </cell>
          <cell r="I1262">
            <v>57000</v>
          </cell>
          <cell r="J1262">
            <v>64410</v>
          </cell>
          <cell r="K1262">
            <v>1</v>
          </cell>
          <cell r="L1262">
            <v>0</v>
          </cell>
          <cell r="M1262">
            <v>64410</v>
          </cell>
          <cell r="N1262">
            <v>0</v>
          </cell>
          <cell r="O1262">
            <v>0</v>
          </cell>
          <cell r="P1262">
            <v>0</v>
          </cell>
          <cell r="Q1262">
            <v>0</v>
          </cell>
          <cell r="R1262">
            <v>0</v>
          </cell>
          <cell r="S1262">
            <v>0</v>
          </cell>
          <cell r="T1262">
            <v>0</v>
          </cell>
          <cell r="U1262">
            <v>0</v>
          </cell>
          <cell r="V1262">
            <v>0</v>
          </cell>
          <cell r="W1262">
            <v>0</v>
          </cell>
          <cell r="X1262" t="str">
            <v/>
          </cell>
          <cell r="Y1262" t="str">
            <v>⑤</v>
          </cell>
          <cell r="Z1262" t="str">
            <v/>
          </cell>
          <cell r="AA1262" t="str">
            <v/>
          </cell>
          <cell r="AB1262" t="str">
            <v/>
          </cell>
          <cell r="AC1262" t="str">
            <v/>
          </cell>
          <cell r="AD1262" t="str">
            <v/>
          </cell>
          <cell r="AE1262" t="str">
            <v/>
          </cell>
          <cell r="AF1262" t="str">
            <v/>
          </cell>
          <cell r="AG1262" t="str">
            <v/>
          </cell>
          <cell r="AH1262" t="str">
            <v/>
          </cell>
          <cell r="AI1262" t="str">
            <v/>
          </cell>
        </row>
        <row r="1263">
          <cell r="B1263">
            <v>6107</v>
          </cell>
          <cell r="C1263">
            <v>61</v>
          </cell>
          <cell r="D1263">
            <v>7</v>
          </cell>
          <cell r="F1263" t="str">
            <v>富山</v>
          </cell>
          <cell r="G1263" t="str">
            <v>空調機設備保守</v>
          </cell>
          <cell r="H1263" t="str">
            <v>菱機工業</v>
          </cell>
          <cell r="I1263">
            <v>165000</v>
          </cell>
          <cell r="J1263">
            <v>168300</v>
          </cell>
          <cell r="K1263">
            <v>2</v>
          </cell>
          <cell r="L1263">
            <v>0</v>
          </cell>
          <cell r="M1263">
            <v>0</v>
          </cell>
          <cell r="N1263">
            <v>0</v>
          </cell>
          <cell r="O1263">
            <v>168300</v>
          </cell>
          <cell r="P1263">
            <v>0</v>
          </cell>
          <cell r="Q1263">
            <v>0</v>
          </cell>
          <cell r="R1263">
            <v>0</v>
          </cell>
          <cell r="S1263">
            <v>0</v>
          </cell>
          <cell r="T1263">
            <v>168300</v>
          </cell>
          <cell r="U1263">
            <v>0</v>
          </cell>
          <cell r="V1263">
            <v>0</v>
          </cell>
          <cell r="W1263">
            <v>0</v>
          </cell>
          <cell r="X1263" t="str">
            <v/>
          </cell>
          <cell r="Y1263" t="str">
            <v/>
          </cell>
          <cell r="Z1263" t="str">
            <v/>
          </cell>
          <cell r="AA1263" t="str">
            <v>⑦</v>
          </cell>
          <cell r="AB1263" t="str">
            <v/>
          </cell>
          <cell r="AC1263" t="str">
            <v/>
          </cell>
          <cell r="AD1263" t="str">
            <v/>
          </cell>
          <cell r="AE1263" t="str">
            <v/>
          </cell>
          <cell r="AF1263" t="str">
            <v>⑫</v>
          </cell>
          <cell r="AG1263" t="str">
            <v/>
          </cell>
          <cell r="AH1263" t="str">
            <v/>
          </cell>
          <cell r="AI1263" t="str">
            <v/>
          </cell>
        </row>
        <row r="1264">
          <cell r="B1264">
            <v>6108</v>
          </cell>
          <cell r="C1264">
            <v>61</v>
          </cell>
          <cell r="D1264">
            <v>8</v>
          </cell>
          <cell r="F1264" t="str">
            <v>富山</v>
          </cell>
          <cell r="G1264" t="str">
            <v>ボイラー設備点検</v>
          </cell>
          <cell r="H1264" t="str">
            <v>朝日機器ｴﾝｼﾞﾆｱﾘﾝｸﾞ</v>
          </cell>
          <cell r="I1264">
            <v>24300</v>
          </cell>
          <cell r="J1264">
            <v>27940</v>
          </cell>
          <cell r="K1264">
            <v>1</v>
          </cell>
          <cell r="L1264">
            <v>0</v>
          </cell>
          <cell r="M1264">
            <v>0</v>
          </cell>
          <cell r="N1264">
            <v>0</v>
          </cell>
          <cell r="O1264">
            <v>0</v>
          </cell>
          <cell r="P1264">
            <v>0</v>
          </cell>
          <cell r="Q1264">
            <v>0</v>
          </cell>
          <cell r="R1264">
            <v>27940</v>
          </cell>
          <cell r="S1264">
            <v>0</v>
          </cell>
          <cell r="T1264">
            <v>0</v>
          </cell>
          <cell r="U1264">
            <v>0</v>
          </cell>
          <cell r="V1264">
            <v>0</v>
          </cell>
          <cell r="W1264">
            <v>0</v>
          </cell>
          <cell r="X1264" t="str">
            <v/>
          </cell>
          <cell r="Y1264" t="str">
            <v/>
          </cell>
          <cell r="Z1264" t="str">
            <v/>
          </cell>
          <cell r="AA1264" t="str">
            <v/>
          </cell>
          <cell r="AB1264" t="str">
            <v/>
          </cell>
          <cell r="AC1264" t="str">
            <v/>
          </cell>
          <cell r="AD1264" t="str">
            <v>⑩</v>
          </cell>
          <cell r="AE1264" t="str">
            <v/>
          </cell>
          <cell r="AF1264" t="str">
            <v/>
          </cell>
          <cell r="AG1264" t="str">
            <v/>
          </cell>
          <cell r="AH1264" t="str">
            <v/>
          </cell>
          <cell r="AI1264" t="str">
            <v/>
          </cell>
          <cell r="AJ1264" t="str">
            <v>追</v>
          </cell>
        </row>
        <row r="1265">
          <cell r="B1265">
            <v>6201</v>
          </cell>
          <cell r="C1265">
            <v>62</v>
          </cell>
          <cell r="D1265">
            <v>1</v>
          </cell>
          <cell r="F1265" t="str">
            <v>金沢</v>
          </cell>
          <cell r="G1265" t="str">
            <v>駐車場設備保守</v>
          </cell>
          <cell r="H1265" t="str">
            <v>三菱重工ﾊﾟｰｷﾝｸﾞ建設</v>
          </cell>
          <cell r="I1265">
            <v>204000</v>
          </cell>
          <cell r="J1265">
            <v>208080</v>
          </cell>
          <cell r="K1265">
            <v>12</v>
          </cell>
          <cell r="L1265">
            <v>208080</v>
          </cell>
          <cell r="M1265">
            <v>208080</v>
          </cell>
          <cell r="N1265">
            <v>208080</v>
          </cell>
          <cell r="O1265">
            <v>208080</v>
          </cell>
          <cell r="P1265">
            <v>208080</v>
          </cell>
          <cell r="Q1265">
            <v>208080</v>
          </cell>
          <cell r="R1265">
            <v>208080</v>
          </cell>
          <cell r="S1265">
            <v>208080</v>
          </cell>
          <cell r="T1265">
            <v>208080</v>
          </cell>
          <cell r="U1265">
            <v>208080</v>
          </cell>
          <cell r="V1265">
            <v>208080</v>
          </cell>
          <cell r="W1265">
            <v>208080</v>
          </cell>
          <cell r="X1265" t="str">
            <v>④</v>
          </cell>
          <cell r="Y1265" t="str">
            <v>⑤</v>
          </cell>
          <cell r="Z1265" t="str">
            <v>⑥</v>
          </cell>
          <cell r="AA1265" t="str">
            <v>⑦</v>
          </cell>
          <cell r="AB1265" t="str">
            <v>⑧</v>
          </cell>
          <cell r="AC1265" t="str">
            <v>⑨</v>
          </cell>
          <cell r="AD1265" t="str">
            <v>⑩</v>
          </cell>
          <cell r="AE1265" t="str">
            <v>⑪</v>
          </cell>
          <cell r="AF1265" t="str">
            <v>⑫</v>
          </cell>
          <cell r="AG1265" t="str">
            <v>①</v>
          </cell>
          <cell r="AH1265" t="str">
            <v>②</v>
          </cell>
          <cell r="AI1265" t="str">
            <v>③</v>
          </cell>
        </row>
        <row r="1266">
          <cell r="B1266">
            <v>6202</v>
          </cell>
          <cell r="C1266">
            <v>62</v>
          </cell>
          <cell r="D1266">
            <v>2</v>
          </cell>
          <cell r="F1266" t="str">
            <v>金沢</v>
          </cell>
          <cell r="G1266" t="str">
            <v>エレベーター保守</v>
          </cell>
          <cell r="H1266" t="str">
            <v>三菱電機ﾋﾞﾙﾃｸﾉｻｰﾋﾞｽ</v>
          </cell>
          <cell r="I1266">
            <v>133200</v>
          </cell>
          <cell r="J1266">
            <v>135864</v>
          </cell>
          <cell r="K1266">
            <v>12</v>
          </cell>
          <cell r="L1266">
            <v>135864</v>
          </cell>
          <cell r="M1266">
            <v>135864</v>
          </cell>
          <cell r="N1266">
            <v>135864</v>
          </cell>
          <cell r="O1266">
            <v>135864</v>
          </cell>
          <cell r="P1266">
            <v>135864</v>
          </cell>
          <cell r="Q1266">
            <v>135864</v>
          </cell>
          <cell r="R1266">
            <v>135864</v>
          </cell>
          <cell r="S1266">
            <v>135864</v>
          </cell>
          <cell r="T1266">
            <v>135864</v>
          </cell>
          <cell r="U1266">
            <v>135864</v>
          </cell>
          <cell r="V1266">
            <v>135864</v>
          </cell>
          <cell r="W1266">
            <v>135864</v>
          </cell>
          <cell r="X1266" t="str">
            <v>④</v>
          </cell>
          <cell r="Y1266" t="str">
            <v>⑤</v>
          </cell>
          <cell r="Z1266" t="str">
            <v>⑥</v>
          </cell>
          <cell r="AA1266" t="str">
            <v>⑦</v>
          </cell>
          <cell r="AB1266" t="str">
            <v>⑧</v>
          </cell>
          <cell r="AC1266" t="str">
            <v>⑨</v>
          </cell>
          <cell r="AD1266" t="str">
            <v>⑩</v>
          </cell>
          <cell r="AE1266" t="str">
            <v>⑪</v>
          </cell>
          <cell r="AF1266" t="str">
            <v>⑫</v>
          </cell>
          <cell r="AG1266" t="str">
            <v>①</v>
          </cell>
          <cell r="AH1266" t="str">
            <v>②</v>
          </cell>
          <cell r="AI1266" t="str">
            <v>③</v>
          </cell>
        </row>
        <row r="1267">
          <cell r="B1267">
            <v>6203</v>
          </cell>
          <cell r="C1267">
            <v>62</v>
          </cell>
          <cell r="D1267">
            <v>3</v>
          </cell>
          <cell r="F1267" t="str">
            <v>金沢</v>
          </cell>
          <cell r="G1267" t="str">
            <v>ゴンドラ設備保守</v>
          </cell>
          <cell r="H1267" t="str">
            <v>日本ビソー</v>
          </cell>
          <cell r="I1267">
            <v>79200</v>
          </cell>
          <cell r="J1267">
            <v>81777</v>
          </cell>
          <cell r="K1267">
            <v>3</v>
          </cell>
          <cell r="L1267">
            <v>0</v>
          </cell>
          <cell r="M1267">
            <v>0</v>
          </cell>
          <cell r="N1267">
            <v>0</v>
          </cell>
          <cell r="O1267">
            <v>81777</v>
          </cell>
          <cell r="P1267">
            <v>0</v>
          </cell>
          <cell r="Q1267">
            <v>0</v>
          </cell>
          <cell r="R1267">
            <v>0</v>
          </cell>
          <cell r="S1267">
            <v>81777</v>
          </cell>
          <cell r="T1267">
            <v>0</v>
          </cell>
          <cell r="U1267">
            <v>0</v>
          </cell>
          <cell r="V1267">
            <v>0</v>
          </cell>
          <cell r="W1267">
            <v>81777</v>
          </cell>
          <cell r="X1267" t="str">
            <v/>
          </cell>
          <cell r="Z1267" t="str">
            <v/>
          </cell>
          <cell r="AA1267" t="str">
            <v>⑦</v>
          </cell>
          <cell r="AC1267" t="str">
            <v/>
          </cell>
          <cell r="AD1267" t="str">
            <v/>
          </cell>
          <cell r="AE1267" t="str">
            <v>⑪</v>
          </cell>
          <cell r="AF1267" t="str">
            <v/>
          </cell>
          <cell r="AG1267" t="str">
            <v/>
          </cell>
          <cell r="AI1267" t="str">
            <v>③</v>
          </cell>
          <cell r="AJ1267" t="str">
            <v>変</v>
          </cell>
        </row>
        <row r="1268">
          <cell r="B1268">
            <v>6204</v>
          </cell>
          <cell r="C1268">
            <v>62</v>
          </cell>
          <cell r="D1268">
            <v>4</v>
          </cell>
          <cell r="F1268" t="str">
            <v>金沢</v>
          </cell>
          <cell r="G1268" t="str">
            <v>ゴンドラ設備(性能検査)</v>
          </cell>
          <cell r="H1268" t="str">
            <v>日本ビソー</v>
          </cell>
          <cell r="I1268">
            <v>18800</v>
          </cell>
          <cell r="J1268">
            <v>19178</v>
          </cell>
          <cell r="K1268">
            <v>1</v>
          </cell>
          <cell r="L1268">
            <v>0</v>
          </cell>
          <cell r="M1268">
            <v>0</v>
          </cell>
          <cell r="N1268">
            <v>0</v>
          </cell>
          <cell r="O1268">
            <v>0</v>
          </cell>
          <cell r="P1268">
            <v>0</v>
          </cell>
          <cell r="Q1268">
            <v>0</v>
          </cell>
          <cell r="R1268">
            <v>0</v>
          </cell>
          <cell r="S1268">
            <v>19178</v>
          </cell>
          <cell r="T1268">
            <v>0</v>
          </cell>
          <cell r="U1268">
            <v>0</v>
          </cell>
          <cell r="V1268">
            <v>0</v>
          </cell>
          <cell r="W1268">
            <v>0</v>
          </cell>
          <cell r="X1268" t="str">
            <v/>
          </cell>
          <cell r="Y1268" t="str">
            <v/>
          </cell>
          <cell r="Z1268" t="str">
            <v/>
          </cell>
          <cell r="AA1268" t="str">
            <v/>
          </cell>
          <cell r="AB1268" t="str">
            <v/>
          </cell>
          <cell r="AC1268" t="str">
            <v/>
          </cell>
          <cell r="AE1268" t="str">
            <v>⑪</v>
          </cell>
          <cell r="AF1268" t="str">
            <v/>
          </cell>
          <cell r="AG1268" t="str">
            <v/>
          </cell>
          <cell r="AH1268" t="str">
            <v/>
          </cell>
          <cell r="AI1268" t="str">
            <v/>
          </cell>
          <cell r="AJ1268" t="str">
            <v>変</v>
          </cell>
        </row>
        <row r="1269">
          <cell r="B1269">
            <v>6205</v>
          </cell>
          <cell r="C1269">
            <v>62</v>
          </cell>
          <cell r="D1269">
            <v>5</v>
          </cell>
          <cell r="F1269" t="str">
            <v>金沢</v>
          </cell>
          <cell r="G1269" t="str">
            <v>シャッター設備保守</v>
          </cell>
          <cell r="H1269" t="str">
            <v>文化シャッター</v>
          </cell>
          <cell r="I1269">
            <v>45000</v>
          </cell>
          <cell r="J1269">
            <v>45900</v>
          </cell>
          <cell r="K1269">
            <v>1</v>
          </cell>
          <cell r="L1269">
            <v>0</v>
          </cell>
          <cell r="M1269">
            <v>0</v>
          </cell>
          <cell r="N1269">
            <v>0</v>
          </cell>
          <cell r="O1269">
            <v>0</v>
          </cell>
          <cell r="P1269">
            <v>0</v>
          </cell>
          <cell r="Q1269">
            <v>0</v>
          </cell>
          <cell r="R1269">
            <v>0</v>
          </cell>
          <cell r="S1269">
            <v>45900</v>
          </cell>
          <cell r="T1269">
            <v>0</v>
          </cell>
          <cell r="U1269">
            <v>0</v>
          </cell>
          <cell r="V1269">
            <v>0</v>
          </cell>
          <cell r="W1269">
            <v>0</v>
          </cell>
          <cell r="X1269" t="str">
            <v/>
          </cell>
          <cell r="Y1269" t="str">
            <v/>
          </cell>
          <cell r="Z1269" t="str">
            <v/>
          </cell>
          <cell r="AA1269" t="str">
            <v/>
          </cell>
          <cell r="AB1269" t="str">
            <v/>
          </cell>
          <cell r="AC1269" t="str">
            <v/>
          </cell>
          <cell r="AD1269" t="str">
            <v/>
          </cell>
          <cell r="AE1269" t="str">
            <v>⑪</v>
          </cell>
          <cell r="AF1269" t="str">
            <v/>
          </cell>
          <cell r="AG1269" t="str">
            <v/>
          </cell>
          <cell r="AH1269" t="str">
            <v/>
          </cell>
          <cell r="AI1269" t="str">
            <v/>
          </cell>
        </row>
        <row r="1270">
          <cell r="B1270">
            <v>6206</v>
          </cell>
          <cell r="C1270">
            <v>62</v>
          </cell>
          <cell r="D1270">
            <v>6</v>
          </cell>
          <cell r="F1270" t="str">
            <v>金沢</v>
          </cell>
          <cell r="G1270" t="str">
            <v>屋内消火栓(外観)</v>
          </cell>
          <cell r="H1270" t="str">
            <v>ホーチキ</v>
          </cell>
          <cell r="I1270">
            <v>54792</v>
          </cell>
          <cell r="J1270">
            <v>55888</v>
          </cell>
          <cell r="K1270">
            <v>1</v>
          </cell>
          <cell r="L1270">
            <v>0</v>
          </cell>
          <cell r="M1270">
            <v>0</v>
          </cell>
          <cell r="N1270">
            <v>0</v>
          </cell>
          <cell r="O1270">
            <v>0</v>
          </cell>
          <cell r="P1270">
            <v>55888</v>
          </cell>
          <cell r="Q1270">
            <v>0</v>
          </cell>
          <cell r="R1270">
            <v>0</v>
          </cell>
          <cell r="S1270">
            <v>0</v>
          </cell>
          <cell r="T1270">
            <v>0</v>
          </cell>
          <cell r="U1270">
            <v>0</v>
          </cell>
          <cell r="V1270">
            <v>0</v>
          </cell>
          <cell r="W1270">
            <v>0</v>
          </cell>
          <cell r="X1270" t="str">
            <v/>
          </cell>
          <cell r="Y1270" t="str">
            <v/>
          </cell>
          <cell r="Z1270" t="str">
            <v/>
          </cell>
          <cell r="AA1270" t="str">
            <v/>
          </cell>
          <cell r="AB1270" t="str">
            <v>⑧</v>
          </cell>
          <cell r="AC1270" t="str">
            <v/>
          </cell>
          <cell r="AD1270" t="str">
            <v/>
          </cell>
          <cell r="AE1270" t="str">
            <v/>
          </cell>
          <cell r="AF1270" t="str">
            <v/>
          </cell>
          <cell r="AG1270" t="str">
            <v/>
          </cell>
          <cell r="AH1270" t="str">
            <v/>
          </cell>
          <cell r="AI1270" t="str">
            <v/>
          </cell>
        </row>
        <row r="1271">
          <cell r="B1271">
            <v>6207</v>
          </cell>
          <cell r="C1271">
            <v>62</v>
          </cell>
          <cell r="D1271">
            <v>7</v>
          </cell>
          <cell r="F1271" t="str">
            <v>金沢</v>
          </cell>
          <cell r="G1271" t="str">
            <v>屋内消火栓(総合)</v>
          </cell>
          <cell r="H1271" t="str">
            <v>ホーチキ</v>
          </cell>
          <cell r="I1271">
            <v>75230</v>
          </cell>
          <cell r="J1271">
            <v>76735</v>
          </cell>
          <cell r="K1271">
            <v>1</v>
          </cell>
          <cell r="L1271">
            <v>0</v>
          </cell>
          <cell r="M1271">
            <v>0</v>
          </cell>
          <cell r="N1271">
            <v>0</v>
          </cell>
          <cell r="O1271">
            <v>0</v>
          </cell>
          <cell r="P1271">
            <v>0</v>
          </cell>
          <cell r="Q1271">
            <v>0</v>
          </cell>
          <cell r="R1271">
            <v>0</v>
          </cell>
          <cell r="S1271">
            <v>0</v>
          </cell>
          <cell r="T1271">
            <v>0</v>
          </cell>
          <cell r="U1271">
            <v>0</v>
          </cell>
          <cell r="V1271">
            <v>76735</v>
          </cell>
          <cell r="W1271">
            <v>0</v>
          </cell>
          <cell r="X1271" t="str">
            <v/>
          </cell>
          <cell r="Y1271" t="str">
            <v/>
          </cell>
          <cell r="Z1271" t="str">
            <v/>
          </cell>
          <cell r="AA1271" t="str">
            <v/>
          </cell>
          <cell r="AB1271" t="str">
            <v/>
          </cell>
          <cell r="AC1271" t="str">
            <v/>
          </cell>
          <cell r="AD1271" t="str">
            <v/>
          </cell>
          <cell r="AE1271" t="str">
            <v/>
          </cell>
          <cell r="AF1271" t="str">
            <v/>
          </cell>
          <cell r="AG1271" t="str">
            <v/>
          </cell>
          <cell r="AH1271" t="str">
            <v>②</v>
          </cell>
          <cell r="AI1271" t="str">
            <v/>
          </cell>
        </row>
        <row r="1272">
          <cell r="B1272">
            <v>6208</v>
          </cell>
          <cell r="C1272">
            <v>62</v>
          </cell>
          <cell r="D1272">
            <v>8</v>
          </cell>
          <cell r="F1272" t="str">
            <v>金沢</v>
          </cell>
          <cell r="G1272" t="str">
            <v>ｽﾌﾟﾘﾝｸﾗｰ設備(外観)</v>
          </cell>
          <cell r="H1272" t="str">
            <v>ホーチキ</v>
          </cell>
          <cell r="I1272">
            <v>78300</v>
          </cell>
          <cell r="J1272">
            <v>79866</v>
          </cell>
          <cell r="K1272">
            <v>1</v>
          </cell>
          <cell r="L1272">
            <v>0</v>
          </cell>
          <cell r="M1272">
            <v>0</v>
          </cell>
          <cell r="N1272">
            <v>0</v>
          </cell>
          <cell r="O1272">
            <v>0</v>
          </cell>
          <cell r="P1272">
            <v>79866</v>
          </cell>
          <cell r="Q1272">
            <v>0</v>
          </cell>
          <cell r="R1272">
            <v>0</v>
          </cell>
          <cell r="S1272">
            <v>0</v>
          </cell>
          <cell r="T1272">
            <v>0</v>
          </cell>
          <cell r="U1272">
            <v>0</v>
          </cell>
          <cell r="V1272">
            <v>0</v>
          </cell>
          <cell r="W1272">
            <v>0</v>
          </cell>
          <cell r="X1272" t="str">
            <v/>
          </cell>
          <cell r="Y1272" t="str">
            <v/>
          </cell>
          <cell r="Z1272" t="str">
            <v/>
          </cell>
          <cell r="AA1272" t="str">
            <v/>
          </cell>
          <cell r="AB1272" t="str">
            <v>⑧</v>
          </cell>
          <cell r="AC1272" t="str">
            <v/>
          </cell>
          <cell r="AD1272" t="str">
            <v/>
          </cell>
          <cell r="AE1272" t="str">
            <v/>
          </cell>
          <cell r="AF1272" t="str">
            <v/>
          </cell>
          <cell r="AG1272" t="str">
            <v/>
          </cell>
          <cell r="AH1272" t="str">
            <v/>
          </cell>
          <cell r="AI1272" t="str">
            <v/>
          </cell>
        </row>
        <row r="1273">
          <cell r="B1273">
            <v>6209</v>
          </cell>
          <cell r="C1273">
            <v>62</v>
          </cell>
          <cell r="D1273">
            <v>9</v>
          </cell>
          <cell r="F1273" t="str">
            <v>金沢</v>
          </cell>
          <cell r="G1273" t="str">
            <v>ｽﾌﾟﾘﾝｸﾗｰ設備(総合)</v>
          </cell>
          <cell r="H1273" t="str">
            <v>ホーチキ</v>
          </cell>
          <cell r="I1273">
            <v>100656</v>
          </cell>
          <cell r="J1273">
            <v>102669</v>
          </cell>
          <cell r="K1273">
            <v>1</v>
          </cell>
          <cell r="L1273">
            <v>0</v>
          </cell>
          <cell r="M1273">
            <v>0</v>
          </cell>
          <cell r="N1273">
            <v>0</v>
          </cell>
          <cell r="O1273">
            <v>0</v>
          </cell>
          <cell r="P1273">
            <v>0</v>
          </cell>
          <cell r="Q1273">
            <v>0</v>
          </cell>
          <cell r="R1273">
            <v>0</v>
          </cell>
          <cell r="S1273">
            <v>0</v>
          </cell>
          <cell r="T1273">
            <v>0</v>
          </cell>
          <cell r="U1273">
            <v>0</v>
          </cell>
          <cell r="V1273">
            <v>102669</v>
          </cell>
          <cell r="W1273">
            <v>0</v>
          </cell>
          <cell r="X1273" t="str">
            <v/>
          </cell>
          <cell r="Y1273" t="str">
            <v/>
          </cell>
          <cell r="Z1273" t="str">
            <v/>
          </cell>
          <cell r="AA1273" t="str">
            <v/>
          </cell>
          <cell r="AB1273" t="str">
            <v/>
          </cell>
          <cell r="AC1273" t="str">
            <v/>
          </cell>
          <cell r="AD1273" t="str">
            <v/>
          </cell>
          <cell r="AE1273" t="str">
            <v/>
          </cell>
          <cell r="AF1273" t="str">
            <v/>
          </cell>
          <cell r="AG1273" t="str">
            <v/>
          </cell>
          <cell r="AH1273" t="str">
            <v>②</v>
          </cell>
          <cell r="AI1273" t="str">
            <v/>
          </cell>
        </row>
        <row r="1274">
          <cell r="B1274">
            <v>6210</v>
          </cell>
          <cell r="C1274">
            <v>62</v>
          </cell>
          <cell r="D1274">
            <v>10</v>
          </cell>
          <cell r="F1274" t="str">
            <v>金沢</v>
          </cell>
          <cell r="G1274" t="str">
            <v>ハロゲン消火(外観)</v>
          </cell>
          <cell r="H1274" t="str">
            <v>ホーチキ</v>
          </cell>
          <cell r="I1274">
            <v>30222</v>
          </cell>
          <cell r="J1274">
            <v>30826</v>
          </cell>
          <cell r="K1274">
            <v>1</v>
          </cell>
          <cell r="L1274">
            <v>0</v>
          </cell>
          <cell r="M1274">
            <v>0</v>
          </cell>
          <cell r="N1274">
            <v>0</v>
          </cell>
          <cell r="O1274">
            <v>0</v>
          </cell>
          <cell r="P1274">
            <v>30826</v>
          </cell>
          <cell r="Q1274">
            <v>0</v>
          </cell>
          <cell r="R1274">
            <v>0</v>
          </cell>
          <cell r="S1274">
            <v>0</v>
          </cell>
          <cell r="T1274">
            <v>0</v>
          </cell>
          <cell r="U1274">
            <v>0</v>
          </cell>
          <cell r="V1274">
            <v>0</v>
          </cell>
          <cell r="W1274">
            <v>0</v>
          </cell>
          <cell r="X1274" t="str">
            <v/>
          </cell>
          <cell r="Y1274" t="str">
            <v/>
          </cell>
          <cell r="Z1274" t="str">
            <v/>
          </cell>
          <cell r="AA1274" t="str">
            <v/>
          </cell>
          <cell r="AB1274" t="str">
            <v>⑧</v>
          </cell>
          <cell r="AC1274" t="str">
            <v/>
          </cell>
          <cell r="AD1274" t="str">
            <v/>
          </cell>
          <cell r="AE1274" t="str">
            <v/>
          </cell>
          <cell r="AF1274" t="str">
            <v/>
          </cell>
          <cell r="AG1274" t="str">
            <v/>
          </cell>
          <cell r="AH1274" t="str">
            <v/>
          </cell>
          <cell r="AI1274" t="str">
            <v/>
          </cell>
        </row>
        <row r="1275">
          <cell r="B1275">
            <v>6211</v>
          </cell>
          <cell r="C1275">
            <v>62</v>
          </cell>
          <cell r="D1275">
            <v>11</v>
          </cell>
          <cell r="F1275" t="str">
            <v>金沢</v>
          </cell>
          <cell r="G1275" t="str">
            <v>ハロゲン消火(総合)</v>
          </cell>
          <cell r="H1275" t="str">
            <v>ホーチキ</v>
          </cell>
          <cell r="I1275">
            <v>104742</v>
          </cell>
          <cell r="J1275">
            <v>106837</v>
          </cell>
          <cell r="K1275">
            <v>1</v>
          </cell>
          <cell r="L1275">
            <v>0</v>
          </cell>
          <cell r="M1275">
            <v>0</v>
          </cell>
          <cell r="N1275">
            <v>0</v>
          </cell>
          <cell r="O1275">
            <v>0</v>
          </cell>
          <cell r="P1275">
            <v>0</v>
          </cell>
          <cell r="Q1275">
            <v>0</v>
          </cell>
          <cell r="R1275">
            <v>0</v>
          </cell>
          <cell r="S1275">
            <v>0</v>
          </cell>
          <cell r="T1275">
            <v>0</v>
          </cell>
          <cell r="U1275">
            <v>0</v>
          </cell>
          <cell r="V1275">
            <v>106837</v>
          </cell>
          <cell r="W1275">
            <v>0</v>
          </cell>
          <cell r="X1275" t="str">
            <v/>
          </cell>
          <cell r="Y1275" t="str">
            <v/>
          </cell>
          <cell r="Z1275" t="str">
            <v/>
          </cell>
          <cell r="AA1275" t="str">
            <v/>
          </cell>
          <cell r="AB1275" t="str">
            <v/>
          </cell>
          <cell r="AC1275" t="str">
            <v/>
          </cell>
          <cell r="AD1275" t="str">
            <v/>
          </cell>
          <cell r="AE1275" t="str">
            <v/>
          </cell>
          <cell r="AF1275" t="str">
            <v/>
          </cell>
          <cell r="AG1275" t="str">
            <v/>
          </cell>
          <cell r="AH1275" t="str">
            <v>②</v>
          </cell>
          <cell r="AI1275" t="str">
            <v/>
          </cell>
        </row>
        <row r="1276">
          <cell r="B1276">
            <v>6212</v>
          </cell>
          <cell r="C1276">
            <v>62</v>
          </cell>
          <cell r="D1276">
            <v>12</v>
          </cell>
          <cell r="F1276" t="str">
            <v>金沢</v>
          </cell>
          <cell r="G1276" t="str">
            <v>二酸化炭素消火(外観)</v>
          </cell>
          <cell r="H1276" t="str">
            <v>ホーチキ</v>
          </cell>
          <cell r="I1276">
            <v>52110</v>
          </cell>
          <cell r="J1276">
            <v>53152</v>
          </cell>
          <cell r="K1276">
            <v>1</v>
          </cell>
          <cell r="L1276">
            <v>0</v>
          </cell>
          <cell r="M1276">
            <v>0</v>
          </cell>
          <cell r="N1276">
            <v>0</v>
          </cell>
          <cell r="O1276">
            <v>0</v>
          </cell>
          <cell r="P1276">
            <v>53152</v>
          </cell>
          <cell r="Q1276">
            <v>0</v>
          </cell>
          <cell r="R1276">
            <v>0</v>
          </cell>
          <cell r="S1276">
            <v>0</v>
          </cell>
          <cell r="T1276">
            <v>0</v>
          </cell>
          <cell r="U1276">
            <v>0</v>
          </cell>
          <cell r="V1276">
            <v>0</v>
          </cell>
          <cell r="W1276">
            <v>0</v>
          </cell>
          <cell r="X1276" t="str">
            <v/>
          </cell>
          <cell r="Y1276" t="str">
            <v/>
          </cell>
          <cell r="Z1276" t="str">
            <v/>
          </cell>
          <cell r="AA1276" t="str">
            <v/>
          </cell>
          <cell r="AB1276" t="str">
            <v>⑧</v>
          </cell>
          <cell r="AC1276" t="str">
            <v/>
          </cell>
          <cell r="AD1276" t="str">
            <v/>
          </cell>
          <cell r="AE1276" t="str">
            <v/>
          </cell>
          <cell r="AF1276" t="str">
            <v/>
          </cell>
          <cell r="AG1276" t="str">
            <v/>
          </cell>
          <cell r="AH1276" t="str">
            <v/>
          </cell>
          <cell r="AI1276" t="str">
            <v/>
          </cell>
        </row>
        <row r="1277">
          <cell r="B1277">
            <v>6213</v>
          </cell>
          <cell r="C1277">
            <v>62</v>
          </cell>
          <cell r="D1277">
            <v>13</v>
          </cell>
          <cell r="F1277" t="str">
            <v>金沢</v>
          </cell>
          <cell r="G1277" t="str">
            <v>二酸化炭素消火(総合)</v>
          </cell>
          <cell r="H1277" t="str">
            <v>ホーチキ</v>
          </cell>
          <cell r="I1277">
            <v>199710</v>
          </cell>
          <cell r="J1277">
            <v>203704</v>
          </cell>
          <cell r="K1277">
            <v>1</v>
          </cell>
          <cell r="L1277">
            <v>0</v>
          </cell>
          <cell r="M1277">
            <v>0</v>
          </cell>
          <cell r="N1277">
            <v>0</v>
          </cell>
          <cell r="O1277">
            <v>0</v>
          </cell>
          <cell r="P1277">
            <v>0</v>
          </cell>
          <cell r="Q1277">
            <v>0</v>
          </cell>
          <cell r="R1277">
            <v>0</v>
          </cell>
          <cell r="S1277">
            <v>0</v>
          </cell>
          <cell r="T1277">
            <v>0</v>
          </cell>
          <cell r="U1277">
            <v>0</v>
          </cell>
          <cell r="V1277">
            <v>203704</v>
          </cell>
          <cell r="W1277">
            <v>0</v>
          </cell>
          <cell r="X1277" t="str">
            <v/>
          </cell>
          <cell r="Y1277" t="str">
            <v/>
          </cell>
          <cell r="Z1277" t="str">
            <v/>
          </cell>
          <cell r="AA1277" t="str">
            <v/>
          </cell>
          <cell r="AB1277" t="str">
            <v/>
          </cell>
          <cell r="AC1277" t="str">
            <v/>
          </cell>
          <cell r="AD1277" t="str">
            <v/>
          </cell>
          <cell r="AE1277" t="str">
            <v/>
          </cell>
          <cell r="AF1277" t="str">
            <v/>
          </cell>
          <cell r="AG1277" t="str">
            <v/>
          </cell>
          <cell r="AH1277" t="str">
            <v>②</v>
          </cell>
          <cell r="AI1277" t="str">
            <v/>
          </cell>
        </row>
        <row r="1278">
          <cell r="B1278">
            <v>6214</v>
          </cell>
          <cell r="C1278">
            <v>62</v>
          </cell>
          <cell r="D1278">
            <v>14</v>
          </cell>
          <cell r="F1278" t="str">
            <v>金沢</v>
          </cell>
          <cell r="G1278" t="str">
            <v>自動火災報知設備(外観)</v>
          </cell>
          <cell r="H1278" t="str">
            <v>ホーチキ</v>
          </cell>
          <cell r="I1278">
            <v>57465</v>
          </cell>
          <cell r="J1278">
            <v>58614</v>
          </cell>
          <cell r="K1278">
            <v>1</v>
          </cell>
          <cell r="L1278">
            <v>0</v>
          </cell>
          <cell r="M1278">
            <v>0</v>
          </cell>
          <cell r="N1278">
            <v>0</v>
          </cell>
          <cell r="O1278">
            <v>0</v>
          </cell>
          <cell r="P1278">
            <v>58614</v>
          </cell>
          <cell r="Q1278">
            <v>0</v>
          </cell>
          <cell r="R1278">
            <v>0</v>
          </cell>
          <cell r="S1278">
            <v>0</v>
          </cell>
          <cell r="T1278">
            <v>0</v>
          </cell>
          <cell r="U1278">
            <v>0</v>
          </cell>
          <cell r="V1278">
            <v>0</v>
          </cell>
          <cell r="W1278">
            <v>0</v>
          </cell>
          <cell r="X1278" t="str">
            <v/>
          </cell>
          <cell r="Y1278" t="str">
            <v/>
          </cell>
          <cell r="Z1278" t="str">
            <v/>
          </cell>
          <cell r="AA1278" t="str">
            <v/>
          </cell>
          <cell r="AB1278" t="str">
            <v>⑧</v>
          </cell>
          <cell r="AC1278" t="str">
            <v/>
          </cell>
          <cell r="AD1278" t="str">
            <v/>
          </cell>
          <cell r="AE1278" t="str">
            <v/>
          </cell>
          <cell r="AF1278" t="str">
            <v/>
          </cell>
          <cell r="AG1278" t="str">
            <v/>
          </cell>
          <cell r="AH1278" t="str">
            <v/>
          </cell>
          <cell r="AI1278" t="str">
            <v/>
          </cell>
        </row>
        <row r="1279">
          <cell r="B1279">
            <v>6215</v>
          </cell>
          <cell r="C1279">
            <v>62</v>
          </cell>
          <cell r="D1279">
            <v>15</v>
          </cell>
          <cell r="F1279" t="str">
            <v>金沢</v>
          </cell>
          <cell r="G1279" t="str">
            <v>自動火災報知設備(総合)</v>
          </cell>
          <cell r="H1279" t="str">
            <v>ホーチキ</v>
          </cell>
          <cell r="I1279">
            <v>162009</v>
          </cell>
          <cell r="J1279">
            <v>165249</v>
          </cell>
          <cell r="K1279">
            <v>1</v>
          </cell>
          <cell r="L1279">
            <v>0</v>
          </cell>
          <cell r="M1279">
            <v>0</v>
          </cell>
          <cell r="N1279">
            <v>0</v>
          </cell>
          <cell r="O1279">
            <v>0</v>
          </cell>
          <cell r="P1279">
            <v>0</v>
          </cell>
          <cell r="Q1279">
            <v>0</v>
          </cell>
          <cell r="R1279">
            <v>0</v>
          </cell>
          <cell r="S1279">
            <v>0</v>
          </cell>
          <cell r="T1279">
            <v>0</v>
          </cell>
          <cell r="U1279">
            <v>0</v>
          </cell>
          <cell r="V1279">
            <v>165249</v>
          </cell>
          <cell r="W1279">
            <v>0</v>
          </cell>
          <cell r="X1279" t="str">
            <v/>
          </cell>
          <cell r="Y1279" t="str">
            <v/>
          </cell>
          <cell r="Z1279" t="str">
            <v/>
          </cell>
          <cell r="AA1279" t="str">
            <v/>
          </cell>
          <cell r="AB1279" t="str">
            <v/>
          </cell>
          <cell r="AC1279" t="str">
            <v/>
          </cell>
          <cell r="AD1279" t="str">
            <v/>
          </cell>
          <cell r="AE1279" t="str">
            <v/>
          </cell>
          <cell r="AF1279" t="str">
            <v/>
          </cell>
          <cell r="AG1279" t="str">
            <v/>
          </cell>
          <cell r="AH1279" t="str">
            <v>②</v>
          </cell>
          <cell r="AI1279" t="str">
            <v/>
          </cell>
        </row>
        <row r="1280">
          <cell r="B1280">
            <v>6216</v>
          </cell>
          <cell r="C1280">
            <v>62</v>
          </cell>
          <cell r="D1280">
            <v>16</v>
          </cell>
          <cell r="F1280" t="str">
            <v>金沢</v>
          </cell>
          <cell r="G1280" t="str">
            <v>非常放送(外観)</v>
          </cell>
          <cell r="H1280" t="str">
            <v>ホーチキ</v>
          </cell>
          <cell r="I1280">
            <v>37728</v>
          </cell>
          <cell r="J1280">
            <v>38483</v>
          </cell>
          <cell r="K1280">
            <v>1</v>
          </cell>
          <cell r="L1280">
            <v>0</v>
          </cell>
          <cell r="M1280">
            <v>0</v>
          </cell>
          <cell r="N1280">
            <v>0</v>
          </cell>
          <cell r="O1280">
            <v>0</v>
          </cell>
          <cell r="P1280">
            <v>38483</v>
          </cell>
          <cell r="Q1280">
            <v>0</v>
          </cell>
          <cell r="R1280">
            <v>0</v>
          </cell>
          <cell r="S1280">
            <v>0</v>
          </cell>
          <cell r="T1280">
            <v>0</v>
          </cell>
          <cell r="U1280">
            <v>0</v>
          </cell>
          <cell r="V1280">
            <v>0</v>
          </cell>
          <cell r="W1280">
            <v>0</v>
          </cell>
          <cell r="X1280" t="str">
            <v/>
          </cell>
          <cell r="Y1280" t="str">
            <v/>
          </cell>
          <cell r="Z1280" t="str">
            <v/>
          </cell>
          <cell r="AA1280" t="str">
            <v/>
          </cell>
          <cell r="AB1280" t="str">
            <v>⑧</v>
          </cell>
          <cell r="AC1280" t="str">
            <v/>
          </cell>
          <cell r="AD1280" t="str">
            <v/>
          </cell>
          <cell r="AE1280" t="str">
            <v/>
          </cell>
          <cell r="AF1280" t="str">
            <v/>
          </cell>
          <cell r="AG1280" t="str">
            <v/>
          </cell>
          <cell r="AH1280" t="str">
            <v/>
          </cell>
          <cell r="AI1280" t="str">
            <v/>
          </cell>
        </row>
        <row r="1281">
          <cell r="B1281">
            <v>6217</v>
          </cell>
          <cell r="C1281">
            <v>62</v>
          </cell>
          <cell r="D1281">
            <v>17</v>
          </cell>
          <cell r="F1281" t="str">
            <v>金沢</v>
          </cell>
          <cell r="G1281" t="str">
            <v>非常放送(総合)</v>
          </cell>
          <cell r="H1281" t="str">
            <v>ホーチキ</v>
          </cell>
          <cell r="I1281">
            <v>42498</v>
          </cell>
          <cell r="J1281">
            <v>43348</v>
          </cell>
          <cell r="K1281">
            <v>1</v>
          </cell>
          <cell r="L1281">
            <v>0</v>
          </cell>
          <cell r="M1281">
            <v>0</v>
          </cell>
          <cell r="N1281">
            <v>0</v>
          </cell>
          <cell r="O1281">
            <v>0</v>
          </cell>
          <cell r="P1281">
            <v>0</v>
          </cell>
          <cell r="Q1281">
            <v>0</v>
          </cell>
          <cell r="R1281">
            <v>0</v>
          </cell>
          <cell r="S1281">
            <v>0</v>
          </cell>
          <cell r="T1281">
            <v>0</v>
          </cell>
          <cell r="U1281">
            <v>0</v>
          </cell>
          <cell r="V1281">
            <v>43348</v>
          </cell>
          <cell r="W1281">
            <v>0</v>
          </cell>
          <cell r="X1281" t="str">
            <v/>
          </cell>
          <cell r="Y1281" t="str">
            <v/>
          </cell>
          <cell r="Z1281" t="str">
            <v/>
          </cell>
          <cell r="AA1281" t="str">
            <v/>
          </cell>
          <cell r="AB1281" t="str">
            <v/>
          </cell>
          <cell r="AC1281" t="str">
            <v/>
          </cell>
          <cell r="AD1281" t="str">
            <v/>
          </cell>
          <cell r="AE1281" t="str">
            <v/>
          </cell>
          <cell r="AF1281" t="str">
            <v/>
          </cell>
          <cell r="AG1281" t="str">
            <v/>
          </cell>
          <cell r="AH1281" t="str">
            <v>②</v>
          </cell>
          <cell r="AI1281" t="str">
            <v/>
          </cell>
        </row>
        <row r="1282">
          <cell r="B1282">
            <v>6218</v>
          </cell>
          <cell r="C1282">
            <v>62</v>
          </cell>
          <cell r="D1282">
            <v>18</v>
          </cell>
          <cell r="F1282" t="str">
            <v>金沢</v>
          </cell>
          <cell r="G1282" t="str">
            <v>防排煙制御(外観)</v>
          </cell>
          <cell r="H1282" t="str">
            <v>ホーチキ</v>
          </cell>
          <cell r="I1282">
            <v>34783</v>
          </cell>
          <cell r="J1282">
            <v>35479</v>
          </cell>
          <cell r="K1282">
            <v>1</v>
          </cell>
          <cell r="L1282">
            <v>0</v>
          </cell>
          <cell r="M1282">
            <v>0</v>
          </cell>
          <cell r="N1282">
            <v>0</v>
          </cell>
          <cell r="O1282">
            <v>0</v>
          </cell>
          <cell r="P1282">
            <v>35479</v>
          </cell>
          <cell r="Q1282">
            <v>0</v>
          </cell>
          <cell r="R1282">
            <v>0</v>
          </cell>
          <cell r="S1282">
            <v>0</v>
          </cell>
          <cell r="T1282">
            <v>0</v>
          </cell>
          <cell r="U1282">
            <v>0</v>
          </cell>
          <cell r="V1282">
            <v>0</v>
          </cell>
          <cell r="W1282">
            <v>0</v>
          </cell>
          <cell r="X1282" t="str">
            <v/>
          </cell>
          <cell r="Y1282" t="str">
            <v/>
          </cell>
          <cell r="Z1282" t="str">
            <v/>
          </cell>
          <cell r="AA1282" t="str">
            <v/>
          </cell>
          <cell r="AB1282" t="str">
            <v>⑧</v>
          </cell>
          <cell r="AC1282" t="str">
            <v/>
          </cell>
          <cell r="AD1282" t="str">
            <v/>
          </cell>
          <cell r="AE1282" t="str">
            <v/>
          </cell>
          <cell r="AF1282" t="str">
            <v/>
          </cell>
          <cell r="AG1282" t="str">
            <v/>
          </cell>
          <cell r="AH1282" t="str">
            <v/>
          </cell>
          <cell r="AI1282" t="str">
            <v/>
          </cell>
        </row>
        <row r="1283">
          <cell r="B1283">
            <v>6219</v>
          </cell>
          <cell r="C1283">
            <v>62</v>
          </cell>
          <cell r="D1283">
            <v>19</v>
          </cell>
          <cell r="F1283" t="str">
            <v>金沢</v>
          </cell>
          <cell r="G1283" t="str">
            <v>防排煙制御(総合)</v>
          </cell>
          <cell r="H1283" t="str">
            <v>ホーチキ</v>
          </cell>
          <cell r="I1283">
            <v>48055</v>
          </cell>
          <cell r="J1283">
            <v>49016</v>
          </cell>
          <cell r="K1283">
            <v>1</v>
          </cell>
          <cell r="L1283">
            <v>0</v>
          </cell>
          <cell r="M1283">
            <v>0</v>
          </cell>
          <cell r="N1283">
            <v>0</v>
          </cell>
          <cell r="O1283">
            <v>0</v>
          </cell>
          <cell r="P1283">
            <v>0</v>
          </cell>
          <cell r="Q1283">
            <v>0</v>
          </cell>
          <cell r="R1283">
            <v>0</v>
          </cell>
          <cell r="S1283">
            <v>0</v>
          </cell>
          <cell r="T1283">
            <v>0</v>
          </cell>
          <cell r="U1283">
            <v>0</v>
          </cell>
          <cell r="V1283">
            <v>49016</v>
          </cell>
          <cell r="W1283">
            <v>0</v>
          </cell>
          <cell r="X1283" t="str">
            <v/>
          </cell>
          <cell r="Y1283" t="str">
            <v/>
          </cell>
          <cell r="Z1283" t="str">
            <v/>
          </cell>
          <cell r="AA1283" t="str">
            <v/>
          </cell>
          <cell r="AB1283" t="str">
            <v/>
          </cell>
          <cell r="AC1283" t="str">
            <v/>
          </cell>
          <cell r="AD1283" t="str">
            <v/>
          </cell>
          <cell r="AE1283" t="str">
            <v/>
          </cell>
          <cell r="AF1283" t="str">
            <v/>
          </cell>
          <cell r="AG1283" t="str">
            <v/>
          </cell>
          <cell r="AH1283" t="str">
            <v>②</v>
          </cell>
          <cell r="AI1283" t="str">
            <v/>
          </cell>
        </row>
        <row r="1284">
          <cell r="B1284">
            <v>6220</v>
          </cell>
          <cell r="C1284">
            <v>62</v>
          </cell>
          <cell r="D1284">
            <v>20</v>
          </cell>
          <cell r="F1284" t="str">
            <v>金沢</v>
          </cell>
          <cell r="G1284" t="str">
            <v>消防設備保守(消火器)</v>
          </cell>
          <cell r="H1284" t="str">
            <v>長野ポンプ</v>
          </cell>
          <cell r="I1284">
            <v>34000</v>
          </cell>
          <cell r="J1284">
            <v>35160</v>
          </cell>
          <cell r="K1284">
            <v>2</v>
          </cell>
          <cell r="L1284">
            <v>0</v>
          </cell>
          <cell r="M1284">
            <v>0</v>
          </cell>
          <cell r="N1284">
            <v>0</v>
          </cell>
          <cell r="O1284">
            <v>0</v>
          </cell>
          <cell r="P1284">
            <v>35160</v>
          </cell>
          <cell r="Q1284">
            <v>0</v>
          </cell>
          <cell r="R1284">
            <v>0</v>
          </cell>
          <cell r="S1284">
            <v>0</v>
          </cell>
          <cell r="T1284">
            <v>0</v>
          </cell>
          <cell r="U1284">
            <v>0</v>
          </cell>
          <cell r="V1284">
            <v>35160</v>
          </cell>
          <cell r="W1284">
            <v>0</v>
          </cell>
          <cell r="X1284" t="str">
            <v/>
          </cell>
          <cell r="Y1284" t="str">
            <v/>
          </cell>
          <cell r="Z1284" t="str">
            <v/>
          </cell>
          <cell r="AA1284" t="str">
            <v/>
          </cell>
          <cell r="AB1284" t="str">
            <v>⑧</v>
          </cell>
          <cell r="AC1284" t="str">
            <v/>
          </cell>
          <cell r="AD1284" t="str">
            <v/>
          </cell>
          <cell r="AE1284" t="str">
            <v/>
          </cell>
          <cell r="AF1284" t="str">
            <v/>
          </cell>
          <cell r="AG1284" t="str">
            <v/>
          </cell>
          <cell r="AH1284" t="str">
            <v>②</v>
          </cell>
          <cell r="AI1284" t="str">
            <v/>
          </cell>
          <cell r="AJ1284" t="str">
            <v>変</v>
          </cell>
        </row>
        <row r="1285">
          <cell r="B1285">
            <v>6221</v>
          </cell>
          <cell r="C1285">
            <v>62</v>
          </cell>
          <cell r="D1285">
            <v>21</v>
          </cell>
          <cell r="F1285" t="str">
            <v>金沢</v>
          </cell>
          <cell r="G1285" t="str">
            <v>消防設備保守(誘導灯)</v>
          </cell>
          <cell r="H1285" t="str">
            <v>長野ポンプ</v>
          </cell>
          <cell r="I1285">
            <v>11000</v>
          </cell>
          <cell r="J1285">
            <v>11340</v>
          </cell>
          <cell r="K1285">
            <v>2</v>
          </cell>
          <cell r="L1285">
            <v>0</v>
          </cell>
          <cell r="M1285">
            <v>0</v>
          </cell>
          <cell r="N1285">
            <v>0</v>
          </cell>
          <cell r="O1285">
            <v>0</v>
          </cell>
          <cell r="P1285">
            <v>11340</v>
          </cell>
          <cell r="Q1285">
            <v>0</v>
          </cell>
          <cell r="R1285">
            <v>0</v>
          </cell>
          <cell r="S1285">
            <v>0</v>
          </cell>
          <cell r="T1285">
            <v>0</v>
          </cell>
          <cell r="U1285">
            <v>0</v>
          </cell>
          <cell r="V1285">
            <v>11340</v>
          </cell>
          <cell r="W1285">
            <v>0</v>
          </cell>
          <cell r="X1285" t="str">
            <v/>
          </cell>
          <cell r="Y1285" t="str">
            <v/>
          </cell>
          <cell r="Z1285" t="str">
            <v/>
          </cell>
          <cell r="AA1285" t="str">
            <v/>
          </cell>
          <cell r="AB1285" t="str">
            <v>⑧</v>
          </cell>
          <cell r="AC1285" t="str">
            <v/>
          </cell>
          <cell r="AD1285" t="str">
            <v/>
          </cell>
          <cell r="AE1285" t="str">
            <v/>
          </cell>
          <cell r="AF1285" t="str">
            <v/>
          </cell>
          <cell r="AG1285" t="str">
            <v/>
          </cell>
          <cell r="AH1285" t="str">
            <v>②</v>
          </cell>
          <cell r="AI1285" t="str">
            <v/>
          </cell>
          <cell r="AJ1285" t="str">
            <v>変</v>
          </cell>
        </row>
        <row r="1286">
          <cell r="B1286">
            <v>6222</v>
          </cell>
          <cell r="C1286">
            <v>62</v>
          </cell>
          <cell r="D1286">
            <v>22</v>
          </cell>
          <cell r="F1286" t="str">
            <v>金沢</v>
          </cell>
          <cell r="G1286" t="str">
            <v>自家用発電機設備保守</v>
          </cell>
          <cell r="H1286" t="str">
            <v>三菱電機ｼｽﾃﾑｻｰﾋﾞｽ</v>
          </cell>
          <cell r="I1286">
            <v>43000</v>
          </cell>
          <cell r="J1286">
            <v>43860</v>
          </cell>
          <cell r="K1286">
            <v>2</v>
          </cell>
          <cell r="L1286">
            <v>0</v>
          </cell>
          <cell r="M1286">
            <v>0</v>
          </cell>
          <cell r="N1286">
            <v>0</v>
          </cell>
          <cell r="O1286">
            <v>0</v>
          </cell>
          <cell r="P1286">
            <v>43860</v>
          </cell>
          <cell r="Q1286">
            <v>0</v>
          </cell>
          <cell r="R1286">
            <v>0</v>
          </cell>
          <cell r="S1286">
            <v>0</v>
          </cell>
          <cell r="T1286">
            <v>0</v>
          </cell>
          <cell r="U1286">
            <v>0</v>
          </cell>
          <cell r="V1286">
            <v>43860</v>
          </cell>
          <cell r="W1286">
            <v>0</v>
          </cell>
          <cell r="X1286" t="str">
            <v/>
          </cell>
          <cell r="Y1286" t="str">
            <v/>
          </cell>
          <cell r="Z1286" t="str">
            <v/>
          </cell>
          <cell r="AA1286" t="str">
            <v/>
          </cell>
          <cell r="AB1286" t="str">
            <v>⑧</v>
          </cell>
          <cell r="AC1286" t="str">
            <v/>
          </cell>
          <cell r="AD1286" t="str">
            <v/>
          </cell>
          <cell r="AE1286" t="str">
            <v/>
          </cell>
          <cell r="AF1286" t="str">
            <v/>
          </cell>
          <cell r="AG1286" t="str">
            <v/>
          </cell>
          <cell r="AH1286" t="str">
            <v>②</v>
          </cell>
          <cell r="AI1286" t="str">
            <v/>
          </cell>
        </row>
        <row r="1287">
          <cell r="B1287">
            <v>6223</v>
          </cell>
          <cell r="C1287">
            <v>62</v>
          </cell>
          <cell r="D1287">
            <v>23</v>
          </cell>
          <cell r="F1287" t="str">
            <v>金沢</v>
          </cell>
          <cell r="G1287" t="str">
            <v>害虫駆除</v>
          </cell>
          <cell r="H1287" t="str">
            <v>北陸環境衛生社</v>
          </cell>
          <cell r="I1287">
            <v>115500</v>
          </cell>
          <cell r="J1287">
            <v>131950</v>
          </cell>
          <cell r="K1287">
            <v>2</v>
          </cell>
          <cell r="L1287">
            <v>0</v>
          </cell>
          <cell r="M1287">
            <v>0</v>
          </cell>
          <cell r="N1287">
            <v>0</v>
          </cell>
          <cell r="O1287">
            <v>0</v>
          </cell>
          <cell r="P1287">
            <v>131950</v>
          </cell>
          <cell r="Q1287">
            <v>0</v>
          </cell>
          <cell r="R1287">
            <v>0</v>
          </cell>
          <cell r="S1287">
            <v>0</v>
          </cell>
          <cell r="T1287">
            <v>0</v>
          </cell>
          <cell r="U1287">
            <v>0</v>
          </cell>
          <cell r="V1287">
            <v>131950</v>
          </cell>
          <cell r="W1287">
            <v>0</v>
          </cell>
          <cell r="X1287" t="str">
            <v/>
          </cell>
          <cell r="Y1287" t="str">
            <v/>
          </cell>
          <cell r="Z1287" t="str">
            <v/>
          </cell>
          <cell r="AA1287" t="str">
            <v/>
          </cell>
          <cell r="AB1287" t="str">
            <v>⑧</v>
          </cell>
          <cell r="AC1287" t="str">
            <v/>
          </cell>
          <cell r="AD1287" t="str">
            <v/>
          </cell>
          <cell r="AE1287" t="str">
            <v/>
          </cell>
          <cell r="AF1287" t="str">
            <v/>
          </cell>
          <cell r="AG1287" t="str">
            <v/>
          </cell>
          <cell r="AH1287" t="str">
            <v>②</v>
          </cell>
          <cell r="AI1287" t="str">
            <v/>
          </cell>
          <cell r="AJ1287" t="str">
            <v>変</v>
          </cell>
        </row>
        <row r="1288">
          <cell r="B1288">
            <v>6224</v>
          </cell>
          <cell r="C1288">
            <v>62</v>
          </cell>
          <cell r="D1288">
            <v>24</v>
          </cell>
          <cell r="F1288" t="str">
            <v>金沢</v>
          </cell>
          <cell r="G1288" t="str">
            <v>雑排水槽清掃</v>
          </cell>
          <cell r="H1288" t="str">
            <v>本州ビルメンテナンス</v>
          </cell>
          <cell r="I1288">
            <v>12000</v>
          </cell>
          <cell r="J1288">
            <v>13440</v>
          </cell>
          <cell r="K1288">
            <v>2</v>
          </cell>
          <cell r="L1288">
            <v>13440</v>
          </cell>
          <cell r="M1288">
            <v>0</v>
          </cell>
          <cell r="N1288">
            <v>0</v>
          </cell>
          <cell r="O1288">
            <v>0</v>
          </cell>
          <cell r="P1288">
            <v>0</v>
          </cell>
          <cell r="Q1288">
            <v>0</v>
          </cell>
          <cell r="R1288">
            <v>0</v>
          </cell>
          <cell r="S1288">
            <v>13440</v>
          </cell>
          <cell r="T1288">
            <v>0</v>
          </cell>
          <cell r="U1288">
            <v>0</v>
          </cell>
          <cell r="V1288">
            <v>0</v>
          </cell>
          <cell r="W1288">
            <v>0</v>
          </cell>
          <cell r="X1288" t="str">
            <v>④</v>
          </cell>
          <cell r="Y1288" t="str">
            <v/>
          </cell>
          <cell r="Z1288" t="str">
            <v/>
          </cell>
          <cell r="AA1288" t="str">
            <v/>
          </cell>
          <cell r="AB1288" t="str">
            <v/>
          </cell>
          <cell r="AC1288" t="str">
            <v/>
          </cell>
          <cell r="AD1288" t="str">
            <v/>
          </cell>
          <cell r="AE1288" t="str">
            <v>⑪</v>
          </cell>
          <cell r="AF1288" t="str">
            <v/>
          </cell>
          <cell r="AG1288" t="str">
            <v/>
          </cell>
          <cell r="AH1288" t="str">
            <v/>
          </cell>
          <cell r="AI1288" t="str">
            <v/>
          </cell>
        </row>
        <row r="1289">
          <cell r="B1289">
            <v>6225</v>
          </cell>
          <cell r="C1289">
            <v>62</v>
          </cell>
          <cell r="D1289">
            <v>25</v>
          </cell>
          <cell r="F1289" t="str">
            <v>金沢</v>
          </cell>
          <cell r="G1289" t="str">
            <v>貯水槽清掃</v>
          </cell>
          <cell r="H1289" t="str">
            <v>本州ビルメンテナンス</v>
          </cell>
          <cell r="I1289">
            <v>112500</v>
          </cell>
          <cell r="J1289">
            <v>127125</v>
          </cell>
          <cell r="K1289">
            <v>1</v>
          </cell>
          <cell r="L1289">
            <v>0</v>
          </cell>
          <cell r="M1289">
            <v>0</v>
          </cell>
          <cell r="N1289">
            <v>0</v>
          </cell>
          <cell r="O1289">
            <v>0</v>
          </cell>
          <cell r="P1289">
            <v>0</v>
          </cell>
          <cell r="Q1289">
            <v>0</v>
          </cell>
          <cell r="R1289">
            <v>127125</v>
          </cell>
          <cell r="S1289">
            <v>0</v>
          </cell>
          <cell r="T1289">
            <v>0</v>
          </cell>
          <cell r="U1289">
            <v>0</v>
          </cell>
          <cell r="V1289">
            <v>0</v>
          </cell>
          <cell r="W1289">
            <v>0</v>
          </cell>
          <cell r="X1289" t="str">
            <v/>
          </cell>
          <cell r="Y1289" t="str">
            <v/>
          </cell>
          <cell r="Z1289" t="str">
            <v/>
          </cell>
          <cell r="AA1289" t="str">
            <v/>
          </cell>
          <cell r="AB1289" t="str">
            <v/>
          </cell>
          <cell r="AC1289" t="str">
            <v/>
          </cell>
          <cell r="AD1289" t="str">
            <v>⑩</v>
          </cell>
          <cell r="AE1289" t="str">
            <v/>
          </cell>
          <cell r="AF1289" t="str">
            <v/>
          </cell>
          <cell r="AG1289" t="str">
            <v/>
          </cell>
          <cell r="AH1289" t="str">
            <v/>
          </cell>
          <cell r="AI1289" t="str">
            <v/>
          </cell>
        </row>
        <row r="1290">
          <cell r="B1290">
            <v>6226</v>
          </cell>
          <cell r="C1290">
            <v>62</v>
          </cell>
          <cell r="D1290">
            <v>26</v>
          </cell>
          <cell r="F1290" t="str">
            <v>金沢</v>
          </cell>
          <cell r="G1290" t="str">
            <v>自動ドアー保守</v>
          </cell>
          <cell r="H1290" t="str">
            <v>アラビアンプロセス</v>
          </cell>
          <cell r="I1290">
            <v>12500</v>
          </cell>
          <cell r="J1290">
            <v>12750</v>
          </cell>
          <cell r="K1290">
            <v>2</v>
          </cell>
          <cell r="L1290">
            <v>0</v>
          </cell>
          <cell r="M1290">
            <v>0</v>
          </cell>
          <cell r="N1290">
            <v>12750</v>
          </cell>
          <cell r="O1290">
            <v>0</v>
          </cell>
          <cell r="P1290">
            <v>0</v>
          </cell>
          <cell r="Q1290">
            <v>0</v>
          </cell>
          <cell r="R1290">
            <v>0</v>
          </cell>
          <cell r="S1290">
            <v>0</v>
          </cell>
          <cell r="T1290">
            <v>12750</v>
          </cell>
          <cell r="U1290">
            <v>0</v>
          </cell>
          <cell r="V1290">
            <v>0</v>
          </cell>
          <cell r="W1290">
            <v>0</v>
          </cell>
          <cell r="X1290" t="str">
            <v/>
          </cell>
          <cell r="Y1290" t="str">
            <v/>
          </cell>
          <cell r="Z1290" t="str">
            <v>⑥</v>
          </cell>
          <cell r="AA1290" t="str">
            <v/>
          </cell>
          <cell r="AB1290" t="str">
            <v/>
          </cell>
          <cell r="AC1290" t="str">
            <v/>
          </cell>
          <cell r="AD1290" t="str">
            <v/>
          </cell>
          <cell r="AE1290" t="str">
            <v/>
          </cell>
          <cell r="AF1290" t="str">
            <v>⑫</v>
          </cell>
          <cell r="AG1290" t="str">
            <v/>
          </cell>
          <cell r="AH1290" t="str">
            <v/>
          </cell>
          <cell r="AI1290" t="str">
            <v/>
          </cell>
        </row>
        <row r="1291">
          <cell r="B1291">
            <v>6227</v>
          </cell>
          <cell r="C1291">
            <v>62</v>
          </cell>
          <cell r="D1291">
            <v>27</v>
          </cell>
          <cell r="F1291" t="str">
            <v>金沢</v>
          </cell>
          <cell r="G1291" t="str">
            <v>チラー,ＰＡＣ保守</v>
          </cell>
          <cell r="H1291" t="str">
            <v>三菱電機ﾋﾞﾙﾃｸﾉｻｰﾋﾞｽ</v>
          </cell>
          <cell r="I1291">
            <v>225000</v>
          </cell>
          <cell r="J1291">
            <v>229500</v>
          </cell>
          <cell r="K1291">
            <v>4</v>
          </cell>
          <cell r="L1291">
            <v>0</v>
          </cell>
          <cell r="M1291">
            <v>229500</v>
          </cell>
          <cell r="N1291">
            <v>0</v>
          </cell>
          <cell r="O1291">
            <v>0</v>
          </cell>
          <cell r="P1291">
            <v>229500</v>
          </cell>
          <cell r="Q1291">
            <v>0</v>
          </cell>
          <cell r="R1291">
            <v>0</v>
          </cell>
          <cell r="S1291">
            <v>229500</v>
          </cell>
          <cell r="T1291">
            <v>0</v>
          </cell>
          <cell r="U1291">
            <v>0</v>
          </cell>
          <cell r="V1291">
            <v>229500</v>
          </cell>
          <cell r="W1291">
            <v>0</v>
          </cell>
          <cell r="X1291" t="str">
            <v/>
          </cell>
          <cell r="Y1291" t="str">
            <v>⑤</v>
          </cell>
          <cell r="Z1291" t="str">
            <v/>
          </cell>
          <cell r="AA1291" t="str">
            <v/>
          </cell>
          <cell r="AB1291" t="str">
            <v>⑧</v>
          </cell>
          <cell r="AC1291" t="str">
            <v/>
          </cell>
          <cell r="AD1291" t="str">
            <v/>
          </cell>
          <cell r="AE1291" t="str">
            <v>⑪</v>
          </cell>
          <cell r="AF1291" t="str">
            <v/>
          </cell>
          <cell r="AG1291" t="str">
            <v/>
          </cell>
          <cell r="AH1291" t="str">
            <v>②</v>
          </cell>
          <cell r="AI1291" t="str">
            <v/>
          </cell>
        </row>
        <row r="1292">
          <cell r="B1292">
            <v>6301</v>
          </cell>
          <cell r="C1292">
            <v>63</v>
          </cell>
          <cell r="D1292">
            <v>1</v>
          </cell>
          <cell r="F1292" t="str">
            <v>小松</v>
          </cell>
          <cell r="G1292" t="str">
            <v>駐車場設備保守</v>
          </cell>
          <cell r="H1292" t="str">
            <v>石川島運搬機械</v>
          </cell>
          <cell r="I1292">
            <v>94000</v>
          </cell>
          <cell r="J1292">
            <v>99300</v>
          </cell>
          <cell r="K1292">
            <v>12</v>
          </cell>
          <cell r="L1292">
            <v>99300</v>
          </cell>
          <cell r="M1292">
            <v>99300</v>
          </cell>
          <cell r="N1292">
            <v>99300</v>
          </cell>
          <cell r="O1292">
            <v>99300</v>
          </cell>
          <cell r="P1292">
            <v>99300</v>
          </cell>
          <cell r="Q1292">
            <v>99300</v>
          </cell>
          <cell r="R1292">
            <v>99300</v>
          </cell>
          <cell r="S1292">
            <v>99300</v>
          </cell>
          <cell r="T1292">
            <v>99300</v>
          </cell>
          <cell r="U1292">
            <v>99300</v>
          </cell>
          <cell r="V1292">
            <v>99300</v>
          </cell>
          <cell r="W1292">
            <v>99300</v>
          </cell>
          <cell r="X1292" t="str">
            <v>④</v>
          </cell>
          <cell r="Y1292" t="str">
            <v>⑤</v>
          </cell>
          <cell r="Z1292" t="str">
            <v>⑥</v>
          </cell>
          <cell r="AA1292" t="str">
            <v>⑦</v>
          </cell>
          <cell r="AB1292" t="str">
            <v>⑧</v>
          </cell>
          <cell r="AC1292" t="str">
            <v>⑨</v>
          </cell>
          <cell r="AD1292" t="str">
            <v>⑩</v>
          </cell>
          <cell r="AE1292" t="str">
            <v>⑪</v>
          </cell>
          <cell r="AF1292" t="str">
            <v>⑫</v>
          </cell>
          <cell r="AG1292" t="str">
            <v>①</v>
          </cell>
          <cell r="AH1292" t="str">
            <v>②</v>
          </cell>
          <cell r="AI1292" t="str">
            <v>③</v>
          </cell>
        </row>
        <row r="1293">
          <cell r="B1293">
            <v>6302</v>
          </cell>
          <cell r="C1293">
            <v>63</v>
          </cell>
          <cell r="D1293">
            <v>2</v>
          </cell>
          <cell r="F1293" t="str">
            <v>小松</v>
          </cell>
          <cell r="G1293" t="str">
            <v>エレベーター保守</v>
          </cell>
          <cell r="H1293" t="str">
            <v>三菱電機ﾋﾞﾙﾃｸﾉｻｰﾋﾞｽ</v>
          </cell>
          <cell r="I1293">
            <v>65200</v>
          </cell>
          <cell r="J1293">
            <v>66504</v>
          </cell>
          <cell r="K1293">
            <v>12</v>
          </cell>
          <cell r="L1293">
            <v>66504</v>
          </cell>
          <cell r="M1293">
            <v>66504</v>
          </cell>
          <cell r="N1293">
            <v>66504</v>
          </cell>
          <cell r="O1293">
            <v>66504</v>
          </cell>
          <cell r="P1293">
            <v>66504</v>
          </cell>
          <cell r="Q1293">
            <v>66504</v>
          </cell>
          <cell r="R1293">
            <v>66504</v>
          </cell>
          <cell r="S1293">
            <v>66504</v>
          </cell>
          <cell r="T1293">
            <v>66504</v>
          </cell>
          <cell r="U1293">
            <v>66504</v>
          </cell>
          <cell r="V1293">
            <v>66504</v>
          </cell>
          <cell r="W1293">
            <v>66504</v>
          </cell>
          <cell r="X1293" t="str">
            <v>④</v>
          </cell>
          <cell r="Y1293" t="str">
            <v>⑤</v>
          </cell>
          <cell r="Z1293" t="str">
            <v>⑥</v>
          </cell>
          <cell r="AA1293" t="str">
            <v>⑦</v>
          </cell>
          <cell r="AB1293" t="str">
            <v>⑧</v>
          </cell>
          <cell r="AC1293" t="str">
            <v>⑨</v>
          </cell>
          <cell r="AD1293" t="str">
            <v>⑩</v>
          </cell>
          <cell r="AE1293" t="str">
            <v>⑪</v>
          </cell>
          <cell r="AF1293" t="str">
            <v>⑫</v>
          </cell>
          <cell r="AG1293" t="str">
            <v>①</v>
          </cell>
          <cell r="AH1293" t="str">
            <v>②</v>
          </cell>
          <cell r="AI1293" t="str">
            <v>③</v>
          </cell>
        </row>
        <row r="1294">
          <cell r="B1294">
            <v>6303</v>
          </cell>
          <cell r="C1294">
            <v>63</v>
          </cell>
          <cell r="D1294">
            <v>3</v>
          </cell>
          <cell r="F1294" t="str">
            <v>小松</v>
          </cell>
          <cell r="G1294" t="str">
            <v>自動火災(外観)</v>
          </cell>
          <cell r="H1294" t="str">
            <v>クマ</v>
          </cell>
          <cell r="I1294">
            <v>30770</v>
          </cell>
          <cell r="J1294">
            <v>31807</v>
          </cell>
          <cell r="K1294">
            <v>1</v>
          </cell>
          <cell r="L1294">
            <v>0</v>
          </cell>
          <cell r="M1294">
            <v>0</v>
          </cell>
          <cell r="N1294">
            <v>0</v>
          </cell>
          <cell r="O1294">
            <v>0</v>
          </cell>
          <cell r="P1294">
            <v>0</v>
          </cell>
          <cell r="Q1294">
            <v>0</v>
          </cell>
          <cell r="R1294">
            <v>0</v>
          </cell>
          <cell r="S1294">
            <v>31807</v>
          </cell>
          <cell r="T1294">
            <v>0</v>
          </cell>
          <cell r="U1294">
            <v>0</v>
          </cell>
          <cell r="V1294">
            <v>0</v>
          </cell>
          <cell r="W1294">
            <v>0</v>
          </cell>
          <cell r="X1294" t="str">
            <v/>
          </cell>
          <cell r="Y1294" t="str">
            <v/>
          </cell>
          <cell r="Z1294" t="str">
            <v/>
          </cell>
          <cell r="AA1294" t="str">
            <v/>
          </cell>
          <cell r="AB1294" t="str">
            <v/>
          </cell>
          <cell r="AC1294" t="str">
            <v/>
          </cell>
          <cell r="AD1294" t="str">
            <v/>
          </cell>
          <cell r="AE1294" t="str">
            <v>⑪</v>
          </cell>
          <cell r="AF1294" t="str">
            <v/>
          </cell>
          <cell r="AG1294" t="str">
            <v/>
          </cell>
          <cell r="AH1294" t="str">
            <v/>
          </cell>
          <cell r="AI1294" t="str">
            <v/>
          </cell>
          <cell r="AJ1294" t="str">
            <v>変</v>
          </cell>
        </row>
        <row r="1295">
          <cell r="B1295">
            <v>6304</v>
          </cell>
          <cell r="C1295">
            <v>63</v>
          </cell>
          <cell r="D1295">
            <v>4</v>
          </cell>
          <cell r="F1295" t="str">
            <v>小松</v>
          </cell>
          <cell r="G1295" t="str">
            <v>自動火災(総合)</v>
          </cell>
          <cell r="H1295" t="str">
            <v>クマ</v>
          </cell>
          <cell r="I1295">
            <v>45000</v>
          </cell>
          <cell r="J1295">
            <v>46500</v>
          </cell>
          <cell r="K1295">
            <v>1</v>
          </cell>
          <cell r="L1295">
            <v>0</v>
          </cell>
          <cell r="M1295">
            <v>46500</v>
          </cell>
          <cell r="N1295">
            <v>0</v>
          </cell>
          <cell r="O1295">
            <v>0</v>
          </cell>
          <cell r="P1295">
            <v>0</v>
          </cell>
          <cell r="Q1295">
            <v>0</v>
          </cell>
          <cell r="R1295">
            <v>0</v>
          </cell>
          <cell r="S1295">
            <v>0</v>
          </cell>
          <cell r="T1295">
            <v>0</v>
          </cell>
          <cell r="U1295">
            <v>0</v>
          </cell>
          <cell r="V1295">
            <v>0</v>
          </cell>
          <cell r="W1295">
            <v>0</v>
          </cell>
          <cell r="X1295" t="str">
            <v/>
          </cell>
          <cell r="Y1295" t="str">
            <v>⑤</v>
          </cell>
          <cell r="Z1295" t="str">
            <v/>
          </cell>
          <cell r="AA1295" t="str">
            <v/>
          </cell>
          <cell r="AB1295" t="str">
            <v/>
          </cell>
          <cell r="AC1295" t="str">
            <v/>
          </cell>
          <cell r="AD1295" t="str">
            <v/>
          </cell>
          <cell r="AE1295" t="str">
            <v/>
          </cell>
          <cell r="AF1295" t="str">
            <v/>
          </cell>
          <cell r="AG1295" t="str">
            <v/>
          </cell>
          <cell r="AH1295" t="str">
            <v/>
          </cell>
          <cell r="AI1295" t="str">
            <v/>
          </cell>
          <cell r="AJ1295" t="str">
            <v>変</v>
          </cell>
        </row>
        <row r="1296">
          <cell r="B1296">
            <v>6305</v>
          </cell>
          <cell r="C1296">
            <v>63</v>
          </cell>
          <cell r="D1296">
            <v>5</v>
          </cell>
          <cell r="F1296" t="str">
            <v>小松</v>
          </cell>
          <cell r="G1296" t="str">
            <v>防排煙(外観)</v>
          </cell>
          <cell r="H1296" t="str">
            <v>クマ</v>
          </cell>
          <cell r="I1296">
            <v>23310</v>
          </cell>
          <cell r="J1296">
            <v>24087</v>
          </cell>
          <cell r="K1296">
            <v>1</v>
          </cell>
          <cell r="L1296">
            <v>0</v>
          </cell>
          <cell r="M1296">
            <v>0</v>
          </cell>
          <cell r="N1296">
            <v>0</v>
          </cell>
          <cell r="O1296">
            <v>0</v>
          </cell>
          <cell r="P1296">
            <v>0</v>
          </cell>
          <cell r="Q1296">
            <v>0</v>
          </cell>
          <cell r="R1296">
            <v>0</v>
          </cell>
          <cell r="S1296">
            <v>24087</v>
          </cell>
          <cell r="T1296">
            <v>0</v>
          </cell>
          <cell r="U1296">
            <v>0</v>
          </cell>
          <cell r="V1296">
            <v>0</v>
          </cell>
          <cell r="W1296">
            <v>0</v>
          </cell>
          <cell r="X1296" t="str">
            <v/>
          </cell>
          <cell r="Y1296" t="str">
            <v/>
          </cell>
          <cell r="Z1296" t="str">
            <v/>
          </cell>
          <cell r="AA1296" t="str">
            <v/>
          </cell>
          <cell r="AB1296" t="str">
            <v/>
          </cell>
          <cell r="AC1296" t="str">
            <v/>
          </cell>
          <cell r="AD1296" t="str">
            <v/>
          </cell>
          <cell r="AE1296" t="str">
            <v>⑪</v>
          </cell>
          <cell r="AF1296" t="str">
            <v/>
          </cell>
          <cell r="AG1296" t="str">
            <v/>
          </cell>
          <cell r="AH1296" t="str">
            <v/>
          </cell>
          <cell r="AI1296" t="str">
            <v/>
          </cell>
          <cell r="AJ1296" t="str">
            <v>変</v>
          </cell>
        </row>
        <row r="1297">
          <cell r="B1297">
            <v>6306</v>
          </cell>
          <cell r="C1297">
            <v>63</v>
          </cell>
          <cell r="D1297">
            <v>6</v>
          </cell>
          <cell r="F1297" t="str">
            <v>小松</v>
          </cell>
          <cell r="G1297" t="str">
            <v>防排煙(総合)</v>
          </cell>
          <cell r="H1297" t="str">
            <v>クマ</v>
          </cell>
          <cell r="I1297">
            <v>22150</v>
          </cell>
          <cell r="J1297">
            <v>22900</v>
          </cell>
          <cell r="K1297">
            <v>1</v>
          </cell>
          <cell r="L1297">
            <v>0</v>
          </cell>
          <cell r="M1297">
            <v>22900</v>
          </cell>
          <cell r="N1297">
            <v>0</v>
          </cell>
          <cell r="O1297">
            <v>0</v>
          </cell>
          <cell r="P1297">
            <v>0</v>
          </cell>
          <cell r="Q1297">
            <v>0</v>
          </cell>
          <cell r="R1297">
            <v>0</v>
          </cell>
          <cell r="S1297">
            <v>0</v>
          </cell>
          <cell r="T1297">
            <v>0</v>
          </cell>
          <cell r="U1297">
            <v>0</v>
          </cell>
          <cell r="V1297">
            <v>0</v>
          </cell>
          <cell r="W1297">
            <v>0</v>
          </cell>
          <cell r="X1297" t="str">
            <v/>
          </cell>
          <cell r="Y1297" t="str">
            <v>⑤</v>
          </cell>
          <cell r="Z1297" t="str">
            <v/>
          </cell>
          <cell r="AA1297" t="str">
            <v/>
          </cell>
          <cell r="AB1297" t="str">
            <v/>
          </cell>
          <cell r="AC1297" t="str">
            <v/>
          </cell>
          <cell r="AD1297" t="str">
            <v/>
          </cell>
          <cell r="AE1297" t="str">
            <v/>
          </cell>
          <cell r="AF1297" t="str">
            <v/>
          </cell>
          <cell r="AG1297" t="str">
            <v/>
          </cell>
          <cell r="AH1297" t="str">
            <v/>
          </cell>
          <cell r="AI1297" t="str">
            <v/>
          </cell>
          <cell r="AJ1297" t="str">
            <v>変</v>
          </cell>
        </row>
        <row r="1298">
          <cell r="B1298">
            <v>6307</v>
          </cell>
          <cell r="C1298">
            <v>63</v>
          </cell>
          <cell r="D1298">
            <v>7</v>
          </cell>
          <cell r="F1298" t="str">
            <v>小松</v>
          </cell>
          <cell r="G1298" t="str">
            <v>消火器(外観)</v>
          </cell>
          <cell r="H1298" t="str">
            <v>クマ</v>
          </cell>
          <cell r="I1298">
            <v>17380</v>
          </cell>
          <cell r="J1298">
            <v>17970</v>
          </cell>
          <cell r="K1298">
            <v>1</v>
          </cell>
          <cell r="L1298">
            <v>0</v>
          </cell>
          <cell r="M1298">
            <v>0</v>
          </cell>
          <cell r="N1298">
            <v>0</v>
          </cell>
          <cell r="O1298">
            <v>0</v>
          </cell>
          <cell r="P1298">
            <v>0</v>
          </cell>
          <cell r="Q1298">
            <v>0</v>
          </cell>
          <cell r="R1298">
            <v>0</v>
          </cell>
          <cell r="S1298">
            <v>17970</v>
          </cell>
          <cell r="T1298">
            <v>0</v>
          </cell>
          <cell r="U1298">
            <v>0</v>
          </cell>
          <cell r="V1298">
            <v>0</v>
          </cell>
          <cell r="W1298">
            <v>0</v>
          </cell>
          <cell r="X1298" t="str">
            <v/>
          </cell>
          <cell r="Y1298" t="str">
            <v/>
          </cell>
          <cell r="Z1298" t="str">
            <v/>
          </cell>
          <cell r="AA1298" t="str">
            <v/>
          </cell>
          <cell r="AB1298" t="str">
            <v/>
          </cell>
          <cell r="AC1298" t="str">
            <v/>
          </cell>
          <cell r="AD1298" t="str">
            <v/>
          </cell>
          <cell r="AE1298" t="str">
            <v>⑪</v>
          </cell>
          <cell r="AF1298" t="str">
            <v/>
          </cell>
          <cell r="AG1298" t="str">
            <v/>
          </cell>
          <cell r="AH1298" t="str">
            <v/>
          </cell>
          <cell r="AI1298" t="str">
            <v/>
          </cell>
          <cell r="AJ1298" t="str">
            <v>変</v>
          </cell>
        </row>
        <row r="1299">
          <cell r="B1299">
            <v>6308</v>
          </cell>
          <cell r="C1299">
            <v>63</v>
          </cell>
          <cell r="D1299">
            <v>8</v>
          </cell>
          <cell r="F1299" t="str">
            <v>小松</v>
          </cell>
          <cell r="G1299" t="str">
            <v>消火器(総合)</v>
          </cell>
          <cell r="H1299" t="str">
            <v>クマ</v>
          </cell>
          <cell r="I1299">
            <v>17460</v>
          </cell>
          <cell r="J1299">
            <v>18042</v>
          </cell>
          <cell r="K1299">
            <v>1</v>
          </cell>
          <cell r="L1299">
            <v>0</v>
          </cell>
          <cell r="M1299">
            <v>18042</v>
          </cell>
          <cell r="N1299">
            <v>0</v>
          </cell>
          <cell r="O1299">
            <v>0</v>
          </cell>
          <cell r="P1299">
            <v>0</v>
          </cell>
          <cell r="Q1299">
            <v>0</v>
          </cell>
          <cell r="R1299">
            <v>0</v>
          </cell>
          <cell r="S1299">
            <v>0</v>
          </cell>
          <cell r="T1299">
            <v>0</v>
          </cell>
          <cell r="U1299">
            <v>0</v>
          </cell>
          <cell r="V1299">
            <v>0</v>
          </cell>
          <cell r="W1299">
            <v>0</v>
          </cell>
          <cell r="X1299" t="str">
            <v/>
          </cell>
          <cell r="Y1299" t="str">
            <v>⑤</v>
          </cell>
          <cell r="Z1299" t="str">
            <v/>
          </cell>
          <cell r="AA1299" t="str">
            <v/>
          </cell>
          <cell r="AB1299" t="str">
            <v/>
          </cell>
          <cell r="AC1299" t="str">
            <v/>
          </cell>
          <cell r="AD1299" t="str">
            <v/>
          </cell>
          <cell r="AE1299" t="str">
            <v/>
          </cell>
          <cell r="AF1299" t="str">
            <v/>
          </cell>
          <cell r="AG1299" t="str">
            <v/>
          </cell>
          <cell r="AH1299" t="str">
            <v/>
          </cell>
          <cell r="AI1299" t="str">
            <v/>
          </cell>
          <cell r="AJ1299" t="str">
            <v>変</v>
          </cell>
        </row>
        <row r="1300">
          <cell r="B1300">
            <v>6309</v>
          </cell>
          <cell r="C1300">
            <v>63</v>
          </cell>
          <cell r="D1300">
            <v>9</v>
          </cell>
          <cell r="F1300" t="str">
            <v>小松</v>
          </cell>
          <cell r="G1300" t="str">
            <v>避難器具(外観)</v>
          </cell>
          <cell r="H1300" t="str">
            <v>クマ</v>
          </cell>
          <cell r="I1300">
            <v>20620</v>
          </cell>
          <cell r="J1300">
            <v>21318</v>
          </cell>
          <cell r="K1300">
            <v>1</v>
          </cell>
          <cell r="L1300">
            <v>0</v>
          </cell>
          <cell r="M1300">
            <v>0</v>
          </cell>
          <cell r="N1300">
            <v>0</v>
          </cell>
          <cell r="O1300">
            <v>0</v>
          </cell>
          <cell r="P1300">
            <v>0</v>
          </cell>
          <cell r="Q1300">
            <v>0</v>
          </cell>
          <cell r="R1300">
            <v>0</v>
          </cell>
          <cell r="S1300">
            <v>21318</v>
          </cell>
          <cell r="T1300">
            <v>0</v>
          </cell>
          <cell r="U1300">
            <v>0</v>
          </cell>
          <cell r="V1300">
            <v>0</v>
          </cell>
          <cell r="W1300">
            <v>0</v>
          </cell>
          <cell r="X1300" t="str">
            <v/>
          </cell>
          <cell r="Y1300" t="str">
            <v/>
          </cell>
          <cell r="Z1300" t="str">
            <v/>
          </cell>
          <cell r="AA1300" t="str">
            <v/>
          </cell>
          <cell r="AB1300" t="str">
            <v/>
          </cell>
          <cell r="AC1300" t="str">
            <v/>
          </cell>
          <cell r="AD1300" t="str">
            <v/>
          </cell>
          <cell r="AE1300" t="str">
            <v>⑪</v>
          </cell>
          <cell r="AF1300" t="str">
            <v/>
          </cell>
          <cell r="AG1300" t="str">
            <v/>
          </cell>
          <cell r="AH1300" t="str">
            <v/>
          </cell>
          <cell r="AI1300" t="str">
            <v/>
          </cell>
          <cell r="AJ1300" t="str">
            <v>変</v>
          </cell>
        </row>
        <row r="1301">
          <cell r="B1301">
            <v>6310</v>
          </cell>
          <cell r="C1301">
            <v>63</v>
          </cell>
          <cell r="D1301">
            <v>10</v>
          </cell>
          <cell r="F1301" t="str">
            <v>小松</v>
          </cell>
          <cell r="G1301" t="str">
            <v>避難器具(総合)</v>
          </cell>
          <cell r="H1301" t="str">
            <v>クマ</v>
          </cell>
          <cell r="I1301">
            <v>20700</v>
          </cell>
          <cell r="J1301">
            <v>21390</v>
          </cell>
          <cell r="K1301">
            <v>1</v>
          </cell>
          <cell r="L1301">
            <v>0</v>
          </cell>
          <cell r="M1301">
            <v>21390</v>
          </cell>
          <cell r="N1301">
            <v>0</v>
          </cell>
          <cell r="O1301">
            <v>0</v>
          </cell>
          <cell r="P1301">
            <v>0</v>
          </cell>
          <cell r="Q1301">
            <v>0</v>
          </cell>
          <cell r="R1301">
            <v>0</v>
          </cell>
          <cell r="S1301">
            <v>0</v>
          </cell>
          <cell r="T1301">
            <v>0</v>
          </cell>
          <cell r="U1301">
            <v>0</v>
          </cell>
          <cell r="V1301">
            <v>0</v>
          </cell>
          <cell r="W1301">
            <v>0</v>
          </cell>
          <cell r="X1301" t="str">
            <v/>
          </cell>
          <cell r="Y1301" t="str">
            <v>⑤</v>
          </cell>
          <cell r="Z1301" t="str">
            <v/>
          </cell>
          <cell r="AA1301" t="str">
            <v/>
          </cell>
          <cell r="AB1301" t="str">
            <v/>
          </cell>
          <cell r="AC1301" t="str">
            <v/>
          </cell>
          <cell r="AD1301" t="str">
            <v/>
          </cell>
          <cell r="AE1301" t="str">
            <v/>
          </cell>
          <cell r="AF1301" t="str">
            <v/>
          </cell>
          <cell r="AG1301" t="str">
            <v/>
          </cell>
          <cell r="AH1301" t="str">
            <v/>
          </cell>
          <cell r="AI1301" t="str">
            <v/>
          </cell>
          <cell r="AJ1301" t="str">
            <v>変</v>
          </cell>
        </row>
        <row r="1302">
          <cell r="B1302">
            <v>6311</v>
          </cell>
          <cell r="C1302">
            <v>63</v>
          </cell>
          <cell r="D1302">
            <v>11</v>
          </cell>
          <cell r="F1302" t="str">
            <v>小松</v>
          </cell>
          <cell r="G1302" t="str">
            <v>ハロゲン(外観)</v>
          </cell>
          <cell r="H1302" t="str">
            <v>クマ</v>
          </cell>
          <cell r="I1302">
            <v>30435</v>
          </cell>
          <cell r="J1302">
            <v>31460</v>
          </cell>
          <cell r="K1302">
            <v>1</v>
          </cell>
          <cell r="L1302">
            <v>0</v>
          </cell>
          <cell r="M1302">
            <v>0</v>
          </cell>
          <cell r="N1302">
            <v>0</v>
          </cell>
          <cell r="O1302">
            <v>0</v>
          </cell>
          <cell r="P1302">
            <v>0</v>
          </cell>
          <cell r="Q1302">
            <v>0</v>
          </cell>
          <cell r="R1302">
            <v>0</v>
          </cell>
          <cell r="S1302">
            <v>31460</v>
          </cell>
          <cell r="T1302">
            <v>0</v>
          </cell>
          <cell r="U1302">
            <v>0</v>
          </cell>
          <cell r="V1302">
            <v>0</v>
          </cell>
          <cell r="W1302">
            <v>0</v>
          </cell>
          <cell r="X1302" t="str">
            <v/>
          </cell>
          <cell r="Y1302" t="str">
            <v/>
          </cell>
          <cell r="Z1302" t="str">
            <v/>
          </cell>
          <cell r="AA1302" t="str">
            <v/>
          </cell>
          <cell r="AB1302" t="str">
            <v/>
          </cell>
          <cell r="AC1302" t="str">
            <v/>
          </cell>
          <cell r="AD1302" t="str">
            <v/>
          </cell>
          <cell r="AE1302" t="str">
            <v>⑪</v>
          </cell>
          <cell r="AF1302" t="str">
            <v/>
          </cell>
          <cell r="AG1302" t="str">
            <v/>
          </cell>
          <cell r="AH1302" t="str">
            <v/>
          </cell>
          <cell r="AI1302" t="str">
            <v/>
          </cell>
          <cell r="AJ1302" t="str">
            <v>変</v>
          </cell>
        </row>
        <row r="1303">
          <cell r="B1303">
            <v>6312</v>
          </cell>
          <cell r="C1303">
            <v>63</v>
          </cell>
          <cell r="D1303">
            <v>12</v>
          </cell>
          <cell r="F1303" t="str">
            <v>小松</v>
          </cell>
          <cell r="G1303" t="str">
            <v>ハロゲン(総合)</v>
          </cell>
          <cell r="H1303" t="str">
            <v>クマ</v>
          </cell>
          <cell r="I1303">
            <v>63705</v>
          </cell>
          <cell r="J1303">
            <v>65844</v>
          </cell>
          <cell r="K1303">
            <v>1</v>
          </cell>
          <cell r="L1303">
            <v>0</v>
          </cell>
          <cell r="M1303">
            <v>65844</v>
          </cell>
          <cell r="N1303">
            <v>0</v>
          </cell>
          <cell r="O1303">
            <v>0</v>
          </cell>
          <cell r="P1303">
            <v>0</v>
          </cell>
          <cell r="Q1303">
            <v>0</v>
          </cell>
          <cell r="R1303">
            <v>0</v>
          </cell>
          <cell r="S1303">
            <v>0</v>
          </cell>
          <cell r="T1303">
            <v>0</v>
          </cell>
          <cell r="U1303">
            <v>0</v>
          </cell>
          <cell r="V1303">
            <v>0</v>
          </cell>
          <cell r="W1303">
            <v>0</v>
          </cell>
          <cell r="X1303" t="str">
            <v/>
          </cell>
          <cell r="Y1303" t="str">
            <v>⑤</v>
          </cell>
          <cell r="Z1303" t="str">
            <v/>
          </cell>
          <cell r="AA1303" t="str">
            <v/>
          </cell>
          <cell r="AB1303" t="str">
            <v/>
          </cell>
          <cell r="AC1303" t="str">
            <v/>
          </cell>
          <cell r="AD1303" t="str">
            <v/>
          </cell>
          <cell r="AE1303" t="str">
            <v/>
          </cell>
          <cell r="AF1303" t="str">
            <v/>
          </cell>
          <cell r="AG1303" t="str">
            <v/>
          </cell>
          <cell r="AH1303" t="str">
            <v/>
          </cell>
          <cell r="AI1303" t="str">
            <v/>
          </cell>
          <cell r="AJ1303" t="str">
            <v>変</v>
          </cell>
        </row>
        <row r="1304">
          <cell r="B1304">
            <v>6313</v>
          </cell>
          <cell r="C1304">
            <v>63</v>
          </cell>
          <cell r="D1304">
            <v>13</v>
          </cell>
          <cell r="F1304" t="str">
            <v>小松</v>
          </cell>
          <cell r="G1304" t="str">
            <v>消火器具(外観)</v>
          </cell>
          <cell r="H1304" t="str">
            <v>クマ</v>
          </cell>
          <cell r="I1304">
            <v>22645</v>
          </cell>
          <cell r="J1304">
            <v>23411</v>
          </cell>
          <cell r="K1304">
            <v>1</v>
          </cell>
          <cell r="L1304">
            <v>0</v>
          </cell>
          <cell r="M1304">
            <v>0</v>
          </cell>
          <cell r="N1304">
            <v>0</v>
          </cell>
          <cell r="O1304">
            <v>0</v>
          </cell>
          <cell r="P1304">
            <v>0</v>
          </cell>
          <cell r="Q1304">
            <v>0</v>
          </cell>
          <cell r="R1304">
            <v>0</v>
          </cell>
          <cell r="S1304">
            <v>23411</v>
          </cell>
          <cell r="T1304">
            <v>0</v>
          </cell>
          <cell r="U1304">
            <v>0</v>
          </cell>
          <cell r="V1304">
            <v>0</v>
          </cell>
          <cell r="W1304">
            <v>0</v>
          </cell>
          <cell r="X1304" t="str">
            <v/>
          </cell>
          <cell r="Y1304" t="str">
            <v/>
          </cell>
          <cell r="Z1304" t="str">
            <v/>
          </cell>
          <cell r="AA1304" t="str">
            <v/>
          </cell>
          <cell r="AB1304" t="str">
            <v/>
          </cell>
          <cell r="AC1304" t="str">
            <v/>
          </cell>
          <cell r="AD1304" t="str">
            <v/>
          </cell>
          <cell r="AE1304" t="str">
            <v>⑪</v>
          </cell>
          <cell r="AF1304" t="str">
            <v/>
          </cell>
          <cell r="AG1304" t="str">
            <v/>
          </cell>
          <cell r="AH1304" t="str">
            <v/>
          </cell>
          <cell r="AI1304" t="str">
            <v/>
          </cell>
          <cell r="AJ1304" t="str">
            <v>変</v>
          </cell>
        </row>
        <row r="1305">
          <cell r="B1305">
            <v>6314</v>
          </cell>
          <cell r="C1305">
            <v>63</v>
          </cell>
          <cell r="D1305">
            <v>14</v>
          </cell>
          <cell r="F1305" t="str">
            <v>小松</v>
          </cell>
          <cell r="G1305" t="str">
            <v>消火器具(総合)</v>
          </cell>
          <cell r="H1305" t="str">
            <v>クマ</v>
          </cell>
          <cell r="I1305">
            <v>29825</v>
          </cell>
          <cell r="J1305">
            <v>30833</v>
          </cell>
          <cell r="K1305">
            <v>1</v>
          </cell>
          <cell r="L1305">
            <v>0</v>
          </cell>
          <cell r="M1305">
            <v>30833</v>
          </cell>
          <cell r="N1305">
            <v>0</v>
          </cell>
          <cell r="O1305">
            <v>0</v>
          </cell>
          <cell r="P1305">
            <v>0</v>
          </cell>
          <cell r="Q1305">
            <v>0</v>
          </cell>
          <cell r="R1305">
            <v>0</v>
          </cell>
          <cell r="S1305">
            <v>0</v>
          </cell>
          <cell r="T1305">
            <v>0</v>
          </cell>
          <cell r="U1305">
            <v>0</v>
          </cell>
          <cell r="V1305">
            <v>0</v>
          </cell>
          <cell r="W1305">
            <v>0</v>
          </cell>
          <cell r="X1305" t="str">
            <v/>
          </cell>
          <cell r="Y1305" t="str">
            <v>⑤</v>
          </cell>
          <cell r="Z1305" t="str">
            <v/>
          </cell>
          <cell r="AA1305" t="str">
            <v/>
          </cell>
          <cell r="AB1305" t="str">
            <v/>
          </cell>
          <cell r="AC1305" t="str">
            <v/>
          </cell>
          <cell r="AD1305" t="str">
            <v/>
          </cell>
          <cell r="AE1305" t="str">
            <v/>
          </cell>
          <cell r="AF1305" t="str">
            <v/>
          </cell>
          <cell r="AG1305" t="str">
            <v/>
          </cell>
          <cell r="AH1305" t="str">
            <v/>
          </cell>
          <cell r="AI1305" t="str">
            <v/>
          </cell>
          <cell r="AJ1305" t="str">
            <v>変</v>
          </cell>
        </row>
        <row r="1306">
          <cell r="B1306">
            <v>6315</v>
          </cell>
          <cell r="C1306">
            <v>63</v>
          </cell>
          <cell r="D1306">
            <v>15</v>
          </cell>
          <cell r="F1306" t="str">
            <v>小松</v>
          </cell>
          <cell r="G1306" t="str">
            <v>貯水槽清掃</v>
          </cell>
          <cell r="H1306" t="str">
            <v>クマ</v>
          </cell>
          <cell r="I1306">
            <v>69300</v>
          </cell>
          <cell r="J1306">
            <v>80080</v>
          </cell>
          <cell r="K1306">
            <v>1</v>
          </cell>
          <cell r="L1306">
            <v>0</v>
          </cell>
          <cell r="M1306">
            <v>0</v>
          </cell>
          <cell r="N1306">
            <v>0</v>
          </cell>
          <cell r="O1306">
            <v>0</v>
          </cell>
          <cell r="P1306">
            <v>0</v>
          </cell>
          <cell r="Q1306">
            <v>0</v>
          </cell>
          <cell r="R1306">
            <v>0</v>
          </cell>
          <cell r="S1306">
            <v>80080</v>
          </cell>
          <cell r="T1306">
            <v>0</v>
          </cell>
          <cell r="U1306">
            <v>0</v>
          </cell>
          <cell r="V1306">
            <v>0</v>
          </cell>
          <cell r="W1306">
            <v>0</v>
          </cell>
          <cell r="X1306" t="str">
            <v/>
          </cell>
          <cell r="Y1306" t="str">
            <v/>
          </cell>
          <cell r="Z1306" t="str">
            <v/>
          </cell>
          <cell r="AA1306" t="str">
            <v/>
          </cell>
          <cell r="AB1306" t="str">
            <v/>
          </cell>
          <cell r="AC1306" t="str">
            <v/>
          </cell>
          <cell r="AD1306" t="str">
            <v/>
          </cell>
          <cell r="AE1306" t="str">
            <v>⑪</v>
          </cell>
          <cell r="AF1306" t="str">
            <v/>
          </cell>
          <cell r="AG1306" t="str">
            <v/>
          </cell>
          <cell r="AH1306" t="str">
            <v/>
          </cell>
          <cell r="AI1306" t="str">
            <v/>
          </cell>
          <cell r="AJ1306" t="str">
            <v>変</v>
          </cell>
        </row>
        <row r="1307">
          <cell r="B1307">
            <v>6316</v>
          </cell>
          <cell r="C1307">
            <v>63</v>
          </cell>
          <cell r="D1307">
            <v>16</v>
          </cell>
          <cell r="F1307" t="str">
            <v>小松</v>
          </cell>
          <cell r="G1307" t="str">
            <v>空調機設備保守</v>
          </cell>
          <cell r="H1307" t="str">
            <v>松村物産</v>
          </cell>
          <cell r="I1307">
            <v>163000</v>
          </cell>
          <cell r="J1307">
            <v>166260</v>
          </cell>
          <cell r="K1307">
            <v>1</v>
          </cell>
          <cell r="L1307">
            <v>0</v>
          </cell>
          <cell r="M1307">
            <v>166260</v>
          </cell>
          <cell r="N1307">
            <v>0</v>
          </cell>
          <cell r="O1307">
            <v>0</v>
          </cell>
          <cell r="P1307">
            <v>0</v>
          </cell>
          <cell r="Q1307">
            <v>0</v>
          </cell>
          <cell r="R1307">
            <v>0</v>
          </cell>
          <cell r="S1307">
            <v>0</v>
          </cell>
          <cell r="T1307">
            <v>0</v>
          </cell>
          <cell r="U1307">
            <v>0</v>
          </cell>
          <cell r="V1307">
            <v>0</v>
          </cell>
          <cell r="W1307">
            <v>0</v>
          </cell>
          <cell r="X1307" t="str">
            <v/>
          </cell>
          <cell r="Y1307" t="str">
            <v>⑤</v>
          </cell>
          <cell r="Z1307" t="str">
            <v/>
          </cell>
          <cell r="AA1307" t="str">
            <v/>
          </cell>
          <cell r="AB1307" t="str">
            <v/>
          </cell>
          <cell r="AC1307" t="str">
            <v/>
          </cell>
          <cell r="AD1307" t="str">
            <v/>
          </cell>
          <cell r="AE1307" t="str">
            <v/>
          </cell>
          <cell r="AF1307" t="str">
            <v/>
          </cell>
          <cell r="AG1307" t="str">
            <v/>
          </cell>
          <cell r="AH1307" t="str">
            <v/>
          </cell>
          <cell r="AI1307" t="str">
            <v/>
          </cell>
        </row>
        <row r="1308">
          <cell r="B1308">
            <v>6317</v>
          </cell>
          <cell r="C1308">
            <v>63</v>
          </cell>
          <cell r="D1308">
            <v>17</v>
          </cell>
          <cell r="F1308" t="str">
            <v>小松</v>
          </cell>
          <cell r="G1308" t="str">
            <v>空調機設備保守</v>
          </cell>
          <cell r="H1308" t="str">
            <v>松村物産</v>
          </cell>
          <cell r="I1308">
            <v>133000</v>
          </cell>
          <cell r="J1308">
            <v>135660</v>
          </cell>
          <cell r="K1308">
            <v>1</v>
          </cell>
          <cell r="L1308">
            <v>0</v>
          </cell>
          <cell r="M1308">
            <v>0</v>
          </cell>
          <cell r="N1308">
            <v>0</v>
          </cell>
          <cell r="O1308">
            <v>0</v>
          </cell>
          <cell r="P1308">
            <v>0</v>
          </cell>
          <cell r="Q1308">
            <v>0</v>
          </cell>
          <cell r="R1308">
            <v>0</v>
          </cell>
          <cell r="S1308">
            <v>135660</v>
          </cell>
          <cell r="T1308">
            <v>0</v>
          </cell>
          <cell r="U1308">
            <v>0</v>
          </cell>
          <cell r="V1308">
            <v>0</v>
          </cell>
          <cell r="W1308">
            <v>0</v>
          </cell>
          <cell r="X1308" t="str">
            <v/>
          </cell>
          <cell r="Y1308" t="str">
            <v/>
          </cell>
          <cell r="Z1308" t="str">
            <v/>
          </cell>
          <cell r="AA1308" t="str">
            <v/>
          </cell>
          <cell r="AB1308" t="str">
            <v/>
          </cell>
          <cell r="AC1308" t="str">
            <v/>
          </cell>
          <cell r="AD1308" t="str">
            <v/>
          </cell>
          <cell r="AE1308" t="str">
            <v>⑪</v>
          </cell>
          <cell r="AF1308" t="str">
            <v/>
          </cell>
          <cell r="AG1308" t="str">
            <v/>
          </cell>
          <cell r="AH1308" t="str">
            <v/>
          </cell>
          <cell r="AI1308" t="str">
            <v/>
          </cell>
        </row>
        <row r="1309">
          <cell r="B1309">
            <v>6318</v>
          </cell>
          <cell r="C1309">
            <v>63</v>
          </cell>
          <cell r="D1309">
            <v>18</v>
          </cell>
          <cell r="F1309" t="str">
            <v>小松</v>
          </cell>
          <cell r="G1309" t="str">
            <v>盆栽リース</v>
          </cell>
          <cell r="H1309" t="str">
            <v>長寿園</v>
          </cell>
          <cell r="I1309">
            <v>1810</v>
          </cell>
          <cell r="J1309">
            <v>1846</v>
          </cell>
          <cell r="K1309">
            <v>12</v>
          </cell>
          <cell r="L1309">
            <v>1846</v>
          </cell>
          <cell r="M1309">
            <v>1846</v>
          </cell>
          <cell r="N1309">
            <v>1846</v>
          </cell>
          <cell r="O1309">
            <v>1846</v>
          </cell>
          <cell r="P1309">
            <v>1846</v>
          </cell>
          <cell r="Q1309">
            <v>1846</v>
          </cell>
          <cell r="R1309">
            <v>1846</v>
          </cell>
          <cell r="S1309">
            <v>1846</v>
          </cell>
          <cell r="T1309">
            <v>1846</v>
          </cell>
          <cell r="U1309">
            <v>1846</v>
          </cell>
          <cell r="V1309">
            <v>1846</v>
          </cell>
          <cell r="W1309">
            <v>1846</v>
          </cell>
          <cell r="X1309" t="str">
            <v>④</v>
          </cell>
          <cell r="Y1309" t="str">
            <v>⑤</v>
          </cell>
          <cell r="Z1309" t="str">
            <v>⑥</v>
          </cell>
          <cell r="AA1309" t="str">
            <v>⑦</v>
          </cell>
          <cell r="AB1309" t="str">
            <v>⑧</v>
          </cell>
          <cell r="AC1309" t="str">
            <v>⑨</v>
          </cell>
          <cell r="AD1309" t="str">
            <v>⑩</v>
          </cell>
          <cell r="AE1309" t="str">
            <v>⑪</v>
          </cell>
          <cell r="AF1309" t="str">
            <v>⑫</v>
          </cell>
          <cell r="AG1309" t="str">
            <v>①</v>
          </cell>
          <cell r="AH1309" t="str">
            <v>②</v>
          </cell>
          <cell r="AI1309" t="str">
            <v>③</v>
          </cell>
        </row>
        <row r="1310">
          <cell r="B1310">
            <v>6401</v>
          </cell>
          <cell r="C1310">
            <v>64</v>
          </cell>
          <cell r="D1310">
            <v>1</v>
          </cell>
          <cell r="F1310" t="str">
            <v>福井</v>
          </cell>
          <cell r="G1310" t="str">
            <v>駐車場設備保守</v>
          </cell>
          <cell r="H1310" t="str">
            <v>石川島運搬機械</v>
          </cell>
          <cell r="I1310">
            <v>150000</v>
          </cell>
          <cell r="J1310">
            <v>153000</v>
          </cell>
          <cell r="K1310">
            <v>12</v>
          </cell>
          <cell r="L1310">
            <v>153000</v>
          </cell>
          <cell r="M1310">
            <v>153000</v>
          </cell>
          <cell r="N1310">
            <v>153000</v>
          </cell>
          <cell r="O1310">
            <v>153000</v>
          </cell>
          <cell r="P1310">
            <v>153000</v>
          </cell>
          <cell r="Q1310">
            <v>153000</v>
          </cell>
          <cell r="R1310">
            <v>153000</v>
          </cell>
          <cell r="S1310">
            <v>153000</v>
          </cell>
          <cell r="T1310">
            <v>153000</v>
          </cell>
          <cell r="U1310">
            <v>153000</v>
          </cell>
          <cell r="V1310">
            <v>153000</v>
          </cell>
          <cell r="W1310">
            <v>153000</v>
          </cell>
          <cell r="X1310" t="str">
            <v>④</v>
          </cell>
          <cell r="Y1310" t="str">
            <v>⑤</v>
          </cell>
          <cell r="Z1310" t="str">
            <v>⑥</v>
          </cell>
          <cell r="AA1310" t="str">
            <v>⑦</v>
          </cell>
          <cell r="AB1310" t="str">
            <v>⑧</v>
          </cell>
          <cell r="AC1310" t="str">
            <v>⑨</v>
          </cell>
          <cell r="AD1310" t="str">
            <v>⑩</v>
          </cell>
          <cell r="AE1310" t="str">
            <v>⑪</v>
          </cell>
          <cell r="AF1310" t="str">
            <v>⑫</v>
          </cell>
          <cell r="AG1310" t="str">
            <v>①</v>
          </cell>
          <cell r="AH1310" t="str">
            <v>②</v>
          </cell>
          <cell r="AI1310" t="str">
            <v>③</v>
          </cell>
        </row>
        <row r="1311">
          <cell r="B1311">
            <v>6402</v>
          </cell>
          <cell r="C1311">
            <v>64</v>
          </cell>
          <cell r="D1311">
            <v>2</v>
          </cell>
          <cell r="F1311" t="str">
            <v>福井</v>
          </cell>
          <cell r="G1311" t="str">
            <v>エレベーター保守</v>
          </cell>
          <cell r="H1311" t="str">
            <v>三菱電機ﾋﾞﾙﾃｸﾉｻｰﾋﾞｽ</v>
          </cell>
          <cell r="I1311">
            <v>69900</v>
          </cell>
          <cell r="J1311">
            <v>71298</v>
          </cell>
          <cell r="K1311">
            <v>12</v>
          </cell>
          <cell r="L1311">
            <v>71298</v>
          </cell>
          <cell r="M1311">
            <v>71298</v>
          </cell>
          <cell r="N1311">
            <v>71298</v>
          </cell>
          <cell r="O1311">
            <v>71298</v>
          </cell>
          <cell r="P1311">
            <v>71298</v>
          </cell>
          <cell r="Q1311">
            <v>71298</v>
          </cell>
          <cell r="R1311">
            <v>71298</v>
          </cell>
          <cell r="S1311">
            <v>71298</v>
          </cell>
          <cell r="T1311">
            <v>71298</v>
          </cell>
          <cell r="U1311">
            <v>71298</v>
          </cell>
          <cell r="V1311">
            <v>71298</v>
          </cell>
          <cell r="W1311">
            <v>71298</v>
          </cell>
          <cell r="X1311" t="str">
            <v>④</v>
          </cell>
          <cell r="Y1311" t="str">
            <v>⑤</v>
          </cell>
          <cell r="Z1311" t="str">
            <v>⑥</v>
          </cell>
          <cell r="AA1311" t="str">
            <v>⑦</v>
          </cell>
          <cell r="AB1311" t="str">
            <v>⑧</v>
          </cell>
          <cell r="AC1311" t="str">
            <v>⑨</v>
          </cell>
          <cell r="AD1311" t="str">
            <v>⑩</v>
          </cell>
          <cell r="AE1311" t="str">
            <v>⑪</v>
          </cell>
          <cell r="AF1311" t="str">
            <v>⑫</v>
          </cell>
          <cell r="AG1311" t="str">
            <v>①</v>
          </cell>
          <cell r="AH1311" t="str">
            <v>②</v>
          </cell>
          <cell r="AI1311" t="str">
            <v>③</v>
          </cell>
        </row>
        <row r="1312">
          <cell r="B1312">
            <v>6403</v>
          </cell>
          <cell r="C1312">
            <v>64</v>
          </cell>
          <cell r="D1312">
            <v>3</v>
          </cell>
          <cell r="F1312" t="str">
            <v>福井</v>
          </cell>
          <cell r="G1312" t="str">
            <v>自動火災報知(外観)</v>
          </cell>
          <cell r="H1312" t="str">
            <v>轟産業</v>
          </cell>
          <cell r="I1312">
            <v>35600</v>
          </cell>
          <cell r="J1312">
            <v>39160</v>
          </cell>
          <cell r="K1312">
            <v>1</v>
          </cell>
          <cell r="L1312">
            <v>0</v>
          </cell>
          <cell r="M1312">
            <v>0</v>
          </cell>
          <cell r="N1312">
            <v>0</v>
          </cell>
          <cell r="O1312">
            <v>0</v>
          </cell>
          <cell r="P1312">
            <v>0</v>
          </cell>
          <cell r="Q1312">
            <v>0</v>
          </cell>
          <cell r="R1312">
            <v>0</v>
          </cell>
          <cell r="S1312">
            <v>0</v>
          </cell>
          <cell r="T1312">
            <v>0</v>
          </cell>
          <cell r="U1312">
            <v>39160</v>
          </cell>
          <cell r="V1312">
            <v>0</v>
          </cell>
          <cell r="W1312">
            <v>0</v>
          </cell>
          <cell r="AG1312" t="str">
            <v>①</v>
          </cell>
          <cell r="AJ1312" t="str">
            <v>追</v>
          </cell>
        </row>
        <row r="1313">
          <cell r="B1313">
            <v>6404</v>
          </cell>
          <cell r="C1313">
            <v>64</v>
          </cell>
          <cell r="D1313">
            <v>4</v>
          </cell>
          <cell r="F1313" t="str">
            <v>福井</v>
          </cell>
          <cell r="G1313" t="str">
            <v>自動火災報知(総合)</v>
          </cell>
          <cell r="H1313" t="str">
            <v>轟産業</v>
          </cell>
          <cell r="I1313">
            <v>57000</v>
          </cell>
          <cell r="J1313">
            <v>62700</v>
          </cell>
          <cell r="K1313">
            <v>1</v>
          </cell>
          <cell r="L1313">
            <v>0</v>
          </cell>
          <cell r="M1313">
            <v>0</v>
          </cell>
          <cell r="N1313">
            <v>0</v>
          </cell>
          <cell r="O1313">
            <v>62700</v>
          </cell>
          <cell r="P1313">
            <v>0</v>
          </cell>
          <cell r="Q1313">
            <v>0</v>
          </cell>
          <cell r="R1313">
            <v>0</v>
          </cell>
          <cell r="S1313">
            <v>0</v>
          </cell>
          <cell r="T1313">
            <v>0</v>
          </cell>
          <cell r="U1313">
            <v>0</v>
          </cell>
          <cell r="V1313">
            <v>0</v>
          </cell>
          <cell r="W1313">
            <v>0</v>
          </cell>
          <cell r="AA1313" t="str">
            <v>⑦</v>
          </cell>
          <cell r="AJ1313" t="str">
            <v>追</v>
          </cell>
        </row>
        <row r="1314">
          <cell r="B1314">
            <v>6405</v>
          </cell>
          <cell r="C1314">
            <v>64</v>
          </cell>
          <cell r="D1314">
            <v>5</v>
          </cell>
          <cell r="F1314" t="str">
            <v>福井</v>
          </cell>
          <cell r="G1314" t="str">
            <v>誘導灯設備(外観)</v>
          </cell>
          <cell r="H1314" t="str">
            <v>轟産業</v>
          </cell>
          <cell r="I1314">
            <v>1200</v>
          </cell>
          <cell r="J1314">
            <v>1320</v>
          </cell>
          <cell r="K1314">
            <v>1</v>
          </cell>
          <cell r="L1314">
            <v>0</v>
          </cell>
          <cell r="M1314">
            <v>0</v>
          </cell>
          <cell r="N1314">
            <v>0</v>
          </cell>
          <cell r="O1314">
            <v>0</v>
          </cell>
          <cell r="P1314">
            <v>0</v>
          </cell>
          <cell r="Q1314">
            <v>0</v>
          </cell>
          <cell r="R1314">
            <v>0</v>
          </cell>
          <cell r="S1314">
            <v>0</v>
          </cell>
          <cell r="T1314">
            <v>0</v>
          </cell>
          <cell r="U1314">
            <v>1320</v>
          </cell>
          <cell r="V1314">
            <v>0</v>
          </cell>
          <cell r="W1314">
            <v>0</v>
          </cell>
          <cell r="AG1314" t="str">
            <v>①</v>
          </cell>
          <cell r="AJ1314" t="str">
            <v>追</v>
          </cell>
        </row>
        <row r="1315">
          <cell r="B1315">
            <v>6406</v>
          </cell>
          <cell r="C1315">
            <v>64</v>
          </cell>
          <cell r="D1315">
            <v>6</v>
          </cell>
          <cell r="F1315" t="str">
            <v>福井</v>
          </cell>
          <cell r="G1315" t="str">
            <v>誘導灯設備(総合)</v>
          </cell>
          <cell r="H1315" t="str">
            <v>轟産業</v>
          </cell>
          <cell r="I1315">
            <v>1600</v>
          </cell>
          <cell r="J1315">
            <v>1760</v>
          </cell>
          <cell r="K1315">
            <v>1</v>
          </cell>
          <cell r="L1315">
            <v>0</v>
          </cell>
          <cell r="M1315">
            <v>0</v>
          </cell>
          <cell r="N1315">
            <v>0</v>
          </cell>
          <cell r="O1315">
            <v>1760</v>
          </cell>
          <cell r="P1315">
            <v>0</v>
          </cell>
          <cell r="Q1315">
            <v>0</v>
          </cell>
          <cell r="R1315">
            <v>0</v>
          </cell>
          <cell r="S1315">
            <v>0</v>
          </cell>
          <cell r="T1315">
            <v>0</v>
          </cell>
          <cell r="U1315">
            <v>0</v>
          </cell>
          <cell r="V1315">
            <v>0</v>
          </cell>
          <cell r="W1315">
            <v>0</v>
          </cell>
          <cell r="AA1315" t="str">
            <v>⑦</v>
          </cell>
          <cell r="AJ1315" t="str">
            <v>追</v>
          </cell>
        </row>
        <row r="1316">
          <cell r="B1316">
            <v>6407</v>
          </cell>
          <cell r="C1316">
            <v>64</v>
          </cell>
          <cell r="D1316">
            <v>7</v>
          </cell>
          <cell r="F1316" t="str">
            <v>福井</v>
          </cell>
          <cell r="G1316" t="str">
            <v>防排煙設備(外観)</v>
          </cell>
          <cell r="H1316" t="str">
            <v>轟産業</v>
          </cell>
          <cell r="I1316">
            <v>20000</v>
          </cell>
          <cell r="J1316">
            <v>22000</v>
          </cell>
          <cell r="K1316">
            <v>1</v>
          </cell>
          <cell r="L1316">
            <v>0</v>
          </cell>
          <cell r="M1316">
            <v>0</v>
          </cell>
          <cell r="N1316">
            <v>0</v>
          </cell>
          <cell r="O1316">
            <v>0</v>
          </cell>
          <cell r="P1316">
            <v>0</v>
          </cell>
          <cell r="Q1316">
            <v>0</v>
          </cell>
          <cell r="R1316">
            <v>0</v>
          </cell>
          <cell r="S1316">
            <v>0</v>
          </cell>
          <cell r="T1316">
            <v>0</v>
          </cell>
          <cell r="U1316">
            <v>22000</v>
          </cell>
          <cell r="V1316">
            <v>0</v>
          </cell>
          <cell r="W1316">
            <v>0</v>
          </cell>
          <cell r="AG1316" t="str">
            <v>①</v>
          </cell>
          <cell r="AJ1316" t="str">
            <v>追</v>
          </cell>
        </row>
        <row r="1317">
          <cell r="B1317">
            <v>6408</v>
          </cell>
          <cell r="C1317">
            <v>64</v>
          </cell>
          <cell r="D1317">
            <v>8</v>
          </cell>
          <cell r="F1317" t="str">
            <v>福井</v>
          </cell>
          <cell r="G1317" t="str">
            <v>防排煙設備(総合)</v>
          </cell>
          <cell r="H1317" t="str">
            <v>轟産業</v>
          </cell>
          <cell r="I1317">
            <v>27000</v>
          </cell>
          <cell r="J1317">
            <v>29700</v>
          </cell>
          <cell r="K1317">
            <v>1</v>
          </cell>
          <cell r="L1317">
            <v>0</v>
          </cell>
          <cell r="M1317">
            <v>0</v>
          </cell>
          <cell r="N1317">
            <v>0</v>
          </cell>
          <cell r="O1317">
            <v>29700</v>
          </cell>
          <cell r="P1317">
            <v>0</v>
          </cell>
          <cell r="Q1317">
            <v>0</v>
          </cell>
          <cell r="R1317">
            <v>0</v>
          </cell>
          <cell r="S1317">
            <v>0</v>
          </cell>
          <cell r="T1317">
            <v>0</v>
          </cell>
          <cell r="U1317">
            <v>0</v>
          </cell>
          <cell r="V1317">
            <v>0</v>
          </cell>
          <cell r="W1317">
            <v>0</v>
          </cell>
          <cell r="AA1317" t="str">
            <v>⑦</v>
          </cell>
          <cell r="AJ1317" t="str">
            <v>追</v>
          </cell>
        </row>
        <row r="1318">
          <cell r="B1318">
            <v>6409</v>
          </cell>
          <cell r="C1318">
            <v>64</v>
          </cell>
          <cell r="D1318">
            <v>9</v>
          </cell>
          <cell r="F1318" t="str">
            <v>福井</v>
          </cell>
          <cell r="G1318" t="str">
            <v>連結送水管(外観)</v>
          </cell>
          <cell r="H1318" t="str">
            <v>轟産業</v>
          </cell>
          <cell r="I1318">
            <v>5000</v>
          </cell>
          <cell r="J1318">
            <v>5500</v>
          </cell>
          <cell r="K1318">
            <v>2</v>
          </cell>
          <cell r="L1318">
            <v>0</v>
          </cell>
          <cell r="M1318">
            <v>0</v>
          </cell>
          <cell r="N1318">
            <v>0</v>
          </cell>
          <cell r="O1318">
            <v>5500</v>
          </cell>
          <cell r="P1318">
            <v>0</v>
          </cell>
          <cell r="Q1318">
            <v>0</v>
          </cell>
          <cell r="R1318">
            <v>0</v>
          </cell>
          <cell r="S1318">
            <v>0</v>
          </cell>
          <cell r="T1318">
            <v>0</v>
          </cell>
          <cell r="U1318">
            <v>5500</v>
          </cell>
          <cell r="V1318">
            <v>0</v>
          </cell>
          <cell r="W1318">
            <v>0</v>
          </cell>
          <cell r="AA1318" t="str">
            <v>⑦</v>
          </cell>
          <cell r="AG1318" t="str">
            <v>①</v>
          </cell>
          <cell r="AJ1318" t="str">
            <v>追</v>
          </cell>
        </row>
        <row r="1319">
          <cell r="B1319">
            <v>6410</v>
          </cell>
          <cell r="C1319">
            <v>64</v>
          </cell>
          <cell r="D1319">
            <v>10</v>
          </cell>
          <cell r="F1319" t="str">
            <v>福井</v>
          </cell>
          <cell r="G1319" t="str">
            <v>ハロゲン化物消火(外観)</v>
          </cell>
          <cell r="H1319" t="str">
            <v>轟産業</v>
          </cell>
          <cell r="I1319">
            <v>42000</v>
          </cell>
          <cell r="J1319">
            <v>46200</v>
          </cell>
          <cell r="K1319">
            <v>1</v>
          </cell>
          <cell r="L1319">
            <v>0</v>
          </cell>
          <cell r="M1319">
            <v>0</v>
          </cell>
          <cell r="N1319">
            <v>0</v>
          </cell>
          <cell r="O1319">
            <v>0</v>
          </cell>
          <cell r="P1319">
            <v>0</v>
          </cell>
          <cell r="Q1319">
            <v>0</v>
          </cell>
          <cell r="R1319">
            <v>0</v>
          </cell>
          <cell r="S1319">
            <v>0</v>
          </cell>
          <cell r="T1319">
            <v>0</v>
          </cell>
          <cell r="U1319">
            <v>46200</v>
          </cell>
          <cell r="V1319">
            <v>0</v>
          </cell>
          <cell r="W1319">
            <v>0</v>
          </cell>
          <cell r="AG1319" t="str">
            <v>①</v>
          </cell>
          <cell r="AJ1319" t="str">
            <v>追</v>
          </cell>
        </row>
        <row r="1320">
          <cell r="B1320">
            <v>6411</v>
          </cell>
          <cell r="C1320">
            <v>64</v>
          </cell>
          <cell r="D1320">
            <v>11</v>
          </cell>
          <cell r="F1320" t="str">
            <v>福井</v>
          </cell>
          <cell r="G1320" t="str">
            <v>ハロゲン化物消火(総合)</v>
          </cell>
          <cell r="H1320" t="str">
            <v>轟産業</v>
          </cell>
          <cell r="I1320">
            <v>51000</v>
          </cell>
          <cell r="J1320">
            <v>56100</v>
          </cell>
          <cell r="K1320">
            <v>1</v>
          </cell>
          <cell r="L1320">
            <v>0</v>
          </cell>
          <cell r="M1320">
            <v>0</v>
          </cell>
          <cell r="N1320">
            <v>0</v>
          </cell>
          <cell r="O1320">
            <v>56100</v>
          </cell>
          <cell r="P1320">
            <v>0</v>
          </cell>
          <cell r="Q1320">
            <v>0</v>
          </cell>
          <cell r="R1320">
            <v>0</v>
          </cell>
          <cell r="S1320">
            <v>0</v>
          </cell>
          <cell r="T1320">
            <v>0</v>
          </cell>
          <cell r="U1320">
            <v>0</v>
          </cell>
          <cell r="V1320">
            <v>0</v>
          </cell>
          <cell r="W1320">
            <v>0</v>
          </cell>
          <cell r="AA1320" t="str">
            <v>⑦</v>
          </cell>
          <cell r="AJ1320" t="str">
            <v>追</v>
          </cell>
        </row>
        <row r="1321">
          <cell r="B1321">
            <v>6412</v>
          </cell>
          <cell r="C1321">
            <v>64</v>
          </cell>
          <cell r="D1321">
            <v>12</v>
          </cell>
          <cell r="F1321" t="str">
            <v>福井</v>
          </cell>
          <cell r="G1321" t="str">
            <v>避難器具(外観)</v>
          </cell>
          <cell r="H1321" t="str">
            <v>轟産業</v>
          </cell>
          <cell r="I1321">
            <v>4000</v>
          </cell>
          <cell r="J1321">
            <v>4400</v>
          </cell>
          <cell r="K1321">
            <v>1</v>
          </cell>
          <cell r="L1321">
            <v>0</v>
          </cell>
          <cell r="M1321">
            <v>0</v>
          </cell>
          <cell r="N1321">
            <v>0</v>
          </cell>
          <cell r="O1321">
            <v>0</v>
          </cell>
          <cell r="P1321">
            <v>0</v>
          </cell>
          <cell r="Q1321">
            <v>0</v>
          </cell>
          <cell r="R1321">
            <v>0</v>
          </cell>
          <cell r="S1321">
            <v>0</v>
          </cell>
          <cell r="T1321">
            <v>0</v>
          </cell>
          <cell r="U1321">
            <v>4400</v>
          </cell>
          <cell r="V1321">
            <v>0</v>
          </cell>
          <cell r="W1321">
            <v>0</v>
          </cell>
          <cell r="AG1321" t="str">
            <v>①</v>
          </cell>
          <cell r="AJ1321" t="str">
            <v>追</v>
          </cell>
        </row>
        <row r="1322">
          <cell r="B1322">
            <v>6413</v>
          </cell>
          <cell r="C1322">
            <v>64</v>
          </cell>
          <cell r="D1322">
            <v>13</v>
          </cell>
          <cell r="F1322" t="str">
            <v>福井</v>
          </cell>
          <cell r="G1322" t="str">
            <v>避難器具(総合)</v>
          </cell>
          <cell r="H1322" t="str">
            <v>轟産業</v>
          </cell>
          <cell r="I1322">
            <v>9000</v>
          </cell>
          <cell r="J1322">
            <v>9900</v>
          </cell>
          <cell r="K1322">
            <v>1</v>
          </cell>
          <cell r="L1322">
            <v>0</v>
          </cell>
          <cell r="M1322">
            <v>0</v>
          </cell>
          <cell r="N1322">
            <v>0</v>
          </cell>
          <cell r="O1322">
            <v>9900</v>
          </cell>
          <cell r="P1322">
            <v>0</v>
          </cell>
          <cell r="Q1322">
            <v>0</v>
          </cell>
          <cell r="R1322">
            <v>0</v>
          </cell>
          <cell r="S1322">
            <v>0</v>
          </cell>
          <cell r="T1322">
            <v>0</v>
          </cell>
          <cell r="U1322">
            <v>0</v>
          </cell>
          <cell r="V1322">
            <v>0</v>
          </cell>
          <cell r="W1322">
            <v>0</v>
          </cell>
          <cell r="AA1322" t="str">
            <v>⑦</v>
          </cell>
          <cell r="AJ1322" t="str">
            <v>追</v>
          </cell>
        </row>
        <row r="1323">
          <cell r="B1323">
            <v>6414</v>
          </cell>
          <cell r="C1323">
            <v>64</v>
          </cell>
          <cell r="D1323">
            <v>14</v>
          </cell>
          <cell r="F1323" t="str">
            <v>福井</v>
          </cell>
          <cell r="G1323" t="str">
            <v>消火器(外観)</v>
          </cell>
          <cell r="H1323" t="str">
            <v>轟産業</v>
          </cell>
          <cell r="I1323">
            <v>8000</v>
          </cell>
          <cell r="J1323">
            <v>8800</v>
          </cell>
          <cell r="K1323">
            <v>2</v>
          </cell>
          <cell r="L1323">
            <v>0</v>
          </cell>
          <cell r="M1323">
            <v>0</v>
          </cell>
          <cell r="N1323">
            <v>0</v>
          </cell>
          <cell r="O1323">
            <v>8800</v>
          </cell>
          <cell r="P1323">
            <v>0</v>
          </cell>
          <cell r="Q1323">
            <v>0</v>
          </cell>
          <cell r="R1323">
            <v>0</v>
          </cell>
          <cell r="S1323">
            <v>0</v>
          </cell>
          <cell r="T1323">
            <v>0</v>
          </cell>
          <cell r="U1323">
            <v>8800</v>
          </cell>
          <cell r="V1323">
            <v>0</v>
          </cell>
          <cell r="W1323">
            <v>0</v>
          </cell>
          <cell r="AA1323" t="str">
            <v>⑦</v>
          </cell>
          <cell r="AG1323" t="str">
            <v>①</v>
          </cell>
          <cell r="AJ1323" t="str">
            <v>追</v>
          </cell>
        </row>
        <row r="1324">
          <cell r="B1324">
            <v>6415</v>
          </cell>
          <cell r="C1324">
            <v>64</v>
          </cell>
          <cell r="D1324">
            <v>15</v>
          </cell>
          <cell r="F1324" t="str">
            <v>福井</v>
          </cell>
          <cell r="G1324" t="str">
            <v>貯水槽清掃</v>
          </cell>
          <cell r="H1324" t="str">
            <v>アイビックス</v>
          </cell>
          <cell r="I1324">
            <v>42000</v>
          </cell>
          <cell r="J1324">
            <v>46200</v>
          </cell>
          <cell r="K1324">
            <v>1</v>
          </cell>
          <cell r="L1324">
            <v>0</v>
          </cell>
          <cell r="M1324">
            <v>0</v>
          </cell>
          <cell r="N1324">
            <v>0</v>
          </cell>
          <cell r="O1324">
            <v>0</v>
          </cell>
          <cell r="P1324">
            <v>0</v>
          </cell>
          <cell r="Q1324">
            <v>0</v>
          </cell>
          <cell r="R1324">
            <v>0</v>
          </cell>
          <cell r="S1324">
            <v>46200</v>
          </cell>
          <cell r="T1324">
            <v>0</v>
          </cell>
          <cell r="U1324">
            <v>0</v>
          </cell>
          <cell r="V1324">
            <v>0</v>
          </cell>
          <cell r="W1324">
            <v>0</v>
          </cell>
          <cell r="AE1324" t="str">
            <v>⑪</v>
          </cell>
          <cell r="AJ1324" t="str">
            <v>追</v>
          </cell>
        </row>
        <row r="1325">
          <cell r="B1325">
            <v>6416</v>
          </cell>
          <cell r="C1325">
            <v>64</v>
          </cell>
          <cell r="D1325">
            <v>16</v>
          </cell>
          <cell r="F1325" t="str">
            <v>福井</v>
          </cell>
          <cell r="G1325" t="str">
            <v>空調設備保守</v>
          </cell>
          <cell r="H1325" t="str">
            <v>三谷設備</v>
          </cell>
          <cell r="I1325">
            <v>101000</v>
          </cell>
          <cell r="J1325">
            <v>111100</v>
          </cell>
          <cell r="K1325">
            <v>1</v>
          </cell>
          <cell r="L1325">
            <v>0</v>
          </cell>
          <cell r="M1325">
            <v>111100</v>
          </cell>
          <cell r="N1325">
            <v>0</v>
          </cell>
          <cell r="O1325">
            <v>0</v>
          </cell>
          <cell r="P1325">
            <v>0</v>
          </cell>
          <cell r="Q1325">
            <v>0</v>
          </cell>
          <cell r="R1325">
            <v>0</v>
          </cell>
          <cell r="S1325">
            <v>0</v>
          </cell>
          <cell r="T1325">
            <v>0</v>
          </cell>
          <cell r="U1325">
            <v>0</v>
          </cell>
          <cell r="V1325">
            <v>0</v>
          </cell>
          <cell r="W1325">
            <v>0</v>
          </cell>
          <cell r="Y1325" t="str">
            <v>⑤</v>
          </cell>
          <cell r="AJ1325" t="str">
            <v>追</v>
          </cell>
        </row>
        <row r="1326">
          <cell r="B1326">
            <v>6417</v>
          </cell>
          <cell r="C1326">
            <v>64</v>
          </cell>
          <cell r="D1326">
            <v>17</v>
          </cell>
          <cell r="F1326" t="str">
            <v>福井</v>
          </cell>
          <cell r="G1326" t="str">
            <v>空調設備保守</v>
          </cell>
          <cell r="H1326" t="str">
            <v>三谷設備</v>
          </cell>
          <cell r="I1326">
            <v>167000</v>
          </cell>
          <cell r="J1326">
            <v>183700</v>
          </cell>
          <cell r="K1326">
            <v>1</v>
          </cell>
          <cell r="L1326">
            <v>0</v>
          </cell>
          <cell r="M1326">
            <v>0</v>
          </cell>
          <cell r="N1326">
            <v>0</v>
          </cell>
          <cell r="O1326">
            <v>0</v>
          </cell>
          <cell r="P1326">
            <v>0</v>
          </cell>
          <cell r="Q1326">
            <v>0</v>
          </cell>
          <cell r="R1326">
            <v>0</v>
          </cell>
          <cell r="S1326">
            <v>0</v>
          </cell>
          <cell r="T1326">
            <v>183700</v>
          </cell>
          <cell r="U1326">
            <v>0</v>
          </cell>
          <cell r="V1326">
            <v>0</v>
          </cell>
          <cell r="W1326">
            <v>0</v>
          </cell>
          <cell r="AF1326" t="str">
            <v>⑫</v>
          </cell>
          <cell r="AJ1326" t="str">
            <v>追</v>
          </cell>
        </row>
        <row r="1327">
          <cell r="B1327">
            <v>6501</v>
          </cell>
          <cell r="C1327">
            <v>65</v>
          </cell>
          <cell r="D1327">
            <v>1</v>
          </cell>
          <cell r="F1327" t="str">
            <v>静岡</v>
          </cell>
          <cell r="G1327" t="str">
            <v>駐車場設備保守</v>
          </cell>
          <cell r="H1327" t="str">
            <v>二宮産業</v>
          </cell>
          <cell r="I1327">
            <v>63000</v>
          </cell>
          <cell r="J1327">
            <v>67500</v>
          </cell>
          <cell r="K1327">
            <v>6</v>
          </cell>
          <cell r="L1327">
            <v>67500</v>
          </cell>
          <cell r="M1327">
            <v>0</v>
          </cell>
          <cell r="N1327">
            <v>67500</v>
          </cell>
          <cell r="O1327">
            <v>0</v>
          </cell>
          <cell r="P1327">
            <v>67500</v>
          </cell>
          <cell r="Q1327">
            <v>0</v>
          </cell>
          <cell r="R1327">
            <v>67500</v>
          </cell>
          <cell r="S1327">
            <v>0</v>
          </cell>
          <cell r="T1327">
            <v>67500</v>
          </cell>
          <cell r="U1327">
            <v>0</v>
          </cell>
          <cell r="V1327">
            <v>67500</v>
          </cell>
          <cell r="W1327">
            <v>0</v>
          </cell>
          <cell r="X1327" t="str">
            <v>④</v>
          </cell>
          <cell r="Z1327" t="str">
            <v>⑥</v>
          </cell>
          <cell r="AB1327" t="str">
            <v>⑧</v>
          </cell>
          <cell r="AD1327" t="str">
            <v>⑩</v>
          </cell>
          <cell r="AF1327" t="str">
            <v>⑫</v>
          </cell>
          <cell r="AH1327" t="str">
            <v>②</v>
          </cell>
          <cell r="AJ1327" t="str">
            <v>変</v>
          </cell>
        </row>
        <row r="1328">
          <cell r="B1328">
            <v>6502</v>
          </cell>
          <cell r="C1328">
            <v>65</v>
          </cell>
          <cell r="D1328">
            <v>2</v>
          </cell>
          <cell r="F1328" t="str">
            <v>静岡</v>
          </cell>
          <cell r="G1328" t="str">
            <v>エレベーター保守</v>
          </cell>
          <cell r="H1328" t="str">
            <v>三菱電機ﾋﾞﾙﾃｸﾉｻｰﾋﾞｽ</v>
          </cell>
          <cell r="I1328">
            <v>144800</v>
          </cell>
          <cell r="J1328">
            <v>147696</v>
          </cell>
          <cell r="K1328">
            <v>12</v>
          </cell>
          <cell r="L1328">
            <v>147696</v>
          </cell>
          <cell r="M1328">
            <v>147696</v>
          </cell>
          <cell r="N1328">
            <v>147696</v>
          </cell>
          <cell r="O1328">
            <v>147696</v>
          </cell>
          <cell r="P1328">
            <v>147696</v>
          </cell>
          <cell r="Q1328">
            <v>147696</v>
          </cell>
          <cell r="R1328">
            <v>147696</v>
          </cell>
          <cell r="S1328">
            <v>147696</v>
          </cell>
          <cell r="T1328">
            <v>147696</v>
          </cell>
          <cell r="U1328">
            <v>147696</v>
          </cell>
          <cell r="V1328">
            <v>147696</v>
          </cell>
          <cell r="W1328">
            <v>147696</v>
          </cell>
          <cell r="X1328" t="str">
            <v>④</v>
          </cell>
          <cell r="Y1328" t="str">
            <v>⑤</v>
          </cell>
          <cell r="Z1328" t="str">
            <v>⑥</v>
          </cell>
          <cell r="AA1328" t="str">
            <v>⑦</v>
          </cell>
          <cell r="AB1328" t="str">
            <v>⑧</v>
          </cell>
          <cell r="AC1328" t="str">
            <v>⑨</v>
          </cell>
          <cell r="AD1328" t="str">
            <v>⑩</v>
          </cell>
          <cell r="AE1328" t="str">
            <v>⑪</v>
          </cell>
          <cell r="AF1328" t="str">
            <v>⑫</v>
          </cell>
          <cell r="AG1328" t="str">
            <v>①</v>
          </cell>
          <cell r="AH1328" t="str">
            <v>②</v>
          </cell>
          <cell r="AI1328" t="str">
            <v>③</v>
          </cell>
        </row>
        <row r="1329">
          <cell r="B1329">
            <v>6503</v>
          </cell>
          <cell r="C1329">
            <v>65</v>
          </cell>
          <cell r="D1329">
            <v>3</v>
          </cell>
          <cell r="F1329" t="str">
            <v>静岡</v>
          </cell>
          <cell r="G1329" t="str">
            <v>消火器(外観)</v>
          </cell>
          <cell r="H1329" t="str">
            <v>ホーチキ</v>
          </cell>
          <cell r="I1329">
            <v>23000</v>
          </cell>
          <cell r="J1329">
            <v>23460</v>
          </cell>
          <cell r="K1329">
            <v>1</v>
          </cell>
          <cell r="L1329">
            <v>0</v>
          </cell>
          <cell r="M1329">
            <v>0</v>
          </cell>
          <cell r="N1329">
            <v>23460</v>
          </cell>
          <cell r="O1329">
            <v>0</v>
          </cell>
          <cell r="P1329">
            <v>0</v>
          </cell>
          <cell r="Q1329">
            <v>0</v>
          </cell>
          <cell r="R1329">
            <v>0</v>
          </cell>
          <cell r="S1329">
            <v>0</v>
          </cell>
          <cell r="T1329">
            <v>0</v>
          </cell>
          <cell r="U1329">
            <v>0</v>
          </cell>
          <cell r="V1329">
            <v>0</v>
          </cell>
          <cell r="W1329">
            <v>0</v>
          </cell>
          <cell r="X1329" t="str">
            <v/>
          </cell>
          <cell r="Y1329" t="str">
            <v/>
          </cell>
          <cell r="Z1329" t="str">
            <v>⑥</v>
          </cell>
          <cell r="AA1329" t="str">
            <v/>
          </cell>
          <cell r="AB1329" t="str">
            <v/>
          </cell>
          <cell r="AC1329" t="str">
            <v/>
          </cell>
          <cell r="AD1329" t="str">
            <v/>
          </cell>
          <cell r="AE1329" t="str">
            <v/>
          </cell>
          <cell r="AF1329" t="str">
            <v/>
          </cell>
          <cell r="AG1329" t="str">
            <v/>
          </cell>
          <cell r="AH1329" t="str">
            <v/>
          </cell>
          <cell r="AI1329" t="str">
            <v/>
          </cell>
        </row>
        <row r="1330">
          <cell r="B1330">
            <v>6504</v>
          </cell>
          <cell r="C1330">
            <v>65</v>
          </cell>
          <cell r="D1330">
            <v>4</v>
          </cell>
          <cell r="F1330" t="str">
            <v>静岡</v>
          </cell>
          <cell r="G1330" t="str">
            <v>消火器(総合)</v>
          </cell>
          <cell r="H1330" t="str">
            <v>ホーチキ</v>
          </cell>
          <cell r="I1330">
            <v>29000</v>
          </cell>
          <cell r="J1330">
            <v>29580</v>
          </cell>
          <cell r="K1330">
            <v>1</v>
          </cell>
          <cell r="L1330">
            <v>0</v>
          </cell>
          <cell r="M1330">
            <v>0</v>
          </cell>
          <cell r="N1330">
            <v>0</v>
          </cell>
          <cell r="O1330">
            <v>0</v>
          </cell>
          <cell r="P1330">
            <v>0</v>
          </cell>
          <cell r="Q1330">
            <v>0</v>
          </cell>
          <cell r="R1330">
            <v>0</v>
          </cell>
          <cell r="S1330">
            <v>0</v>
          </cell>
          <cell r="T1330">
            <v>29580</v>
          </cell>
          <cell r="U1330">
            <v>0</v>
          </cell>
          <cell r="V1330">
            <v>0</v>
          </cell>
          <cell r="W1330">
            <v>0</v>
          </cell>
          <cell r="X1330" t="str">
            <v/>
          </cell>
          <cell r="Y1330" t="str">
            <v/>
          </cell>
          <cell r="Z1330" t="str">
            <v/>
          </cell>
          <cell r="AA1330" t="str">
            <v/>
          </cell>
          <cell r="AB1330" t="str">
            <v/>
          </cell>
          <cell r="AC1330" t="str">
            <v/>
          </cell>
          <cell r="AD1330" t="str">
            <v/>
          </cell>
          <cell r="AE1330" t="str">
            <v/>
          </cell>
          <cell r="AF1330" t="str">
            <v>⑫</v>
          </cell>
          <cell r="AG1330" t="str">
            <v/>
          </cell>
          <cell r="AH1330" t="str">
            <v/>
          </cell>
          <cell r="AI1330" t="str">
            <v/>
          </cell>
        </row>
        <row r="1331">
          <cell r="B1331">
            <v>6505</v>
          </cell>
          <cell r="C1331">
            <v>65</v>
          </cell>
          <cell r="D1331">
            <v>5</v>
          </cell>
          <cell r="F1331" t="str">
            <v>静岡</v>
          </cell>
          <cell r="G1331" t="str">
            <v>屋内消火栓(外観)</v>
          </cell>
          <cell r="H1331" t="str">
            <v>ホーチキ</v>
          </cell>
          <cell r="I1331">
            <v>41600</v>
          </cell>
          <cell r="J1331">
            <v>42432</v>
          </cell>
          <cell r="K1331">
            <v>1</v>
          </cell>
          <cell r="L1331">
            <v>0</v>
          </cell>
          <cell r="M1331">
            <v>0</v>
          </cell>
          <cell r="N1331">
            <v>42432</v>
          </cell>
          <cell r="O1331">
            <v>0</v>
          </cell>
          <cell r="P1331">
            <v>0</v>
          </cell>
          <cell r="Q1331">
            <v>0</v>
          </cell>
          <cell r="R1331">
            <v>0</v>
          </cell>
          <cell r="S1331">
            <v>0</v>
          </cell>
          <cell r="T1331">
            <v>0</v>
          </cell>
          <cell r="U1331">
            <v>0</v>
          </cell>
          <cell r="V1331">
            <v>0</v>
          </cell>
          <cell r="W1331">
            <v>0</v>
          </cell>
          <cell r="X1331" t="str">
            <v/>
          </cell>
          <cell r="Y1331" t="str">
            <v/>
          </cell>
          <cell r="Z1331" t="str">
            <v>⑥</v>
          </cell>
          <cell r="AA1331" t="str">
            <v/>
          </cell>
          <cell r="AB1331" t="str">
            <v/>
          </cell>
          <cell r="AC1331" t="str">
            <v/>
          </cell>
          <cell r="AD1331" t="str">
            <v/>
          </cell>
          <cell r="AE1331" t="str">
            <v/>
          </cell>
          <cell r="AF1331" t="str">
            <v/>
          </cell>
          <cell r="AG1331" t="str">
            <v/>
          </cell>
          <cell r="AH1331" t="str">
            <v/>
          </cell>
          <cell r="AI1331" t="str">
            <v/>
          </cell>
        </row>
        <row r="1332">
          <cell r="B1332">
            <v>6506</v>
          </cell>
          <cell r="C1332">
            <v>65</v>
          </cell>
          <cell r="D1332">
            <v>6</v>
          </cell>
          <cell r="F1332" t="str">
            <v>静岡</v>
          </cell>
          <cell r="G1332" t="str">
            <v>屋内消火栓(総合)</v>
          </cell>
          <cell r="H1332" t="str">
            <v>ホーチキ</v>
          </cell>
          <cell r="I1332">
            <v>63200</v>
          </cell>
          <cell r="J1332">
            <v>64464</v>
          </cell>
          <cell r="K1332">
            <v>1</v>
          </cell>
          <cell r="L1332">
            <v>0</v>
          </cell>
          <cell r="M1332">
            <v>0</v>
          </cell>
          <cell r="N1332">
            <v>0</v>
          </cell>
          <cell r="O1332">
            <v>0</v>
          </cell>
          <cell r="P1332">
            <v>0</v>
          </cell>
          <cell r="Q1332">
            <v>0</v>
          </cell>
          <cell r="R1332">
            <v>0</v>
          </cell>
          <cell r="S1332">
            <v>0</v>
          </cell>
          <cell r="T1332">
            <v>64464</v>
          </cell>
          <cell r="U1332">
            <v>0</v>
          </cell>
          <cell r="V1332">
            <v>0</v>
          </cell>
          <cell r="W1332">
            <v>0</v>
          </cell>
          <cell r="X1332" t="str">
            <v/>
          </cell>
          <cell r="Y1332" t="str">
            <v/>
          </cell>
          <cell r="Z1332" t="str">
            <v/>
          </cell>
          <cell r="AA1332" t="str">
            <v/>
          </cell>
          <cell r="AB1332" t="str">
            <v/>
          </cell>
          <cell r="AC1332" t="str">
            <v/>
          </cell>
          <cell r="AD1332" t="str">
            <v/>
          </cell>
          <cell r="AE1332" t="str">
            <v/>
          </cell>
          <cell r="AF1332" t="str">
            <v>⑫</v>
          </cell>
          <cell r="AG1332" t="str">
            <v/>
          </cell>
          <cell r="AH1332" t="str">
            <v/>
          </cell>
          <cell r="AI1332" t="str">
            <v/>
          </cell>
        </row>
        <row r="1333">
          <cell r="B1333">
            <v>6507</v>
          </cell>
          <cell r="C1333">
            <v>65</v>
          </cell>
          <cell r="D1333">
            <v>7</v>
          </cell>
          <cell r="F1333" t="str">
            <v>静岡</v>
          </cell>
          <cell r="G1333" t="str">
            <v>非常放送(外観)</v>
          </cell>
          <cell r="H1333" t="str">
            <v>ホーチキ</v>
          </cell>
          <cell r="I1333">
            <v>86800</v>
          </cell>
          <cell r="J1333">
            <v>88536</v>
          </cell>
          <cell r="K1333">
            <v>1</v>
          </cell>
          <cell r="L1333">
            <v>0</v>
          </cell>
          <cell r="M1333">
            <v>0</v>
          </cell>
          <cell r="N1333">
            <v>88536</v>
          </cell>
          <cell r="O1333">
            <v>0</v>
          </cell>
          <cell r="P1333">
            <v>0</v>
          </cell>
          <cell r="Q1333">
            <v>0</v>
          </cell>
          <cell r="R1333">
            <v>0</v>
          </cell>
          <cell r="S1333">
            <v>0</v>
          </cell>
          <cell r="T1333">
            <v>0</v>
          </cell>
          <cell r="U1333">
            <v>0</v>
          </cell>
          <cell r="V1333">
            <v>0</v>
          </cell>
          <cell r="W1333">
            <v>0</v>
          </cell>
          <cell r="X1333" t="str">
            <v/>
          </cell>
          <cell r="Y1333" t="str">
            <v/>
          </cell>
          <cell r="Z1333" t="str">
            <v>⑥</v>
          </cell>
          <cell r="AA1333" t="str">
            <v/>
          </cell>
          <cell r="AB1333" t="str">
            <v/>
          </cell>
          <cell r="AC1333" t="str">
            <v/>
          </cell>
          <cell r="AD1333" t="str">
            <v/>
          </cell>
          <cell r="AE1333" t="str">
            <v/>
          </cell>
          <cell r="AF1333" t="str">
            <v/>
          </cell>
          <cell r="AG1333" t="str">
            <v/>
          </cell>
          <cell r="AH1333" t="str">
            <v/>
          </cell>
          <cell r="AI1333" t="str">
            <v/>
          </cell>
        </row>
        <row r="1334">
          <cell r="B1334">
            <v>6508</v>
          </cell>
          <cell r="C1334">
            <v>65</v>
          </cell>
          <cell r="D1334">
            <v>8</v>
          </cell>
          <cell r="F1334" t="str">
            <v>静岡</v>
          </cell>
          <cell r="G1334" t="str">
            <v>非常放送(総合)</v>
          </cell>
          <cell r="H1334" t="str">
            <v>ホーチキ</v>
          </cell>
          <cell r="I1334">
            <v>111600</v>
          </cell>
          <cell r="J1334">
            <v>113832</v>
          </cell>
          <cell r="K1334">
            <v>1</v>
          </cell>
          <cell r="L1334">
            <v>0</v>
          </cell>
          <cell r="M1334">
            <v>0</v>
          </cell>
          <cell r="N1334">
            <v>0</v>
          </cell>
          <cell r="O1334">
            <v>0</v>
          </cell>
          <cell r="P1334">
            <v>0</v>
          </cell>
          <cell r="Q1334">
            <v>0</v>
          </cell>
          <cell r="R1334">
            <v>0</v>
          </cell>
          <cell r="S1334">
            <v>0</v>
          </cell>
          <cell r="T1334">
            <v>113832</v>
          </cell>
          <cell r="U1334">
            <v>0</v>
          </cell>
          <cell r="V1334">
            <v>0</v>
          </cell>
          <cell r="W1334">
            <v>0</v>
          </cell>
          <cell r="X1334" t="str">
            <v/>
          </cell>
          <cell r="Y1334" t="str">
            <v/>
          </cell>
          <cell r="Z1334" t="str">
            <v/>
          </cell>
          <cell r="AA1334" t="str">
            <v/>
          </cell>
          <cell r="AB1334" t="str">
            <v/>
          </cell>
          <cell r="AC1334" t="str">
            <v/>
          </cell>
          <cell r="AD1334" t="str">
            <v/>
          </cell>
          <cell r="AE1334" t="str">
            <v/>
          </cell>
          <cell r="AF1334" t="str">
            <v>⑫</v>
          </cell>
          <cell r="AG1334" t="str">
            <v/>
          </cell>
          <cell r="AH1334" t="str">
            <v/>
          </cell>
          <cell r="AI1334" t="str">
            <v/>
          </cell>
        </row>
        <row r="1335">
          <cell r="B1335">
            <v>6509</v>
          </cell>
          <cell r="C1335">
            <v>65</v>
          </cell>
          <cell r="D1335">
            <v>9</v>
          </cell>
          <cell r="F1335" t="str">
            <v>静岡</v>
          </cell>
          <cell r="G1335" t="str">
            <v>ｽﾌﾟﾘﾝｸﾗｰ設備(外観)</v>
          </cell>
          <cell r="H1335" t="str">
            <v>ホーチキ</v>
          </cell>
          <cell r="I1335">
            <v>51500</v>
          </cell>
          <cell r="J1335">
            <v>52530</v>
          </cell>
          <cell r="K1335">
            <v>1</v>
          </cell>
          <cell r="L1335">
            <v>0</v>
          </cell>
          <cell r="M1335">
            <v>0</v>
          </cell>
          <cell r="N1335">
            <v>52530</v>
          </cell>
          <cell r="O1335">
            <v>0</v>
          </cell>
          <cell r="P1335">
            <v>0</v>
          </cell>
          <cell r="Q1335">
            <v>0</v>
          </cell>
          <cell r="R1335">
            <v>0</v>
          </cell>
          <cell r="S1335">
            <v>0</v>
          </cell>
          <cell r="T1335">
            <v>0</v>
          </cell>
          <cell r="U1335">
            <v>0</v>
          </cell>
          <cell r="V1335">
            <v>0</v>
          </cell>
          <cell r="W1335">
            <v>0</v>
          </cell>
          <cell r="X1335" t="str">
            <v/>
          </cell>
          <cell r="Y1335" t="str">
            <v/>
          </cell>
          <cell r="Z1335" t="str">
            <v>⑥</v>
          </cell>
          <cell r="AA1335" t="str">
            <v/>
          </cell>
          <cell r="AB1335" t="str">
            <v/>
          </cell>
          <cell r="AC1335" t="str">
            <v/>
          </cell>
          <cell r="AD1335" t="str">
            <v/>
          </cell>
          <cell r="AE1335" t="str">
            <v/>
          </cell>
          <cell r="AF1335" t="str">
            <v/>
          </cell>
          <cell r="AG1335" t="str">
            <v/>
          </cell>
          <cell r="AH1335" t="str">
            <v/>
          </cell>
          <cell r="AI1335" t="str">
            <v/>
          </cell>
        </row>
        <row r="1336">
          <cell r="B1336">
            <v>6510</v>
          </cell>
          <cell r="C1336">
            <v>65</v>
          </cell>
          <cell r="D1336">
            <v>10</v>
          </cell>
          <cell r="F1336" t="str">
            <v>静岡</v>
          </cell>
          <cell r="G1336" t="str">
            <v>ｽﾌﾟﾘﾝｸﾗｰ設備(総合)</v>
          </cell>
          <cell r="H1336" t="str">
            <v>ホーチキ</v>
          </cell>
          <cell r="I1336">
            <v>56000</v>
          </cell>
          <cell r="J1336">
            <v>57120</v>
          </cell>
          <cell r="K1336">
            <v>1</v>
          </cell>
          <cell r="L1336">
            <v>0</v>
          </cell>
          <cell r="M1336">
            <v>0</v>
          </cell>
          <cell r="N1336">
            <v>0</v>
          </cell>
          <cell r="O1336">
            <v>0</v>
          </cell>
          <cell r="P1336">
            <v>0</v>
          </cell>
          <cell r="Q1336">
            <v>0</v>
          </cell>
          <cell r="R1336">
            <v>0</v>
          </cell>
          <cell r="S1336">
            <v>0</v>
          </cell>
          <cell r="T1336">
            <v>57120</v>
          </cell>
          <cell r="U1336">
            <v>0</v>
          </cell>
          <cell r="V1336">
            <v>0</v>
          </cell>
          <cell r="W1336">
            <v>0</v>
          </cell>
          <cell r="X1336" t="str">
            <v/>
          </cell>
          <cell r="Y1336" t="str">
            <v/>
          </cell>
          <cell r="Z1336" t="str">
            <v/>
          </cell>
          <cell r="AA1336" t="str">
            <v/>
          </cell>
          <cell r="AB1336" t="str">
            <v/>
          </cell>
          <cell r="AC1336" t="str">
            <v/>
          </cell>
          <cell r="AD1336" t="str">
            <v/>
          </cell>
          <cell r="AE1336" t="str">
            <v/>
          </cell>
          <cell r="AF1336" t="str">
            <v>⑫</v>
          </cell>
          <cell r="AG1336" t="str">
            <v/>
          </cell>
          <cell r="AH1336" t="str">
            <v/>
          </cell>
          <cell r="AI1336" t="str">
            <v/>
          </cell>
        </row>
        <row r="1337">
          <cell r="B1337">
            <v>6511</v>
          </cell>
          <cell r="C1337">
            <v>65</v>
          </cell>
          <cell r="D1337">
            <v>11</v>
          </cell>
          <cell r="F1337" t="str">
            <v>静岡</v>
          </cell>
          <cell r="G1337" t="str">
            <v>誘導灯(外観)</v>
          </cell>
          <cell r="H1337" t="str">
            <v>ホーチキ</v>
          </cell>
          <cell r="I1337">
            <v>43300</v>
          </cell>
          <cell r="J1337">
            <v>44166</v>
          </cell>
          <cell r="K1337">
            <v>2</v>
          </cell>
          <cell r="L1337">
            <v>0</v>
          </cell>
          <cell r="M1337">
            <v>0</v>
          </cell>
          <cell r="N1337">
            <v>44166</v>
          </cell>
          <cell r="O1337">
            <v>0</v>
          </cell>
          <cell r="P1337">
            <v>0</v>
          </cell>
          <cell r="Q1337">
            <v>0</v>
          </cell>
          <cell r="R1337">
            <v>0</v>
          </cell>
          <cell r="S1337">
            <v>0</v>
          </cell>
          <cell r="T1337">
            <v>44166</v>
          </cell>
          <cell r="U1337">
            <v>0</v>
          </cell>
          <cell r="V1337">
            <v>0</v>
          </cell>
          <cell r="W1337">
            <v>0</v>
          </cell>
          <cell r="X1337" t="str">
            <v/>
          </cell>
          <cell r="Y1337" t="str">
            <v/>
          </cell>
          <cell r="Z1337" t="str">
            <v>⑥</v>
          </cell>
          <cell r="AA1337" t="str">
            <v/>
          </cell>
          <cell r="AB1337" t="str">
            <v/>
          </cell>
          <cell r="AC1337" t="str">
            <v/>
          </cell>
          <cell r="AD1337" t="str">
            <v/>
          </cell>
          <cell r="AE1337" t="str">
            <v/>
          </cell>
          <cell r="AF1337" t="str">
            <v>⑫</v>
          </cell>
          <cell r="AG1337" t="str">
            <v/>
          </cell>
          <cell r="AH1337" t="str">
            <v/>
          </cell>
          <cell r="AI1337" t="str">
            <v/>
          </cell>
        </row>
        <row r="1338">
          <cell r="B1338">
            <v>6512</v>
          </cell>
          <cell r="C1338">
            <v>65</v>
          </cell>
          <cell r="D1338">
            <v>12</v>
          </cell>
          <cell r="F1338" t="str">
            <v>静岡</v>
          </cell>
          <cell r="G1338" t="str">
            <v>Ｐ型防排煙制御(外観)</v>
          </cell>
          <cell r="H1338" t="str">
            <v>ホーチキ</v>
          </cell>
          <cell r="I1338">
            <v>77100</v>
          </cell>
          <cell r="J1338">
            <v>78642</v>
          </cell>
          <cell r="K1338">
            <v>1</v>
          </cell>
          <cell r="L1338">
            <v>0</v>
          </cell>
          <cell r="M1338">
            <v>0</v>
          </cell>
          <cell r="N1338">
            <v>78642</v>
          </cell>
          <cell r="O1338">
            <v>0</v>
          </cell>
          <cell r="P1338">
            <v>0</v>
          </cell>
          <cell r="Q1338">
            <v>0</v>
          </cell>
          <cell r="R1338">
            <v>0</v>
          </cell>
          <cell r="S1338">
            <v>0</v>
          </cell>
          <cell r="T1338">
            <v>0</v>
          </cell>
          <cell r="U1338">
            <v>0</v>
          </cell>
          <cell r="V1338">
            <v>0</v>
          </cell>
          <cell r="W1338">
            <v>0</v>
          </cell>
          <cell r="X1338" t="str">
            <v/>
          </cell>
          <cell r="Y1338" t="str">
            <v/>
          </cell>
          <cell r="Z1338" t="str">
            <v>⑥</v>
          </cell>
          <cell r="AA1338" t="str">
            <v/>
          </cell>
          <cell r="AB1338" t="str">
            <v/>
          </cell>
          <cell r="AC1338" t="str">
            <v/>
          </cell>
          <cell r="AD1338" t="str">
            <v/>
          </cell>
          <cell r="AE1338" t="str">
            <v/>
          </cell>
          <cell r="AF1338" t="str">
            <v/>
          </cell>
          <cell r="AG1338" t="str">
            <v/>
          </cell>
          <cell r="AH1338" t="str">
            <v/>
          </cell>
          <cell r="AI1338" t="str">
            <v/>
          </cell>
        </row>
        <row r="1339">
          <cell r="B1339">
            <v>6513</v>
          </cell>
          <cell r="C1339">
            <v>65</v>
          </cell>
          <cell r="D1339">
            <v>13</v>
          </cell>
          <cell r="F1339" t="str">
            <v>静岡</v>
          </cell>
          <cell r="G1339" t="str">
            <v>Ｐ型防排煙制御(総合)</v>
          </cell>
          <cell r="H1339" t="str">
            <v>ホーチキ</v>
          </cell>
          <cell r="I1339">
            <v>96200</v>
          </cell>
          <cell r="J1339">
            <v>98124</v>
          </cell>
          <cell r="K1339">
            <v>1</v>
          </cell>
          <cell r="L1339">
            <v>0</v>
          </cell>
          <cell r="M1339">
            <v>0</v>
          </cell>
          <cell r="N1339">
            <v>0</v>
          </cell>
          <cell r="O1339">
            <v>0</v>
          </cell>
          <cell r="P1339">
            <v>0</v>
          </cell>
          <cell r="Q1339">
            <v>0</v>
          </cell>
          <cell r="R1339">
            <v>0</v>
          </cell>
          <cell r="S1339">
            <v>0</v>
          </cell>
          <cell r="T1339">
            <v>98124</v>
          </cell>
          <cell r="U1339">
            <v>0</v>
          </cell>
          <cell r="V1339">
            <v>0</v>
          </cell>
          <cell r="W1339">
            <v>0</v>
          </cell>
          <cell r="X1339" t="str">
            <v/>
          </cell>
          <cell r="Y1339" t="str">
            <v/>
          </cell>
          <cell r="Z1339" t="str">
            <v/>
          </cell>
          <cell r="AA1339" t="str">
            <v/>
          </cell>
          <cell r="AB1339" t="str">
            <v/>
          </cell>
          <cell r="AC1339" t="str">
            <v/>
          </cell>
          <cell r="AD1339" t="str">
            <v/>
          </cell>
          <cell r="AE1339" t="str">
            <v/>
          </cell>
          <cell r="AF1339" t="str">
            <v>⑫</v>
          </cell>
          <cell r="AG1339" t="str">
            <v/>
          </cell>
          <cell r="AH1339" t="str">
            <v/>
          </cell>
          <cell r="AI1339" t="str">
            <v/>
          </cell>
        </row>
        <row r="1340">
          <cell r="B1340">
            <v>6514</v>
          </cell>
          <cell r="C1340">
            <v>65</v>
          </cell>
          <cell r="D1340">
            <v>14</v>
          </cell>
          <cell r="F1340" t="str">
            <v>静岡</v>
          </cell>
          <cell r="G1340" t="str">
            <v>自家発電(外観)</v>
          </cell>
          <cell r="H1340" t="str">
            <v>ホーチキ</v>
          </cell>
          <cell r="I1340">
            <v>24500</v>
          </cell>
          <cell r="J1340">
            <v>24990</v>
          </cell>
          <cell r="K1340">
            <v>1</v>
          </cell>
          <cell r="L1340">
            <v>0</v>
          </cell>
          <cell r="M1340">
            <v>0</v>
          </cell>
          <cell r="N1340">
            <v>24990</v>
          </cell>
          <cell r="O1340">
            <v>0</v>
          </cell>
          <cell r="P1340">
            <v>0</v>
          </cell>
          <cell r="Q1340">
            <v>0</v>
          </cell>
          <cell r="R1340">
            <v>0</v>
          </cell>
          <cell r="S1340">
            <v>0</v>
          </cell>
          <cell r="T1340">
            <v>0</v>
          </cell>
          <cell r="U1340">
            <v>0</v>
          </cell>
          <cell r="V1340">
            <v>0</v>
          </cell>
          <cell r="W1340">
            <v>0</v>
          </cell>
          <cell r="X1340" t="str">
            <v/>
          </cell>
          <cell r="Y1340" t="str">
            <v/>
          </cell>
          <cell r="Z1340" t="str">
            <v>⑥</v>
          </cell>
          <cell r="AA1340" t="str">
            <v/>
          </cell>
          <cell r="AB1340" t="str">
            <v/>
          </cell>
          <cell r="AC1340" t="str">
            <v/>
          </cell>
          <cell r="AD1340" t="str">
            <v/>
          </cell>
          <cell r="AE1340" t="str">
            <v/>
          </cell>
          <cell r="AF1340" t="str">
            <v/>
          </cell>
          <cell r="AG1340" t="str">
            <v/>
          </cell>
          <cell r="AH1340" t="str">
            <v/>
          </cell>
          <cell r="AI1340" t="str">
            <v/>
          </cell>
        </row>
        <row r="1341">
          <cell r="B1341">
            <v>6515</v>
          </cell>
          <cell r="C1341">
            <v>65</v>
          </cell>
          <cell r="D1341">
            <v>15</v>
          </cell>
          <cell r="F1341" t="str">
            <v>静岡</v>
          </cell>
          <cell r="G1341" t="str">
            <v>自家発電(総合)</v>
          </cell>
          <cell r="H1341" t="str">
            <v>ホーチキ</v>
          </cell>
          <cell r="I1341">
            <v>29500</v>
          </cell>
          <cell r="J1341">
            <v>30090</v>
          </cell>
          <cell r="K1341">
            <v>1</v>
          </cell>
          <cell r="L1341">
            <v>0</v>
          </cell>
          <cell r="M1341">
            <v>0</v>
          </cell>
          <cell r="N1341">
            <v>0</v>
          </cell>
          <cell r="O1341">
            <v>0</v>
          </cell>
          <cell r="P1341">
            <v>0</v>
          </cell>
          <cell r="Q1341">
            <v>0</v>
          </cell>
          <cell r="R1341">
            <v>0</v>
          </cell>
          <cell r="S1341">
            <v>0</v>
          </cell>
          <cell r="T1341">
            <v>30090</v>
          </cell>
          <cell r="U1341">
            <v>0</v>
          </cell>
          <cell r="V1341">
            <v>0</v>
          </cell>
          <cell r="W1341">
            <v>0</v>
          </cell>
          <cell r="X1341" t="str">
            <v/>
          </cell>
          <cell r="Y1341" t="str">
            <v/>
          </cell>
          <cell r="Z1341" t="str">
            <v/>
          </cell>
          <cell r="AA1341" t="str">
            <v/>
          </cell>
          <cell r="AB1341" t="str">
            <v/>
          </cell>
          <cell r="AC1341" t="str">
            <v/>
          </cell>
          <cell r="AD1341" t="str">
            <v/>
          </cell>
          <cell r="AE1341" t="str">
            <v/>
          </cell>
          <cell r="AF1341" t="str">
            <v>⑫</v>
          </cell>
          <cell r="AG1341" t="str">
            <v/>
          </cell>
          <cell r="AH1341" t="str">
            <v/>
          </cell>
          <cell r="AI1341" t="str">
            <v/>
          </cell>
        </row>
        <row r="1342">
          <cell r="B1342">
            <v>6516</v>
          </cell>
          <cell r="C1342">
            <v>65</v>
          </cell>
          <cell r="D1342">
            <v>16</v>
          </cell>
          <cell r="F1342" t="str">
            <v>静岡</v>
          </cell>
          <cell r="G1342" t="str">
            <v>Ｐ型自火報(外観)</v>
          </cell>
          <cell r="H1342" t="str">
            <v>ホーチキ</v>
          </cell>
          <cell r="I1342">
            <v>50400</v>
          </cell>
          <cell r="J1342">
            <v>51408</v>
          </cell>
          <cell r="K1342">
            <v>1</v>
          </cell>
          <cell r="L1342">
            <v>0</v>
          </cell>
          <cell r="M1342">
            <v>0</v>
          </cell>
          <cell r="N1342">
            <v>51408</v>
          </cell>
          <cell r="O1342">
            <v>0</v>
          </cell>
          <cell r="P1342">
            <v>0</v>
          </cell>
          <cell r="Q1342">
            <v>0</v>
          </cell>
          <cell r="R1342">
            <v>0</v>
          </cell>
          <cell r="S1342">
            <v>0</v>
          </cell>
          <cell r="T1342">
            <v>0</v>
          </cell>
          <cell r="U1342">
            <v>0</v>
          </cell>
          <cell r="V1342">
            <v>0</v>
          </cell>
          <cell r="W1342">
            <v>0</v>
          </cell>
          <cell r="X1342" t="str">
            <v/>
          </cell>
          <cell r="Y1342" t="str">
            <v/>
          </cell>
          <cell r="Z1342" t="str">
            <v>⑥</v>
          </cell>
          <cell r="AA1342" t="str">
            <v/>
          </cell>
          <cell r="AB1342" t="str">
            <v/>
          </cell>
          <cell r="AC1342" t="str">
            <v/>
          </cell>
          <cell r="AD1342" t="str">
            <v/>
          </cell>
          <cell r="AE1342" t="str">
            <v/>
          </cell>
          <cell r="AF1342" t="str">
            <v/>
          </cell>
          <cell r="AG1342" t="str">
            <v/>
          </cell>
          <cell r="AH1342" t="str">
            <v/>
          </cell>
          <cell r="AI1342" t="str">
            <v/>
          </cell>
        </row>
        <row r="1343">
          <cell r="B1343">
            <v>6517</v>
          </cell>
          <cell r="C1343">
            <v>65</v>
          </cell>
          <cell r="D1343">
            <v>17</v>
          </cell>
          <cell r="F1343" t="str">
            <v>静岡</v>
          </cell>
          <cell r="G1343" t="str">
            <v>Ｐ型自火報(総合)</v>
          </cell>
          <cell r="H1343" t="str">
            <v>ホーチキ</v>
          </cell>
          <cell r="I1343">
            <v>155900</v>
          </cell>
          <cell r="J1343">
            <v>159018</v>
          </cell>
          <cell r="K1343">
            <v>1</v>
          </cell>
          <cell r="L1343">
            <v>0</v>
          </cell>
          <cell r="M1343">
            <v>0</v>
          </cell>
          <cell r="N1343">
            <v>0</v>
          </cell>
          <cell r="O1343">
            <v>0</v>
          </cell>
          <cell r="P1343">
            <v>0</v>
          </cell>
          <cell r="Q1343">
            <v>0</v>
          </cell>
          <cell r="R1343">
            <v>0</v>
          </cell>
          <cell r="S1343">
            <v>0</v>
          </cell>
          <cell r="T1343">
            <v>159018</v>
          </cell>
          <cell r="U1343">
            <v>0</v>
          </cell>
          <cell r="V1343">
            <v>0</v>
          </cell>
          <cell r="W1343">
            <v>0</v>
          </cell>
          <cell r="X1343" t="str">
            <v/>
          </cell>
          <cell r="Y1343" t="str">
            <v/>
          </cell>
          <cell r="Z1343" t="str">
            <v/>
          </cell>
          <cell r="AA1343" t="str">
            <v/>
          </cell>
          <cell r="AB1343" t="str">
            <v/>
          </cell>
          <cell r="AC1343" t="str">
            <v/>
          </cell>
          <cell r="AD1343" t="str">
            <v/>
          </cell>
          <cell r="AE1343" t="str">
            <v/>
          </cell>
          <cell r="AF1343" t="str">
            <v>⑫</v>
          </cell>
          <cell r="AG1343" t="str">
            <v/>
          </cell>
          <cell r="AH1343" t="str">
            <v/>
          </cell>
          <cell r="AI1343" t="str">
            <v/>
          </cell>
        </row>
        <row r="1344">
          <cell r="B1344">
            <v>6518</v>
          </cell>
          <cell r="C1344">
            <v>65</v>
          </cell>
          <cell r="D1344">
            <v>18</v>
          </cell>
          <cell r="F1344" t="str">
            <v>静岡</v>
          </cell>
          <cell r="G1344" t="str">
            <v>害虫駆除</v>
          </cell>
          <cell r="H1344" t="str">
            <v>静岡セントラル商事</v>
          </cell>
          <cell r="I1344">
            <v>86400</v>
          </cell>
          <cell r="J1344">
            <v>96960</v>
          </cell>
          <cell r="K1344">
            <v>2</v>
          </cell>
          <cell r="L1344">
            <v>96960</v>
          </cell>
          <cell r="M1344">
            <v>0</v>
          </cell>
          <cell r="N1344">
            <v>0</v>
          </cell>
          <cell r="O1344">
            <v>0</v>
          </cell>
          <cell r="P1344">
            <v>0</v>
          </cell>
          <cell r="Q1344">
            <v>0</v>
          </cell>
          <cell r="R1344">
            <v>0</v>
          </cell>
          <cell r="S1344">
            <v>96960</v>
          </cell>
          <cell r="T1344">
            <v>0</v>
          </cell>
          <cell r="U1344">
            <v>0</v>
          </cell>
          <cell r="V1344">
            <v>0</v>
          </cell>
          <cell r="W1344">
            <v>0</v>
          </cell>
          <cell r="X1344" t="str">
            <v>④</v>
          </cell>
          <cell r="Y1344" t="str">
            <v/>
          </cell>
          <cell r="Z1344" t="str">
            <v/>
          </cell>
          <cell r="AA1344" t="str">
            <v/>
          </cell>
          <cell r="AB1344" t="str">
            <v/>
          </cell>
          <cell r="AC1344" t="str">
            <v/>
          </cell>
          <cell r="AE1344" t="str">
            <v>⑪</v>
          </cell>
          <cell r="AF1344" t="str">
            <v/>
          </cell>
          <cell r="AG1344" t="str">
            <v/>
          </cell>
          <cell r="AH1344" t="str">
            <v/>
          </cell>
          <cell r="AI1344" t="str">
            <v/>
          </cell>
          <cell r="AJ1344" t="str">
            <v>変</v>
          </cell>
        </row>
        <row r="1345">
          <cell r="B1345">
            <v>6519</v>
          </cell>
          <cell r="C1345">
            <v>65</v>
          </cell>
          <cell r="D1345">
            <v>19</v>
          </cell>
          <cell r="F1345" t="str">
            <v>静岡</v>
          </cell>
          <cell r="G1345" t="str">
            <v>汚水槽清掃</v>
          </cell>
          <cell r="H1345" t="str">
            <v>中部互光</v>
          </cell>
          <cell r="I1345">
            <v>67000</v>
          </cell>
          <cell r="J1345">
            <v>75040</v>
          </cell>
          <cell r="K1345">
            <v>2</v>
          </cell>
          <cell r="L1345">
            <v>0</v>
          </cell>
          <cell r="M1345">
            <v>0</v>
          </cell>
          <cell r="N1345">
            <v>75040</v>
          </cell>
          <cell r="O1345">
            <v>0</v>
          </cell>
          <cell r="P1345">
            <v>0</v>
          </cell>
          <cell r="Q1345">
            <v>0</v>
          </cell>
          <cell r="R1345">
            <v>0</v>
          </cell>
          <cell r="S1345">
            <v>0</v>
          </cell>
          <cell r="T1345">
            <v>75040</v>
          </cell>
          <cell r="U1345">
            <v>0</v>
          </cell>
          <cell r="V1345">
            <v>0</v>
          </cell>
          <cell r="W1345">
            <v>0</v>
          </cell>
          <cell r="X1345" t="str">
            <v/>
          </cell>
          <cell r="Y1345" t="str">
            <v/>
          </cell>
          <cell r="Z1345" t="str">
            <v>⑥</v>
          </cell>
          <cell r="AA1345" t="str">
            <v/>
          </cell>
          <cell r="AB1345" t="str">
            <v/>
          </cell>
          <cell r="AC1345" t="str">
            <v/>
          </cell>
          <cell r="AD1345" t="str">
            <v/>
          </cell>
          <cell r="AE1345" t="str">
            <v/>
          </cell>
          <cell r="AF1345" t="str">
            <v>⑫</v>
          </cell>
          <cell r="AG1345" t="str">
            <v/>
          </cell>
          <cell r="AH1345" t="str">
            <v/>
          </cell>
          <cell r="AI1345" t="str">
            <v/>
          </cell>
        </row>
        <row r="1346">
          <cell r="B1346">
            <v>6520</v>
          </cell>
          <cell r="C1346">
            <v>65</v>
          </cell>
          <cell r="D1346">
            <v>20</v>
          </cell>
          <cell r="F1346" t="str">
            <v>静岡</v>
          </cell>
          <cell r="G1346" t="str">
            <v>受水槽清掃</v>
          </cell>
          <cell r="H1346" t="str">
            <v>中部互光</v>
          </cell>
          <cell r="I1346">
            <v>60000</v>
          </cell>
          <cell r="J1346">
            <v>67800</v>
          </cell>
          <cell r="K1346">
            <v>1</v>
          </cell>
          <cell r="L1346">
            <v>0</v>
          </cell>
          <cell r="M1346">
            <v>67800</v>
          </cell>
          <cell r="N1346">
            <v>0</v>
          </cell>
          <cell r="O1346">
            <v>0</v>
          </cell>
          <cell r="P1346">
            <v>0</v>
          </cell>
          <cell r="Q1346">
            <v>0</v>
          </cell>
          <cell r="R1346">
            <v>0</v>
          </cell>
          <cell r="S1346">
            <v>0</v>
          </cell>
          <cell r="T1346">
            <v>0</v>
          </cell>
          <cell r="U1346">
            <v>0</v>
          </cell>
          <cell r="V1346">
            <v>0</v>
          </cell>
          <cell r="W1346">
            <v>0</v>
          </cell>
          <cell r="X1346" t="str">
            <v/>
          </cell>
          <cell r="Y1346" t="str">
            <v>⑤</v>
          </cell>
          <cell r="Z1346" t="str">
            <v/>
          </cell>
          <cell r="AA1346" t="str">
            <v/>
          </cell>
          <cell r="AB1346" t="str">
            <v/>
          </cell>
          <cell r="AC1346" t="str">
            <v/>
          </cell>
          <cell r="AD1346" t="str">
            <v/>
          </cell>
          <cell r="AE1346" t="str">
            <v/>
          </cell>
          <cell r="AF1346" t="str">
            <v/>
          </cell>
          <cell r="AG1346" t="str">
            <v/>
          </cell>
          <cell r="AH1346" t="str">
            <v/>
          </cell>
          <cell r="AI1346" t="str">
            <v/>
          </cell>
        </row>
        <row r="1347">
          <cell r="B1347">
            <v>6521</v>
          </cell>
          <cell r="C1347">
            <v>65</v>
          </cell>
          <cell r="D1347">
            <v>21</v>
          </cell>
          <cell r="F1347" t="str">
            <v>静岡</v>
          </cell>
          <cell r="G1347" t="str">
            <v>自動ドアー保守</v>
          </cell>
          <cell r="H1347" t="str">
            <v>ナブコシステム</v>
          </cell>
          <cell r="I1347">
            <v>25000</v>
          </cell>
          <cell r="J1347">
            <v>27900</v>
          </cell>
          <cell r="K1347">
            <v>2</v>
          </cell>
          <cell r="L1347">
            <v>0</v>
          </cell>
          <cell r="M1347">
            <v>27900</v>
          </cell>
          <cell r="N1347">
            <v>0</v>
          </cell>
          <cell r="O1347">
            <v>0</v>
          </cell>
          <cell r="P1347">
            <v>0</v>
          </cell>
          <cell r="Q1347">
            <v>0</v>
          </cell>
          <cell r="R1347">
            <v>0</v>
          </cell>
          <cell r="S1347">
            <v>27900</v>
          </cell>
          <cell r="T1347">
            <v>0</v>
          </cell>
          <cell r="U1347">
            <v>0</v>
          </cell>
          <cell r="V1347">
            <v>0</v>
          </cell>
          <cell r="W1347">
            <v>0</v>
          </cell>
          <cell r="X1347" t="str">
            <v/>
          </cell>
          <cell r="Y1347" t="str">
            <v>⑤</v>
          </cell>
          <cell r="Z1347" t="str">
            <v/>
          </cell>
          <cell r="AB1347" t="str">
            <v/>
          </cell>
          <cell r="AC1347" t="str">
            <v/>
          </cell>
          <cell r="AD1347" t="str">
            <v/>
          </cell>
          <cell r="AE1347" t="str">
            <v>⑪</v>
          </cell>
          <cell r="AF1347" t="str">
            <v/>
          </cell>
          <cell r="AG1347" t="str">
            <v/>
          </cell>
          <cell r="AI1347" t="str">
            <v/>
          </cell>
          <cell r="AJ1347" t="str">
            <v>変</v>
          </cell>
        </row>
        <row r="1348">
          <cell r="B1348">
            <v>6522</v>
          </cell>
          <cell r="C1348">
            <v>65</v>
          </cell>
          <cell r="D1348">
            <v>22</v>
          </cell>
          <cell r="F1348" t="str">
            <v>静岡</v>
          </cell>
          <cell r="G1348" t="str">
            <v>空調冷凍機保守</v>
          </cell>
          <cell r="H1348" t="str">
            <v>三菱電機ﾋﾞﾙﾃｸﾉｻｰﾋﾞｽ</v>
          </cell>
          <cell r="I1348">
            <v>125000</v>
          </cell>
          <cell r="J1348">
            <v>132480</v>
          </cell>
          <cell r="K1348">
            <v>4</v>
          </cell>
          <cell r="L1348">
            <v>0</v>
          </cell>
          <cell r="M1348">
            <v>132480</v>
          </cell>
          <cell r="N1348">
            <v>0</v>
          </cell>
          <cell r="O1348">
            <v>132480</v>
          </cell>
          <cell r="P1348">
            <v>0</v>
          </cell>
          <cell r="Q1348">
            <v>0</v>
          </cell>
          <cell r="R1348">
            <v>0</v>
          </cell>
          <cell r="S1348">
            <v>132480</v>
          </cell>
          <cell r="T1348">
            <v>0</v>
          </cell>
          <cell r="U1348">
            <v>0</v>
          </cell>
          <cell r="V1348">
            <v>132480</v>
          </cell>
          <cell r="W1348">
            <v>0</v>
          </cell>
          <cell r="Y1348" t="str">
            <v>⑤</v>
          </cell>
          <cell r="AA1348" t="str">
            <v>⑦</v>
          </cell>
          <cell r="AE1348" t="str">
            <v>⑪</v>
          </cell>
          <cell r="AH1348" t="str">
            <v>②</v>
          </cell>
          <cell r="AJ1348" t="str">
            <v>変</v>
          </cell>
        </row>
        <row r="1349">
          <cell r="B1349">
            <v>6523</v>
          </cell>
          <cell r="C1349">
            <v>65</v>
          </cell>
          <cell r="D1349">
            <v>23</v>
          </cell>
          <cell r="F1349" t="str">
            <v>静岡</v>
          </cell>
          <cell r="G1349" t="str">
            <v>空調自動制御機器保守</v>
          </cell>
          <cell r="H1349" t="str">
            <v>日本電技</v>
          </cell>
          <cell r="I1349">
            <v>190000</v>
          </cell>
          <cell r="J1349">
            <v>202800</v>
          </cell>
          <cell r="K1349">
            <v>2</v>
          </cell>
          <cell r="L1349">
            <v>0</v>
          </cell>
          <cell r="M1349">
            <v>202800</v>
          </cell>
          <cell r="N1349">
            <v>0</v>
          </cell>
          <cell r="O1349">
            <v>0</v>
          </cell>
          <cell r="P1349">
            <v>0</v>
          </cell>
          <cell r="Q1349">
            <v>0</v>
          </cell>
          <cell r="R1349">
            <v>0</v>
          </cell>
          <cell r="S1349">
            <v>202800</v>
          </cell>
          <cell r="T1349">
            <v>0</v>
          </cell>
          <cell r="U1349">
            <v>0</v>
          </cell>
          <cell r="V1349">
            <v>0</v>
          </cell>
          <cell r="W1349">
            <v>0</v>
          </cell>
          <cell r="X1349" t="str">
            <v/>
          </cell>
          <cell r="Y1349" t="str">
            <v>⑤</v>
          </cell>
          <cell r="Z1349" t="str">
            <v/>
          </cell>
          <cell r="AA1349" t="str">
            <v/>
          </cell>
          <cell r="AB1349" t="str">
            <v/>
          </cell>
          <cell r="AC1349" t="str">
            <v/>
          </cell>
          <cell r="AD1349" t="str">
            <v/>
          </cell>
          <cell r="AE1349" t="str">
            <v>⑪</v>
          </cell>
          <cell r="AF1349" t="str">
            <v/>
          </cell>
          <cell r="AG1349" t="str">
            <v/>
          </cell>
          <cell r="AH1349" t="str">
            <v/>
          </cell>
          <cell r="AI1349" t="str">
            <v/>
          </cell>
          <cell r="AJ1349" t="str">
            <v>変</v>
          </cell>
        </row>
        <row r="1350">
          <cell r="B1350">
            <v>6524</v>
          </cell>
          <cell r="C1350">
            <v>65</v>
          </cell>
          <cell r="D1350">
            <v>24</v>
          </cell>
          <cell r="F1350" t="str">
            <v>静岡</v>
          </cell>
          <cell r="G1350" t="str">
            <v>植木･植栽管理</v>
          </cell>
          <cell r="H1350" t="str">
            <v>八雲</v>
          </cell>
          <cell r="I1350">
            <v>32500</v>
          </cell>
          <cell r="J1350">
            <v>34890</v>
          </cell>
          <cell r="K1350">
            <v>2</v>
          </cell>
          <cell r="L1350">
            <v>34890</v>
          </cell>
          <cell r="M1350">
            <v>0</v>
          </cell>
          <cell r="N1350">
            <v>0</v>
          </cell>
          <cell r="O1350">
            <v>0</v>
          </cell>
          <cell r="P1350">
            <v>0</v>
          </cell>
          <cell r="Q1350">
            <v>0</v>
          </cell>
          <cell r="R1350">
            <v>34890</v>
          </cell>
          <cell r="S1350">
            <v>0</v>
          </cell>
          <cell r="T1350">
            <v>0</v>
          </cell>
          <cell r="U1350">
            <v>0</v>
          </cell>
          <cell r="V1350">
            <v>0</v>
          </cell>
          <cell r="W1350">
            <v>0</v>
          </cell>
          <cell r="X1350" t="str">
            <v>④</v>
          </cell>
          <cell r="Y1350" t="str">
            <v/>
          </cell>
          <cell r="Z1350" t="str">
            <v/>
          </cell>
          <cell r="AA1350" t="str">
            <v/>
          </cell>
          <cell r="AB1350" t="str">
            <v/>
          </cell>
          <cell r="AC1350" t="str">
            <v/>
          </cell>
          <cell r="AD1350" t="str">
            <v>⑩</v>
          </cell>
          <cell r="AE1350" t="str">
            <v/>
          </cell>
          <cell r="AF1350" t="str">
            <v/>
          </cell>
          <cell r="AG1350" t="str">
            <v/>
          </cell>
          <cell r="AH1350" t="str">
            <v/>
          </cell>
          <cell r="AI1350" t="str">
            <v/>
          </cell>
          <cell r="AJ1350" t="str">
            <v>変</v>
          </cell>
        </row>
        <row r="1351">
          <cell r="B1351">
            <v>6525</v>
          </cell>
          <cell r="C1351">
            <v>65</v>
          </cell>
          <cell r="D1351">
            <v>25</v>
          </cell>
          <cell r="F1351" t="str">
            <v>静岡</v>
          </cell>
          <cell r="G1351" t="str">
            <v>プレﾌｨﾙﾀｰ清掃</v>
          </cell>
          <cell r="H1351" t="str">
            <v>中部互光（株）</v>
          </cell>
          <cell r="I1351">
            <v>25000</v>
          </cell>
          <cell r="J1351">
            <v>28750</v>
          </cell>
          <cell r="K1351">
            <v>4</v>
          </cell>
          <cell r="L1351">
            <v>0</v>
          </cell>
          <cell r="M1351">
            <v>28750</v>
          </cell>
          <cell r="N1351">
            <v>0</v>
          </cell>
          <cell r="O1351">
            <v>0</v>
          </cell>
          <cell r="P1351">
            <v>28750</v>
          </cell>
          <cell r="Q1351">
            <v>0</v>
          </cell>
          <cell r="R1351">
            <v>0</v>
          </cell>
          <cell r="S1351">
            <v>28750</v>
          </cell>
          <cell r="T1351">
            <v>0</v>
          </cell>
          <cell r="U1351">
            <v>0</v>
          </cell>
          <cell r="V1351">
            <v>28750</v>
          </cell>
          <cell r="W1351">
            <v>0</v>
          </cell>
          <cell r="X1351" t="str">
            <v/>
          </cell>
          <cell r="Y1351" t="str">
            <v>⑤</v>
          </cell>
          <cell r="AB1351" t="str">
            <v>⑧</v>
          </cell>
          <cell r="AE1351" t="str">
            <v>⑪</v>
          </cell>
          <cell r="AH1351" t="str">
            <v>②</v>
          </cell>
          <cell r="AI1351" t="str">
            <v/>
          </cell>
          <cell r="AJ1351" t="str">
            <v>追</v>
          </cell>
        </row>
        <row r="1352">
          <cell r="B1352">
            <v>6526</v>
          </cell>
          <cell r="C1352">
            <v>65</v>
          </cell>
          <cell r="D1352">
            <v>26</v>
          </cell>
          <cell r="F1352" t="str">
            <v>静岡</v>
          </cell>
          <cell r="G1352" t="str">
            <v>ファンコイルﾌｨﾙﾀｰ清掃</v>
          </cell>
          <cell r="H1352" t="str">
            <v>中部互光（株）</v>
          </cell>
          <cell r="I1352">
            <v>36000</v>
          </cell>
          <cell r="J1352">
            <v>41400</v>
          </cell>
          <cell r="K1352">
            <v>1</v>
          </cell>
          <cell r="L1352">
            <v>0</v>
          </cell>
          <cell r="M1352">
            <v>0</v>
          </cell>
          <cell r="N1352">
            <v>41400</v>
          </cell>
          <cell r="O1352">
            <v>0</v>
          </cell>
          <cell r="P1352">
            <v>0</v>
          </cell>
          <cell r="Q1352">
            <v>0</v>
          </cell>
          <cell r="R1352">
            <v>0</v>
          </cell>
          <cell r="S1352">
            <v>0</v>
          </cell>
          <cell r="T1352">
            <v>0</v>
          </cell>
          <cell r="U1352">
            <v>0</v>
          </cell>
          <cell r="V1352">
            <v>0</v>
          </cell>
          <cell r="W1352">
            <v>0</v>
          </cell>
          <cell r="X1352" t="str">
            <v/>
          </cell>
          <cell r="Y1352" t="str">
            <v/>
          </cell>
          <cell r="Z1352" t="str">
            <v>⑥</v>
          </cell>
          <cell r="AA1352" t="str">
            <v/>
          </cell>
          <cell r="AB1352" t="str">
            <v/>
          </cell>
          <cell r="AC1352" t="str">
            <v/>
          </cell>
          <cell r="AD1352" t="str">
            <v/>
          </cell>
          <cell r="AE1352" t="str">
            <v/>
          </cell>
          <cell r="AF1352" t="str">
            <v/>
          </cell>
          <cell r="AG1352" t="str">
            <v/>
          </cell>
          <cell r="AH1352" t="str">
            <v/>
          </cell>
          <cell r="AI1352" t="str">
            <v/>
          </cell>
          <cell r="AJ1352" t="str">
            <v>追</v>
          </cell>
        </row>
        <row r="1353">
          <cell r="B1353">
            <v>6527</v>
          </cell>
          <cell r="C1353">
            <v>65</v>
          </cell>
          <cell r="D1353">
            <v>27</v>
          </cell>
          <cell r="F1353" t="str">
            <v>静岡</v>
          </cell>
          <cell r="G1353" t="str">
            <v>ファンコイルﾌｨﾙﾀｰ清掃</v>
          </cell>
          <cell r="H1353" t="str">
            <v>中部互光（株）</v>
          </cell>
          <cell r="I1353">
            <v>17000</v>
          </cell>
          <cell r="J1353">
            <v>19550</v>
          </cell>
          <cell r="K1353">
            <v>1</v>
          </cell>
          <cell r="L1353">
            <v>0</v>
          </cell>
          <cell r="M1353">
            <v>0</v>
          </cell>
          <cell r="N1353">
            <v>0</v>
          </cell>
          <cell r="O1353">
            <v>0</v>
          </cell>
          <cell r="P1353">
            <v>0</v>
          </cell>
          <cell r="Q1353">
            <v>0</v>
          </cell>
          <cell r="R1353">
            <v>0</v>
          </cell>
          <cell r="S1353">
            <v>0</v>
          </cell>
          <cell r="T1353">
            <v>0</v>
          </cell>
          <cell r="U1353">
            <v>19550</v>
          </cell>
          <cell r="V1353">
            <v>0</v>
          </cell>
          <cell r="W1353">
            <v>0</v>
          </cell>
          <cell r="X1353" t="str">
            <v/>
          </cell>
          <cell r="Y1353" t="str">
            <v/>
          </cell>
          <cell r="Z1353" t="str">
            <v/>
          </cell>
          <cell r="AA1353" t="str">
            <v/>
          </cell>
          <cell r="AB1353" t="str">
            <v/>
          </cell>
          <cell r="AC1353" t="str">
            <v/>
          </cell>
          <cell r="AD1353" t="str">
            <v/>
          </cell>
          <cell r="AE1353" t="str">
            <v/>
          </cell>
          <cell r="AF1353" t="str">
            <v/>
          </cell>
          <cell r="AG1353" t="str">
            <v>①</v>
          </cell>
          <cell r="AH1353" t="str">
            <v/>
          </cell>
          <cell r="AI1353" t="str">
            <v/>
          </cell>
          <cell r="AJ1353" t="str">
            <v>追</v>
          </cell>
        </row>
        <row r="1354">
          <cell r="B1354">
            <v>6528</v>
          </cell>
          <cell r="C1354">
            <v>65</v>
          </cell>
          <cell r="D1354">
            <v>28</v>
          </cell>
          <cell r="F1354" t="str">
            <v>静岡</v>
          </cell>
          <cell r="G1354" t="str">
            <v>空調機器点検</v>
          </cell>
          <cell r="H1354" t="str">
            <v>中部互光（株）</v>
          </cell>
          <cell r="I1354">
            <v>308000</v>
          </cell>
          <cell r="J1354">
            <v>354200</v>
          </cell>
          <cell r="K1354">
            <v>1</v>
          </cell>
          <cell r="L1354">
            <v>0</v>
          </cell>
          <cell r="M1354">
            <v>0</v>
          </cell>
          <cell r="N1354">
            <v>0</v>
          </cell>
          <cell r="O1354">
            <v>354200</v>
          </cell>
          <cell r="P1354">
            <v>0</v>
          </cell>
          <cell r="Q1354">
            <v>0</v>
          </cell>
          <cell r="R1354">
            <v>0</v>
          </cell>
          <cell r="S1354">
            <v>0</v>
          </cell>
          <cell r="T1354">
            <v>0</v>
          </cell>
          <cell r="U1354">
            <v>0</v>
          </cell>
          <cell r="V1354">
            <v>0</v>
          </cell>
          <cell r="W1354">
            <v>0</v>
          </cell>
          <cell r="X1354" t="str">
            <v/>
          </cell>
          <cell r="Y1354" t="str">
            <v/>
          </cell>
          <cell r="Z1354" t="str">
            <v/>
          </cell>
          <cell r="AA1354" t="str">
            <v>⑦</v>
          </cell>
          <cell r="AB1354" t="str">
            <v/>
          </cell>
          <cell r="AC1354" t="str">
            <v/>
          </cell>
          <cell r="AD1354" t="str">
            <v/>
          </cell>
          <cell r="AE1354" t="str">
            <v/>
          </cell>
          <cell r="AF1354" t="str">
            <v/>
          </cell>
          <cell r="AH1354" t="str">
            <v/>
          </cell>
          <cell r="AI1354" t="str">
            <v/>
          </cell>
          <cell r="AJ1354" t="str">
            <v>追</v>
          </cell>
        </row>
        <row r="1355">
          <cell r="B1355">
            <v>6529</v>
          </cell>
          <cell r="C1355">
            <v>65</v>
          </cell>
          <cell r="D1355">
            <v>29</v>
          </cell>
          <cell r="F1355" t="str">
            <v>静岡</v>
          </cell>
          <cell r="G1355" t="str">
            <v>空調機器点検</v>
          </cell>
          <cell r="H1355" t="str">
            <v>中部互光（株）</v>
          </cell>
          <cell r="I1355">
            <v>222000</v>
          </cell>
          <cell r="J1355">
            <v>255300</v>
          </cell>
          <cell r="K1355">
            <v>1</v>
          </cell>
          <cell r="L1355">
            <v>0</v>
          </cell>
          <cell r="M1355">
            <v>0</v>
          </cell>
          <cell r="N1355">
            <v>0</v>
          </cell>
          <cell r="O1355">
            <v>0</v>
          </cell>
          <cell r="P1355">
            <v>0</v>
          </cell>
          <cell r="Q1355">
            <v>0</v>
          </cell>
          <cell r="R1355">
            <v>0</v>
          </cell>
          <cell r="S1355">
            <v>0</v>
          </cell>
          <cell r="T1355">
            <v>0</v>
          </cell>
          <cell r="U1355">
            <v>255300</v>
          </cell>
          <cell r="V1355">
            <v>0</v>
          </cell>
          <cell r="W1355">
            <v>0</v>
          </cell>
          <cell r="X1355" t="str">
            <v/>
          </cell>
          <cell r="Y1355" t="str">
            <v/>
          </cell>
          <cell r="Z1355" t="str">
            <v/>
          </cell>
          <cell r="AB1355" t="str">
            <v/>
          </cell>
          <cell r="AC1355" t="str">
            <v/>
          </cell>
          <cell r="AD1355" t="str">
            <v/>
          </cell>
          <cell r="AE1355" t="str">
            <v/>
          </cell>
          <cell r="AG1355" t="str">
            <v>①</v>
          </cell>
          <cell r="AH1355" t="str">
            <v/>
          </cell>
          <cell r="AI1355" t="str">
            <v/>
          </cell>
          <cell r="AJ1355" t="str">
            <v>追</v>
          </cell>
        </row>
        <row r="1356">
          <cell r="B1356">
            <v>6530</v>
          </cell>
          <cell r="C1356">
            <v>65</v>
          </cell>
          <cell r="D1356">
            <v>30</v>
          </cell>
          <cell r="F1356" t="str">
            <v>静岡</v>
          </cell>
          <cell r="G1356" t="str">
            <v>シャッター設備点検整備</v>
          </cell>
          <cell r="H1356" t="str">
            <v>三和シャッター工業</v>
          </cell>
          <cell r="I1356">
            <v>50000</v>
          </cell>
          <cell r="J1356">
            <v>57500</v>
          </cell>
          <cell r="K1356">
            <v>1</v>
          </cell>
          <cell r="L1356">
            <v>0</v>
          </cell>
          <cell r="M1356">
            <v>0</v>
          </cell>
          <cell r="N1356">
            <v>0</v>
          </cell>
          <cell r="O1356">
            <v>0</v>
          </cell>
          <cell r="P1356">
            <v>0</v>
          </cell>
          <cell r="Q1356">
            <v>0</v>
          </cell>
          <cell r="R1356">
            <v>0</v>
          </cell>
          <cell r="S1356">
            <v>0</v>
          </cell>
          <cell r="T1356">
            <v>57500</v>
          </cell>
          <cell r="U1356">
            <v>0</v>
          </cell>
          <cell r="V1356">
            <v>0</v>
          </cell>
          <cell r="W1356">
            <v>0</v>
          </cell>
          <cell r="X1356" t="str">
            <v/>
          </cell>
          <cell r="Y1356" t="str">
            <v/>
          </cell>
          <cell r="Z1356" t="str">
            <v/>
          </cell>
          <cell r="AA1356" t="str">
            <v/>
          </cell>
          <cell r="AB1356" t="str">
            <v/>
          </cell>
          <cell r="AC1356" t="str">
            <v/>
          </cell>
          <cell r="AD1356" t="str">
            <v/>
          </cell>
          <cell r="AE1356" t="str">
            <v/>
          </cell>
          <cell r="AF1356" t="str">
            <v>⑫</v>
          </cell>
          <cell r="AG1356" t="str">
            <v/>
          </cell>
          <cell r="AH1356" t="str">
            <v/>
          </cell>
          <cell r="AI1356" t="str">
            <v/>
          </cell>
          <cell r="AJ1356" t="str">
            <v>追</v>
          </cell>
        </row>
        <row r="1357">
          <cell r="B1357">
            <v>6601</v>
          </cell>
          <cell r="C1357">
            <v>66</v>
          </cell>
          <cell r="D1357">
            <v>1</v>
          </cell>
          <cell r="F1357" t="str">
            <v>清水</v>
          </cell>
          <cell r="G1357" t="str">
            <v>二段式駐車装置設備保守</v>
          </cell>
          <cell r="H1357" t="str">
            <v>石川島運搬機械</v>
          </cell>
          <cell r="I1357">
            <v>56177</v>
          </cell>
          <cell r="J1357">
            <v>57300</v>
          </cell>
          <cell r="K1357">
            <v>12</v>
          </cell>
          <cell r="L1357">
            <v>57300</v>
          </cell>
          <cell r="M1357">
            <v>57300</v>
          </cell>
          <cell r="N1357">
            <v>57300</v>
          </cell>
          <cell r="O1357">
            <v>57300</v>
          </cell>
          <cell r="P1357">
            <v>57300</v>
          </cell>
          <cell r="Q1357">
            <v>57300</v>
          </cell>
          <cell r="R1357">
            <v>57300</v>
          </cell>
          <cell r="S1357">
            <v>57300</v>
          </cell>
          <cell r="T1357">
            <v>57300</v>
          </cell>
          <cell r="U1357">
            <v>57300</v>
          </cell>
          <cell r="V1357">
            <v>57300</v>
          </cell>
          <cell r="W1357">
            <v>57300</v>
          </cell>
          <cell r="X1357" t="str">
            <v>④</v>
          </cell>
          <cell r="Y1357" t="str">
            <v>⑤</v>
          </cell>
          <cell r="Z1357" t="str">
            <v>⑥</v>
          </cell>
          <cell r="AA1357" t="str">
            <v>⑦</v>
          </cell>
          <cell r="AB1357" t="str">
            <v>⑧</v>
          </cell>
          <cell r="AC1357" t="str">
            <v>⑨</v>
          </cell>
          <cell r="AD1357" t="str">
            <v>⑩</v>
          </cell>
          <cell r="AE1357" t="str">
            <v>⑪</v>
          </cell>
          <cell r="AF1357" t="str">
            <v>⑫</v>
          </cell>
          <cell r="AG1357" t="str">
            <v>①</v>
          </cell>
          <cell r="AH1357" t="str">
            <v>②</v>
          </cell>
          <cell r="AI1357" t="str">
            <v>③</v>
          </cell>
        </row>
        <row r="1358">
          <cell r="B1358">
            <v>6602</v>
          </cell>
          <cell r="C1358">
            <v>66</v>
          </cell>
          <cell r="D1358">
            <v>2</v>
          </cell>
          <cell r="F1358" t="str">
            <v>清水</v>
          </cell>
          <cell r="G1358" t="str">
            <v>エレベーター保守</v>
          </cell>
          <cell r="H1358" t="str">
            <v>三菱電機ﾋﾞﾙﾃｸﾉｻｰﾋﾞｽ</v>
          </cell>
          <cell r="I1358">
            <v>64500</v>
          </cell>
          <cell r="J1358">
            <v>65790</v>
          </cell>
          <cell r="K1358">
            <v>12</v>
          </cell>
          <cell r="L1358">
            <v>65790</v>
          </cell>
          <cell r="M1358">
            <v>65790</v>
          </cell>
          <cell r="N1358">
            <v>65790</v>
          </cell>
          <cell r="O1358">
            <v>65790</v>
          </cell>
          <cell r="P1358">
            <v>65790</v>
          </cell>
          <cell r="Q1358">
            <v>65790</v>
          </cell>
          <cell r="R1358">
            <v>65790</v>
          </cell>
          <cell r="S1358">
            <v>65790</v>
          </cell>
          <cell r="T1358">
            <v>65790</v>
          </cell>
          <cell r="U1358">
            <v>65790</v>
          </cell>
          <cell r="V1358">
            <v>65790</v>
          </cell>
          <cell r="W1358">
            <v>65790</v>
          </cell>
          <cell r="X1358" t="str">
            <v>④</v>
          </cell>
          <cell r="Y1358" t="str">
            <v>⑤</v>
          </cell>
          <cell r="Z1358" t="str">
            <v>⑥</v>
          </cell>
          <cell r="AA1358" t="str">
            <v>⑦</v>
          </cell>
          <cell r="AB1358" t="str">
            <v>⑧</v>
          </cell>
          <cell r="AC1358" t="str">
            <v>⑨</v>
          </cell>
          <cell r="AD1358" t="str">
            <v>⑩</v>
          </cell>
          <cell r="AE1358" t="str">
            <v>⑪</v>
          </cell>
          <cell r="AF1358" t="str">
            <v>⑫</v>
          </cell>
          <cell r="AG1358" t="str">
            <v>①</v>
          </cell>
          <cell r="AH1358" t="str">
            <v>②</v>
          </cell>
          <cell r="AI1358" t="str">
            <v>③</v>
          </cell>
        </row>
        <row r="1359">
          <cell r="B1359">
            <v>6603</v>
          </cell>
          <cell r="C1359">
            <v>66</v>
          </cell>
          <cell r="D1359">
            <v>3</v>
          </cell>
          <cell r="F1359" t="str">
            <v>清水</v>
          </cell>
          <cell r="G1359" t="str">
            <v>自動ドアー保守</v>
          </cell>
          <cell r="H1359" t="str">
            <v>オートドアメンテナンス</v>
          </cell>
          <cell r="I1359">
            <v>17143</v>
          </cell>
          <cell r="J1359">
            <v>19543</v>
          </cell>
          <cell r="K1359">
            <v>4</v>
          </cell>
          <cell r="L1359">
            <v>19543</v>
          </cell>
          <cell r="M1359">
            <v>0</v>
          </cell>
          <cell r="N1359">
            <v>0</v>
          </cell>
          <cell r="O1359">
            <v>19543</v>
          </cell>
          <cell r="P1359">
            <v>0</v>
          </cell>
          <cell r="Q1359">
            <v>0</v>
          </cell>
          <cell r="R1359">
            <v>19543</v>
          </cell>
          <cell r="S1359">
            <v>0</v>
          </cell>
          <cell r="T1359">
            <v>19543</v>
          </cell>
          <cell r="U1359">
            <v>0</v>
          </cell>
          <cell r="V1359">
            <v>0</v>
          </cell>
          <cell r="W1359">
            <v>0</v>
          </cell>
          <cell r="X1359" t="str">
            <v>④</v>
          </cell>
          <cell r="Y1359" t="str">
            <v/>
          </cell>
          <cell r="Z1359" t="str">
            <v/>
          </cell>
          <cell r="AA1359" t="str">
            <v>⑦</v>
          </cell>
          <cell r="AB1359" t="str">
            <v/>
          </cell>
          <cell r="AC1359" t="str">
            <v/>
          </cell>
          <cell r="AD1359" t="str">
            <v>⑩</v>
          </cell>
          <cell r="AE1359" t="str">
            <v/>
          </cell>
          <cell r="AF1359" t="str">
            <v>⑫</v>
          </cell>
          <cell r="AG1359" t="str">
            <v/>
          </cell>
          <cell r="AH1359" t="str">
            <v/>
          </cell>
          <cell r="AI1359" t="str">
            <v/>
          </cell>
          <cell r="AJ1359" t="str">
            <v>変</v>
          </cell>
        </row>
        <row r="1360">
          <cell r="B1360">
            <v>6701</v>
          </cell>
          <cell r="C1360">
            <v>67</v>
          </cell>
          <cell r="D1360">
            <v>1</v>
          </cell>
          <cell r="F1360" t="str">
            <v>浜松</v>
          </cell>
          <cell r="G1360" t="str">
            <v>駐車場設備/炭酸ｶﾞｽ設備</v>
          </cell>
          <cell r="H1360" t="str">
            <v>石川島運搬機械</v>
          </cell>
          <cell r="I1360">
            <v>120000</v>
          </cell>
          <cell r="J1360">
            <v>122400</v>
          </cell>
          <cell r="K1360">
            <v>12</v>
          </cell>
          <cell r="L1360">
            <v>122400</v>
          </cell>
          <cell r="M1360">
            <v>122400</v>
          </cell>
          <cell r="N1360">
            <v>122400</v>
          </cell>
          <cell r="O1360">
            <v>122400</v>
          </cell>
          <cell r="P1360">
            <v>122400</v>
          </cell>
          <cell r="Q1360">
            <v>122400</v>
          </cell>
          <cell r="R1360">
            <v>122400</v>
          </cell>
          <cell r="S1360">
            <v>122400</v>
          </cell>
          <cell r="T1360">
            <v>122400</v>
          </cell>
          <cell r="U1360">
            <v>122400</v>
          </cell>
          <cell r="V1360">
            <v>122400</v>
          </cell>
          <cell r="W1360">
            <v>122400</v>
          </cell>
          <cell r="X1360" t="str">
            <v>④</v>
          </cell>
          <cell r="Y1360" t="str">
            <v>⑤</v>
          </cell>
          <cell r="Z1360" t="str">
            <v>⑥</v>
          </cell>
          <cell r="AA1360" t="str">
            <v>⑦</v>
          </cell>
          <cell r="AB1360" t="str">
            <v>⑧</v>
          </cell>
          <cell r="AC1360" t="str">
            <v>⑨</v>
          </cell>
          <cell r="AD1360" t="str">
            <v>⑩</v>
          </cell>
          <cell r="AE1360" t="str">
            <v>⑪</v>
          </cell>
          <cell r="AF1360" t="str">
            <v>⑫</v>
          </cell>
          <cell r="AG1360" t="str">
            <v>①</v>
          </cell>
          <cell r="AH1360" t="str">
            <v>②</v>
          </cell>
          <cell r="AI1360" t="str">
            <v>③</v>
          </cell>
        </row>
        <row r="1361">
          <cell r="B1361">
            <v>6702</v>
          </cell>
          <cell r="C1361">
            <v>67</v>
          </cell>
          <cell r="D1361">
            <v>2</v>
          </cell>
          <cell r="F1361" t="str">
            <v>浜松</v>
          </cell>
          <cell r="G1361" t="str">
            <v>エレベーター保守</v>
          </cell>
          <cell r="H1361" t="str">
            <v>三菱電機ﾋﾞﾙﾃｸﾉｻｰﾋﾞｽ</v>
          </cell>
          <cell r="I1361">
            <v>133400</v>
          </cell>
          <cell r="J1361">
            <v>136068</v>
          </cell>
          <cell r="K1361">
            <v>12</v>
          </cell>
          <cell r="L1361">
            <v>136068</v>
          </cell>
          <cell r="M1361">
            <v>136068</v>
          </cell>
          <cell r="N1361">
            <v>136068</v>
          </cell>
          <cell r="O1361">
            <v>136068</v>
          </cell>
          <cell r="P1361">
            <v>136068</v>
          </cell>
          <cell r="Q1361">
            <v>136068</v>
          </cell>
          <cell r="R1361">
            <v>136068</v>
          </cell>
          <cell r="S1361">
            <v>136068</v>
          </cell>
          <cell r="T1361">
            <v>136068</v>
          </cell>
          <cell r="U1361">
            <v>136068</v>
          </cell>
          <cell r="V1361">
            <v>136068</v>
          </cell>
          <cell r="W1361">
            <v>136068</v>
          </cell>
          <cell r="X1361" t="str">
            <v>④</v>
          </cell>
          <cell r="Y1361" t="str">
            <v>⑤</v>
          </cell>
          <cell r="Z1361" t="str">
            <v>⑥</v>
          </cell>
          <cell r="AA1361" t="str">
            <v>⑦</v>
          </cell>
          <cell r="AB1361" t="str">
            <v>⑧</v>
          </cell>
          <cell r="AC1361" t="str">
            <v>⑨</v>
          </cell>
          <cell r="AD1361" t="str">
            <v>⑩</v>
          </cell>
          <cell r="AE1361" t="str">
            <v>⑪</v>
          </cell>
          <cell r="AF1361" t="str">
            <v>⑫</v>
          </cell>
          <cell r="AG1361" t="str">
            <v>①</v>
          </cell>
          <cell r="AH1361" t="str">
            <v>②</v>
          </cell>
          <cell r="AI1361" t="str">
            <v>③</v>
          </cell>
        </row>
        <row r="1362">
          <cell r="B1362">
            <v>6703</v>
          </cell>
          <cell r="C1362">
            <v>67</v>
          </cell>
          <cell r="D1362">
            <v>3</v>
          </cell>
          <cell r="F1362" t="str">
            <v>浜松</v>
          </cell>
          <cell r="G1362" t="str">
            <v>消防設備点検保守(外観機能)</v>
          </cell>
          <cell r="H1362" t="str">
            <v>ホーチキ</v>
          </cell>
          <cell r="I1362">
            <v>215600</v>
          </cell>
          <cell r="J1362">
            <v>219912</v>
          </cell>
          <cell r="K1362">
            <v>1</v>
          </cell>
          <cell r="L1362">
            <v>0</v>
          </cell>
          <cell r="M1362">
            <v>0</v>
          </cell>
          <cell r="N1362">
            <v>0</v>
          </cell>
          <cell r="O1362">
            <v>0</v>
          </cell>
          <cell r="P1362">
            <v>0</v>
          </cell>
          <cell r="Q1362">
            <v>219912</v>
          </cell>
          <cell r="R1362">
            <v>0</v>
          </cell>
          <cell r="S1362">
            <v>0</v>
          </cell>
          <cell r="T1362">
            <v>0</v>
          </cell>
          <cell r="U1362">
            <v>0</v>
          </cell>
          <cell r="V1362">
            <v>0</v>
          </cell>
          <cell r="W1362">
            <v>0</v>
          </cell>
          <cell r="X1362" t="str">
            <v/>
          </cell>
          <cell r="Y1362" t="str">
            <v/>
          </cell>
          <cell r="Z1362" t="str">
            <v/>
          </cell>
          <cell r="AA1362" t="str">
            <v/>
          </cell>
          <cell r="AB1362" t="str">
            <v/>
          </cell>
          <cell r="AC1362" t="str">
            <v>⑨</v>
          </cell>
          <cell r="AD1362" t="str">
            <v/>
          </cell>
          <cell r="AE1362" t="str">
            <v/>
          </cell>
          <cell r="AF1362" t="str">
            <v/>
          </cell>
          <cell r="AG1362" t="str">
            <v/>
          </cell>
          <cell r="AH1362" t="str">
            <v/>
          </cell>
          <cell r="AI1362" t="str">
            <v/>
          </cell>
        </row>
        <row r="1363">
          <cell r="B1363">
            <v>6704</v>
          </cell>
          <cell r="C1363">
            <v>67</v>
          </cell>
          <cell r="D1363">
            <v>4</v>
          </cell>
          <cell r="F1363" t="str">
            <v>浜松</v>
          </cell>
          <cell r="G1363" t="str">
            <v>消防設備点検保守(総合)</v>
          </cell>
          <cell r="H1363" t="str">
            <v>ホーチキ</v>
          </cell>
          <cell r="I1363">
            <v>379300</v>
          </cell>
          <cell r="J1363">
            <v>386886</v>
          </cell>
          <cell r="K1363">
            <v>1</v>
          </cell>
          <cell r="L1363">
            <v>0</v>
          </cell>
          <cell r="M1363">
            <v>0</v>
          </cell>
          <cell r="N1363">
            <v>0</v>
          </cell>
          <cell r="O1363">
            <v>0</v>
          </cell>
          <cell r="P1363">
            <v>0</v>
          </cell>
          <cell r="Q1363">
            <v>0</v>
          </cell>
          <cell r="R1363">
            <v>0</v>
          </cell>
          <cell r="S1363">
            <v>0</v>
          </cell>
          <cell r="T1363">
            <v>0</v>
          </cell>
          <cell r="U1363">
            <v>0</v>
          </cell>
          <cell r="V1363">
            <v>0</v>
          </cell>
          <cell r="W1363">
            <v>386886</v>
          </cell>
          <cell r="X1363" t="str">
            <v/>
          </cell>
          <cell r="Y1363" t="str">
            <v/>
          </cell>
          <cell r="Z1363" t="str">
            <v/>
          </cell>
          <cell r="AA1363" t="str">
            <v/>
          </cell>
          <cell r="AB1363" t="str">
            <v/>
          </cell>
          <cell r="AC1363" t="str">
            <v/>
          </cell>
          <cell r="AD1363" t="str">
            <v/>
          </cell>
          <cell r="AE1363" t="str">
            <v/>
          </cell>
          <cell r="AF1363" t="str">
            <v/>
          </cell>
          <cell r="AG1363" t="str">
            <v/>
          </cell>
          <cell r="AH1363" t="str">
            <v/>
          </cell>
          <cell r="AI1363" t="str">
            <v>③</v>
          </cell>
        </row>
        <row r="1364">
          <cell r="B1364">
            <v>6705</v>
          </cell>
          <cell r="C1364">
            <v>67</v>
          </cell>
          <cell r="D1364">
            <v>5</v>
          </cell>
          <cell r="F1364" t="str">
            <v>浜松</v>
          </cell>
          <cell r="G1364" t="str">
            <v>害虫駆除</v>
          </cell>
          <cell r="H1364" t="str">
            <v>シェル商事</v>
          </cell>
          <cell r="I1364">
            <v>98262</v>
          </cell>
          <cell r="J1364">
            <v>108088</v>
          </cell>
          <cell r="K1364">
            <v>2</v>
          </cell>
          <cell r="L1364">
            <v>0</v>
          </cell>
          <cell r="M1364">
            <v>108088</v>
          </cell>
          <cell r="N1364">
            <v>0</v>
          </cell>
          <cell r="O1364">
            <v>0</v>
          </cell>
          <cell r="P1364">
            <v>0</v>
          </cell>
          <cell r="Q1364">
            <v>0</v>
          </cell>
          <cell r="R1364">
            <v>0</v>
          </cell>
          <cell r="S1364">
            <v>108088</v>
          </cell>
          <cell r="T1364">
            <v>0</v>
          </cell>
          <cell r="U1364">
            <v>0</v>
          </cell>
          <cell r="V1364">
            <v>0</v>
          </cell>
          <cell r="W1364">
            <v>0</v>
          </cell>
          <cell r="X1364" t="str">
            <v/>
          </cell>
          <cell r="Y1364" t="str">
            <v>⑤</v>
          </cell>
          <cell r="Z1364" t="str">
            <v/>
          </cell>
          <cell r="AA1364" t="str">
            <v/>
          </cell>
          <cell r="AB1364" t="str">
            <v/>
          </cell>
          <cell r="AC1364" t="str">
            <v/>
          </cell>
          <cell r="AD1364" t="str">
            <v/>
          </cell>
          <cell r="AE1364" t="str">
            <v>⑪</v>
          </cell>
          <cell r="AF1364" t="str">
            <v/>
          </cell>
          <cell r="AG1364" t="str">
            <v/>
          </cell>
          <cell r="AH1364" t="str">
            <v/>
          </cell>
          <cell r="AI1364" t="str">
            <v/>
          </cell>
        </row>
        <row r="1365">
          <cell r="B1365">
            <v>6706</v>
          </cell>
          <cell r="C1365">
            <v>67</v>
          </cell>
          <cell r="D1365">
            <v>6</v>
          </cell>
          <cell r="F1365" t="str">
            <v>浜松</v>
          </cell>
          <cell r="G1365" t="str">
            <v>汚水槽清掃</v>
          </cell>
          <cell r="H1365" t="str">
            <v>中部互光</v>
          </cell>
          <cell r="I1365">
            <v>33300</v>
          </cell>
          <cell r="J1365">
            <v>37296</v>
          </cell>
          <cell r="K1365">
            <v>2</v>
          </cell>
          <cell r="L1365">
            <v>0</v>
          </cell>
          <cell r="M1365">
            <v>0</v>
          </cell>
          <cell r="N1365">
            <v>37296</v>
          </cell>
          <cell r="O1365">
            <v>0</v>
          </cell>
          <cell r="P1365">
            <v>0</v>
          </cell>
          <cell r="Q1365">
            <v>0</v>
          </cell>
          <cell r="R1365">
            <v>0</v>
          </cell>
          <cell r="S1365">
            <v>0</v>
          </cell>
          <cell r="T1365">
            <v>37296</v>
          </cell>
          <cell r="U1365">
            <v>0</v>
          </cell>
          <cell r="V1365">
            <v>0</v>
          </cell>
          <cell r="W1365">
            <v>0</v>
          </cell>
          <cell r="X1365" t="str">
            <v/>
          </cell>
          <cell r="Y1365" t="str">
            <v/>
          </cell>
          <cell r="Z1365" t="str">
            <v>⑥</v>
          </cell>
          <cell r="AA1365" t="str">
            <v/>
          </cell>
          <cell r="AB1365" t="str">
            <v/>
          </cell>
          <cell r="AC1365" t="str">
            <v/>
          </cell>
          <cell r="AD1365" t="str">
            <v/>
          </cell>
          <cell r="AE1365" t="str">
            <v/>
          </cell>
          <cell r="AF1365" t="str">
            <v>⑫</v>
          </cell>
          <cell r="AG1365" t="str">
            <v/>
          </cell>
          <cell r="AH1365" t="str">
            <v/>
          </cell>
          <cell r="AI1365" t="str">
            <v/>
          </cell>
        </row>
        <row r="1366">
          <cell r="B1366">
            <v>6707</v>
          </cell>
          <cell r="C1366">
            <v>67</v>
          </cell>
          <cell r="D1366">
            <v>7</v>
          </cell>
          <cell r="F1366" t="str">
            <v>浜松</v>
          </cell>
          <cell r="G1366" t="str">
            <v>受水槽清掃</v>
          </cell>
          <cell r="H1366" t="str">
            <v>中部互光</v>
          </cell>
          <cell r="I1366">
            <v>63000</v>
          </cell>
          <cell r="J1366">
            <v>71190</v>
          </cell>
          <cell r="K1366">
            <v>1</v>
          </cell>
          <cell r="L1366">
            <v>0</v>
          </cell>
          <cell r="M1366">
            <v>0</v>
          </cell>
          <cell r="N1366">
            <v>0</v>
          </cell>
          <cell r="O1366">
            <v>0</v>
          </cell>
          <cell r="P1366">
            <v>71190</v>
          </cell>
          <cell r="Q1366">
            <v>0</v>
          </cell>
          <cell r="R1366">
            <v>0</v>
          </cell>
          <cell r="S1366">
            <v>0</v>
          </cell>
          <cell r="T1366">
            <v>0</v>
          </cell>
          <cell r="U1366">
            <v>0</v>
          </cell>
          <cell r="V1366">
            <v>0</v>
          </cell>
          <cell r="W1366">
            <v>0</v>
          </cell>
          <cell r="X1366" t="str">
            <v/>
          </cell>
          <cell r="Y1366" t="str">
            <v/>
          </cell>
          <cell r="Z1366" t="str">
            <v/>
          </cell>
          <cell r="AA1366" t="str">
            <v/>
          </cell>
          <cell r="AB1366" t="str">
            <v>⑧</v>
          </cell>
          <cell r="AC1366" t="str">
            <v/>
          </cell>
          <cell r="AD1366" t="str">
            <v/>
          </cell>
          <cell r="AE1366" t="str">
            <v/>
          </cell>
          <cell r="AF1366" t="str">
            <v/>
          </cell>
          <cell r="AG1366" t="str">
            <v/>
          </cell>
          <cell r="AH1366" t="str">
            <v/>
          </cell>
          <cell r="AI1366" t="str">
            <v/>
          </cell>
        </row>
        <row r="1367">
          <cell r="B1367">
            <v>6708</v>
          </cell>
          <cell r="C1367">
            <v>67</v>
          </cell>
          <cell r="D1367">
            <v>8</v>
          </cell>
          <cell r="F1367" t="str">
            <v>浜松</v>
          </cell>
          <cell r="G1367" t="str">
            <v>自動ドアー保守</v>
          </cell>
          <cell r="H1367" t="str">
            <v>中部</v>
          </cell>
          <cell r="I1367">
            <v>17143</v>
          </cell>
          <cell r="J1367">
            <v>19543</v>
          </cell>
          <cell r="K1367">
            <v>2</v>
          </cell>
          <cell r="L1367">
            <v>19543</v>
          </cell>
          <cell r="M1367">
            <v>0</v>
          </cell>
          <cell r="N1367">
            <v>0</v>
          </cell>
          <cell r="O1367">
            <v>0</v>
          </cell>
          <cell r="P1367">
            <v>0</v>
          </cell>
          <cell r="Q1367">
            <v>0</v>
          </cell>
          <cell r="R1367">
            <v>19543</v>
          </cell>
          <cell r="S1367">
            <v>0</v>
          </cell>
          <cell r="T1367">
            <v>0</v>
          </cell>
          <cell r="U1367">
            <v>0</v>
          </cell>
          <cell r="V1367">
            <v>0</v>
          </cell>
          <cell r="W1367">
            <v>0</v>
          </cell>
          <cell r="X1367" t="str">
            <v>④</v>
          </cell>
          <cell r="Z1367" t="str">
            <v/>
          </cell>
          <cell r="AA1367" t="str">
            <v/>
          </cell>
          <cell r="AC1367" t="str">
            <v/>
          </cell>
          <cell r="AD1367" t="str">
            <v>⑩</v>
          </cell>
          <cell r="AF1367" t="str">
            <v/>
          </cell>
          <cell r="AG1367" t="str">
            <v/>
          </cell>
          <cell r="AI1367" t="str">
            <v/>
          </cell>
          <cell r="AJ1367" t="str">
            <v>変</v>
          </cell>
        </row>
        <row r="1368">
          <cell r="B1368">
            <v>6709</v>
          </cell>
          <cell r="C1368">
            <v>67</v>
          </cell>
          <cell r="D1368">
            <v>9</v>
          </cell>
          <cell r="F1368" t="str">
            <v>浜松</v>
          </cell>
          <cell r="G1368" t="str">
            <v>植木･植栽管理</v>
          </cell>
          <cell r="H1368" t="str">
            <v>野田園芸</v>
          </cell>
          <cell r="I1368">
            <v>2900</v>
          </cell>
          <cell r="J1368">
            <v>3138</v>
          </cell>
          <cell r="K1368">
            <v>12</v>
          </cell>
          <cell r="L1368">
            <v>3138</v>
          </cell>
          <cell r="M1368">
            <v>3138</v>
          </cell>
          <cell r="N1368">
            <v>3138</v>
          </cell>
          <cell r="O1368">
            <v>3138</v>
          </cell>
          <cell r="P1368">
            <v>3138</v>
          </cell>
          <cell r="Q1368">
            <v>3138</v>
          </cell>
          <cell r="R1368">
            <v>3138</v>
          </cell>
          <cell r="S1368">
            <v>3138</v>
          </cell>
          <cell r="T1368">
            <v>3138</v>
          </cell>
          <cell r="U1368">
            <v>3138</v>
          </cell>
          <cell r="V1368">
            <v>3138</v>
          </cell>
          <cell r="W1368">
            <v>3138</v>
          </cell>
          <cell r="X1368" t="str">
            <v>④</v>
          </cell>
          <cell r="Y1368" t="str">
            <v>⑤</v>
          </cell>
          <cell r="Z1368" t="str">
            <v>⑥</v>
          </cell>
          <cell r="AA1368" t="str">
            <v>⑦</v>
          </cell>
          <cell r="AB1368" t="str">
            <v>⑧</v>
          </cell>
          <cell r="AC1368" t="str">
            <v>⑨</v>
          </cell>
          <cell r="AD1368" t="str">
            <v>⑩</v>
          </cell>
          <cell r="AE1368" t="str">
            <v>⑪</v>
          </cell>
          <cell r="AF1368" t="str">
            <v>⑫</v>
          </cell>
          <cell r="AG1368" t="str">
            <v>①</v>
          </cell>
          <cell r="AH1368" t="str">
            <v>②</v>
          </cell>
          <cell r="AI1368" t="str">
            <v>③</v>
          </cell>
          <cell r="AJ1368" t="str">
            <v>変</v>
          </cell>
        </row>
        <row r="1369">
          <cell r="B1369">
            <v>6710</v>
          </cell>
          <cell r="C1369">
            <v>67</v>
          </cell>
          <cell r="D1369">
            <v>10</v>
          </cell>
          <cell r="F1369" t="str">
            <v>浜松</v>
          </cell>
          <cell r="G1369" t="str">
            <v>空調機点検</v>
          </cell>
          <cell r="H1369" t="str">
            <v>日本ピーマック</v>
          </cell>
          <cell r="I1369">
            <v>260000</v>
          </cell>
          <cell r="J1369">
            <v>299000</v>
          </cell>
          <cell r="K1369">
            <v>1</v>
          </cell>
          <cell r="L1369">
            <v>0</v>
          </cell>
          <cell r="M1369">
            <v>0</v>
          </cell>
          <cell r="N1369">
            <v>0</v>
          </cell>
          <cell r="O1369">
            <v>0</v>
          </cell>
          <cell r="P1369">
            <v>0</v>
          </cell>
          <cell r="Q1369">
            <v>299000</v>
          </cell>
          <cell r="R1369">
            <v>0</v>
          </cell>
          <cell r="S1369">
            <v>0</v>
          </cell>
          <cell r="T1369">
            <v>0</v>
          </cell>
          <cell r="U1369">
            <v>0</v>
          </cell>
          <cell r="V1369">
            <v>0</v>
          </cell>
          <cell r="W1369">
            <v>0</v>
          </cell>
          <cell r="X1369" t="str">
            <v/>
          </cell>
          <cell r="Y1369" t="str">
            <v/>
          </cell>
          <cell r="Z1369" t="str">
            <v/>
          </cell>
          <cell r="AA1369" t="str">
            <v/>
          </cell>
          <cell r="AB1369" t="str">
            <v/>
          </cell>
          <cell r="AC1369" t="str">
            <v>⑨</v>
          </cell>
          <cell r="AD1369" t="str">
            <v/>
          </cell>
          <cell r="AE1369" t="str">
            <v/>
          </cell>
          <cell r="AF1369" t="str">
            <v/>
          </cell>
          <cell r="AG1369" t="str">
            <v/>
          </cell>
          <cell r="AH1369" t="str">
            <v/>
          </cell>
          <cell r="AI1369" t="str">
            <v/>
          </cell>
          <cell r="AJ1369" t="str">
            <v>追</v>
          </cell>
        </row>
        <row r="1370">
          <cell r="B1370">
            <v>6711</v>
          </cell>
          <cell r="C1370">
            <v>67</v>
          </cell>
          <cell r="D1370">
            <v>11</v>
          </cell>
          <cell r="F1370" t="str">
            <v>浜松</v>
          </cell>
          <cell r="G1370" t="str">
            <v>ボイラー整備</v>
          </cell>
          <cell r="H1370" t="str">
            <v>日管</v>
          </cell>
          <cell r="I1370">
            <v>185000</v>
          </cell>
          <cell r="J1370">
            <v>212750</v>
          </cell>
          <cell r="K1370">
            <v>1</v>
          </cell>
          <cell r="L1370">
            <v>0</v>
          </cell>
          <cell r="M1370">
            <v>0</v>
          </cell>
          <cell r="N1370">
            <v>0</v>
          </cell>
          <cell r="O1370">
            <v>0</v>
          </cell>
          <cell r="P1370">
            <v>0</v>
          </cell>
          <cell r="Q1370">
            <v>0</v>
          </cell>
          <cell r="R1370">
            <v>212750</v>
          </cell>
          <cell r="S1370">
            <v>0</v>
          </cell>
          <cell r="T1370">
            <v>0</v>
          </cell>
          <cell r="U1370">
            <v>0</v>
          </cell>
          <cell r="V1370">
            <v>0</v>
          </cell>
          <cell r="W1370">
            <v>0</v>
          </cell>
          <cell r="X1370" t="str">
            <v/>
          </cell>
          <cell r="Y1370" t="str">
            <v/>
          </cell>
          <cell r="Z1370" t="str">
            <v/>
          </cell>
          <cell r="AA1370" t="str">
            <v/>
          </cell>
          <cell r="AB1370" t="str">
            <v/>
          </cell>
          <cell r="AD1370" t="str">
            <v>⑩</v>
          </cell>
          <cell r="AE1370" t="str">
            <v/>
          </cell>
          <cell r="AF1370" t="str">
            <v/>
          </cell>
          <cell r="AG1370" t="str">
            <v/>
          </cell>
          <cell r="AH1370" t="str">
            <v/>
          </cell>
          <cell r="AI1370" t="str">
            <v/>
          </cell>
          <cell r="AJ1370" t="str">
            <v>追</v>
          </cell>
        </row>
        <row r="1371">
          <cell r="B1371">
            <v>6712</v>
          </cell>
          <cell r="C1371">
            <v>67</v>
          </cell>
          <cell r="D1371">
            <v>12</v>
          </cell>
          <cell r="F1371" t="str">
            <v>浜松</v>
          </cell>
          <cell r="G1371" t="str">
            <v>電動シャッター保守点検</v>
          </cell>
          <cell r="H1371" t="str">
            <v>文化シャッター</v>
          </cell>
          <cell r="I1371">
            <v>80000</v>
          </cell>
          <cell r="J1371">
            <v>92000</v>
          </cell>
          <cell r="K1371">
            <v>1</v>
          </cell>
          <cell r="L1371">
            <v>0</v>
          </cell>
          <cell r="M1371">
            <v>0</v>
          </cell>
          <cell r="N1371">
            <v>0</v>
          </cell>
          <cell r="O1371">
            <v>0</v>
          </cell>
          <cell r="P1371">
            <v>0</v>
          </cell>
          <cell r="Q1371">
            <v>0</v>
          </cell>
          <cell r="R1371">
            <v>92000</v>
          </cell>
          <cell r="S1371">
            <v>0</v>
          </cell>
          <cell r="T1371">
            <v>0</v>
          </cell>
          <cell r="U1371">
            <v>0</v>
          </cell>
          <cell r="V1371">
            <v>0</v>
          </cell>
          <cell r="W1371">
            <v>0</v>
          </cell>
          <cell r="X1371" t="str">
            <v/>
          </cell>
          <cell r="Z1371" t="str">
            <v/>
          </cell>
          <cell r="AA1371" t="str">
            <v/>
          </cell>
          <cell r="AB1371" t="str">
            <v/>
          </cell>
          <cell r="AD1371" t="str">
            <v>⑩</v>
          </cell>
          <cell r="AE1371" t="str">
            <v/>
          </cell>
          <cell r="AF1371" t="str">
            <v/>
          </cell>
          <cell r="AG1371" t="str">
            <v/>
          </cell>
          <cell r="AH1371" t="str">
            <v/>
          </cell>
          <cell r="AI1371" t="str">
            <v/>
          </cell>
          <cell r="AJ1371" t="str">
            <v>追</v>
          </cell>
        </row>
        <row r="1372">
          <cell r="B1372">
            <v>6801</v>
          </cell>
          <cell r="C1372">
            <v>68</v>
          </cell>
          <cell r="D1372">
            <v>1</v>
          </cell>
          <cell r="F1372" t="str">
            <v>富士</v>
          </cell>
          <cell r="G1372" t="str">
            <v>エレベーター保守</v>
          </cell>
          <cell r="H1372" t="str">
            <v>三菱電機ﾋﾞﾙﾃｸﾉｻｰﾋﾞｽ</v>
          </cell>
          <cell r="I1372">
            <v>59600</v>
          </cell>
          <cell r="J1372">
            <v>60792</v>
          </cell>
          <cell r="K1372">
            <v>12</v>
          </cell>
          <cell r="L1372">
            <v>60792</v>
          </cell>
          <cell r="M1372">
            <v>60792</v>
          </cell>
          <cell r="N1372">
            <v>60792</v>
          </cell>
          <cell r="O1372">
            <v>60792</v>
          </cell>
          <cell r="P1372">
            <v>60792</v>
          </cell>
          <cell r="Q1372">
            <v>60792</v>
          </cell>
          <cell r="R1372">
            <v>60792</v>
          </cell>
          <cell r="S1372">
            <v>60792</v>
          </cell>
          <cell r="T1372">
            <v>60792</v>
          </cell>
          <cell r="U1372">
            <v>60792</v>
          </cell>
          <cell r="V1372">
            <v>60792</v>
          </cell>
          <cell r="W1372">
            <v>60792</v>
          </cell>
          <cell r="X1372" t="str">
            <v>④</v>
          </cell>
          <cell r="Y1372" t="str">
            <v>⑤</v>
          </cell>
          <cell r="Z1372" t="str">
            <v>⑥</v>
          </cell>
          <cell r="AA1372" t="str">
            <v>⑦</v>
          </cell>
          <cell r="AB1372" t="str">
            <v>⑧</v>
          </cell>
          <cell r="AC1372" t="str">
            <v>⑨</v>
          </cell>
          <cell r="AD1372" t="str">
            <v>⑩</v>
          </cell>
          <cell r="AE1372" t="str">
            <v>⑪</v>
          </cell>
          <cell r="AF1372" t="str">
            <v>⑫</v>
          </cell>
          <cell r="AG1372" t="str">
            <v>①</v>
          </cell>
          <cell r="AH1372" t="str">
            <v>②</v>
          </cell>
          <cell r="AI1372" t="str">
            <v>③</v>
          </cell>
        </row>
        <row r="1373">
          <cell r="B1373">
            <v>6901</v>
          </cell>
          <cell r="C1373">
            <v>69</v>
          </cell>
          <cell r="D1373">
            <v>1</v>
          </cell>
          <cell r="F1373" t="str">
            <v>沼津</v>
          </cell>
          <cell r="G1373" t="str">
            <v>駐車場設備保守</v>
          </cell>
          <cell r="H1373" t="str">
            <v>石川島運搬機械</v>
          </cell>
          <cell r="I1373">
            <v>32059</v>
          </cell>
          <cell r="J1373">
            <v>32700</v>
          </cell>
          <cell r="K1373">
            <v>12</v>
          </cell>
          <cell r="L1373">
            <v>32700</v>
          </cell>
          <cell r="M1373">
            <v>32700</v>
          </cell>
          <cell r="N1373">
            <v>32700</v>
          </cell>
          <cell r="O1373">
            <v>32700</v>
          </cell>
          <cell r="P1373">
            <v>32700</v>
          </cell>
          <cell r="Q1373">
            <v>32700</v>
          </cell>
          <cell r="R1373">
            <v>32700</v>
          </cell>
          <cell r="S1373">
            <v>32700</v>
          </cell>
          <cell r="T1373">
            <v>32700</v>
          </cell>
          <cell r="U1373">
            <v>32700</v>
          </cell>
          <cell r="V1373">
            <v>32700</v>
          </cell>
          <cell r="W1373">
            <v>32700</v>
          </cell>
          <cell r="X1373" t="str">
            <v>④</v>
          </cell>
          <cell r="Y1373" t="str">
            <v>⑤</v>
          </cell>
          <cell r="Z1373" t="str">
            <v>⑥</v>
          </cell>
          <cell r="AA1373" t="str">
            <v>⑦</v>
          </cell>
          <cell r="AB1373" t="str">
            <v>⑧</v>
          </cell>
          <cell r="AC1373" t="str">
            <v>⑨</v>
          </cell>
          <cell r="AD1373" t="str">
            <v>⑩</v>
          </cell>
          <cell r="AE1373" t="str">
            <v>⑪</v>
          </cell>
          <cell r="AF1373" t="str">
            <v>⑫</v>
          </cell>
          <cell r="AG1373" t="str">
            <v>①</v>
          </cell>
          <cell r="AH1373" t="str">
            <v>②</v>
          </cell>
          <cell r="AI1373" t="str">
            <v>③</v>
          </cell>
        </row>
        <row r="1374">
          <cell r="B1374">
            <v>6902</v>
          </cell>
          <cell r="C1374">
            <v>69</v>
          </cell>
          <cell r="D1374">
            <v>2</v>
          </cell>
          <cell r="F1374" t="str">
            <v>沼津</v>
          </cell>
          <cell r="G1374" t="str">
            <v>エレベーター保守</v>
          </cell>
          <cell r="H1374" t="str">
            <v>三菱電機ﾋﾞﾙﾃｸﾉｻｰﾋﾞｽ</v>
          </cell>
          <cell r="I1374">
            <v>70300</v>
          </cell>
          <cell r="J1374">
            <v>71706</v>
          </cell>
          <cell r="K1374">
            <v>12</v>
          </cell>
          <cell r="L1374">
            <v>71706</v>
          </cell>
          <cell r="M1374">
            <v>71706</v>
          </cell>
          <cell r="N1374">
            <v>71706</v>
          </cell>
          <cell r="O1374">
            <v>71706</v>
          </cell>
          <cell r="P1374">
            <v>71706</v>
          </cell>
          <cell r="Q1374">
            <v>71706</v>
          </cell>
          <cell r="R1374">
            <v>71706</v>
          </cell>
          <cell r="S1374">
            <v>71706</v>
          </cell>
          <cell r="T1374">
            <v>71706</v>
          </cell>
          <cell r="U1374">
            <v>71706</v>
          </cell>
          <cell r="V1374">
            <v>71706</v>
          </cell>
          <cell r="W1374">
            <v>71706</v>
          </cell>
          <cell r="X1374" t="str">
            <v>④</v>
          </cell>
          <cell r="Y1374" t="str">
            <v>⑤</v>
          </cell>
          <cell r="Z1374" t="str">
            <v>⑥</v>
          </cell>
          <cell r="AA1374" t="str">
            <v>⑦</v>
          </cell>
          <cell r="AB1374" t="str">
            <v>⑧</v>
          </cell>
          <cell r="AC1374" t="str">
            <v>⑨</v>
          </cell>
          <cell r="AD1374" t="str">
            <v>⑩</v>
          </cell>
          <cell r="AE1374" t="str">
            <v>⑪</v>
          </cell>
          <cell r="AF1374" t="str">
            <v>⑫</v>
          </cell>
          <cell r="AG1374" t="str">
            <v>①</v>
          </cell>
          <cell r="AH1374" t="str">
            <v>②</v>
          </cell>
          <cell r="AI1374" t="str">
            <v>③</v>
          </cell>
        </row>
        <row r="1375">
          <cell r="B1375">
            <v>6903</v>
          </cell>
          <cell r="C1375">
            <v>69</v>
          </cell>
          <cell r="D1375">
            <v>3</v>
          </cell>
          <cell r="F1375" t="str">
            <v>沼津</v>
          </cell>
          <cell r="G1375" t="str">
            <v>消火器(外観)</v>
          </cell>
          <cell r="H1375" t="str">
            <v>ホーチキ</v>
          </cell>
          <cell r="I1375">
            <v>10800</v>
          </cell>
          <cell r="J1375">
            <v>11016</v>
          </cell>
          <cell r="K1375">
            <v>1</v>
          </cell>
          <cell r="L1375">
            <v>11016</v>
          </cell>
          <cell r="M1375">
            <v>0</v>
          </cell>
          <cell r="N1375">
            <v>0</v>
          </cell>
          <cell r="O1375">
            <v>0</v>
          </cell>
          <cell r="P1375">
            <v>0</v>
          </cell>
          <cell r="Q1375">
            <v>0</v>
          </cell>
          <cell r="R1375">
            <v>0</v>
          </cell>
          <cell r="S1375">
            <v>0</v>
          </cell>
          <cell r="T1375">
            <v>0</v>
          </cell>
          <cell r="U1375">
            <v>0</v>
          </cell>
          <cell r="V1375">
            <v>0</v>
          </cell>
          <cell r="W1375">
            <v>0</v>
          </cell>
          <cell r="X1375" t="str">
            <v>④</v>
          </cell>
          <cell r="Y1375" t="str">
            <v/>
          </cell>
          <cell r="Z1375" t="str">
            <v/>
          </cell>
          <cell r="AA1375" t="str">
            <v/>
          </cell>
          <cell r="AB1375" t="str">
            <v/>
          </cell>
          <cell r="AC1375" t="str">
            <v/>
          </cell>
          <cell r="AD1375" t="str">
            <v/>
          </cell>
          <cell r="AE1375" t="str">
            <v/>
          </cell>
          <cell r="AF1375" t="str">
            <v/>
          </cell>
          <cell r="AG1375" t="str">
            <v/>
          </cell>
          <cell r="AH1375" t="str">
            <v/>
          </cell>
          <cell r="AI1375" t="str">
            <v/>
          </cell>
        </row>
        <row r="1376">
          <cell r="B1376">
            <v>6904</v>
          </cell>
          <cell r="C1376">
            <v>69</v>
          </cell>
          <cell r="D1376">
            <v>4</v>
          </cell>
          <cell r="F1376" t="str">
            <v>沼津</v>
          </cell>
          <cell r="G1376" t="str">
            <v>消火器(総合)</v>
          </cell>
          <cell r="H1376" t="str">
            <v>ホーチキ</v>
          </cell>
          <cell r="I1376">
            <v>14400</v>
          </cell>
          <cell r="J1376">
            <v>14688</v>
          </cell>
          <cell r="K1376">
            <v>1</v>
          </cell>
          <cell r="L1376">
            <v>0</v>
          </cell>
          <cell r="M1376">
            <v>0</v>
          </cell>
          <cell r="N1376">
            <v>0</v>
          </cell>
          <cell r="O1376">
            <v>0</v>
          </cell>
          <cell r="P1376">
            <v>0</v>
          </cell>
          <cell r="Q1376">
            <v>0</v>
          </cell>
          <cell r="R1376">
            <v>14688</v>
          </cell>
          <cell r="S1376">
            <v>0</v>
          </cell>
          <cell r="T1376">
            <v>0</v>
          </cell>
          <cell r="U1376">
            <v>0</v>
          </cell>
          <cell r="V1376">
            <v>0</v>
          </cell>
          <cell r="W1376">
            <v>0</v>
          </cell>
          <cell r="X1376" t="str">
            <v/>
          </cell>
          <cell r="Y1376" t="str">
            <v/>
          </cell>
          <cell r="Z1376" t="str">
            <v/>
          </cell>
          <cell r="AA1376" t="str">
            <v/>
          </cell>
          <cell r="AB1376" t="str">
            <v/>
          </cell>
          <cell r="AC1376" t="str">
            <v/>
          </cell>
          <cell r="AD1376" t="str">
            <v>⑩</v>
          </cell>
          <cell r="AE1376" t="str">
            <v/>
          </cell>
          <cell r="AF1376" t="str">
            <v/>
          </cell>
          <cell r="AG1376" t="str">
            <v/>
          </cell>
          <cell r="AH1376" t="str">
            <v/>
          </cell>
          <cell r="AI1376" t="str">
            <v/>
          </cell>
        </row>
        <row r="1377">
          <cell r="B1377">
            <v>6905</v>
          </cell>
          <cell r="C1377">
            <v>69</v>
          </cell>
          <cell r="D1377">
            <v>5</v>
          </cell>
          <cell r="F1377" t="str">
            <v>沼津</v>
          </cell>
          <cell r="G1377" t="str">
            <v>誘導灯(外観)</v>
          </cell>
          <cell r="H1377" t="str">
            <v>ホーチキ</v>
          </cell>
          <cell r="I1377">
            <v>3600</v>
          </cell>
          <cell r="J1377">
            <v>3672</v>
          </cell>
          <cell r="K1377">
            <v>2</v>
          </cell>
          <cell r="L1377">
            <v>3672</v>
          </cell>
          <cell r="M1377">
            <v>0</v>
          </cell>
          <cell r="N1377">
            <v>0</v>
          </cell>
          <cell r="O1377">
            <v>0</v>
          </cell>
          <cell r="P1377">
            <v>0</v>
          </cell>
          <cell r="Q1377">
            <v>0</v>
          </cell>
          <cell r="R1377">
            <v>3672</v>
          </cell>
          <cell r="S1377">
            <v>0</v>
          </cell>
          <cell r="T1377">
            <v>0</v>
          </cell>
          <cell r="U1377">
            <v>0</v>
          </cell>
          <cell r="V1377">
            <v>0</v>
          </cell>
          <cell r="W1377">
            <v>0</v>
          </cell>
          <cell r="X1377" t="str">
            <v>④</v>
          </cell>
          <cell r="Y1377" t="str">
            <v/>
          </cell>
          <cell r="Z1377" t="str">
            <v/>
          </cell>
          <cell r="AA1377" t="str">
            <v/>
          </cell>
          <cell r="AB1377" t="str">
            <v/>
          </cell>
          <cell r="AC1377" t="str">
            <v/>
          </cell>
          <cell r="AD1377" t="str">
            <v>⑩</v>
          </cell>
          <cell r="AE1377" t="str">
            <v/>
          </cell>
          <cell r="AF1377" t="str">
            <v/>
          </cell>
          <cell r="AG1377" t="str">
            <v/>
          </cell>
          <cell r="AH1377" t="str">
            <v/>
          </cell>
          <cell r="AI1377" t="str">
            <v/>
          </cell>
        </row>
        <row r="1378">
          <cell r="B1378">
            <v>6906</v>
          </cell>
          <cell r="C1378">
            <v>69</v>
          </cell>
          <cell r="D1378">
            <v>6</v>
          </cell>
          <cell r="F1378" t="str">
            <v>沼津</v>
          </cell>
          <cell r="G1378" t="str">
            <v>Ｐ型防排煙制御(外観)</v>
          </cell>
          <cell r="H1378" t="str">
            <v>ホーチキ</v>
          </cell>
          <cell r="I1378">
            <v>44100</v>
          </cell>
          <cell r="J1378">
            <v>44982</v>
          </cell>
          <cell r="K1378">
            <v>1</v>
          </cell>
          <cell r="L1378">
            <v>44982</v>
          </cell>
          <cell r="M1378">
            <v>0</v>
          </cell>
          <cell r="N1378">
            <v>0</v>
          </cell>
          <cell r="O1378">
            <v>0</v>
          </cell>
          <cell r="P1378">
            <v>0</v>
          </cell>
          <cell r="Q1378">
            <v>0</v>
          </cell>
          <cell r="R1378">
            <v>0</v>
          </cell>
          <cell r="S1378">
            <v>0</v>
          </cell>
          <cell r="T1378">
            <v>0</v>
          </cell>
          <cell r="U1378">
            <v>0</v>
          </cell>
          <cell r="V1378">
            <v>0</v>
          </cell>
          <cell r="W1378">
            <v>0</v>
          </cell>
          <cell r="X1378" t="str">
            <v>④</v>
          </cell>
          <cell r="Y1378" t="str">
            <v/>
          </cell>
          <cell r="Z1378" t="str">
            <v/>
          </cell>
          <cell r="AA1378" t="str">
            <v/>
          </cell>
          <cell r="AB1378" t="str">
            <v/>
          </cell>
          <cell r="AC1378" t="str">
            <v/>
          </cell>
          <cell r="AD1378" t="str">
            <v/>
          </cell>
          <cell r="AE1378" t="str">
            <v/>
          </cell>
          <cell r="AF1378" t="str">
            <v/>
          </cell>
          <cell r="AG1378" t="str">
            <v/>
          </cell>
          <cell r="AH1378" t="str">
            <v/>
          </cell>
          <cell r="AI1378" t="str">
            <v/>
          </cell>
        </row>
        <row r="1379">
          <cell r="B1379">
            <v>6907</v>
          </cell>
          <cell r="C1379">
            <v>69</v>
          </cell>
          <cell r="D1379">
            <v>7</v>
          </cell>
          <cell r="F1379" t="str">
            <v>沼津</v>
          </cell>
          <cell r="G1379" t="str">
            <v>Ｐ型防排煙制御(総合)</v>
          </cell>
          <cell r="H1379" t="str">
            <v>ホーチキ</v>
          </cell>
          <cell r="I1379">
            <v>49500</v>
          </cell>
          <cell r="J1379">
            <v>50490</v>
          </cell>
          <cell r="K1379">
            <v>1</v>
          </cell>
          <cell r="L1379">
            <v>0</v>
          </cell>
          <cell r="M1379">
            <v>0</v>
          </cell>
          <cell r="N1379">
            <v>0</v>
          </cell>
          <cell r="O1379">
            <v>0</v>
          </cell>
          <cell r="P1379">
            <v>0</v>
          </cell>
          <cell r="Q1379">
            <v>0</v>
          </cell>
          <cell r="R1379">
            <v>50490</v>
          </cell>
          <cell r="S1379">
            <v>0</v>
          </cell>
          <cell r="T1379">
            <v>0</v>
          </cell>
          <cell r="U1379">
            <v>0</v>
          </cell>
          <cell r="V1379">
            <v>0</v>
          </cell>
          <cell r="W1379">
            <v>0</v>
          </cell>
          <cell r="X1379" t="str">
            <v/>
          </cell>
          <cell r="Y1379" t="str">
            <v/>
          </cell>
          <cell r="Z1379" t="str">
            <v/>
          </cell>
          <cell r="AA1379" t="str">
            <v/>
          </cell>
          <cell r="AB1379" t="str">
            <v/>
          </cell>
          <cell r="AC1379" t="str">
            <v/>
          </cell>
          <cell r="AD1379" t="str">
            <v>⑩</v>
          </cell>
          <cell r="AE1379" t="str">
            <v/>
          </cell>
          <cell r="AF1379" t="str">
            <v/>
          </cell>
          <cell r="AG1379" t="str">
            <v/>
          </cell>
          <cell r="AH1379" t="str">
            <v/>
          </cell>
          <cell r="AI1379" t="str">
            <v/>
          </cell>
        </row>
        <row r="1380">
          <cell r="B1380">
            <v>6908</v>
          </cell>
          <cell r="C1380">
            <v>69</v>
          </cell>
          <cell r="D1380">
            <v>8</v>
          </cell>
          <cell r="F1380" t="str">
            <v>沼津</v>
          </cell>
          <cell r="G1380" t="str">
            <v>Ｐ型自火報(外観)</v>
          </cell>
          <cell r="H1380" t="str">
            <v>ホーチキ</v>
          </cell>
          <cell r="I1380">
            <v>30600</v>
          </cell>
          <cell r="J1380">
            <v>31212</v>
          </cell>
          <cell r="K1380">
            <v>1</v>
          </cell>
          <cell r="L1380">
            <v>31212</v>
          </cell>
          <cell r="M1380">
            <v>0</v>
          </cell>
          <cell r="N1380">
            <v>0</v>
          </cell>
          <cell r="O1380">
            <v>0</v>
          </cell>
          <cell r="P1380">
            <v>0</v>
          </cell>
          <cell r="Q1380">
            <v>0</v>
          </cell>
          <cell r="R1380">
            <v>0</v>
          </cell>
          <cell r="S1380">
            <v>0</v>
          </cell>
          <cell r="T1380">
            <v>0</v>
          </cell>
          <cell r="U1380">
            <v>0</v>
          </cell>
          <cell r="V1380">
            <v>0</v>
          </cell>
          <cell r="W1380">
            <v>0</v>
          </cell>
          <cell r="X1380" t="str">
            <v>④</v>
          </cell>
          <cell r="Y1380" t="str">
            <v/>
          </cell>
          <cell r="Z1380" t="str">
            <v/>
          </cell>
          <cell r="AA1380" t="str">
            <v/>
          </cell>
          <cell r="AB1380" t="str">
            <v/>
          </cell>
          <cell r="AC1380" t="str">
            <v/>
          </cell>
          <cell r="AD1380" t="str">
            <v/>
          </cell>
          <cell r="AE1380" t="str">
            <v/>
          </cell>
          <cell r="AF1380" t="str">
            <v/>
          </cell>
          <cell r="AG1380" t="str">
            <v/>
          </cell>
          <cell r="AH1380" t="str">
            <v/>
          </cell>
          <cell r="AI1380" t="str">
            <v/>
          </cell>
        </row>
        <row r="1381">
          <cell r="B1381">
            <v>6909</v>
          </cell>
          <cell r="C1381">
            <v>69</v>
          </cell>
          <cell r="D1381">
            <v>9</v>
          </cell>
          <cell r="F1381" t="str">
            <v>沼津</v>
          </cell>
          <cell r="G1381" t="str">
            <v>Ｐ型自火報(総合)</v>
          </cell>
          <cell r="H1381" t="str">
            <v>ホーチキ</v>
          </cell>
          <cell r="I1381">
            <v>75600</v>
          </cell>
          <cell r="J1381">
            <v>77112</v>
          </cell>
          <cell r="K1381">
            <v>1</v>
          </cell>
          <cell r="L1381">
            <v>0</v>
          </cell>
          <cell r="M1381">
            <v>0</v>
          </cell>
          <cell r="N1381">
            <v>0</v>
          </cell>
          <cell r="O1381">
            <v>0</v>
          </cell>
          <cell r="P1381">
            <v>0</v>
          </cell>
          <cell r="Q1381">
            <v>0</v>
          </cell>
          <cell r="R1381">
            <v>77112</v>
          </cell>
          <cell r="S1381">
            <v>0</v>
          </cell>
          <cell r="T1381">
            <v>0</v>
          </cell>
          <cell r="U1381">
            <v>0</v>
          </cell>
          <cell r="V1381">
            <v>0</v>
          </cell>
          <cell r="W1381">
            <v>0</v>
          </cell>
          <cell r="X1381" t="str">
            <v/>
          </cell>
          <cell r="Y1381" t="str">
            <v/>
          </cell>
          <cell r="Z1381" t="str">
            <v/>
          </cell>
          <cell r="AA1381" t="str">
            <v/>
          </cell>
          <cell r="AB1381" t="str">
            <v/>
          </cell>
          <cell r="AC1381" t="str">
            <v/>
          </cell>
          <cell r="AD1381" t="str">
            <v>⑩</v>
          </cell>
          <cell r="AE1381" t="str">
            <v/>
          </cell>
          <cell r="AF1381" t="str">
            <v/>
          </cell>
          <cell r="AG1381" t="str">
            <v/>
          </cell>
          <cell r="AH1381" t="str">
            <v/>
          </cell>
          <cell r="AI1381" t="str">
            <v/>
          </cell>
        </row>
        <row r="1382">
          <cell r="B1382">
            <v>6910</v>
          </cell>
          <cell r="C1382">
            <v>69</v>
          </cell>
          <cell r="D1382">
            <v>10</v>
          </cell>
          <cell r="F1382" t="str">
            <v>沼津</v>
          </cell>
          <cell r="G1382" t="str">
            <v>害虫駆除</v>
          </cell>
          <cell r="H1382" t="str">
            <v>ダスキンﾀｰﾐﾈｯｸｽキミサワ</v>
          </cell>
          <cell r="I1382">
            <v>40824</v>
          </cell>
          <cell r="J1382">
            <v>45482</v>
          </cell>
          <cell r="K1382">
            <v>2</v>
          </cell>
          <cell r="L1382">
            <v>0</v>
          </cell>
          <cell r="M1382">
            <v>0</v>
          </cell>
          <cell r="N1382">
            <v>45482</v>
          </cell>
          <cell r="O1382">
            <v>0</v>
          </cell>
          <cell r="P1382">
            <v>0</v>
          </cell>
          <cell r="Q1382">
            <v>0</v>
          </cell>
          <cell r="R1382">
            <v>0</v>
          </cell>
          <cell r="S1382">
            <v>45482</v>
          </cell>
          <cell r="T1382">
            <v>0</v>
          </cell>
          <cell r="U1382">
            <v>0</v>
          </cell>
          <cell r="V1382">
            <v>0</v>
          </cell>
          <cell r="W1382">
            <v>0</v>
          </cell>
          <cell r="X1382" t="str">
            <v/>
          </cell>
          <cell r="Y1382" t="str">
            <v/>
          </cell>
          <cell r="Z1382" t="str">
            <v>⑥</v>
          </cell>
          <cell r="AA1382" t="str">
            <v/>
          </cell>
          <cell r="AB1382" t="str">
            <v/>
          </cell>
          <cell r="AC1382" t="str">
            <v/>
          </cell>
          <cell r="AD1382" t="str">
            <v/>
          </cell>
          <cell r="AE1382" t="str">
            <v>⑪</v>
          </cell>
          <cell r="AG1382" t="str">
            <v/>
          </cell>
          <cell r="AH1382" t="str">
            <v/>
          </cell>
          <cell r="AI1382" t="str">
            <v/>
          </cell>
          <cell r="AJ1382" t="str">
            <v>変</v>
          </cell>
        </row>
        <row r="1383">
          <cell r="B1383">
            <v>6911</v>
          </cell>
          <cell r="C1383">
            <v>69</v>
          </cell>
          <cell r="D1383">
            <v>11</v>
          </cell>
          <cell r="F1383" t="str">
            <v>沼津</v>
          </cell>
          <cell r="G1383" t="str">
            <v>汚水槽清掃</v>
          </cell>
          <cell r="H1383" t="str">
            <v>東海ビル保善</v>
          </cell>
          <cell r="I1383">
            <v>59000</v>
          </cell>
          <cell r="J1383">
            <v>66080</v>
          </cell>
          <cell r="K1383">
            <v>2</v>
          </cell>
          <cell r="L1383">
            <v>0</v>
          </cell>
          <cell r="M1383">
            <v>0</v>
          </cell>
          <cell r="N1383">
            <v>0</v>
          </cell>
          <cell r="O1383">
            <v>66080</v>
          </cell>
          <cell r="P1383">
            <v>0</v>
          </cell>
          <cell r="Q1383">
            <v>0</v>
          </cell>
          <cell r="R1383">
            <v>0</v>
          </cell>
          <cell r="S1383">
            <v>0</v>
          </cell>
          <cell r="T1383">
            <v>0</v>
          </cell>
          <cell r="U1383">
            <v>66080</v>
          </cell>
          <cell r="V1383">
            <v>0</v>
          </cell>
          <cell r="W1383">
            <v>0</v>
          </cell>
          <cell r="X1383" t="str">
            <v/>
          </cell>
          <cell r="Y1383" t="str">
            <v/>
          </cell>
          <cell r="Z1383" t="str">
            <v/>
          </cell>
          <cell r="AA1383" t="str">
            <v>⑦</v>
          </cell>
          <cell r="AB1383" t="str">
            <v/>
          </cell>
          <cell r="AC1383" t="str">
            <v/>
          </cell>
          <cell r="AD1383" t="str">
            <v/>
          </cell>
          <cell r="AE1383" t="str">
            <v/>
          </cell>
          <cell r="AF1383" t="str">
            <v/>
          </cell>
          <cell r="AG1383" t="str">
            <v>①</v>
          </cell>
          <cell r="AH1383" t="str">
            <v/>
          </cell>
          <cell r="AI1383" t="str">
            <v/>
          </cell>
        </row>
        <row r="1384">
          <cell r="B1384">
            <v>6912</v>
          </cell>
          <cell r="C1384">
            <v>69</v>
          </cell>
          <cell r="D1384">
            <v>12</v>
          </cell>
          <cell r="F1384" t="str">
            <v>沼津</v>
          </cell>
          <cell r="G1384" t="str">
            <v>受水槽清掃</v>
          </cell>
          <cell r="H1384" t="str">
            <v>東海ビル保善</v>
          </cell>
          <cell r="I1384">
            <v>40200</v>
          </cell>
          <cell r="J1384">
            <v>45426</v>
          </cell>
          <cell r="K1384">
            <v>1</v>
          </cell>
          <cell r="L1384">
            <v>0</v>
          </cell>
          <cell r="M1384">
            <v>0</v>
          </cell>
          <cell r="N1384">
            <v>0</v>
          </cell>
          <cell r="O1384">
            <v>45426</v>
          </cell>
          <cell r="P1384">
            <v>0</v>
          </cell>
          <cell r="Q1384">
            <v>0</v>
          </cell>
          <cell r="R1384">
            <v>0</v>
          </cell>
          <cell r="S1384">
            <v>0</v>
          </cell>
          <cell r="T1384">
            <v>0</v>
          </cell>
          <cell r="U1384">
            <v>0</v>
          </cell>
          <cell r="V1384">
            <v>0</v>
          </cell>
          <cell r="W1384">
            <v>0</v>
          </cell>
          <cell r="X1384" t="str">
            <v/>
          </cell>
          <cell r="Y1384" t="str">
            <v/>
          </cell>
          <cell r="Z1384" t="str">
            <v/>
          </cell>
          <cell r="AA1384" t="str">
            <v>⑦</v>
          </cell>
          <cell r="AB1384" t="str">
            <v/>
          </cell>
          <cell r="AC1384" t="str">
            <v/>
          </cell>
          <cell r="AD1384" t="str">
            <v/>
          </cell>
          <cell r="AE1384" t="str">
            <v/>
          </cell>
          <cell r="AF1384" t="str">
            <v/>
          </cell>
          <cell r="AG1384" t="str">
            <v/>
          </cell>
          <cell r="AH1384" t="str">
            <v/>
          </cell>
          <cell r="AI1384" t="str">
            <v/>
          </cell>
        </row>
        <row r="1385">
          <cell r="B1385">
            <v>6913</v>
          </cell>
          <cell r="C1385">
            <v>69</v>
          </cell>
          <cell r="D1385">
            <v>13</v>
          </cell>
          <cell r="F1385" t="str">
            <v>沼津</v>
          </cell>
          <cell r="G1385" t="str">
            <v>空調機設備保守</v>
          </cell>
          <cell r="H1385" t="str">
            <v>菱電商事</v>
          </cell>
          <cell r="I1385">
            <v>75000</v>
          </cell>
          <cell r="J1385">
            <v>79500</v>
          </cell>
          <cell r="K1385">
            <v>3</v>
          </cell>
          <cell r="L1385">
            <v>79500</v>
          </cell>
          <cell r="M1385">
            <v>0</v>
          </cell>
          <cell r="N1385">
            <v>0</v>
          </cell>
          <cell r="O1385">
            <v>0</v>
          </cell>
          <cell r="P1385">
            <v>0</v>
          </cell>
          <cell r="Q1385">
            <v>79500</v>
          </cell>
          <cell r="R1385">
            <v>0</v>
          </cell>
          <cell r="S1385">
            <v>0</v>
          </cell>
          <cell r="T1385">
            <v>79500</v>
          </cell>
          <cell r="U1385">
            <v>0</v>
          </cell>
          <cell r="V1385">
            <v>0</v>
          </cell>
          <cell r="W1385">
            <v>0</v>
          </cell>
          <cell r="X1385" t="str">
            <v>④</v>
          </cell>
          <cell r="Z1385" t="str">
            <v/>
          </cell>
          <cell r="AB1385" t="str">
            <v/>
          </cell>
          <cell r="AC1385" t="str">
            <v>⑨</v>
          </cell>
          <cell r="AD1385" t="str">
            <v/>
          </cell>
          <cell r="AF1385" t="str">
            <v>⑫</v>
          </cell>
          <cell r="AG1385" t="str">
            <v/>
          </cell>
          <cell r="AI1385" t="str">
            <v/>
          </cell>
          <cell r="AJ1385" t="str">
            <v>変</v>
          </cell>
        </row>
        <row r="1386">
          <cell r="B1386">
            <v>6914</v>
          </cell>
          <cell r="C1386">
            <v>69</v>
          </cell>
          <cell r="D1386">
            <v>14</v>
          </cell>
          <cell r="F1386" t="str">
            <v>沼津</v>
          </cell>
          <cell r="G1386" t="str">
            <v>植木･植栽管理</v>
          </cell>
          <cell r="H1386" t="str">
            <v>柏木植物園</v>
          </cell>
          <cell r="I1386">
            <v>24750</v>
          </cell>
          <cell r="J1386">
            <v>26367</v>
          </cell>
          <cell r="K1386">
            <v>2</v>
          </cell>
          <cell r="L1386">
            <v>0</v>
          </cell>
          <cell r="M1386">
            <v>0</v>
          </cell>
          <cell r="N1386">
            <v>26367</v>
          </cell>
          <cell r="O1386">
            <v>0</v>
          </cell>
          <cell r="P1386">
            <v>0</v>
          </cell>
          <cell r="Q1386">
            <v>0</v>
          </cell>
          <cell r="R1386">
            <v>0</v>
          </cell>
          <cell r="S1386">
            <v>0</v>
          </cell>
          <cell r="T1386">
            <v>26367</v>
          </cell>
          <cell r="U1386">
            <v>0</v>
          </cell>
          <cell r="V1386">
            <v>0</v>
          </cell>
          <cell r="W1386">
            <v>0</v>
          </cell>
          <cell r="X1386" t="str">
            <v/>
          </cell>
          <cell r="Y1386" t="str">
            <v/>
          </cell>
          <cell r="Z1386" t="str">
            <v>⑥</v>
          </cell>
          <cell r="AA1386" t="str">
            <v/>
          </cell>
          <cell r="AB1386" t="str">
            <v/>
          </cell>
          <cell r="AC1386" t="str">
            <v/>
          </cell>
          <cell r="AD1386" t="str">
            <v/>
          </cell>
          <cell r="AE1386" t="str">
            <v/>
          </cell>
          <cell r="AF1386" t="str">
            <v>⑫</v>
          </cell>
          <cell r="AG1386" t="str">
            <v/>
          </cell>
          <cell r="AI1386" t="str">
            <v/>
          </cell>
          <cell r="AJ1386" t="str">
            <v>変</v>
          </cell>
        </row>
        <row r="1387">
          <cell r="B1387">
            <v>6915</v>
          </cell>
          <cell r="C1387">
            <v>69</v>
          </cell>
          <cell r="D1387">
            <v>15</v>
          </cell>
          <cell r="F1387" t="str">
            <v>沼津</v>
          </cell>
          <cell r="G1387" t="str">
            <v>電動シャッター保守点検</v>
          </cell>
          <cell r="H1387" t="str">
            <v>文化シヤッター</v>
          </cell>
          <cell r="I1387">
            <v>46000</v>
          </cell>
          <cell r="J1387">
            <v>52900</v>
          </cell>
          <cell r="K1387">
            <v>1</v>
          </cell>
          <cell r="L1387">
            <v>0</v>
          </cell>
          <cell r="M1387">
            <v>0</v>
          </cell>
          <cell r="N1387">
            <v>0</v>
          </cell>
          <cell r="O1387">
            <v>0</v>
          </cell>
          <cell r="P1387">
            <v>0</v>
          </cell>
          <cell r="Q1387">
            <v>0</v>
          </cell>
          <cell r="R1387">
            <v>0</v>
          </cell>
          <cell r="S1387">
            <v>52900</v>
          </cell>
          <cell r="T1387">
            <v>0</v>
          </cell>
          <cell r="U1387">
            <v>0</v>
          </cell>
          <cell r="V1387">
            <v>0</v>
          </cell>
          <cell r="W1387">
            <v>0</v>
          </cell>
          <cell r="X1387" t="str">
            <v/>
          </cell>
          <cell r="Y1387" t="str">
            <v/>
          </cell>
          <cell r="Z1387" t="str">
            <v/>
          </cell>
          <cell r="AA1387" t="str">
            <v/>
          </cell>
          <cell r="AB1387" t="str">
            <v/>
          </cell>
          <cell r="AC1387" t="str">
            <v/>
          </cell>
          <cell r="AD1387" t="str">
            <v/>
          </cell>
          <cell r="AE1387" t="str">
            <v>⑪</v>
          </cell>
          <cell r="AF1387" t="str">
            <v/>
          </cell>
          <cell r="AG1387" t="str">
            <v/>
          </cell>
          <cell r="AH1387" t="str">
            <v/>
          </cell>
          <cell r="AI1387" t="str">
            <v/>
          </cell>
          <cell r="AJ1387" t="str">
            <v>追</v>
          </cell>
        </row>
        <row r="1388">
          <cell r="B1388">
            <v>7001</v>
          </cell>
          <cell r="C1388">
            <v>70</v>
          </cell>
          <cell r="D1388">
            <v>1</v>
          </cell>
          <cell r="F1388" t="str">
            <v>三島</v>
          </cell>
          <cell r="G1388" t="str">
            <v>駐車場設備保守</v>
          </cell>
          <cell r="H1388" t="str">
            <v>三菱重工ﾊﾟｰｷﾝｸﾞ建設</v>
          </cell>
          <cell r="I1388">
            <v>111000</v>
          </cell>
          <cell r="J1388">
            <v>113220</v>
          </cell>
          <cell r="K1388">
            <v>12</v>
          </cell>
          <cell r="L1388">
            <v>113220</v>
          </cell>
          <cell r="M1388">
            <v>113220</v>
          </cell>
          <cell r="N1388">
            <v>113220</v>
          </cell>
          <cell r="O1388">
            <v>113220</v>
          </cell>
          <cell r="P1388">
            <v>113220</v>
          </cell>
          <cell r="Q1388">
            <v>113220</v>
          </cell>
          <cell r="R1388">
            <v>113220</v>
          </cell>
          <cell r="S1388">
            <v>113220</v>
          </cell>
          <cell r="T1388">
            <v>113220</v>
          </cell>
          <cell r="U1388">
            <v>113220</v>
          </cell>
          <cell r="V1388">
            <v>113220</v>
          </cell>
          <cell r="W1388">
            <v>113220</v>
          </cell>
          <cell r="X1388" t="str">
            <v>④</v>
          </cell>
          <cell r="Y1388" t="str">
            <v>⑤</v>
          </cell>
          <cell r="Z1388" t="str">
            <v>⑥</v>
          </cell>
          <cell r="AA1388" t="str">
            <v>⑦</v>
          </cell>
          <cell r="AB1388" t="str">
            <v>⑧</v>
          </cell>
          <cell r="AC1388" t="str">
            <v>⑨</v>
          </cell>
          <cell r="AD1388" t="str">
            <v>⑩</v>
          </cell>
          <cell r="AE1388" t="str">
            <v>⑪</v>
          </cell>
          <cell r="AF1388" t="str">
            <v>⑫</v>
          </cell>
          <cell r="AG1388" t="str">
            <v>①</v>
          </cell>
          <cell r="AH1388" t="str">
            <v>②</v>
          </cell>
          <cell r="AI1388" t="str">
            <v>③</v>
          </cell>
        </row>
        <row r="1389">
          <cell r="B1389">
            <v>7002</v>
          </cell>
          <cell r="C1389">
            <v>70</v>
          </cell>
          <cell r="D1389">
            <v>2</v>
          </cell>
          <cell r="F1389" t="str">
            <v>三島</v>
          </cell>
          <cell r="G1389" t="str">
            <v>エレベーター保守</v>
          </cell>
          <cell r="H1389" t="str">
            <v>三菱電機ﾋﾞﾙﾃｸﾉｻｰﾋﾞｽ</v>
          </cell>
          <cell r="I1389">
            <v>71500</v>
          </cell>
          <cell r="J1389">
            <v>72930</v>
          </cell>
          <cell r="K1389">
            <v>12</v>
          </cell>
          <cell r="L1389">
            <v>72930</v>
          </cell>
          <cell r="M1389">
            <v>72930</v>
          </cell>
          <cell r="N1389">
            <v>72930</v>
          </cell>
          <cell r="O1389">
            <v>72930</v>
          </cell>
          <cell r="P1389">
            <v>72930</v>
          </cell>
          <cell r="Q1389">
            <v>72930</v>
          </cell>
          <cell r="R1389">
            <v>72930</v>
          </cell>
          <cell r="S1389">
            <v>72930</v>
          </cell>
          <cell r="T1389">
            <v>72930</v>
          </cell>
          <cell r="U1389">
            <v>72930</v>
          </cell>
          <cell r="V1389">
            <v>72930</v>
          </cell>
          <cell r="W1389">
            <v>72930</v>
          </cell>
          <cell r="X1389" t="str">
            <v>④</v>
          </cell>
          <cell r="Y1389" t="str">
            <v>⑤</v>
          </cell>
          <cell r="Z1389" t="str">
            <v>⑥</v>
          </cell>
          <cell r="AA1389" t="str">
            <v>⑦</v>
          </cell>
          <cell r="AB1389" t="str">
            <v>⑧</v>
          </cell>
          <cell r="AC1389" t="str">
            <v>⑨</v>
          </cell>
          <cell r="AD1389" t="str">
            <v>⑩</v>
          </cell>
          <cell r="AE1389" t="str">
            <v>⑪</v>
          </cell>
          <cell r="AF1389" t="str">
            <v>⑫</v>
          </cell>
          <cell r="AG1389" t="str">
            <v>①</v>
          </cell>
          <cell r="AH1389" t="str">
            <v>②</v>
          </cell>
          <cell r="AI1389" t="str">
            <v>③</v>
          </cell>
        </row>
        <row r="1390">
          <cell r="B1390">
            <v>7003</v>
          </cell>
          <cell r="C1390">
            <v>70</v>
          </cell>
          <cell r="D1390">
            <v>3</v>
          </cell>
          <cell r="F1390" t="str">
            <v>三島</v>
          </cell>
          <cell r="G1390" t="str">
            <v>消火器(外観)</v>
          </cell>
          <cell r="H1390" t="str">
            <v>ホーチキ</v>
          </cell>
          <cell r="I1390">
            <v>14400</v>
          </cell>
          <cell r="J1390">
            <v>14688</v>
          </cell>
          <cell r="K1390">
            <v>2</v>
          </cell>
          <cell r="L1390">
            <v>0</v>
          </cell>
          <cell r="M1390">
            <v>0</v>
          </cell>
          <cell r="N1390">
            <v>0</v>
          </cell>
          <cell r="O1390">
            <v>14688</v>
          </cell>
          <cell r="P1390">
            <v>0</v>
          </cell>
          <cell r="Q1390">
            <v>0</v>
          </cell>
          <cell r="R1390">
            <v>0</v>
          </cell>
          <cell r="S1390">
            <v>0</v>
          </cell>
          <cell r="T1390">
            <v>0</v>
          </cell>
          <cell r="U1390">
            <v>14688</v>
          </cell>
          <cell r="V1390">
            <v>0</v>
          </cell>
          <cell r="W1390">
            <v>0</v>
          </cell>
          <cell r="X1390" t="str">
            <v/>
          </cell>
          <cell r="Y1390" t="str">
            <v/>
          </cell>
          <cell r="Z1390" t="str">
            <v/>
          </cell>
          <cell r="AA1390" t="str">
            <v>⑦</v>
          </cell>
          <cell r="AB1390" t="str">
            <v/>
          </cell>
          <cell r="AC1390" t="str">
            <v/>
          </cell>
          <cell r="AD1390" t="str">
            <v/>
          </cell>
          <cell r="AE1390" t="str">
            <v/>
          </cell>
          <cell r="AF1390" t="str">
            <v/>
          </cell>
          <cell r="AG1390" t="str">
            <v>①</v>
          </cell>
          <cell r="AH1390" t="str">
            <v/>
          </cell>
          <cell r="AI1390" t="str">
            <v/>
          </cell>
        </row>
        <row r="1391">
          <cell r="B1391">
            <v>7004</v>
          </cell>
          <cell r="C1391">
            <v>70</v>
          </cell>
          <cell r="D1391">
            <v>4</v>
          </cell>
          <cell r="F1391" t="str">
            <v>三島</v>
          </cell>
          <cell r="G1391" t="str">
            <v>屋内消火栓(外観)</v>
          </cell>
          <cell r="H1391" t="str">
            <v>ホーチキ</v>
          </cell>
          <cell r="I1391">
            <v>43200</v>
          </cell>
          <cell r="J1391">
            <v>44064</v>
          </cell>
          <cell r="K1391">
            <v>1</v>
          </cell>
          <cell r="L1391">
            <v>0</v>
          </cell>
          <cell r="M1391">
            <v>0</v>
          </cell>
          <cell r="N1391">
            <v>0</v>
          </cell>
          <cell r="O1391">
            <v>44064</v>
          </cell>
          <cell r="P1391">
            <v>0</v>
          </cell>
          <cell r="Q1391">
            <v>0</v>
          </cell>
          <cell r="R1391">
            <v>0</v>
          </cell>
          <cell r="S1391">
            <v>0</v>
          </cell>
          <cell r="T1391">
            <v>0</v>
          </cell>
          <cell r="U1391">
            <v>0</v>
          </cell>
          <cell r="V1391">
            <v>0</v>
          </cell>
          <cell r="W1391">
            <v>0</v>
          </cell>
          <cell r="X1391" t="str">
            <v/>
          </cell>
          <cell r="Y1391" t="str">
            <v/>
          </cell>
          <cell r="Z1391" t="str">
            <v/>
          </cell>
          <cell r="AA1391" t="str">
            <v>⑦</v>
          </cell>
          <cell r="AB1391" t="str">
            <v/>
          </cell>
          <cell r="AC1391" t="str">
            <v/>
          </cell>
          <cell r="AD1391" t="str">
            <v/>
          </cell>
          <cell r="AE1391" t="str">
            <v/>
          </cell>
          <cell r="AF1391" t="str">
            <v/>
          </cell>
          <cell r="AG1391" t="str">
            <v/>
          </cell>
          <cell r="AH1391" t="str">
            <v/>
          </cell>
          <cell r="AI1391" t="str">
            <v/>
          </cell>
        </row>
        <row r="1392">
          <cell r="B1392">
            <v>7005</v>
          </cell>
          <cell r="C1392">
            <v>70</v>
          </cell>
          <cell r="D1392">
            <v>5</v>
          </cell>
          <cell r="F1392" t="str">
            <v>三島</v>
          </cell>
          <cell r="G1392" t="str">
            <v>屋内消火栓(総合)</v>
          </cell>
          <cell r="H1392" t="str">
            <v>ホーチキ</v>
          </cell>
          <cell r="I1392">
            <v>69300</v>
          </cell>
          <cell r="J1392">
            <v>70686</v>
          </cell>
          <cell r="K1392">
            <v>1</v>
          </cell>
          <cell r="L1392">
            <v>0</v>
          </cell>
          <cell r="M1392">
            <v>0</v>
          </cell>
          <cell r="N1392">
            <v>0</v>
          </cell>
          <cell r="O1392">
            <v>0</v>
          </cell>
          <cell r="P1392">
            <v>0</v>
          </cell>
          <cell r="Q1392">
            <v>0</v>
          </cell>
          <cell r="R1392">
            <v>0</v>
          </cell>
          <cell r="S1392">
            <v>0</v>
          </cell>
          <cell r="T1392">
            <v>0</v>
          </cell>
          <cell r="U1392">
            <v>70686</v>
          </cell>
          <cell r="V1392">
            <v>0</v>
          </cell>
          <cell r="W1392">
            <v>0</v>
          </cell>
          <cell r="X1392" t="str">
            <v/>
          </cell>
          <cell r="Y1392" t="str">
            <v/>
          </cell>
          <cell r="Z1392" t="str">
            <v/>
          </cell>
          <cell r="AA1392" t="str">
            <v/>
          </cell>
          <cell r="AB1392" t="str">
            <v/>
          </cell>
          <cell r="AC1392" t="str">
            <v/>
          </cell>
          <cell r="AD1392" t="str">
            <v/>
          </cell>
          <cell r="AE1392" t="str">
            <v/>
          </cell>
          <cell r="AF1392" t="str">
            <v/>
          </cell>
          <cell r="AG1392" t="str">
            <v>①</v>
          </cell>
          <cell r="AH1392" t="str">
            <v/>
          </cell>
          <cell r="AI1392" t="str">
            <v/>
          </cell>
        </row>
        <row r="1393">
          <cell r="B1393">
            <v>7006</v>
          </cell>
          <cell r="C1393">
            <v>70</v>
          </cell>
          <cell r="D1393">
            <v>6</v>
          </cell>
          <cell r="F1393" t="str">
            <v>三島</v>
          </cell>
          <cell r="G1393" t="str">
            <v>ハロゲン消火(外観)</v>
          </cell>
          <cell r="H1393" t="str">
            <v>ホーチキ</v>
          </cell>
          <cell r="I1393">
            <v>41400</v>
          </cell>
          <cell r="J1393">
            <v>42228</v>
          </cell>
          <cell r="K1393">
            <v>1</v>
          </cell>
          <cell r="L1393">
            <v>0</v>
          </cell>
          <cell r="M1393">
            <v>0</v>
          </cell>
          <cell r="N1393">
            <v>0</v>
          </cell>
          <cell r="O1393">
            <v>42228</v>
          </cell>
          <cell r="P1393">
            <v>0</v>
          </cell>
          <cell r="Q1393">
            <v>0</v>
          </cell>
          <cell r="R1393">
            <v>0</v>
          </cell>
          <cell r="S1393">
            <v>0</v>
          </cell>
          <cell r="T1393">
            <v>0</v>
          </cell>
          <cell r="U1393">
            <v>0</v>
          </cell>
          <cell r="V1393">
            <v>0</v>
          </cell>
          <cell r="W1393">
            <v>0</v>
          </cell>
          <cell r="X1393" t="str">
            <v/>
          </cell>
          <cell r="Y1393" t="str">
            <v/>
          </cell>
          <cell r="Z1393" t="str">
            <v/>
          </cell>
          <cell r="AA1393" t="str">
            <v>⑦</v>
          </cell>
          <cell r="AB1393" t="str">
            <v/>
          </cell>
          <cell r="AC1393" t="str">
            <v/>
          </cell>
          <cell r="AD1393" t="str">
            <v/>
          </cell>
          <cell r="AE1393" t="str">
            <v/>
          </cell>
          <cell r="AF1393" t="str">
            <v/>
          </cell>
          <cell r="AG1393" t="str">
            <v/>
          </cell>
          <cell r="AH1393" t="str">
            <v/>
          </cell>
          <cell r="AI1393" t="str">
            <v/>
          </cell>
        </row>
        <row r="1394">
          <cell r="B1394">
            <v>7007</v>
          </cell>
          <cell r="C1394">
            <v>70</v>
          </cell>
          <cell r="D1394">
            <v>7</v>
          </cell>
          <cell r="F1394" t="str">
            <v>三島</v>
          </cell>
          <cell r="G1394" t="str">
            <v>ハロゲン消火(総合)</v>
          </cell>
          <cell r="H1394" t="str">
            <v>ホーチキ</v>
          </cell>
          <cell r="I1394">
            <v>116100</v>
          </cell>
          <cell r="J1394">
            <v>118422</v>
          </cell>
          <cell r="K1394">
            <v>1</v>
          </cell>
          <cell r="L1394">
            <v>0</v>
          </cell>
          <cell r="M1394">
            <v>0</v>
          </cell>
          <cell r="N1394">
            <v>0</v>
          </cell>
          <cell r="O1394">
            <v>0</v>
          </cell>
          <cell r="P1394">
            <v>0</v>
          </cell>
          <cell r="Q1394">
            <v>0</v>
          </cell>
          <cell r="R1394">
            <v>0</v>
          </cell>
          <cell r="S1394">
            <v>0</v>
          </cell>
          <cell r="T1394">
            <v>0</v>
          </cell>
          <cell r="U1394">
            <v>118422</v>
          </cell>
          <cell r="V1394">
            <v>0</v>
          </cell>
          <cell r="W1394">
            <v>0</v>
          </cell>
          <cell r="X1394" t="str">
            <v/>
          </cell>
          <cell r="Y1394" t="str">
            <v/>
          </cell>
          <cell r="Z1394" t="str">
            <v/>
          </cell>
          <cell r="AA1394" t="str">
            <v/>
          </cell>
          <cell r="AB1394" t="str">
            <v/>
          </cell>
          <cell r="AC1394" t="str">
            <v/>
          </cell>
          <cell r="AD1394" t="str">
            <v/>
          </cell>
          <cell r="AE1394" t="str">
            <v/>
          </cell>
          <cell r="AF1394" t="str">
            <v/>
          </cell>
          <cell r="AG1394" t="str">
            <v>①</v>
          </cell>
          <cell r="AH1394" t="str">
            <v/>
          </cell>
          <cell r="AI1394" t="str">
            <v/>
          </cell>
        </row>
        <row r="1395">
          <cell r="B1395">
            <v>7008</v>
          </cell>
          <cell r="C1395">
            <v>70</v>
          </cell>
          <cell r="D1395">
            <v>8</v>
          </cell>
          <cell r="F1395" t="str">
            <v>三島</v>
          </cell>
          <cell r="G1395" t="str">
            <v>非常放送(外観)</v>
          </cell>
          <cell r="H1395" t="str">
            <v>ホーチキ</v>
          </cell>
          <cell r="I1395">
            <v>24300</v>
          </cell>
          <cell r="J1395">
            <v>24786</v>
          </cell>
          <cell r="K1395">
            <v>1</v>
          </cell>
          <cell r="L1395">
            <v>0</v>
          </cell>
          <cell r="M1395">
            <v>0</v>
          </cell>
          <cell r="N1395">
            <v>0</v>
          </cell>
          <cell r="O1395">
            <v>24786</v>
          </cell>
          <cell r="P1395">
            <v>0</v>
          </cell>
          <cell r="Q1395">
            <v>0</v>
          </cell>
          <cell r="R1395">
            <v>0</v>
          </cell>
          <cell r="S1395">
            <v>0</v>
          </cell>
          <cell r="T1395">
            <v>0</v>
          </cell>
          <cell r="U1395">
            <v>0</v>
          </cell>
          <cell r="V1395">
            <v>0</v>
          </cell>
          <cell r="W1395">
            <v>0</v>
          </cell>
          <cell r="X1395" t="str">
            <v/>
          </cell>
          <cell r="Y1395" t="str">
            <v/>
          </cell>
          <cell r="Z1395" t="str">
            <v/>
          </cell>
          <cell r="AA1395" t="str">
            <v>⑦</v>
          </cell>
          <cell r="AB1395" t="str">
            <v/>
          </cell>
          <cell r="AC1395" t="str">
            <v/>
          </cell>
          <cell r="AD1395" t="str">
            <v/>
          </cell>
          <cell r="AE1395" t="str">
            <v/>
          </cell>
          <cell r="AF1395" t="str">
            <v/>
          </cell>
          <cell r="AG1395" t="str">
            <v/>
          </cell>
          <cell r="AH1395" t="str">
            <v/>
          </cell>
          <cell r="AI1395" t="str">
            <v/>
          </cell>
        </row>
        <row r="1396">
          <cell r="B1396">
            <v>7009</v>
          </cell>
          <cell r="C1396">
            <v>70</v>
          </cell>
          <cell r="D1396">
            <v>9</v>
          </cell>
          <cell r="F1396" t="str">
            <v>三島</v>
          </cell>
          <cell r="G1396" t="str">
            <v>非常放送(総合)</v>
          </cell>
          <cell r="H1396" t="str">
            <v>ホーチキ</v>
          </cell>
          <cell r="I1396">
            <v>30600</v>
          </cell>
          <cell r="J1396">
            <v>31212</v>
          </cell>
          <cell r="K1396">
            <v>1</v>
          </cell>
          <cell r="L1396">
            <v>0</v>
          </cell>
          <cell r="M1396">
            <v>0</v>
          </cell>
          <cell r="N1396">
            <v>0</v>
          </cell>
          <cell r="O1396">
            <v>0</v>
          </cell>
          <cell r="P1396">
            <v>0</v>
          </cell>
          <cell r="Q1396">
            <v>0</v>
          </cell>
          <cell r="R1396">
            <v>0</v>
          </cell>
          <cell r="S1396">
            <v>0</v>
          </cell>
          <cell r="T1396">
            <v>0</v>
          </cell>
          <cell r="U1396">
            <v>31212</v>
          </cell>
          <cell r="V1396">
            <v>0</v>
          </cell>
          <cell r="W1396">
            <v>0</v>
          </cell>
          <cell r="X1396" t="str">
            <v/>
          </cell>
          <cell r="Y1396" t="str">
            <v/>
          </cell>
          <cell r="Z1396" t="str">
            <v/>
          </cell>
          <cell r="AA1396" t="str">
            <v/>
          </cell>
          <cell r="AB1396" t="str">
            <v/>
          </cell>
          <cell r="AC1396" t="str">
            <v/>
          </cell>
          <cell r="AD1396" t="str">
            <v/>
          </cell>
          <cell r="AE1396" t="str">
            <v/>
          </cell>
          <cell r="AF1396" t="str">
            <v/>
          </cell>
          <cell r="AG1396" t="str">
            <v>①</v>
          </cell>
          <cell r="AH1396" t="str">
            <v/>
          </cell>
          <cell r="AI1396" t="str">
            <v/>
          </cell>
        </row>
        <row r="1397">
          <cell r="B1397">
            <v>7010</v>
          </cell>
          <cell r="C1397">
            <v>70</v>
          </cell>
          <cell r="D1397">
            <v>10</v>
          </cell>
          <cell r="F1397" t="str">
            <v>三島</v>
          </cell>
          <cell r="G1397" t="str">
            <v>誘導灯(外観)</v>
          </cell>
          <cell r="H1397" t="str">
            <v>ホーチキ</v>
          </cell>
          <cell r="I1397">
            <v>4500</v>
          </cell>
          <cell r="J1397">
            <v>4590</v>
          </cell>
          <cell r="K1397">
            <v>2</v>
          </cell>
          <cell r="L1397">
            <v>0</v>
          </cell>
          <cell r="M1397">
            <v>0</v>
          </cell>
          <cell r="N1397">
            <v>0</v>
          </cell>
          <cell r="O1397">
            <v>4590</v>
          </cell>
          <cell r="P1397">
            <v>0</v>
          </cell>
          <cell r="Q1397">
            <v>0</v>
          </cell>
          <cell r="R1397">
            <v>0</v>
          </cell>
          <cell r="S1397">
            <v>0</v>
          </cell>
          <cell r="T1397">
            <v>0</v>
          </cell>
          <cell r="U1397">
            <v>4590</v>
          </cell>
          <cell r="V1397">
            <v>0</v>
          </cell>
          <cell r="W1397">
            <v>0</v>
          </cell>
          <cell r="X1397" t="str">
            <v/>
          </cell>
          <cell r="Y1397" t="str">
            <v/>
          </cell>
          <cell r="Z1397" t="str">
            <v/>
          </cell>
          <cell r="AA1397" t="str">
            <v>⑦</v>
          </cell>
          <cell r="AB1397" t="str">
            <v/>
          </cell>
          <cell r="AC1397" t="str">
            <v/>
          </cell>
          <cell r="AD1397" t="str">
            <v/>
          </cell>
          <cell r="AE1397" t="str">
            <v/>
          </cell>
          <cell r="AF1397" t="str">
            <v/>
          </cell>
          <cell r="AG1397" t="str">
            <v>①</v>
          </cell>
          <cell r="AH1397" t="str">
            <v/>
          </cell>
          <cell r="AI1397" t="str">
            <v/>
          </cell>
        </row>
        <row r="1398">
          <cell r="B1398">
            <v>7011</v>
          </cell>
          <cell r="C1398">
            <v>70</v>
          </cell>
          <cell r="D1398">
            <v>11</v>
          </cell>
          <cell r="F1398" t="str">
            <v>三島</v>
          </cell>
          <cell r="G1398" t="str">
            <v>Ｐ型防排煙制御(外観)</v>
          </cell>
          <cell r="H1398" t="str">
            <v>ホーチキ</v>
          </cell>
          <cell r="I1398">
            <v>47700</v>
          </cell>
          <cell r="J1398">
            <v>48654</v>
          </cell>
          <cell r="K1398">
            <v>1</v>
          </cell>
          <cell r="L1398">
            <v>0</v>
          </cell>
          <cell r="M1398">
            <v>0</v>
          </cell>
          <cell r="N1398">
            <v>0</v>
          </cell>
          <cell r="O1398">
            <v>48654</v>
          </cell>
          <cell r="P1398">
            <v>0</v>
          </cell>
          <cell r="Q1398">
            <v>0</v>
          </cell>
          <cell r="R1398">
            <v>0</v>
          </cell>
          <cell r="S1398">
            <v>0</v>
          </cell>
          <cell r="T1398">
            <v>0</v>
          </cell>
          <cell r="U1398">
            <v>0</v>
          </cell>
          <cell r="V1398">
            <v>0</v>
          </cell>
          <cell r="W1398">
            <v>0</v>
          </cell>
          <cell r="X1398" t="str">
            <v/>
          </cell>
          <cell r="Y1398" t="str">
            <v/>
          </cell>
          <cell r="Z1398" t="str">
            <v/>
          </cell>
          <cell r="AA1398" t="str">
            <v>⑦</v>
          </cell>
          <cell r="AB1398" t="str">
            <v/>
          </cell>
          <cell r="AC1398" t="str">
            <v/>
          </cell>
          <cell r="AD1398" t="str">
            <v/>
          </cell>
          <cell r="AE1398" t="str">
            <v/>
          </cell>
          <cell r="AF1398" t="str">
            <v/>
          </cell>
          <cell r="AG1398" t="str">
            <v/>
          </cell>
          <cell r="AH1398" t="str">
            <v/>
          </cell>
          <cell r="AI1398" t="str">
            <v/>
          </cell>
        </row>
        <row r="1399">
          <cell r="B1399">
            <v>7012</v>
          </cell>
          <cell r="C1399">
            <v>70</v>
          </cell>
          <cell r="D1399">
            <v>12</v>
          </cell>
          <cell r="F1399" t="str">
            <v>三島</v>
          </cell>
          <cell r="G1399" t="str">
            <v>Ｐ型防排煙制御(総合)</v>
          </cell>
          <cell r="H1399" t="str">
            <v>ホーチキ</v>
          </cell>
          <cell r="I1399">
            <v>83700</v>
          </cell>
          <cell r="J1399">
            <v>85374</v>
          </cell>
          <cell r="K1399">
            <v>1</v>
          </cell>
          <cell r="L1399">
            <v>0</v>
          </cell>
          <cell r="M1399">
            <v>0</v>
          </cell>
          <cell r="N1399">
            <v>0</v>
          </cell>
          <cell r="O1399">
            <v>0</v>
          </cell>
          <cell r="P1399">
            <v>0</v>
          </cell>
          <cell r="Q1399">
            <v>0</v>
          </cell>
          <cell r="R1399">
            <v>0</v>
          </cell>
          <cell r="S1399">
            <v>0</v>
          </cell>
          <cell r="T1399">
            <v>0</v>
          </cell>
          <cell r="U1399">
            <v>85374</v>
          </cell>
          <cell r="V1399">
            <v>0</v>
          </cell>
          <cell r="W1399">
            <v>0</v>
          </cell>
          <cell r="X1399" t="str">
            <v/>
          </cell>
          <cell r="Y1399" t="str">
            <v/>
          </cell>
          <cell r="Z1399" t="str">
            <v/>
          </cell>
          <cell r="AA1399" t="str">
            <v/>
          </cell>
          <cell r="AB1399" t="str">
            <v/>
          </cell>
          <cell r="AC1399" t="str">
            <v/>
          </cell>
          <cell r="AD1399" t="str">
            <v/>
          </cell>
          <cell r="AE1399" t="str">
            <v/>
          </cell>
          <cell r="AF1399" t="str">
            <v/>
          </cell>
          <cell r="AG1399" t="str">
            <v>①</v>
          </cell>
          <cell r="AH1399" t="str">
            <v/>
          </cell>
          <cell r="AI1399" t="str">
            <v/>
          </cell>
        </row>
        <row r="1400">
          <cell r="B1400">
            <v>7013</v>
          </cell>
          <cell r="C1400">
            <v>70</v>
          </cell>
          <cell r="D1400">
            <v>13</v>
          </cell>
          <cell r="F1400" t="str">
            <v>三島</v>
          </cell>
          <cell r="G1400" t="str">
            <v>連結送水管(外観)</v>
          </cell>
          <cell r="H1400" t="str">
            <v>ホーチキ</v>
          </cell>
          <cell r="I1400">
            <v>7200</v>
          </cell>
          <cell r="J1400">
            <v>7344</v>
          </cell>
          <cell r="K1400">
            <v>1</v>
          </cell>
          <cell r="L1400">
            <v>0</v>
          </cell>
          <cell r="M1400">
            <v>0</v>
          </cell>
          <cell r="N1400">
            <v>0</v>
          </cell>
          <cell r="O1400">
            <v>7344</v>
          </cell>
          <cell r="P1400">
            <v>0</v>
          </cell>
          <cell r="Q1400">
            <v>0</v>
          </cell>
          <cell r="R1400">
            <v>0</v>
          </cell>
          <cell r="S1400">
            <v>0</v>
          </cell>
          <cell r="T1400">
            <v>0</v>
          </cell>
          <cell r="U1400">
            <v>0</v>
          </cell>
          <cell r="V1400">
            <v>0</v>
          </cell>
          <cell r="W1400">
            <v>0</v>
          </cell>
          <cell r="X1400" t="str">
            <v/>
          </cell>
          <cell r="Y1400" t="str">
            <v/>
          </cell>
          <cell r="Z1400" t="str">
            <v/>
          </cell>
          <cell r="AA1400" t="str">
            <v>⑦</v>
          </cell>
          <cell r="AB1400" t="str">
            <v/>
          </cell>
          <cell r="AC1400" t="str">
            <v/>
          </cell>
          <cell r="AD1400" t="str">
            <v/>
          </cell>
          <cell r="AE1400" t="str">
            <v/>
          </cell>
          <cell r="AF1400" t="str">
            <v/>
          </cell>
          <cell r="AG1400" t="str">
            <v/>
          </cell>
          <cell r="AH1400" t="str">
            <v/>
          </cell>
          <cell r="AI1400" t="str">
            <v/>
          </cell>
        </row>
        <row r="1401">
          <cell r="B1401">
            <v>7014</v>
          </cell>
          <cell r="C1401">
            <v>70</v>
          </cell>
          <cell r="D1401">
            <v>14</v>
          </cell>
          <cell r="F1401" t="str">
            <v>三島</v>
          </cell>
          <cell r="G1401" t="str">
            <v>連結送水管(総合)</v>
          </cell>
          <cell r="H1401" t="str">
            <v>ホーチキ</v>
          </cell>
          <cell r="I1401">
            <v>7200</v>
          </cell>
          <cell r="J1401">
            <v>7344</v>
          </cell>
          <cell r="K1401">
            <v>1</v>
          </cell>
          <cell r="L1401">
            <v>0</v>
          </cell>
          <cell r="M1401">
            <v>0</v>
          </cell>
          <cell r="N1401">
            <v>0</v>
          </cell>
          <cell r="O1401">
            <v>0</v>
          </cell>
          <cell r="P1401">
            <v>0</v>
          </cell>
          <cell r="Q1401">
            <v>0</v>
          </cell>
          <cell r="R1401">
            <v>0</v>
          </cell>
          <cell r="S1401">
            <v>0</v>
          </cell>
          <cell r="T1401">
            <v>0</v>
          </cell>
          <cell r="U1401">
            <v>7344</v>
          </cell>
          <cell r="V1401">
            <v>0</v>
          </cell>
          <cell r="W1401">
            <v>0</v>
          </cell>
          <cell r="X1401" t="str">
            <v/>
          </cell>
          <cell r="Y1401" t="str">
            <v/>
          </cell>
          <cell r="Z1401" t="str">
            <v/>
          </cell>
          <cell r="AA1401" t="str">
            <v/>
          </cell>
          <cell r="AB1401" t="str">
            <v/>
          </cell>
          <cell r="AC1401" t="str">
            <v/>
          </cell>
          <cell r="AD1401" t="str">
            <v/>
          </cell>
          <cell r="AE1401" t="str">
            <v/>
          </cell>
          <cell r="AF1401" t="str">
            <v/>
          </cell>
          <cell r="AG1401" t="str">
            <v>①</v>
          </cell>
          <cell r="AH1401" t="str">
            <v/>
          </cell>
          <cell r="AI1401" t="str">
            <v/>
          </cell>
        </row>
        <row r="1402">
          <cell r="B1402">
            <v>7015</v>
          </cell>
          <cell r="C1402">
            <v>70</v>
          </cell>
          <cell r="D1402">
            <v>15</v>
          </cell>
          <cell r="F1402" t="str">
            <v>三島</v>
          </cell>
          <cell r="G1402" t="str">
            <v>Ｐ型自火報(外観)</v>
          </cell>
          <cell r="H1402" t="str">
            <v>ホーチキ</v>
          </cell>
          <cell r="I1402">
            <v>38700</v>
          </cell>
          <cell r="J1402">
            <v>39474</v>
          </cell>
          <cell r="K1402">
            <v>1</v>
          </cell>
          <cell r="L1402">
            <v>0</v>
          </cell>
          <cell r="M1402">
            <v>0</v>
          </cell>
          <cell r="N1402">
            <v>0</v>
          </cell>
          <cell r="O1402">
            <v>39474</v>
          </cell>
          <cell r="P1402">
            <v>0</v>
          </cell>
          <cell r="Q1402">
            <v>0</v>
          </cell>
          <cell r="R1402">
            <v>0</v>
          </cell>
          <cell r="S1402">
            <v>0</v>
          </cell>
          <cell r="T1402">
            <v>0</v>
          </cell>
          <cell r="U1402">
            <v>0</v>
          </cell>
          <cell r="V1402">
            <v>0</v>
          </cell>
          <cell r="W1402">
            <v>0</v>
          </cell>
          <cell r="X1402" t="str">
            <v/>
          </cell>
          <cell r="Y1402" t="str">
            <v/>
          </cell>
          <cell r="Z1402" t="str">
            <v/>
          </cell>
          <cell r="AA1402" t="str">
            <v>⑦</v>
          </cell>
          <cell r="AB1402" t="str">
            <v/>
          </cell>
          <cell r="AC1402" t="str">
            <v/>
          </cell>
          <cell r="AD1402" t="str">
            <v/>
          </cell>
          <cell r="AE1402" t="str">
            <v/>
          </cell>
          <cell r="AF1402" t="str">
            <v/>
          </cell>
          <cell r="AG1402" t="str">
            <v/>
          </cell>
          <cell r="AH1402" t="str">
            <v/>
          </cell>
          <cell r="AI1402" t="str">
            <v/>
          </cell>
        </row>
        <row r="1403">
          <cell r="B1403">
            <v>7016</v>
          </cell>
          <cell r="C1403">
            <v>70</v>
          </cell>
          <cell r="D1403">
            <v>16</v>
          </cell>
          <cell r="F1403" t="str">
            <v>三島</v>
          </cell>
          <cell r="G1403" t="str">
            <v>Ｐ型自火報(総合)</v>
          </cell>
          <cell r="H1403" t="str">
            <v>ホーチキ</v>
          </cell>
          <cell r="I1403">
            <v>65700</v>
          </cell>
          <cell r="J1403">
            <v>67014</v>
          </cell>
          <cell r="K1403">
            <v>1</v>
          </cell>
          <cell r="L1403">
            <v>0</v>
          </cell>
          <cell r="M1403">
            <v>0</v>
          </cell>
          <cell r="N1403">
            <v>0</v>
          </cell>
          <cell r="O1403">
            <v>0</v>
          </cell>
          <cell r="P1403">
            <v>0</v>
          </cell>
          <cell r="Q1403">
            <v>0</v>
          </cell>
          <cell r="R1403">
            <v>0</v>
          </cell>
          <cell r="S1403">
            <v>0</v>
          </cell>
          <cell r="T1403">
            <v>0</v>
          </cell>
          <cell r="U1403">
            <v>67014</v>
          </cell>
          <cell r="V1403">
            <v>0</v>
          </cell>
          <cell r="W1403">
            <v>0</v>
          </cell>
          <cell r="X1403" t="str">
            <v/>
          </cell>
          <cell r="Y1403" t="str">
            <v/>
          </cell>
          <cell r="Z1403" t="str">
            <v/>
          </cell>
          <cell r="AA1403" t="str">
            <v/>
          </cell>
          <cell r="AB1403" t="str">
            <v/>
          </cell>
          <cell r="AC1403" t="str">
            <v/>
          </cell>
          <cell r="AD1403" t="str">
            <v/>
          </cell>
          <cell r="AE1403" t="str">
            <v/>
          </cell>
          <cell r="AF1403" t="str">
            <v/>
          </cell>
          <cell r="AG1403" t="str">
            <v>①</v>
          </cell>
          <cell r="AH1403" t="str">
            <v/>
          </cell>
          <cell r="AI1403" t="str">
            <v/>
          </cell>
        </row>
        <row r="1404">
          <cell r="B1404">
            <v>7017</v>
          </cell>
          <cell r="C1404">
            <v>70</v>
          </cell>
          <cell r="D1404">
            <v>17</v>
          </cell>
          <cell r="F1404" t="str">
            <v>三島</v>
          </cell>
          <cell r="G1404" t="str">
            <v>害虫駆除</v>
          </cell>
          <cell r="H1404" t="str">
            <v>ダスキンﾀｰﾐﾈｯｸｽｷﾐｻﾜ</v>
          </cell>
          <cell r="I1404">
            <v>49050</v>
          </cell>
          <cell r="J1404">
            <v>55045</v>
          </cell>
          <cell r="K1404">
            <v>2</v>
          </cell>
          <cell r="L1404">
            <v>0</v>
          </cell>
          <cell r="M1404">
            <v>0</v>
          </cell>
          <cell r="N1404">
            <v>55045</v>
          </cell>
          <cell r="O1404">
            <v>0</v>
          </cell>
          <cell r="P1404">
            <v>0</v>
          </cell>
          <cell r="Q1404">
            <v>0</v>
          </cell>
          <cell r="R1404">
            <v>0</v>
          </cell>
          <cell r="S1404">
            <v>55045</v>
          </cell>
          <cell r="T1404">
            <v>0</v>
          </cell>
          <cell r="U1404">
            <v>0</v>
          </cell>
          <cell r="V1404">
            <v>0</v>
          </cell>
          <cell r="W1404">
            <v>0</v>
          </cell>
          <cell r="X1404" t="str">
            <v/>
          </cell>
          <cell r="Y1404" t="str">
            <v/>
          </cell>
          <cell r="Z1404" t="str">
            <v>⑥</v>
          </cell>
          <cell r="AA1404" t="str">
            <v/>
          </cell>
          <cell r="AB1404" t="str">
            <v/>
          </cell>
          <cell r="AC1404" t="str">
            <v/>
          </cell>
          <cell r="AD1404" t="str">
            <v/>
          </cell>
          <cell r="AE1404" t="str">
            <v>⑪</v>
          </cell>
          <cell r="AG1404" t="str">
            <v/>
          </cell>
          <cell r="AH1404" t="str">
            <v/>
          </cell>
          <cell r="AI1404" t="str">
            <v/>
          </cell>
          <cell r="AJ1404" t="str">
            <v>変</v>
          </cell>
        </row>
        <row r="1405">
          <cell r="B1405">
            <v>7018</v>
          </cell>
          <cell r="C1405">
            <v>70</v>
          </cell>
          <cell r="D1405">
            <v>18</v>
          </cell>
          <cell r="F1405" t="str">
            <v>三島</v>
          </cell>
          <cell r="G1405" t="str">
            <v>汚水槽清掃</v>
          </cell>
          <cell r="H1405" t="str">
            <v>東海ビル保善</v>
          </cell>
          <cell r="I1405">
            <v>30800</v>
          </cell>
          <cell r="J1405">
            <v>34496</v>
          </cell>
          <cell r="K1405">
            <v>2</v>
          </cell>
          <cell r="L1405">
            <v>0</v>
          </cell>
          <cell r="M1405">
            <v>0</v>
          </cell>
          <cell r="N1405">
            <v>0</v>
          </cell>
          <cell r="O1405">
            <v>34496</v>
          </cell>
          <cell r="P1405">
            <v>0</v>
          </cell>
          <cell r="Q1405">
            <v>0</v>
          </cell>
          <cell r="R1405">
            <v>0</v>
          </cell>
          <cell r="S1405">
            <v>0</v>
          </cell>
          <cell r="T1405">
            <v>0</v>
          </cell>
          <cell r="U1405">
            <v>34496</v>
          </cell>
          <cell r="V1405">
            <v>0</v>
          </cell>
          <cell r="W1405">
            <v>0</v>
          </cell>
          <cell r="X1405" t="str">
            <v/>
          </cell>
          <cell r="Y1405" t="str">
            <v/>
          </cell>
          <cell r="Z1405" t="str">
            <v/>
          </cell>
          <cell r="AA1405" t="str">
            <v>⑦</v>
          </cell>
          <cell r="AB1405" t="str">
            <v/>
          </cell>
          <cell r="AC1405" t="str">
            <v/>
          </cell>
          <cell r="AD1405" t="str">
            <v/>
          </cell>
          <cell r="AE1405" t="str">
            <v/>
          </cell>
          <cell r="AF1405" t="str">
            <v/>
          </cell>
          <cell r="AG1405" t="str">
            <v>①</v>
          </cell>
          <cell r="AH1405" t="str">
            <v/>
          </cell>
          <cell r="AI1405" t="str">
            <v/>
          </cell>
        </row>
        <row r="1406">
          <cell r="B1406">
            <v>7019</v>
          </cell>
          <cell r="C1406">
            <v>70</v>
          </cell>
          <cell r="D1406">
            <v>19</v>
          </cell>
          <cell r="F1406" t="str">
            <v>三島</v>
          </cell>
          <cell r="G1406" t="str">
            <v>受水槽清掃</v>
          </cell>
          <cell r="H1406" t="str">
            <v>東海ビル保善</v>
          </cell>
          <cell r="I1406">
            <v>46200</v>
          </cell>
          <cell r="J1406">
            <v>52206</v>
          </cell>
          <cell r="K1406">
            <v>1</v>
          </cell>
          <cell r="L1406">
            <v>0</v>
          </cell>
          <cell r="M1406">
            <v>0</v>
          </cell>
          <cell r="N1406">
            <v>0</v>
          </cell>
          <cell r="O1406">
            <v>52206</v>
          </cell>
          <cell r="P1406">
            <v>0</v>
          </cell>
          <cell r="Q1406">
            <v>0</v>
          </cell>
          <cell r="R1406">
            <v>0</v>
          </cell>
          <cell r="S1406">
            <v>0</v>
          </cell>
          <cell r="T1406">
            <v>0</v>
          </cell>
          <cell r="U1406">
            <v>0</v>
          </cell>
          <cell r="V1406">
            <v>0</v>
          </cell>
          <cell r="W1406">
            <v>0</v>
          </cell>
          <cell r="X1406" t="str">
            <v/>
          </cell>
          <cell r="Y1406" t="str">
            <v/>
          </cell>
          <cell r="Z1406" t="str">
            <v/>
          </cell>
          <cell r="AA1406" t="str">
            <v>⑦</v>
          </cell>
          <cell r="AB1406" t="str">
            <v/>
          </cell>
          <cell r="AC1406" t="str">
            <v/>
          </cell>
          <cell r="AD1406" t="str">
            <v/>
          </cell>
          <cell r="AE1406" t="str">
            <v/>
          </cell>
          <cell r="AF1406" t="str">
            <v/>
          </cell>
          <cell r="AG1406" t="str">
            <v/>
          </cell>
          <cell r="AH1406" t="str">
            <v/>
          </cell>
          <cell r="AI1406" t="str">
            <v/>
          </cell>
        </row>
        <row r="1407">
          <cell r="B1407">
            <v>7020</v>
          </cell>
          <cell r="C1407">
            <v>70</v>
          </cell>
          <cell r="D1407">
            <v>20</v>
          </cell>
          <cell r="F1407" t="str">
            <v>三島</v>
          </cell>
          <cell r="G1407" t="str">
            <v>自動ドアー保守</v>
          </cell>
          <cell r="H1407" t="str">
            <v>オートドアメンテナンス</v>
          </cell>
          <cell r="I1407">
            <v>45000</v>
          </cell>
          <cell r="J1407">
            <v>45900</v>
          </cell>
          <cell r="K1407">
            <v>1</v>
          </cell>
          <cell r="L1407">
            <v>0</v>
          </cell>
          <cell r="M1407">
            <v>0</v>
          </cell>
          <cell r="N1407">
            <v>0</v>
          </cell>
          <cell r="O1407">
            <v>45900</v>
          </cell>
          <cell r="P1407">
            <v>0</v>
          </cell>
          <cell r="Q1407">
            <v>0</v>
          </cell>
          <cell r="R1407">
            <v>0</v>
          </cell>
          <cell r="S1407">
            <v>0</v>
          </cell>
          <cell r="T1407">
            <v>0</v>
          </cell>
          <cell r="U1407">
            <v>0</v>
          </cell>
          <cell r="V1407">
            <v>0</v>
          </cell>
          <cell r="W1407">
            <v>0</v>
          </cell>
          <cell r="X1407" t="str">
            <v/>
          </cell>
          <cell r="Y1407" t="str">
            <v/>
          </cell>
          <cell r="Z1407" t="str">
            <v/>
          </cell>
          <cell r="AA1407" t="str">
            <v>⑦</v>
          </cell>
          <cell r="AB1407" t="str">
            <v/>
          </cell>
          <cell r="AC1407" t="str">
            <v/>
          </cell>
          <cell r="AD1407" t="str">
            <v/>
          </cell>
          <cell r="AE1407" t="str">
            <v/>
          </cell>
          <cell r="AF1407" t="str">
            <v/>
          </cell>
          <cell r="AG1407" t="str">
            <v/>
          </cell>
          <cell r="AH1407" t="str">
            <v/>
          </cell>
          <cell r="AI1407" t="str">
            <v/>
          </cell>
        </row>
        <row r="1408">
          <cell r="B1408">
            <v>7021</v>
          </cell>
          <cell r="C1408">
            <v>70</v>
          </cell>
          <cell r="D1408">
            <v>21</v>
          </cell>
          <cell r="F1408" t="str">
            <v>三島</v>
          </cell>
          <cell r="G1408" t="str">
            <v>空調機設備保守</v>
          </cell>
          <cell r="H1408" t="str">
            <v>菱電商事</v>
          </cell>
          <cell r="I1408">
            <v>160000</v>
          </cell>
          <cell r="J1408">
            <v>166800</v>
          </cell>
          <cell r="K1408">
            <v>3</v>
          </cell>
          <cell r="L1408">
            <v>166800</v>
          </cell>
          <cell r="M1408">
            <v>0</v>
          </cell>
          <cell r="N1408">
            <v>0</v>
          </cell>
          <cell r="O1408">
            <v>0</v>
          </cell>
          <cell r="P1408">
            <v>0</v>
          </cell>
          <cell r="Q1408">
            <v>166800</v>
          </cell>
          <cell r="R1408">
            <v>0</v>
          </cell>
          <cell r="S1408">
            <v>0</v>
          </cell>
          <cell r="T1408">
            <v>166800</v>
          </cell>
          <cell r="U1408">
            <v>0</v>
          </cell>
          <cell r="V1408">
            <v>0</v>
          </cell>
          <cell r="W1408">
            <v>0</v>
          </cell>
          <cell r="X1408" t="str">
            <v>④</v>
          </cell>
          <cell r="Y1408" t="str">
            <v/>
          </cell>
          <cell r="AA1408" t="str">
            <v/>
          </cell>
          <cell r="AC1408" t="str">
            <v>⑨</v>
          </cell>
          <cell r="AD1408" t="str">
            <v/>
          </cell>
          <cell r="AE1408" t="str">
            <v/>
          </cell>
          <cell r="AF1408" t="str">
            <v>⑫</v>
          </cell>
          <cell r="AG1408" t="str">
            <v/>
          </cell>
          <cell r="AH1408" t="str">
            <v/>
          </cell>
          <cell r="AI1408" t="str">
            <v/>
          </cell>
          <cell r="AJ1408" t="str">
            <v>変</v>
          </cell>
        </row>
        <row r="1409">
          <cell r="B1409">
            <v>7022</v>
          </cell>
          <cell r="C1409">
            <v>70</v>
          </cell>
          <cell r="D1409">
            <v>22</v>
          </cell>
          <cell r="F1409" t="str">
            <v>三島</v>
          </cell>
          <cell r="G1409" t="str">
            <v>植木･植栽管理</v>
          </cell>
          <cell r="H1409" t="str">
            <v>柏木植物園</v>
          </cell>
          <cell r="I1409">
            <v>61550</v>
          </cell>
          <cell r="J1409">
            <v>65643</v>
          </cell>
          <cell r="K1409">
            <v>2</v>
          </cell>
          <cell r="L1409">
            <v>0</v>
          </cell>
          <cell r="M1409">
            <v>0</v>
          </cell>
          <cell r="N1409">
            <v>65643</v>
          </cell>
          <cell r="O1409">
            <v>0</v>
          </cell>
          <cell r="P1409">
            <v>0</v>
          </cell>
          <cell r="Q1409">
            <v>0</v>
          </cell>
          <cell r="R1409">
            <v>0</v>
          </cell>
          <cell r="S1409">
            <v>0</v>
          </cell>
          <cell r="T1409">
            <v>65643</v>
          </cell>
          <cell r="U1409">
            <v>0</v>
          </cell>
          <cell r="V1409">
            <v>0</v>
          </cell>
          <cell r="W1409">
            <v>0</v>
          </cell>
          <cell r="X1409" t="str">
            <v/>
          </cell>
          <cell r="Y1409" t="str">
            <v/>
          </cell>
          <cell r="Z1409" t="str">
            <v>⑥</v>
          </cell>
          <cell r="AA1409" t="str">
            <v/>
          </cell>
          <cell r="AB1409" t="str">
            <v/>
          </cell>
          <cell r="AC1409" t="str">
            <v/>
          </cell>
          <cell r="AD1409" t="str">
            <v/>
          </cell>
          <cell r="AE1409" t="str">
            <v/>
          </cell>
          <cell r="AF1409" t="str">
            <v>⑫</v>
          </cell>
          <cell r="AG1409" t="str">
            <v/>
          </cell>
          <cell r="AH1409" t="str">
            <v/>
          </cell>
          <cell r="AI1409" t="str">
            <v/>
          </cell>
          <cell r="AJ1409" t="str">
            <v>変</v>
          </cell>
        </row>
        <row r="1410">
          <cell r="B1410">
            <v>7023</v>
          </cell>
          <cell r="C1410">
            <v>70</v>
          </cell>
          <cell r="D1410">
            <v>23</v>
          </cell>
          <cell r="F1410" t="str">
            <v>三島</v>
          </cell>
          <cell r="G1410" t="str">
            <v>電動シャッター保守点検</v>
          </cell>
          <cell r="H1410" t="str">
            <v>文化シヤッター</v>
          </cell>
          <cell r="I1410">
            <v>38000</v>
          </cell>
          <cell r="J1410">
            <v>43700</v>
          </cell>
          <cell r="K1410">
            <v>1</v>
          </cell>
          <cell r="L1410">
            <v>0</v>
          </cell>
          <cell r="M1410">
            <v>0</v>
          </cell>
          <cell r="N1410">
            <v>0</v>
          </cell>
          <cell r="O1410">
            <v>0</v>
          </cell>
          <cell r="P1410">
            <v>0</v>
          </cell>
          <cell r="Q1410">
            <v>0</v>
          </cell>
          <cell r="R1410">
            <v>0</v>
          </cell>
          <cell r="S1410">
            <v>43700</v>
          </cell>
          <cell r="T1410">
            <v>0</v>
          </cell>
          <cell r="U1410">
            <v>0</v>
          </cell>
          <cell r="V1410">
            <v>0</v>
          </cell>
          <cell r="W1410">
            <v>0</v>
          </cell>
          <cell r="X1410" t="str">
            <v/>
          </cell>
          <cell r="Y1410" t="str">
            <v/>
          </cell>
          <cell r="Z1410" t="str">
            <v/>
          </cell>
          <cell r="AA1410" t="str">
            <v/>
          </cell>
          <cell r="AB1410" t="str">
            <v/>
          </cell>
          <cell r="AC1410" t="str">
            <v/>
          </cell>
          <cell r="AD1410" t="str">
            <v/>
          </cell>
          <cell r="AE1410" t="str">
            <v>⑪</v>
          </cell>
          <cell r="AF1410" t="str">
            <v/>
          </cell>
          <cell r="AG1410" t="str">
            <v/>
          </cell>
          <cell r="AH1410" t="str">
            <v/>
          </cell>
          <cell r="AI1410" t="str">
            <v/>
          </cell>
          <cell r="AJ1410" t="str">
            <v>追</v>
          </cell>
        </row>
        <row r="1411">
          <cell r="B1411">
            <v>7101</v>
          </cell>
          <cell r="C1411">
            <v>71</v>
          </cell>
          <cell r="D1411">
            <v>1</v>
          </cell>
          <cell r="F1411" t="str">
            <v>島田</v>
          </cell>
          <cell r="G1411" t="str">
            <v>駐車場設備保守</v>
          </cell>
          <cell r="H1411" t="str">
            <v>三菱重工ﾊﾟｰｷﾝｸﾞ建設</v>
          </cell>
          <cell r="I1411">
            <v>107000</v>
          </cell>
          <cell r="J1411">
            <v>109140</v>
          </cell>
          <cell r="K1411">
            <v>12</v>
          </cell>
          <cell r="L1411">
            <v>109140</v>
          </cell>
          <cell r="M1411">
            <v>109140</v>
          </cell>
          <cell r="N1411">
            <v>109140</v>
          </cell>
          <cell r="O1411">
            <v>109140</v>
          </cell>
          <cell r="P1411">
            <v>109140</v>
          </cell>
          <cell r="Q1411">
            <v>109140</v>
          </cell>
          <cell r="R1411">
            <v>109140</v>
          </cell>
          <cell r="S1411">
            <v>109140</v>
          </cell>
          <cell r="T1411">
            <v>109140</v>
          </cell>
          <cell r="U1411">
            <v>109140</v>
          </cell>
          <cell r="V1411">
            <v>109140</v>
          </cell>
          <cell r="W1411">
            <v>109140</v>
          </cell>
          <cell r="X1411" t="str">
            <v>④</v>
          </cell>
          <cell r="Y1411" t="str">
            <v>⑤</v>
          </cell>
          <cell r="Z1411" t="str">
            <v>⑥</v>
          </cell>
          <cell r="AA1411" t="str">
            <v>⑦</v>
          </cell>
          <cell r="AB1411" t="str">
            <v>⑧</v>
          </cell>
          <cell r="AC1411" t="str">
            <v>⑨</v>
          </cell>
          <cell r="AD1411" t="str">
            <v>⑩</v>
          </cell>
          <cell r="AE1411" t="str">
            <v>⑪</v>
          </cell>
          <cell r="AF1411" t="str">
            <v>⑫</v>
          </cell>
          <cell r="AG1411" t="str">
            <v>①</v>
          </cell>
          <cell r="AH1411" t="str">
            <v>②</v>
          </cell>
          <cell r="AI1411" t="str">
            <v>③</v>
          </cell>
        </row>
        <row r="1412">
          <cell r="B1412">
            <v>7102</v>
          </cell>
          <cell r="C1412">
            <v>71</v>
          </cell>
          <cell r="D1412">
            <v>2</v>
          </cell>
          <cell r="F1412" t="str">
            <v>島田</v>
          </cell>
          <cell r="G1412" t="str">
            <v>エレベーター保守</v>
          </cell>
          <cell r="H1412" t="str">
            <v>三菱電機ﾋﾞﾙﾃｸﾉｻｰﾋﾞｽ</v>
          </cell>
          <cell r="I1412">
            <v>73200</v>
          </cell>
          <cell r="J1412">
            <v>74664</v>
          </cell>
          <cell r="K1412">
            <v>12</v>
          </cell>
          <cell r="L1412">
            <v>74664</v>
          </cell>
          <cell r="M1412">
            <v>74664</v>
          </cell>
          <cell r="N1412">
            <v>74664</v>
          </cell>
          <cell r="O1412">
            <v>74664</v>
          </cell>
          <cell r="P1412">
            <v>74664</v>
          </cell>
          <cell r="Q1412">
            <v>74664</v>
          </cell>
          <cell r="R1412">
            <v>74664</v>
          </cell>
          <cell r="S1412">
            <v>74664</v>
          </cell>
          <cell r="T1412">
            <v>74664</v>
          </cell>
          <cell r="U1412">
            <v>74664</v>
          </cell>
          <cell r="V1412">
            <v>74664</v>
          </cell>
          <cell r="W1412">
            <v>74664</v>
          </cell>
          <cell r="X1412" t="str">
            <v>④</v>
          </cell>
          <cell r="Y1412" t="str">
            <v>⑤</v>
          </cell>
          <cell r="Z1412" t="str">
            <v>⑥</v>
          </cell>
          <cell r="AA1412" t="str">
            <v>⑦</v>
          </cell>
          <cell r="AB1412" t="str">
            <v>⑧</v>
          </cell>
          <cell r="AC1412" t="str">
            <v>⑨</v>
          </cell>
          <cell r="AD1412" t="str">
            <v>⑩</v>
          </cell>
          <cell r="AE1412" t="str">
            <v>⑪</v>
          </cell>
          <cell r="AF1412" t="str">
            <v>⑫</v>
          </cell>
          <cell r="AG1412" t="str">
            <v>①</v>
          </cell>
          <cell r="AH1412" t="str">
            <v>②</v>
          </cell>
          <cell r="AI1412" t="str">
            <v>③</v>
          </cell>
        </row>
        <row r="1413">
          <cell r="B1413">
            <v>7103</v>
          </cell>
          <cell r="C1413">
            <v>71</v>
          </cell>
          <cell r="D1413">
            <v>3</v>
          </cell>
          <cell r="F1413" t="str">
            <v>島田</v>
          </cell>
          <cell r="G1413" t="str">
            <v>消火器(外観)</v>
          </cell>
          <cell r="H1413" t="str">
            <v>ホーチキ</v>
          </cell>
          <cell r="I1413">
            <v>12000</v>
          </cell>
          <cell r="J1413">
            <v>12240</v>
          </cell>
          <cell r="K1413">
            <v>2</v>
          </cell>
          <cell r="L1413">
            <v>0</v>
          </cell>
          <cell r="M1413">
            <v>0</v>
          </cell>
          <cell r="N1413">
            <v>12240</v>
          </cell>
          <cell r="O1413">
            <v>0</v>
          </cell>
          <cell r="P1413">
            <v>0</v>
          </cell>
          <cell r="Q1413">
            <v>0</v>
          </cell>
          <cell r="R1413">
            <v>0</v>
          </cell>
          <cell r="S1413">
            <v>0</v>
          </cell>
          <cell r="T1413">
            <v>12240</v>
          </cell>
          <cell r="U1413">
            <v>0</v>
          </cell>
          <cell r="V1413">
            <v>0</v>
          </cell>
          <cell r="W1413">
            <v>0</v>
          </cell>
          <cell r="X1413" t="str">
            <v/>
          </cell>
          <cell r="Y1413" t="str">
            <v/>
          </cell>
          <cell r="Z1413" t="str">
            <v>⑥</v>
          </cell>
          <cell r="AA1413" t="str">
            <v/>
          </cell>
          <cell r="AB1413" t="str">
            <v/>
          </cell>
          <cell r="AC1413" t="str">
            <v/>
          </cell>
          <cell r="AD1413" t="str">
            <v/>
          </cell>
          <cell r="AE1413" t="str">
            <v/>
          </cell>
          <cell r="AF1413" t="str">
            <v>⑫</v>
          </cell>
          <cell r="AG1413" t="str">
            <v/>
          </cell>
          <cell r="AH1413" t="str">
            <v/>
          </cell>
          <cell r="AI1413" t="str">
            <v/>
          </cell>
        </row>
        <row r="1414">
          <cell r="B1414">
            <v>7104</v>
          </cell>
          <cell r="C1414">
            <v>71</v>
          </cell>
          <cell r="D1414">
            <v>4</v>
          </cell>
          <cell r="F1414" t="str">
            <v>島田</v>
          </cell>
          <cell r="G1414" t="str">
            <v>屋内消火栓(外観)</v>
          </cell>
          <cell r="H1414" t="str">
            <v>ホーチキ</v>
          </cell>
          <cell r="I1414">
            <v>41200</v>
          </cell>
          <cell r="J1414">
            <v>42024</v>
          </cell>
          <cell r="K1414">
            <v>1</v>
          </cell>
          <cell r="L1414">
            <v>0</v>
          </cell>
          <cell r="M1414">
            <v>0</v>
          </cell>
          <cell r="N1414">
            <v>42024</v>
          </cell>
          <cell r="O1414">
            <v>0</v>
          </cell>
          <cell r="P1414">
            <v>0</v>
          </cell>
          <cell r="Q1414">
            <v>0</v>
          </cell>
          <cell r="R1414">
            <v>0</v>
          </cell>
          <cell r="S1414">
            <v>0</v>
          </cell>
          <cell r="T1414">
            <v>0</v>
          </cell>
          <cell r="U1414">
            <v>0</v>
          </cell>
          <cell r="V1414">
            <v>0</v>
          </cell>
          <cell r="W1414">
            <v>0</v>
          </cell>
          <cell r="X1414" t="str">
            <v/>
          </cell>
          <cell r="Y1414" t="str">
            <v/>
          </cell>
          <cell r="Z1414" t="str">
            <v>⑥</v>
          </cell>
          <cell r="AA1414" t="str">
            <v/>
          </cell>
          <cell r="AB1414" t="str">
            <v/>
          </cell>
          <cell r="AC1414" t="str">
            <v/>
          </cell>
          <cell r="AD1414" t="str">
            <v/>
          </cell>
          <cell r="AE1414" t="str">
            <v/>
          </cell>
          <cell r="AF1414" t="str">
            <v/>
          </cell>
          <cell r="AG1414" t="str">
            <v/>
          </cell>
          <cell r="AH1414" t="str">
            <v/>
          </cell>
          <cell r="AI1414" t="str">
            <v/>
          </cell>
        </row>
        <row r="1415">
          <cell r="B1415">
            <v>7105</v>
          </cell>
          <cell r="C1415">
            <v>71</v>
          </cell>
          <cell r="D1415">
            <v>5</v>
          </cell>
          <cell r="F1415" t="str">
            <v>島田</v>
          </cell>
          <cell r="G1415" t="str">
            <v>屋内消火栓(総合)</v>
          </cell>
          <cell r="H1415" t="str">
            <v>ホーチキ</v>
          </cell>
          <cell r="I1415">
            <v>61800</v>
          </cell>
          <cell r="J1415">
            <v>63036</v>
          </cell>
          <cell r="K1415">
            <v>1</v>
          </cell>
          <cell r="L1415">
            <v>0</v>
          </cell>
          <cell r="M1415">
            <v>0</v>
          </cell>
          <cell r="N1415">
            <v>0</v>
          </cell>
          <cell r="O1415">
            <v>0</v>
          </cell>
          <cell r="P1415">
            <v>0</v>
          </cell>
          <cell r="Q1415">
            <v>0</v>
          </cell>
          <cell r="R1415">
            <v>0</v>
          </cell>
          <cell r="S1415">
            <v>0</v>
          </cell>
          <cell r="T1415">
            <v>63036</v>
          </cell>
          <cell r="U1415">
            <v>0</v>
          </cell>
          <cell r="V1415">
            <v>0</v>
          </cell>
          <cell r="W1415">
            <v>0</v>
          </cell>
          <cell r="X1415" t="str">
            <v/>
          </cell>
          <cell r="Y1415" t="str">
            <v/>
          </cell>
          <cell r="Z1415" t="str">
            <v/>
          </cell>
          <cell r="AA1415" t="str">
            <v/>
          </cell>
          <cell r="AB1415" t="str">
            <v/>
          </cell>
          <cell r="AC1415" t="str">
            <v/>
          </cell>
          <cell r="AD1415" t="str">
            <v/>
          </cell>
          <cell r="AE1415" t="str">
            <v/>
          </cell>
          <cell r="AF1415" t="str">
            <v>⑫</v>
          </cell>
          <cell r="AG1415" t="str">
            <v/>
          </cell>
          <cell r="AH1415" t="str">
            <v/>
          </cell>
          <cell r="AI1415" t="str">
            <v/>
          </cell>
        </row>
        <row r="1416">
          <cell r="B1416">
            <v>7106</v>
          </cell>
          <cell r="C1416">
            <v>71</v>
          </cell>
          <cell r="D1416">
            <v>6</v>
          </cell>
          <cell r="F1416" t="str">
            <v>島田</v>
          </cell>
          <cell r="G1416" t="str">
            <v>二酸化炭素消火(外観)</v>
          </cell>
          <cell r="H1416" t="str">
            <v>ホーチキ</v>
          </cell>
          <cell r="I1416">
            <v>70700</v>
          </cell>
          <cell r="J1416">
            <v>72114</v>
          </cell>
          <cell r="K1416">
            <v>1</v>
          </cell>
          <cell r="L1416">
            <v>0</v>
          </cell>
          <cell r="M1416">
            <v>0</v>
          </cell>
          <cell r="N1416">
            <v>72114</v>
          </cell>
          <cell r="O1416">
            <v>0</v>
          </cell>
          <cell r="P1416">
            <v>0</v>
          </cell>
          <cell r="Q1416">
            <v>0</v>
          </cell>
          <cell r="R1416">
            <v>0</v>
          </cell>
          <cell r="S1416">
            <v>0</v>
          </cell>
          <cell r="T1416">
            <v>0</v>
          </cell>
          <cell r="U1416">
            <v>0</v>
          </cell>
          <cell r="V1416">
            <v>0</v>
          </cell>
          <cell r="W1416">
            <v>0</v>
          </cell>
          <cell r="X1416" t="str">
            <v/>
          </cell>
          <cell r="Y1416" t="str">
            <v/>
          </cell>
          <cell r="Z1416" t="str">
            <v>⑥</v>
          </cell>
          <cell r="AA1416" t="str">
            <v/>
          </cell>
          <cell r="AB1416" t="str">
            <v/>
          </cell>
          <cell r="AC1416" t="str">
            <v/>
          </cell>
          <cell r="AD1416" t="str">
            <v/>
          </cell>
          <cell r="AE1416" t="str">
            <v/>
          </cell>
          <cell r="AF1416" t="str">
            <v/>
          </cell>
          <cell r="AG1416" t="str">
            <v/>
          </cell>
          <cell r="AH1416" t="str">
            <v/>
          </cell>
          <cell r="AI1416" t="str">
            <v/>
          </cell>
        </row>
        <row r="1417">
          <cell r="B1417">
            <v>7107</v>
          </cell>
          <cell r="C1417">
            <v>71</v>
          </cell>
          <cell r="D1417">
            <v>7</v>
          </cell>
          <cell r="F1417" t="str">
            <v>島田</v>
          </cell>
          <cell r="G1417" t="str">
            <v>二酸化炭素消火(総合)</v>
          </cell>
          <cell r="H1417" t="str">
            <v>ホーチキ</v>
          </cell>
          <cell r="I1417">
            <v>145300</v>
          </cell>
          <cell r="J1417">
            <v>148206</v>
          </cell>
          <cell r="K1417">
            <v>1</v>
          </cell>
          <cell r="L1417">
            <v>0</v>
          </cell>
          <cell r="M1417">
            <v>0</v>
          </cell>
          <cell r="N1417">
            <v>0</v>
          </cell>
          <cell r="O1417">
            <v>0</v>
          </cell>
          <cell r="P1417">
            <v>0</v>
          </cell>
          <cell r="Q1417">
            <v>0</v>
          </cell>
          <cell r="R1417">
            <v>0</v>
          </cell>
          <cell r="S1417">
            <v>0</v>
          </cell>
          <cell r="T1417">
            <v>148206</v>
          </cell>
          <cell r="U1417">
            <v>0</v>
          </cell>
          <cell r="V1417">
            <v>0</v>
          </cell>
          <cell r="W1417">
            <v>0</v>
          </cell>
          <cell r="X1417" t="str">
            <v/>
          </cell>
          <cell r="Y1417" t="str">
            <v/>
          </cell>
          <cell r="Z1417" t="str">
            <v/>
          </cell>
          <cell r="AA1417" t="str">
            <v/>
          </cell>
          <cell r="AB1417" t="str">
            <v/>
          </cell>
          <cell r="AC1417" t="str">
            <v/>
          </cell>
          <cell r="AD1417" t="str">
            <v/>
          </cell>
          <cell r="AE1417" t="str">
            <v/>
          </cell>
          <cell r="AF1417" t="str">
            <v>⑫</v>
          </cell>
          <cell r="AG1417" t="str">
            <v/>
          </cell>
          <cell r="AH1417" t="str">
            <v/>
          </cell>
          <cell r="AI1417" t="str">
            <v/>
          </cell>
        </row>
        <row r="1418">
          <cell r="B1418">
            <v>7108</v>
          </cell>
          <cell r="C1418">
            <v>71</v>
          </cell>
          <cell r="D1418">
            <v>8</v>
          </cell>
          <cell r="F1418" t="str">
            <v>島田</v>
          </cell>
          <cell r="G1418" t="str">
            <v>誘導灯(外観)</v>
          </cell>
          <cell r="H1418" t="str">
            <v>ホーチキ</v>
          </cell>
          <cell r="I1418">
            <v>13500</v>
          </cell>
          <cell r="J1418">
            <v>13770</v>
          </cell>
          <cell r="K1418">
            <v>2</v>
          </cell>
          <cell r="L1418">
            <v>0</v>
          </cell>
          <cell r="M1418">
            <v>0</v>
          </cell>
          <cell r="N1418">
            <v>13770</v>
          </cell>
          <cell r="O1418">
            <v>0</v>
          </cell>
          <cell r="P1418">
            <v>0</v>
          </cell>
          <cell r="Q1418">
            <v>0</v>
          </cell>
          <cell r="R1418">
            <v>0</v>
          </cell>
          <cell r="S1418">
            <v>0</v>
          </cell>
          <cell r="T1418">
            <v>13770</v>
          </cell>
          <cell r="U1418">
            <v>0</v>
          </cell>
          <cell r="V1418">
            <v>0</v>
          </cell>
          <cell r="W1418">
            <v>0</v>
          </cell>
          <cell r="X1418" t="str">
            <v/>
          </cell>
          <cell r="Y1418" t="str">
            <v/>
          </cell>
          <cell r="Z1418" t="str">
            <v>⑥</v>
          </cell>
          <cell r="AA1418" t="str">
            <v/>
          </cell>
          <cell r="AB1418" t="str">
            <v/>
          </cell>
          <cell r="AC1418" t="str">
            <v/>
          </cell>
          <cell r="AD1418" t="str">
            <v/>
          </cell>
          <cell r="AE1418" t="str">
            <v/>
          </cell>
          <cell r="AF1418" t="str">
            <v>⑫</v>
          </cell>
          <cell r="AG1418" t="str">
            <v/>
          </cell>
          <cell r="AH1418" t="str">
            <v/>
          </cell>
          <cell r="AI1418" t="str">
            <v/>
          </cell>
        </row>
        <row r="1419">
          <cell r="B1419">
            <v>7109</v>
          </cell>
          <cell r="C1419">
            <v>71</v>
          </cell>
          <cell r="D1419">
            <v>9</v>
          </cell>
          <cell r="F1419" t="str">
            <v>島田</v>
          </cell>
          <cell r="G1419" t="str">
            <v>Ｐ型防排煙制御(外観)</v>
          </cell>
          <cell r="H1419" t="str">
            <v>ホーチキ</v>
          </cell>
          <cell r="I1419">
            <v>54000</v>
          </cell>
          <cell r="J1419">
            <v>55080</v>
          </cell>
          <cell r="K1419">
            <v>1</v>
          </cell>
          <cell r="L1419">
            <v>0</v>
          </cell>
          <cell r="M1419">
            <v>0</v>
          </cell>
          <cell r="N1419">
            <v>55080</v>
          </cell>
          <cell r="O1419">
            <v>0</v>
          </cell>
          <cell r="P1419">
            <v>0</v>
          </cell>
          <cell r="Q1419">
            <v>0</v>
          </cell>
          <cell r="R1419">
            <v>0</v>
          </cell>
          <cell r="S1419">
            <v>0</v>
          </cell>
          <cell r="T1419">
            <v>0</v>
          </cell>
          <cell r="U1419">
            <v>0</v>
          </cell>
          <cell r="V1419">
            <v>0</v>
          </cell>
          <cell r="W1419">
            <v>0</v>
          </cell>
          <cell r="X1419" t="str">
            <v/>
          </cell>
          <cell r="Y1419" t="str">
            <v/>
          </cell>
          <cell r="Z1419" t="str">
            <v>⑥</v>
          </cell>
          <cell r="AA1419" t="str">
            <v/>
          </cell>
          <cell r="AB1419" t="str">
            <v/>
          </cell>
          <cell r="AC1419" t="str">
            <v/>
          </cell>
          <cell r="AD1419" t="str">
            <v/>
          </cell>
          <cell r="AE1419" t="str">
            <v/>
          </cell>
          <cell r="AF1419" t="str">
            <v/>
          </cell>
          <cell r="AG1419" t="str">
            <v/>
          </cell>
          <cell r="AH1419" t="str">
            <v/>
          </cell>
          <cell r="AI1419" t="str">
            <v/>
          </cell>
        </row>
        <row r="1420">
          <cell r="B1420">
            <v>7110</v>
          </cell>
          <cell r="C1420">
            <v>71</v>
          </cell>
          <cell r="D1420">
            <v>10</v>
          </cell>
          <cell r="F1420" t="str">
            <v>島田</v>
          </cell>
          <cell r="G1420" t="str">
            <v>Ｐ型防排煙制御(総合)</v>
          </cell>
          <cell r="H1420" t="str">
            <v>ホーチキ</v>
          </cell>
          <cell r="I1420">
            <v>56000</v>
          </cell>
          <cell r="J1420">
            <v>57120</v>
          </cell>
          <cell r="K1420">
            <v>1</v>
          </cell>
          <cell r="L1420">
            <v>0</v>
          </cell>
          <cell r="M1420">
            <v>0</v>
          </cell>
          <cell r="N1420">
            <v>0</v>
          </cell>
          <cell r="O1420">
            <v>0</v>
          </cell>
          <cell r="P1420">
            <v>0</v>
          </cell>
          <cell r="Q1420">
            <v>0</v>
          </cell>
          <cell r="R1420">
            <v>0</v>
          </cell>
          <cell r="S1420">
            <v>0</v>
          </cell>
          <cell r="T1420">
            <v>57120</v>
          </cell>
          <cell r="U1420">
            <v>0</v>
          </cell>
          <cell r="V1420">
            <v>0</v>
          </cell>
          <cell r="W1420">
            <v>0</v>
          </cell>
          <cell r="X1420" t="str">
            <v/>
          </cell>
          <cell r="Y1420" t="str">
            <v/>
          </cell>
          <cell r="Z1420" t="str">
            <v/>
          </cell>
          <cell r="AA1420" t="str">
            <v/>
          </cell>
          <cell r="AB1420" t="str">
            <v/>
          </cell>
          <cell r="AC1420" t="str">
            <v/>
          </cell>
          <cell r="AD1420" t="str">
            <v/>
          </cell>
          <cell r="AE1420" t="str">
            <v/>
          </cell>
          <cell r="AF1420" t="str">
            <v>⑫</v>
          </cell>
          <cell r="AG1420" t="str">
            <v/>
          </cell>
          <cell r="AH1420" t="str">
            <v/>
          </cell>
          <cell r="AI1420" t="str">
            <v/>
          </cell>
        </row>
        <row r="1421">
          <cell r="B1421">
            <v>7111</v>
          </cell>
          <cell r="C1421">
            <v>71</v>
          </cell>
          <cell r="D1421">
            <v>11</v>
          </cell>
          <cell r="F1421" t="str">
            <v>島田</v>
          </cell>
          <cell r="G1421" t="str">
            <v>Ｐ型自火報(外観)</v>
          </cell>
          <cell r="H1421" t="str">
            <v>ホーチキ</v>
          </cell>
          <cell r="I1421">
            <v>53200</v>
          </cell>
          <cell r="J1421">
            <v>54264</v>
          </cell>
          <cell r="K1421">
            <v>1</v>
          </cell>
          <cell r="L1421">
            <v>0</v>
          </cell>
          <cell r="M1421">
            <v>0</v>
          </cell>
          <cell r="N1421">
            <v>54264</v>
          </cell>
          <cell r="O1421">
            <v>0</v>
          </cell>
          <cell r="P1421">
            <v>0</v>
          </cell>
          <cell r="Q1421">
            <v>0</v>
          </cell>
          <cell r="R1421">
            <v>0</v>
          </cell>
          <cell r="S1421">
            <v>0</v>
          </cell>
          <cell r="T1421">
            <v>0</v>
          </cell>
          <cell r="U1421">
            <v>0</v>
          </cell>
          <cell r="V1421">
            <v>0</v>
          </cell>
          <cell r="W1421">
            <v>0</v>
          </cell>
          <cell r="X1421" t="str">
            <v/>
          </cell>
          <cell r="Y1421" t="str">
            <v/>
          </cell>
          <cell r="Z1421" t="str">
            <v>⑥</v>
          </cell>
          <cell r="AA1421" t="str">
            <v/>
          </cell>
          <cell r="AB1421" t="str">
            <v/>
          </cell>
          <cell r="AC1421" t="str">
            <v/>
          </cell>
          <cell r="AD1421" t="str">
            <v/>
          </cell>
          <cell r="AE1421" t="str">
            <v/>
          </cell>
          <cell r="AF1421" t="str">
            <v/>
          </cell>
          <cell r="AG1421" t="str">
            <v/>
          </cell>
          <cell r="AH1421" t="str">
            <v/>
          </cell>
          <cell r="AI1421" t="str">
            <v/>
          </cell>
        </row>
        <row r="1422">
          <cell r="B1422">
            <v>7112</v>
          </cell>
          <cell r="C1422">
            <v>71</v>
          </cell>
          <cell r="D1422">
            <v>12</v>
          </cell>
          <cell r="F1422" t="str">
            <v>島田</v>
          </cell>
          <cell r="G1422" t="str">
            <v>Ｐ型自火報(総合)</v>
          </cell>
          <cell r="H1422" t="str">
            <v>ホーチキ</v>
          </cell>
          <cell r="I1422">
            <v>141800</v>
          </cell>
          <cell r="J1422">
            <v>144636</v>
          </cell>
          <cell r="K1422">
            <v>1</v>
          </cell>
          <cell r="L1422">
            <v>0</v>
          </cell>
          <cell r="M1422">
            <v>0</v>
          </cell>
          <cell r="N1422">
            <v>0</v>
          </cell>
          <cell r="O1422">
            <v>0</v>
          </cell>
          <cell r="P1422">
            <v>0</v>
          </cell>
          <cell r="Q1422">
            <v>0</v>
          </cell>
          <cell r="R1422">
            <v>0</v>
          </cell>
          <cell r="S1422">
            <v>0</v>
          </cell>
          <cell r="T1422">
            <v>144636</v>
          </cell>
          <cell r="U1422">
            <v>0</v>
          </cell>
          <cell r="V1422">
            <v>0</v>
          </cell>
          <cell r="W1422">
            <v>0</v>
          </cell>
          <cell r="X1422" t="str">
            <v/>
          </cell>
          <cell r="Y1422" t="str">
            <v/>
          </cell>
          <cell r="Z1422" t="str">
            <v/>
          </cell>
          <cell r="AA1422" t="str">
            <v/>
          </cell>
          <cell r="AB1422" t="str">
            <v/>
          </cell>
          <cell r="AC1422" t="str">
            <v/>
          </cell>
          <cell r="AD1422" t="str">
            <v/>
          </cell>
          <cell r="AE1422" t="str">
            <v/>
          </cell>
          <cell r="AF1422" t="str">
            <v>⑫</v>
          </cell>
          <cell r="AG1422" t="str">
            <v/>
          </cell>
          <cell r="AH1422" t="str">
            <v/>
          </cell>
          <cell r="AI1422" t="str">
            <v/>
          </cell>
        </row>
        <row r="1423">
          <cell r="B1423">
            <v>7113</v>
          </cell>
          <cell r="C1423">
            <v>71</v>
          </cell>
          <cell r="D1423">
            <v>13</v>
          </cell>
          <cell r="F1423" t="str">
            <v>島田</v>
          </cell>
          <cell r="G1423" t="str">
            <v>害虫駆除</v>
          </cell>
          <cell r="H1423" t="str">
            <v>静岡セントラル商事</v>
          </cell>
          <cell r="I1423">
            <v>65700</v>
          </cell>
          <cell r="J1423">
            <v>73730</v>
          </cell>
          <cell r="K1423">
            <v>2</v>
          </cell>
          <cell r="L1423">
            <v>0</v>
          </cell>
          <cell r="M1423">
            <v>73730</v>
          </cell>
          <cell r="N1423">
            <v>0</v>
          </cell>
          <cell r="O1423">
            <v>0</v>
          </cell>
          <cell r="P1423">
            <v>0</v>
          </cell>
          <cell r="Q1423">
            <v>0</v>
          </cell>
          <cell r="R1423">
            <v>0</v>
          </cell>
          <cell r="S1423">
            <v>73730</v>
          </cell>
          <cell r="T1423">
            <v>0</v>
          </cell>
          <cell r="U1423">
            <v>0</v>
          </cell>
          <cell r="V1423">
            <v>0</v>
          </cell>
          <cell r="W1423">
            <v>0</v>
          </cell>
          <cell r="X1423" t="str">
            <v/>
          </cell>
          <cell r="Y1423" t="str">
            <v>⑤</v>
          </cell>
          <cell r="Z1423" t="str">
            <v/>
          </cell>
          <cell r="AA1423" t="str">
            <v/>
          </cell>
          <cell r="AB1423" t="str">
            <v/>
          </cell>
          <cell r="AC1423" t="str">
            <v/>
          </cell>
          <cell r="AD1423" t="str">
            <v/>
          </cell>
          <cell r="AE1423" t="str">
            <v>⑪</v>
          </cell>
          <cell r="AF1423" t="str">
            <v/>
          </cell>
          <cell r="AG1423" t="str">
            <v/>
          </cell>
          <cell r="AH1423" t="str">
            <v/>
          </cell>
          <cell r="AI1423" t="str">
            <v/>
          </cell>
          <cell r="AJ1423" t="str">
            <v>変</v>
          </cell>
        </row>
        <row r="1424">
          <cell r="B1424">
            <v>7114</v>
          </cell>
          <cell r="C1424">
            <v>71</v>
          </cell>
          <cell r="D1424">
            <v>14</v>
          </cell>
          <cell r="F1424" t="str">
            <v>島田</v>
          </cell>
          <cell r="G1424" t="str">
            <v>受水槽清掃</v>
          </cell>
          <cell r="H1424" t="str">
            <v>東海ﾋﾞﾙｴﾝﾀｰﾌﾟﾗｲｽﾞ</v>
          </cell>
          <cell r="I1424">
            <v>42000</v>
          </cell>
          <cell r="J1424">
            <v>47460</v>
          </cell>
          <cell r="K1424">
            <v>1</v>
          </cell>
          <cell r="L1424">
            <v>0</v>
          </cell>
          <cell r="M1424">
            <v>0</v>
          </cell>
          <cell r="N1424">
            <v>0</v>
          </cell>
          <cell r="O1424">
            <v>0</v>
          </cell>
          <cell r="P1424">
            <v>0</v>
          </cell>
          <cell r="Q1424">
            <v>47460</v>
          </cell>
          <cell r="R1424">
            <v>0</v>
          </cell>
          <cell r="S1424">
            <v>0</v>
          </cell>
          <cell r="T1424">
            <v>0</v>
          </cell>
          <cell r="U1424">
            <v>0</v>
          </cell>
          <cell r="V1424">
            <v>0</v>
          </cell>
          <cell r="W1424">
            <v>0</v>
          </cell>
          <cell r="X1424" t="str">
            <v/>
          </cell>
          <cell r="Y1424" t="str">
            <v/>
          </cell>
          <cell r="Z1424" t="str">
            <v/>
          </cell>
          <cell r="AA1424" t="str">
            <v/>
          </cell>
          <cell r="AC1424" t="str">
            <v>⑨</v>
          </cell>
          <cell r="AD1424" t="str">
            <v/>
          </cell>
          <cell r="AE1424" t="str">
            <v/>
          </cell>
          <cell r="AF1424" t="str">
            <v/>
          </cell>
          <cell r="AG1424" t="str">
            <v/>
          </cell>
          <cell r="AH1424" t="str">
            <v/>
          </cell>
        </row>
        <row r="1425">
          <cell r="B1425">
            <v>7115</v>
          </cell>
          <cell r="C1425">
            <v>71</v>
          </cell>
          <cell r="D1425">
            <v>15</v>
          </cell>
          <cell r="F1425" t="str">
            <v>島田</v>
          </cell>
          <cell r="G1425" t="str">
            <v>自動ドアー保守</v>
          </cell>
          <cell r="H1425" t="str">
            <v>オートドアメンテナンス</v>
          </cell>
          <cell r="I1425">
            <v>49500</v>
          </cell>
          <cell r="J1425">
            <v>50490</v>
          </cell>
          <cell r="K1425">
            <v>2</v>
          </cell>
          <cell r="L1425">
            <v>0</v>
          </cell>
          <cell r="M1425">
            <v>0</v>
          </cell>
          <cell r="N1425">
            <v>0</v>
          </cell>
          <cell r="O1425">
            <v>50490</v>
          </cell>
          <cell r="P1425">
            <v>0</v>
          </cell>
          <cell r="Q1425">
            <v>0</v>
          </cell>
          <cell r="R1425">
            <v>0</v>
          </cell>
          <cell r="S1425">
            <v>0</v>
          </cell>
          <cell r="T1425">
            <v>0</v>
          </cell>
          <cell r="U1425">
            <v>50490</v>
          </cell>
          <cell r="V1425">
            <v>0</v>
          </cell>
          <cell r="W1425">
            <v>0</v>
          </cell>
          <cell r="X1425" t="str">
            <v/>
          </cell>
          <cell r="Y1425" t="str">
            <v/>
          </cell>
          <cell r="Z1425" t="str">
            <v/>
          </cell>
          <cell r="AA1425" t="str">
            <v>⑦</v>
          </cell>
          <cell r="AB1425" t="str">
            <v/>
          </cell>
          <cell r="AC1425" t="str">
            <v/>
          </cell>
          <cell r="AD1425" t="str">
            <v/>
          </cell>
          <cell r="AE1425" t="str">
            <v/>
          </cell>
          <cell r="AF1425" t="str">
            <v/>
          </cell>
          <cell r="AG1425" t="str">
            <v>①</v>
          </cell>
          <cell r="AH1425" t="str">
            <v/>
          </cell>
          <cell r="AI1425" t="str">
            <v/>
          </cell>
        </row>
        <row r="1426">
          <cell r="B1426">
            <v>7116</v>
          </cell>
          <cell r="C1426">
            <v>71</v>
          </cell>
          <cell r="D1426">
            <v>16</v>
          </cell>
          <cell r="F1426" t="str">
            <v>島田</v>
          </cell>
          <cell r="G1426" t="str">
            <v>植木･植栽管理</v>
          </cell>
          <cell r="H1426" t="str">
            <v>東海ﾋﾞﾙｴﾝﾀｰﾌﾟﾗｲｽﾞ</v>
          </cell>
          <cell r="I1426">
            <v>24500</v>
          </cell>
          <cell r="J1426">
            <v>26310</v>
          </cell>
          <cell r="K1426">
            <v>2</v>
          </cell>
          <cell r="L1426">
            <v>0</v>
          </cell>
          <cell r="M1426">
            <v>0</v>
          </cell>
          <cell r="N1426">
            <v>0</v>
          </cell>
          <cell r="O1426">
            <v>0</v>
          </cell>
          <cell r="P1426">
            <v>0</v>
          </cell>
          <cell r="Q1426">
            <v>26310</v>
          </cell>
          <cell r="R1426">
            <v>0</v>
          </cell>
          <cell r="S1426">
            <v>0</v>
          </cell>
          <cell r="T1426">
            <v>0</v>
          </cell>
          <cell r="U1426">
            <v>0</v>
          </cell>
          <cell r="V1426">
            <v>0</v>
          </cell>
          <cell r="W1426">
            <v>26310</v>
          </cell>
          <cell r="X1426" t="str">
            <v/>
          </cell>
          <cell r="Y1426" t="str">
            <v/>
          </cell>
          <cell r="Z1426" t="str">
            <v/>
          </cell>
          <cell r="AA1426" t="str">
            <v/>
          </cell>
          <cell r="AB1426" t="str">
            <v/>
          </cell>
          <cell r="AC1426" t="str">
            <v>⑨</v>
          </cell>
          <cell r="AD1426" t="str">
            <v/>
          </cell>
          <cell r="AE1426" t="str">
            <v/>
          </cell>
          <cell r="AF1426" t="str">
            <v/>
          </cell>
          <cell r="AG1426" t="str">
            <v/>
          </cell>
          <cell r="AH1426" t="str">
            <v/>
          </cell>
          <cell r="AI1426" t="str">
            <v>③</v>
          </cell>
        </row>
        <row r="1427">
          <cell r="B1427">
            <v>7117</v>
          </cell>
          <cell r="C1427">
            <v>71</v>
          </cell>
          <cell r="D1427">
            <v>17</v>
          </cell>
          <cell r="F1427" t="str">
            <v>島田</v>
          </cell>
          <cell r="G1427" t="str">
            <v>空調機器保守点検</v>
          </cell>
          <cell r="H1427" t="str">
            <v>三菱電機ﾋﾞﾙﾃｸﾉｻｰﾋﾞｽ</v>
          </cell>
          <cell r="I1427">
            <v>400000</v>
          </cell>
          <cell r="J1427">
            <v>460000</v>
          </cell>
          <cell r="K1427">
            <v>2</v>
          </cell>
          <cell r="L1427">
            <v>0</v>
          </cell>
          <cell r="M1427">
            <v>460000</v>
          </cell>
          <cell r="N1427">
            <v>0</v>
          </cell>
          <cell r="O1427">
            <v>0</v>
          </cell>
          <cell r="P1427">
            <v>0</v>
          </cell>
          <cell r="Q1427">
            <v>0</v>
          </cell>
          <cell r="R1427">
            <v>0</v>
          </cell>
          <cell r="S1427">
            <v>460000</v>
          </cell>
          <cell r="T1427">
            <v>0</v>
          </cell>
          <cell r="U1427">
            <v>0</v>
          </cell>
          <cell r="V1427">
            <v>0</v>
          </cell>
          <cell r="W1427">
            <v>0</v>
          </cell>
          <cell r="X1427" t="str">
            <v/>
          </cell>
          <cell r="Y1427" t="str">
            <v>⑤</v>
          </cell>
          <cell r="Z1427" t="str">
            <v/>
          </cell>
          <cell r="AA1427" t="str">
            <v/>
          </cell>
          <cell r="AB1427" t="str">
            <v/>
          </cell>
          <cell r="AC1427" t="str">
            <v/>
          </cell>
          <cell r="AD1427" t="str">
            <v/>
          </cell>
          <cell r="AE1427" t="str">
            <v>⑪</v>
          </cell>
          <cell r="AF1427" t="str">
            <v/>
          </cell>
          <cell r="AG1427" t="str">
            <v/>
          </cell>
          <cell r="AH1427" t="str">
            <v/>
          </cell>
          <cell r="AI1427" t="str">
            <v/>
          </cell>
          <cell r="AJ1427" t="str">
            <v>追</v>
          </cell>
        </row>
        <row r="1428">
          <cell r="B1428">
            <v>7118</v>
          </cell>
          <cell r="C1428">
            <v>71</v>
          </cell>
          <cell r="D1428">
            <v>18</v>
          </cell>
          <cell r="F1428" t="str">
            <v>島田</v>
          </cell>
          <cell r="G1428" t="str">
            <v>全熱交換機保守点検</v>
          </cell>
          <cell r="H1428" t="str">
            <v>三菱電機ﾋﾞﾙﾃｸﾉｻｰﾋﾞｽ</v>
          </cell>
          <cell r="I1428">
            <v>35000</v>
          </cell>
          <cell r="J1428">
            <v>40250</v>
          </cell>
          <cell r="K1428">
            <v>2</v>
          </cell>
          <cell r="L1428">
            <v>0</v>
          </cell>
          <cell r="M1428">
            <v>40250</v>
          </cell>
          <cell r="N1428">
            <v>0</v>
          </cell>
          <cell r="O1428">
            <v>0</v>
          </cell>
          <cell r="P1428">
            <v>0</v>
          </cell>
          <cell r="Q1428">
            <v>0</v>
          </cell>
          <cell r="R1428">
            <v>0</v>
          </cell>
          <cell r="S1428">
            <v>40250</v>
          </cell>
          <cell r="T1428">
            <v>0</v>
          </cell>
          <cell r="U1428">
            <v>0</v>
          </cell>
          <cell r="V1428">
            <v>0</v>
          </cell>
          <cell r="W1428">
            <v>0</v>
          </cell>
          <cell r="X1428" t="str">
            <v/>
          </cell>
          <cell r="Y1428" t="str">
            <v>⑤</v>
          </cell>
          <cell r="Z1428" t="str">
            <v/>
          </cell>
          <cell r="AA1428" t="str">
            <v/>
          </cell>
          <cell r="AB1428" t="str">
            <v/>
          </cell>
          <cell r="AC1428" t="str">
            <v/>
          </cell>
          <cell r="AD1428" t="str">
            <v/>
          </cell>
          <cell r="AE1428" t="str">
            <v>⑪</v>
          </cell>
          <cell r="AF1428" t="str">
            <v/>
          </cell>
          <cell r="AG1428" t="str">
            <v/>
          </cell>
          <cell r="AH1428" t="str">
            <v/>
          </cell>
          <cell r="AI1428" t="str">
            <v/>
          </cell>
          <cell r="AJ1428" t="str">
            <v>追</v>
          </cell>
        </row>
        <row r="1429">
          <cell r="B1429">
            <v>7119</v>
          </cell>
          <cell r="C1429">
            <v>71</v>
          </cell>
          <cell r="D1429">
            <v>19</v>
          </cell>
          <cell r="F1429" t="str">
            <v>島田</v>
          </cell>
          <cell r="G1429" t="str">
            <v>シャッター設備点検整備</v>
          </cell>
          <cell r="H1429" t="str">
            <v>三和シャッター工業</v>
          </cell>
          <cell r="I1429">
            <v>37000</v>
          </cell>
          <cell r="J1429">
            <v>42550</v>
          </cell>
          <cell r="K1429">
            <v>1</v>
          </cell>
          <cell r="L1429">
            <v>0</v>
          </cell>
          <cell r="M1429">
            <v>0</v>
          </cell>
          <cell r="N1429">
            <v>0</v>
          </cell>
          <cell r="O1429">
            <v>0</v>
          </cell>
          <cell r="P1429">
            <v>0</v>
          </cell>
          <cell r="Q1429">
            <v>0</v>
          </cell>
          <cell r="R1429">
            <v>0</v>
          </cell>
          <cell r="S1429">
            <v>0</v>
          </cell>
          <cell r="T1429">
            <v>42550</v>
          </cell>
          <cell r="U1429">
            <v>0</v>
          </cell>
          <cell r="V1429">
            <v>0</v>
          </cell>
          <cell r="W1429">
            <v>0</v>
          </cell>
          <cell r="X1429" t="str">
            <v/>
          </cell>
          <cell r="Y1429" t="str">
            <v/>
          </cell>
          <cell r="Z1429" t="str">
            <v/>
          </cell>
          <cell r="AA1429" t="str">
            <v/>
          </cell>
          <cell r="AB1429" t="str">
            <v/>
          </cell>
          <cell r="AC1429" t="str">
            <v/>
          </cell>
          <cell r="AD1429" t="str">
            <v/>
          </cell>
          <cell r="AE1429" t="str">
            <v/>
          </cell>
          <cell r="AF1429" t="str">
            <v>⑫</v>
          </cell>
          <cell r="AG1429" t="str">
            <v/>
          </cell>
          <cell r="AH1429" t="str">
            <v/>
          </cell>
          <cell r="AI1429" t="str">
            <v/>
          </cell>
          <cell r="AJ1429" t="str">
            <v>追</v>
          </cell>
        </row>
        <row r="1430">
          <cell r="B1430">
            <v>7201</v>
          </cell>
          <cell r="C1430">
            <v>72</v>
          </cell>
          <cell r="D1430">
            <v>1</v>
          </cell>
          <cell r="F1430" t="str">
            <v>名古屋</v>
          </cell>
          <cell r="G1430" t="str">
            <v>エレベーター保守</v>
          </cell>
          <cell r="H1430" t="str">
            <v>三菱電機ﾋﾞﾙﾃｸﾉｻｰﾋﾞｽ</v>
          </cell>
          <cell r="I1430">
            <v>1020300</v>
          </cell>
          <cell r="J1430">
            <v>1040706</v>
          </cell>
          <cell r="K1430">
            <v>12</v>
          </cell>
          <cell r="L1430">
            <v>1040706</v>
          </cell>
          <cell r="M1430">
            <v>1040706</v>
          </cell>
          <cell r="N1430">
            <v>1040706</v>
          </cell>
          <cell r="O1430">
            <v>1040706</v>
          </cell>
          <cell r="P1430">
            <v>1040706</v>
          </cell>
          <cell r="Q1430">
            <v>1040706</v>
          </cell>
          <cell r="R1430">
            <v>1040706</v>
          </cell>
          <cell r="S1430">
            <v>1040706</v>
          </cell>
          <cell r="T1430">
            <v>1040706</v>
          </cell>
          <cell r="U1430">
            <v>1040706</v>
          </cell>
          <cell r="V1430">
            <v>1040706</v>
          </cell>
          <cell r="W1430">
            <v>1040706</v>
          </cell>
          <cell r="X1430" t="str">
            <v>④</v>
          </cell>
          <cell r="Y1430" t="str">
            <v>⑤</v>
          </cell>
          <cell r="Z1430" t="str">
            <v>⑥</v>
          </cell>
          <cell r="AA1430" t="str">
            <v>⑦</v>
          </cell>
          <cell r="AB1430" t="str">
            <v>⑧</v>
          </cell>
          <cell r="AC1430" t="str">
            <v>⑨</v>
          </cell>
          <cell r="AD1430" t="str">
            <v>⑩</v>
          </cell>
          <cell r="AE1430" t="str">
            <v>⑪</v>
          </cell>
          <cell r="AF1430" t="str">
            <v>⑫</v>
          </cell>
          <cell r="AG1430" t="str">
            <v>①</v>
          </cell>
          <cell r="AH1430" t="str">
            <v>②</v>
          </cell>
          <cell r="AI1430" t="str">
            <v>③</v>
          </cell>
        </row>
        <row r="1431">
          <cell r="B1431">
            <v>7202</v>
          </cell>
          <cell r="C1431">
            <v>72</v>
          </cell>
          <cell r="D1431">
            <v>2</v>
          </cell>
          <cell r="F1431" t="str">
            <v>名古屋</v>
          </cell>
          <cell r="G1431" t="str">
            <v>エレベーター保守</v>
          </cell>
          <cell r="H1431" t="str">
            <v>日立ビルシステム</v>
          </cell>
          <cell r="I1431">
            <v>337500</v>
          </cell>
          <cell r="J1431">
            <v>346950</v>
          </cell>
          <cell r="K1431">
            <v>12</v>
          </cell>
          <cell r="L1431">
            <v>346950</v>
          </cell>
          <cell r="M1431">
            <v>346950</v>
          </cell>
          <cell r="N1431">
            <v>346950</v>
          </cell>
          <cell r="O1431">
            <v>346950</v>
          </cell>
          <cell r="P1431">
            <v>346950</v>
          </cell>
          <cell r="Q1431">
            <v>346950</v>
          </cell>
          <cell r="R1431">
            <v>346950</v>
          </cell>
          <cell r="S1431">
            <v>346950</v>
          </cell>
          <cell r="T1431">
            <v>346950</v>
          </cell>
          <cell r="U1431">
            <v>346950</v>
          </cell>
          <cell r="V1431">
            <v>346950</v>
          </cell>
          <cell r="W1431">
            <v>346950</v>
          </cell>
          <cell r="X1431" t="str">
            <v>④</v>
          </cell>
          <cell r="Y1431" t="str">
            <v>⑤</v>
          </cell>
          <cell r="Z1431" t="str">
            <v>⑥</v>
          </cell>
          <cell r="AA1431" t="str">
            <v>⑦</v>
          </cell>
          <cell r="AB1431" t="str">
            <v>⑧</v>
          </cell>
          <cell r="AC1431" t="str">
            <v>⑨</v>
          </cell>
          <cell r="AD1431" t="str">
            <v>⑩</v>
          </cell>
          <cell r="AE1431" t="str">
            <v>⑪</v>
          </cell>
          <cell r="AF1431" t="str">
            <v>⑫</v>
          </cell>
          <cell r="AG1431" t="str">
            <v>①</v>
          </cell>
          <cell r="AH1431" t="str">
            <v>②</v>
          </cell>
          <cell r="AI1431" t="str">
            <v>③</v>
          </cell>
          <cell r="AJ1431" t="str">
            <v>変</v>
          </cell>
        </row>
        <row r="1432">
          <cell r="B1432">
            <v>7203</v>
          </cell>
          <cell r="C1432">
            <v>72</v>
          </cell>
          <cell r="D1432">
            <v>3</v>
          </cell>
          <cell r="F1432" t="str">
            <v>名古屋</v>
          </cell>
          <cell r="G1432" t="str">
            <v>ゴンドラ設備保守</v>
          </cell>
          <cell r="H1432" t="str">
            <v>日本ビソー</v>
          </cell>
          <cell r="I1432">
            <v>34700</v>
          </cell>
          <cell r="J1432">
            <v>39377</v>
          </cell>
          <cell r="K1432">
            <v>12</v>
          </cell>
          <cell r="L1432">
            <v>39377</v>
          </cell>
          <cell r="M1432">
            <v>39377</v>
          </cell>
          <cell r="N1432">
            <v>39377</v>
          </cell>
          <cell r="O1432">
            <v>39377</v>
          </cell>
          <cell r="P1432">
            <v>39377</v>
          </cell>
          <cell r="Q1432">
            <v>39377</v>
          </cell>
          <cell r="R1432">
            <v>39377</v>
          </cell>
          <cell r="S1432">
            <v>39377</v>
          </cell>
          <cell r="T1432">
            <v>39377</v>
          </cell>
          <cell r="U1432">
            <v>39377</v>
          </cell>
          <cell r="V1432">
            <v>39377</v>
          </cell>
          <cell r="W1432">
            <v>39377</v>
          </cell>
          <cell r="X1432" t="str">
            <v>④</v>
          </cell>
          <cell r="Y1432" t="str">
            <v>⑤</v>
          </cell>
          <cell r="Z1432" t="str">
            <v>⑥</v>
          </cell>
          <cell r="AA1432" t="str">
            <v>⑦</v>
          </cell>
          <cell r="AB1432" t="str">
            <v>⑧</v>
          </cell>
          <cell r="AC1432" t="str">
            <v>⑨</v>
          </cell>
          <cell r="AD1432" t="str">
            <v>⑩</v>
          </cell>
          <cell r="AE1432" t="str">
            <v>⑪</v>
          </cell>
          <cell r="AF1432" t="str">
            <v>⑫</v>
          </cell>
          <cell r="AG1432" t="str">
            <v>①</v>
          </cell>
          <cell r="AH1432" t="str">
            <v>②</v>
          </cell>
          <cell r="AI1432" t="str">
            <v>③</v>
          </cell>
          <cell r="AJ1432" t="str">
            <v>変</v>
          </cell>
        </row>
        <row r="1433">
          <cell r="B1433">
            <v>7204</v>
          </cell>
          <cell r="C1433">
            <v>72</v>
          </cell>
          <cell r="D1433">
            <v>4</v>
          </cell>
          <cell r="F1433" t="str">
            <v>名古屋</v>
          </cell>
          <cell r="G1433" t="str">
            <v>消防設備点検保守</v>
          </cell>
          <cell r="H1433" t="str">
            <v>綜合警備保障</v>
          </cell>
          <cell r="I1433">
            <v>145000</v>
          </cell>
          <cell r="J1433">
            <v>147900</v>
          </cell>
          <cell r="K1433">
            <v>2</v>
          </cell>
          <cell r="L1433">
            <v>0</v>
          </cell>
          <cell r="M1433">
            <v>0</v>
          </cell>
          <cell r="N1433">
            <v>0</v>
          </cell>
          <cell r="O1433">
            <v>147900</v>
          </cell>
          <cell r="P1433">
            <v>0</v>
          </cell>
          <cell r="Q1433">
            <v>0</v>
          </cell>
          <cell r="R1433">
            <v>0</v>
          </cell>
          <cell r="S1433">
            <v>0</v>
          </cell>
          <cell r="T1433">
            <v>0</v>
          </cell>
          <cell r="U1433">
            <v>147900</v>
          </cell>
          <cell r="V1433">
            <v>0</v>
          </cell>
          <cell r="W1433">
            <v>0</v>
          </cell>
          <cell r="X1433" t="str">
            <v/>
          </cell>
          <cell r="Y1433" t="str">
            <v/>
          </cell>
          <cell r="Z1433" t="str">
            <v/>
          </cell>
          <cell r="AA1433" t="str">
            <v>⑦</v>
          </cell>
          <cell r="AB1433" t="str">
            <v/>
          </cell>
          <cell r="AC1433" t="str">
            <v/>
          </cell>
          <cell r="AD1433" t="str">
            <v/>
          </cell>
          <cell r="AE1433" t="str">
            <v/>
          </cell>
          <cell r="AF1433" t="str">
            <v/>
          </cell>
          <cell r="AG1433" t="str">
            <v>①</v>
          </cell>
          <cell r="AH1433" t="str">
            <v/>
          </cell>
          <cell r="AI1433" t="str">
            <v/>
          </cell>
        </row>
        <row r="1434">
          <cell r="B1434">
            <v>7205</v>
          </cell>
          <cell r="C1434">
            <v>72</v>
          </cell>
          <cell r="D1434">
            <v>5</v>
          </cell>
          <cell r="F1434" t="str">
            <v>名古屋</v>
          </cell>
          <cell r="G1434" t="str">
            <v>消防設備点検保守</v>
          </cell>
          <cell r="H1434" t="str">
            <v>西原衛生工業所</v>
          </cell>
          <cell r="I1434">
            <v>1620000</v>
          </cell>
          <cell r="J1434">
            <v>1652400</v>
          </cell>
          <cell r="K1434">
            <v>1</v>
          </cell>
          <cell r="L1434">
            <v>0</v>
          </cell>
          <cell r="M1434">
            <v>0</v>
          </cell>
          <cell r="N1434">
            <v>0</v>
          </cell>
          <cell r="O1434">
            <v>0</v>
          </cell>
          <cell r="P1434">
            <v>0</v>
          </cell>
          <cell r="Q1434">
            <v>1652400</v>
          </cell>
          <cell r="R1434">
            <v>0</v>
          </cell>
          <cell r="S1434">
            <v>0</v>
          </cell>
          <cell r="T1434">
            <v>0</v>
          </cell>
          <cell r="U1434">
            <v>0</v>
          </cell>
          <cell r="V1434">
            <v>0</v>
          </cell>
          <cell r="W1434">
            <v>0</v>
          </cell>
          <cell r="X1434" t="str">
            <v/>
          </cell>
          <cell r="Y1434" t="str">
            <v/>
          </cell>
          <cell r="Z1434" t="str">
            <v/>
          </cell>
          <cell r="AA1434" t="str">
            <v/>
          </cell>
          <cell r="AB1434" t="str">
            <v/>
          </cell>
          <cell r="AC1434" t="str">
            <v>⑨</v>
          </cell>
          <cell r="AD1434" t="str">
            <v/>
          </cell>
          <cell r="AE1434" t="str">
            <v/>
          </cell>
          <cell r="AF1434" t="str">
            <v/>
          </cell>
          <cell r="AG1434" t="str">
            <v/>
          </cell>
          <cell r="AH1434" t="str">
            <v/>
          </cell>
          <cell r="AI1434" t="str">
            <v/>
          </cell>
        </row>
        <row r="1435">
          <cell r="B1435">
            <v>7206</v>
          </cell>
          <cell r="C1435">
            <v>72</v>
          </cell>
          <cell r="D1435">
            <v>6</v>
          </cell>
          <cell r="F1435" t="str">
            <v>名古屋</v>
          </cell>
          <cell r="G1435" t="str">
            <v>消防設備点検保守</v>
          </cell>
          <cell r="H1435" t="str">
            <v>西原衛生工業所</v>
          </cell>
          <cell r="I1435">
            <v>1080000</v>
          </cell>
          <cell r="J1435">
            <v>1101600</v>
          </cell>
          <cell r="K1435">
            <v>1</v>
          </cell>
          <cell r="L1435">
            <v>0</v>
          </cell>
          <cell r="M1435">
            <v>0</v>
          </cell>
          <cell r="N1435">
            <v>0</v>
          </cell>
          <cell r="O1435">
            <v>0</v>
          </cell>
          <cell r="P1435">
            <v>0</v>
          </cell>
          <cell r="Q1435">
            <v>0</v>
          </cell>
          <cell r="R1435">
            <v>0</v>
          </cell>
          <cell r="S1435">
            <v>0</v>
          </cell>
          <cell r="T1435">
            <v>0</v>
          </cell>
          <cell r="U1435">
            <v>0</v>
          </cell>
          <cell r="V1435">
            <v>0</v>
          </cell>
          <cell r="W1435">
            <v>1101600</v>
          </cell>
          <cell r="X1435" t="str">
            <v/>
          </cell>
          <cell r="Y1435" t="str">
            <v/>
          </cell>
          <cell r="Z1435" t="str">
            <v/>
          </cell>
          <cell r="AA1435" t="str">
            <v/>
          </cell>
          <cell r="AB1435" t="str">
            <v/>
          </cell>
          <cell r="AC1435" t="str">
            <v/>
          </cell>
          <cell r="AD1435" t="str">
            <v/>
          </cell>
          <cell r="AE1435" t="str">
            <v/>
          </cell>
          <cell r="AF1435" t="str">
            <v/>
          </cell>
          <cell r="AG1435" t="str">
            <v/>
          </cell>
          <cell r="AH1435" t="str">
            <v/>
          </cell>
          <cell r="AI1435" t="str">
            <v>③</v>
          </cell>
        </row>
        <row r="1436">
          <cell r="B1436">
            <v>7207</v>
          </cell>
          <cell r="C1436">
            <v>72</v>
          </cell>
          <cell r="D1436">
            <v>7</v>
          </cell>
          <cell r="F1436" t="str">
            <v>名古屋</v>
          </cell>
          <cell r="G1436" t="str">
            <v>非常放送(外観)</v>
          </cell>
          <cell r="H1436" t="str">
            <v>ホーチキ</v>
          </cell>
          <cell r="I1436">
            <v>140000</v>
          </cell>
          <cell r="J1436">
            <v>142800</v>
          </cell>
          <cell r="K1436">
            <v>1</v>
          </cell>
          <cell r="L1436">
            <v>0</v>
          </cell>
          <cell r="M1436">
            <v>0</v>
          </cell>
          <cell r="N1436">
            <v>0</v>
          </cell>
          <cell r="O1436">
            <v>0</v>
          </cell>
          <cell r="P1436">
            <v>0</v>
          </cell>
          <cell r="Q1436">
            <v>0</v>
          </cell>
          <cell r="R1436">
            <v>0</v>
          </cell>
          <cell r="S1436">
            <v>0</v>
          </cell>
          <cell r="T1436">
            <v>0</v>
          </cell>
          <cell r="U1436">
            <v>142800</v>
          </cell>
          <cell r="V1436">
            <v>0</v>
          </cell>
          <cell r="W1436">
            <v>0</v>
          </cell>
          <cell r="X1436" t="str">
            <v/>
          </cell>
          <cell r="Y1436" t="str">
            <v/>
          </cell>
          <cell r="Z1436" t="str">
            <v/>
          </cell>
          <cell r="AA1436" t="str">
            <v/>
          </cell>
          <cell r="AB1436" t="str">
            <v/>
          </cell>
          <cell r="AC1436" t="str">
            <v/>
          </cell>
          <cell r="AD1436" t="str">
            <v/>
          </cell>
          <cell r="AE1436" t="str">
            <v/>
          </cell>
          <cell r="AF1436" t="str">
            <v/>
          </cell>
          <cell r="AG1436" t="str">
            <v>①</v>
          </cell>
          <cell r="AH1436" t="str">
            <v/>
          </cell>
          <cell r="AI1436" t="str">
            <v/>
          </cell>
        </row>
        <row r="1437">
          <cell r="B1437">
            <v>7208</v>
          </cell>
          <cell r="C1437">
            <v>72</v>
          </cell>
          <cell r="D1437">
            <v>8</v>
          </cell>
          <cell r="F1437" t="str">
            <v>名古屋</v>
          </cell>
          <cell r="G1437" t="str">
            <v>非常放送(総合)</v>
          </cell>
          <cell r="H1437" t="str">
            <v>ホーチキ</v>
          </cell>
          <cell r="I1437">
            <v>242000</v>
          </cell>
          <cell r="J1437">
            <v>246840</v>
          </cell>
          <cell r="K1437">
            <v>1</v>
          </cell>
          <cell r="L1437">
            <v>0</v>
          </cell>
          <cell r="M1437">
            <v>0</v>
          </cell>
          <cell r="N1437">
            <v>0</v>
          </cell>
          <cell r="O1437">
            <v>246840</v>
          </cell>
          <cell r="P1437">
            <v>0</v>
          </cell>
          <cell r="Q1437">
            <v>0</v>
          </cell>
          <cell r="R1437">
            <v>0</v>
          </cell>
          <cell r="S1437">
            <v>0</v>
          </cell>
          <cell r="T1437">
            <v>0</v>
          </cell>
          <cell r="U1437">
            <v>0</v>
          </cell>
          <cell r="V1437">
            <v>0</v>
          </cell>
          <cell r="W1437">
            <v>0</v>
          </cell>
          <cell r="X1437" t="str">
            <v/>
          </cell>
          <cell r="Y1437" t="str">
            <v/>
          </cell>
          <cell r="Z1437" t="str">
            <v/>
          </cell>
          <cell r="AA1437" t="str">
            <v>⑦</v>
          </cell>
          <cell r="AB1437" t="str">
            <v/>
          </cell>
          <cell r="AC1437" t="str">
            <v/>
          </cell>
          <cell r="AD1437" t="str">
            <v/>
          </cell>
          <cell r="AE1437" t="str">
            <v/>
          </cell>
          <cell r="AF1437" t="str">
            <v/>
          </cell>
          <cell r="AG1437" t="str">
            <v/>
          </cell>
          <cell r="AH1437" t="str">
            <v/>
          </cell>
          <cell r="AI1437" t="str">
            <v/>
          </cell>
        </row>
        <row r="1438">
          <cell r="B1438">
            <v>7209</v>
          </cell>
          <cell r="C1438">
            <v>72</v>
          </cell>
          <cell r="D1438">
            <v>9</v>
          </cell>
          <cell r="F1438" t="str">
            <v>名古屋</v>
          </cell>
          <cell r="G1438" t="str">
            <v>Ｐ型ｶﾞｽ漏火災警報(外観)</v>
          </cell>
          <cell r="H1438" t="str">
            <v>ホーチキ</v>
          </cell>
          <cell r="I1438">
            <v>67000</v>
          </cell>
          <cell r="J1438">
            <v>68340</v>
          </cell>
          <cell r="K1438">
            <v>1</v>
          </cell>
          <cell r="L1438">
            <v>0</v>
          </cell>
          <cell r="M1438">
            <v>0</v>
          </cell>
          <cell r="N1438">
            <v>0</v>
          </cell>
          <cell r="O1438">
            <v>0</v>
          </cell>
          <cell r="P1438">
            <v>0</v>
          </cell>
          <cell r="Q1438">
            <v>0</v>
          </cell>
          <cell r="R1438">
            <v>0</v>
          </cell>
          <cell r="S1438">
            <v>0</v>
          </cell>
          <cell r="T1438">
            <v>0</v>
          </cell>
          <cell r="U1438">
            <v>68340</v>
          </cell>
          <cell r="V1438">
            <v>0</v>
          </cell>
          <cell r="W1438">
            <v>0</v>
          </cell>
          <cell r="X1438" t="str">
            <v/>
          </cell>
          <cell r="Y1438" t="str">
            <v/>
          </cell>
          <cell r="Z1438" t="str">
            <v/>
          </cell>
          <cell r="AA1438" t="str">
            <v/>
          </cell>
          <cell r="AB1438" t="str">
            <v/>
          </cell>
          <cell r="AC1438" t="str">
            <v/>
          </cell>
          <cell r="AD1438" t="str">
            <v/>
          </cell>
          <cell r="AE1438" t="str">
            <v/>
          </cell>
          <cell r="AF1438" t="str">
            <v/>
          </cell>
          <cell r="AG1438" t="str">
            <v>①</v>
          </cell>
          <cell r="AH1438" t="str">
            <v/>
          </cell>
          <cell r="AI1438" t="str">
            <v/>
          </cell>
        </row>
        <row r="1439">
          <cell r="B1439">
            <v>7210</v>
          </cell>
          <cell r="C1439">
            <v>72</v>
          </cell>
          <cell r="D1439">
            <v>10</v>
          </cell>
          <cell r="F1439" t="str">
            <v>名古屋</v>
          </cell>
          <cell r="G1439" t="str">
            <v>Ｐ型ｶﾞｽ漏火災警報(総合)</v>
          </cell>
          <cell r="H1439" t="str">
            <v>ホーチキ</v>
          </cell>
          <cell r="I1439">
            <v>135000</v>
          </cell>
          <cell r="J1439">
            <v>137700</v>
          </cell>
          <cell r="K1439">
            <v>1</v>
          </cell>
          <cell r="L1439">
            <v>0</v>
          </cell>
          <cell r="M1439">
            <v>0</v>
          </cell>
          <cell r="N1439">
            <v>0</v>
          </cell>
          <cell r="O1439">
            <v>137700</v>
          </cell>
          <cell r="P1439">
            <v>0</v>
          </cell>
          <cell r="Q1439">
            <v>0</v>
          </cell>
          <cell r="R1439">
            <v>0</v>
          </cell>
          <cell r="S1439">
            <v>0</v>
          </cell>
          <cell r="T1439">
            <v>0</v>
          </cell>
          <cell r="U1439">
            <v>0</v>
          </cell>
          <cell r="V1439">
            <v>0</v>
          </cell>
          <cell r="W1439">
            <v>0</v>
          </cell>
          <cell r="X1439" t="str">
            <v/>
          </cell>
          <cell r="Y1439" t="str">
            <v/>
          </cell>
          <cell r="Z1439" t="str">
            <v/>
          </cell>
          <cell r="AA1439" t="str">
            <v>⑦</v>
          </cell>
          <cell r="AB1439" t="str">
            <v/>
          </cell>
          <cell r="AC1439" t="str">
            <v/>
          </cell>
          <cell r="AD1439" t="str">
            <v/>
          </cell>
          <cell r="AE1439" t="str">
            <v/>
          </cell>
          <cell r="AF1439" t="str">
            <v/>
          </cell>
          <cell r="AG1439" t="str">
            <v/>
          </cell>
          <cell r="AH1439" t="str">
            <v/>
          </cell>
          <cell r="AI1439" t="str">
            <v/>
          </cell>
        </row>
        <row r="1440">
          <cell r="B1440">
            <v>7211</v>
          </cell>
          <cell r="C1440">
            <v>72</v>
          </cell>
          <cell r="D1440">
            <v>11</v>
          </cell>
          <cell r="F1440" t="str">
            <v>名古屋</v>
          </cell>
          <cell r="G1440" t="str">
            <v>Ｐ型自火報(外観)</v>
          </cell>
          <cell r="H1440" t="str">
            <v>ホーチキ</v>
          </cell>
          <cell r="I1440">
            <v>520000</v>
          </cell>
          <cell r="J1440">
            <v>530400</v>
          </cell>
          <cell r="K1440">
            <v>1</v>
          </cell>
          <cell r="L1440">
            <v>0</v>
          </cell>
          <cell r="M1440">
            <v>0</v>
          </cell>
          <cell r="N1440">
            <v>0</v>
          </cell>
          <cell r="O1440">
            <v>0</v>
          </cell>
          <cell r="P1440">
            <v>0</v>
          </cell>
          <cell r="Q1440">
            <v>0</v>
          </cell>
          <cell r="R1440">
            <v>0</v>
          </cell>
          <cell r="S1440">
            <v>0</v>
          </cell>
          <cell r="T1440">
            <v>0</v>
          </cell>
          <cell r="U1440">
            <v>530400</v>
          </cell>
          <cell r="V1440">
            <v>0</v>
          </cell>
          <cell r="W1440">
            <v>0</v>
          </cell>
          <cell r="X1440" t="str">
            <v/>
          </cell>
          <cell r="Y1440" t="str">
            <v/>
          </cell>
          <cell r="Z1440" t="str">
            <v/>
          </cell>
          <cell r="AA1440" t="str">
            <v/>
          </cell>
          <cell r="AB1440" t="str">
            <v/>
          </cell>
          <cell r="AC1440" t="str">
            <v/>
          </cell>
          <cell r="AD1440" t="str">
            <v/>
          </cell>
          <cell r="AE1440" t="str">
            <v/>
          </cell>
          <cell r="AF1440" t="str">
            <v/>
          </cell>
          <cell r="AG1440" t="str">
            <v>①</v>
          </cell>
          <cell r="AH1440" t="str">
            <v/>
          </cell>
          <cell r="AI1440" t="str">
            <v/>
          </cell>
        </row>
        <row r="1441">
          <cell r="B1441">
            <v>7212</v>
          </cell>
          <cell r="C1441">
            <v>72</v>
          </cell>
          <cell r="D1441">
            <v>12</v>
          </cell>
          <cell r="F1441" t="str">
            <v>名古屋</v>
          </cell>
          <cell r="G1441" t="str">
            <v>Ｐ型自火報(総合)</v>
          </cell>
          <cell r="H1441" t="str">
            <v>ホーチキ</v>
          </cell>
          <cell r="I1441">
            <v>1046000</v>
          </cell>
          <cell r="J1441">
            <v>1066920</v>
          </cell>
          <cell r="K1441">
            <v>1</v>
          </cell>
          <cell r="L1441">
            <v>0</v>
          </cell>
          <cell r="M1441">
            <v>0</v>
          </cell>
          <cell r="N1441">
            <v>0</v>
          </cell>
          <cell r="O1441">
            <v>1066920</v>
          </cell>
          <cell r="P1441">
            <v>0</v>
          </cell>
          <cell r="Q1441">
            <v>0</v>
          </cell>
          <cell r="R1441">
            <v>0</v>
          </cell>
          <cell r="S1441">
            <v>0</v>
          </cell>
          <cell r="T1441">
            <v>0</v>
          </cell>
          <cell r="U1441">
            <v>0</v>
          </cell>
          <cell r="V1441">
            <v>0</v>
          </cell>
          <cell r="W1441">
            <v>0</v>
          </cell>
          <cell r="X1441" t="str">
            <v/>
          </cell>
          <cell r="Y1441" t="str">
            <v/>
          </cell>
          <cell r="Z1441" t="str">
            <v/>
          </cell>
          <cell r="AA1441" t="str">
            <v>⑦</v>
          </cell>
          <cell r="AB1441" t="str">
            <v/>
          </cell>
          <cell r="AC1441" t="str">
            <v/>
          </cell>
          <cell r="AD1441" t="str">
            <v/>
          </cell>
          <cell r="AE1441" t="str">
            <v/>
          </cell>
          <cell r="AF1441" t="str">
            <v/>
          </cell>
          <cell r="AG1441" t="str">
            <v/>
          </cell>
          <cell r="AH1441" t="str">
            <v/>
          </cell>
          <cell r="AI1441" t="str">
            <v/>
          </cell>
        </row>
        <row r="1442">
          <cell r="B1442">
            <v>7213</v>
          </cell>
          <cell r="C1442">
            <v>72</v>
          </cell>
          <cell r="D1442">
            <v>13</v>
          </cell>
          <cell r="F1442" t="str">
            <v>名古屋</v>
          </cell>
          <cell r="G1442" t="str">
            <v>可燃性ガス警報器保守</v>
          </cell>
          <cell r="H1442" t="str">
            <v>理研計器</v>
          </cell>
          <cell r="I1442">
            <v>20000</v>
          </cell>
          <cell r="J1442">
            <v>20400</v>
          </cell>
          <cell r="K1442">
            <v>2</v>
          </cell>
          <cell r="L1442">
            <v>0</v>
          </cell>
          <cell r="M1442">
            <v>20400</v>
          </cell>
          <cell r="N1442">
            <v>0</v>
          </cell>
          <cell r="O1442">
            <v>0</v>
          </cell>
          <cell r="P1442">
            <v>0</v>
          </cell>
          <cell r="Q1442">
            <v>0</v>
          </cell>
          <cell r="R1442">
            <v>0</v>
          </cell>
          <cell r="S1442">
            <v>20400</v>
          </cell>
          <cell r="T1442">
            <v>0</v>
          </cell>
          <cell r="U1442">
            <v>0</v>
          </cell>
          <cell r="V1442">
            <v>0</v>
          </cell>
          <cell r="W1442">
            <v>0</v>
          </cell>
          <cell r="X1442" t="str">
            <v/>
          </cell>
          <cell r="Y1442" t="str">
            <v>⑤</v>
          </cell>
          <cell r="Z1442" t="str">
            <v/>
          </cell>
          <cell r="AA1442" t="str">
            <v/>
          </cell>
          <cell r="AB1442" t="str">
            <v/>
          </cell>
          <cell r="AC1442" t="str">
            <v/>
          </cell>
          <cell r="AD1442" t="str">
            <v/>
          </cell>
          <cell r="AE1442" t="str">
            <v>⑪</v>
          </cell>
          <cell r="AF1442" t="str">
            <v/>
          </cell>
          <cell r="AG1442" t="str">
            <v/>
          </cell>
          <cell r="AH1442" t="str">
            <v/>
          </cell>
          <cell r="AI1442" t="str">
            <v/>
          </cell>
        </row>
        <row r="1443">
          <cell r="B1443">
            <v>7214</v>
          </cell>
          <cell r="C1443">
            <v>72</v>
          </cell>
          <cell r="D1443">
            <v>14</v>
          </cell>
          <cell r="F1443" t="str">
            <v>名古屋</v>
          </cell>
          <cell r="G1443" t="str">
            <v>非常発電機設備保守</v>
          </cell>
          <cell r="H1443" t="str">
            <v>クボタ</v>
          </cell>
          <cell r="I1443">
            <v>260000</v>
          </cell>
          <cell r="J1443">
            <v>265200</v>
          </cell>
          <cell r="K1443">
            <v>2</v>
          </cell>
          <cell r="L1443">
            <v>0</v>
          </cell>
          <cell r="M1443">
            <v>0</v>
          </cell>
          <cell r="N1443">
            <v>0</v>
          </cell>
          <cell r="O1443">
            <v>0</v>
          </cell>
          <cell r="P1443">
            <v>0</v>
          </cell>
          <cell r="Q1443">
            <v>265200</v>
          </cell>
          <cell r="R1443">
            <v>0</v>
          </cell>
          <cell r="S1443">
            <v>0</v>
          </cell>
          <cell r="T1443">
            <v>0</v>
          </cell>
          <cell r="U1443">
            <v>0</v>
          </cell>
          <cell r="V1443">
            <v>0</v>
          </cell>
          <cell r="W1443">
            <v>265200</v>
          </cell>
          <cell r="X1443" t="str">
            <v/>
          </cell>
          <cell r="Y1443" t="str">
            <v/>
          </cell>
          <cell r="Z1443" t="str">
            <v/>
          </cell>
          <cell r="AA1443" t="str">
            <v/>
          </cell>
          <cell r="AB1443" t="str">
            <v/>
          </cell>
          <cell r="AC1443" t="str">
            <v>⑨</v>
          </cell>
          <cell r="AD1443" t="str">
            <v/>
          </cell>
          <cell r="AE1443" t="str">
            <v/>
          </cell>
          <cell r="AF1443" t="str">
            <v/>
          </cell>
          <cell r="AG1443" t="str">
            <v/>
          </cell>
          <cell r="AH1443" t="str">
            <v/>
          </cell>
          <cell r="AI1443" t="str">
            <v>③</v>
          </cell>
        </row>
        <row r="1444">
          <cell r="B1444">
            <v>7215</v>
          </cell>
          <cell r="C1444">
            <v>72</v>
          </cell>
          <cell r="D1444">
            <v>15</v>
          </cell>
          <cell r="F1444" t="str">
            <v>名古屋</v>
          </cell>
          <cell r="G1444" t="str">
            <v>害虫駆除</v>
          </cell>
          <cell r="H1444" t="str">
            <v>赤門ウィントン</v>
          </cell>
          <cell r="I1444">
            <v>6500</v>
          </cell>
          <cell r="J1444">
            <v>7150</v>
          </cell>
          <cell r="K1444">
            <v>12</v>
          </cell>
          <cell r="L1444">
            <v>7150</v>
          </cell>
          <cell r="M1444">
            <v>7150</v>
          </cell>
          <cell r="N1444">
            <v>7150</v>
          </cell>
          <cell r="O1444">
            <v>7150</v>
          </cell>
          <cell r="P1444">
            <v>7150</v>
          </cell>
          <cell r="Q1444">
            <v>7150</v>
          </cell>
          <cell r="R1444">
            <v>7150</v>
          </cell>
          <cell r="S1444">
            <v>7150</v>
          </cell>
          <cell r="T1444">
            <v>7150</v>
          </cell>
          <cell r="U1444">
            <v>7150</v>
          </cell>
          <cell r="V1444">
            <v>7150</v>
          </cell>
          <cell r="W1444">
            <v>7150</v>
          </cell>
          <cell r="X1444" t="str">
            <v>④</v>
          </cell>
          <cell r="Y1444" t="str">
            <v>⑤</v>
          </cell>
          <cell r="Z1444" t="str">
            <v>⑥</v>
          </cell>
          <cell r="AA1444" t="str">
            <v>⑦</v>
          </cell>
          <cell r="AB1444" t="str">
            <v>⑧</v>
          </cell>
          <cell r="AC1444" t="str">
            <v>⑨</v>
          </cell>
          <cell r="AD1444" t="str">
            <v>⑩</v>
          </cell>
          <cell r="AE1444" t="str">
            <v>⑪</v>
          </cell>
          <cell r="AF1444" t="str">
            <v>⑫</v>
          </cell>
          <cell r="AG1444" t="str">
            <v>①</v>
          </cell>
          <cell r="AH1444" t="str">
            <v>②</v>
          </cell>
          <cell r="AI1444" t="str">
            <v>③</v>
          </cell>
        </row>
        <row r="1445">
          <cell r="B1445">
            <v>7216</v>
          </cell>
          <cell r="C1445">
            <v>72</v>
          </cell>
          <cell r="D1445">
            <v>16</v>
          </cell>
          <cell r="F1445" t="str">
            <v>名古屋</v>
          </cell>
          <cell r="G1445" t="str">
            <v>害虫駆除</v>
          </cell>
          <cell r="H1445" t="str">
            <v>セントラルトリニティ</v>
          </cell>
          <cell r="I1445">
            <v>94000</v>
          </cell>
          <cell r="J1445">
            <v>111480</v>
          </cell>
          <cell r="K1445">
            <v>12</v>
          </cell>
          <cell r="L1445">
            <v>111480</v>
          </cell>
          <cell r="M1445">
            <v>111480</v>
          </cell>
          <cell r="N1445">
            <v>111480</v>
          </cell>
          <cell r="O1445">
            <v>111480</v>
          </cell>
          <cell r="P1445">
            <v>111480</v>
          </cell>
          <cell r="Q1445">
            <v>111480</v>
          </cell>
          <cell r="R1445">
            <v>111480</v>
          </cell>
          <cell r="S1445">
            <v>111480</v>
          </cell>
          <cell r="T1445">
            <v>111480</v>
          </cell>
          <cell r="U1445">
            <v>111480</v>
          </cell>
          <cell r="V1445">
            <v>111480</v>
          </cell>
          <cell r="W1445">
            <v>111480</v>
          </cell>
          <cell r="X1445" t="str">
            <v>④</v>
          </cell>
          <cell r="Y1445" t="str">
            <v>⑤</v>
          </cell>
          <cell r="Z1445" t="str">
            <v>⑥</v>
          </cell>
          <cell r="AA1445" t="str">
            <v>⑦</v>
          </cell>
          <cell r="AB1445" t="str">
            <v>⑧</v>
          </cell>
          <cell r="AC1445" t="str">
            <v>⑨</v>
          </cell>
          <cell r="AD1445" t="str">
            <v>⑩</v>
          </cell>
          <cell r="AE1445" t="str">
            <v>⑪</v>
          </cell>
          <cell r="AF1445" t="str">
            <v>⑫</v>
          </cell>
          <cell r="AG1445" t="str">
            <v>①</v>
          </cell>
          <cell r="AH1445" t="str">
            <v>②</v>
          </cell>
          <cell r="AI1445" t="str">
            <v>③</v>
          </cell>
          <cell r="AJ1445" t="str">
            <v>変</v>
          </cell>
        </row>
        <row r="1446">
          <cell r="B1446">
            <v>7217</v>
          </cell>
          <cell r="C1446">
            <v>72</v>
          </cell>
          <cell r="D1446">
            <v>17</v>
          </cell>
          <cell r="F1446" t="str">
            <v>名古屋</v>
          </cell>
          <cell r="G1446" t="str">
            <v>汚水槽清掃</v>
          </cell>
          <cell r="H1446" t="str">
            <v>小森</v>
          </cell>
          <cell r="I1446">
            <v>340000</v>
          </cell>
          <cell r="J1446">
            <v>380800</v>
          </cell>
          <cell r="K1446">
            <v>2</v>
          </cell>
          <cell r="L1446">
            <v>0</v>
          </cell>
          <cell r="M1446">
            <v>0</v>
          </cell>
          <cell r="N1446">
            <v>0</v>
          </cell>
          <cell r="O1446">
            <v>0</v>
          </cell>
          <cell r="P1446">
            <v>380800</v>
          </cell>
          <cell r="Q1446">
            <v>0</v>
          </cell>
          <cell r="R1446">
            <v>0</v>
          </cell>
          <cell r="S1446">
            <v>0</v>
          </cell>
          <cell r="T1446">
            <v>0</v>
          </cell>
          <cell r="U1446">
            <v>0</v>
          </cell>
          <cell r="V1446">
            <v>380800</v>
          </cell>
          <cell r="W1446">
            <v>0</v>
          </cell>
          <cell r="X1446" t="str">
            <v/>
          </cell>
          <cell r="Y1446" t="str">
            <v/>
          </cell>
          <cell r="Z1446" t="str">
            <v/>
          </cell>
          <cell r="AA1446" t="str">
            <v/>
          </cell>
          <cell r="AB1446" t="str">
            <v>⑧</v>
          </cell>
          <cell r="AC1446" t="str">
            <v/>
          </cell>
          <cell r="AD1446" t="str">
            <v/>
          </cell>
          <cell r="AE1446" t="str">
            <v/>
          </cell>
          <cell r="AF1446" t="str">
            <v/>
          </cell>
          <cell r="AG1446" t="str">
            <v/>
          </cell>
          <cell r="AH1446" t="str">
            <v>②</v>
          </cell>
          <cell r="AI1446" t="str">
            <v/>
          </cell>
        </row>
        <row r="1447">
          <cell r="B1447">
            <v>7218</v>
          </cell>
          <cell r="C1447">
            <v>72</v>
          </cell>
          <cell r="D1447">
            <v>18</v>
          </cell>
          <cell r="F1447" t="str">
            <v>名古屋</v>
          </cell>
          <cell r="G1447" t="str">
            <v>受水槽清掃(含む高架水槽)</v>
          </cell>
          <cell r="H1447" t="str">
            <v>小森</v>
          </cell>
          <cell r="I1447">
            <v>330000</v>
          </cell>
          <cell r="J1447">
            <v>372900</v>
          </cell>
          <cell r="K1447">
            <v>1</v>
          </cell>
          <cell r="L1447">
            <v>0</v>
          </cell>
          <cell r="M1447">
            <v>0</v>
          </cell>
          <cell r="N1447">
            <v>0</v>
          </cell>
          <cell r="O1447">
            <v>0</v>
          </cell>
          <cell r="P1447">
            <v>0</v>
          </cell>
          <cell r="Q1447">
            <v>0</v>
          </cell>
          <cell r="R1447">
            <v>0</v>
          </cell>
          <cell r="S1447">
            <v>372900</v>
          </cell>
          <cell r="T1447">
            <v>0</v>
          </cell>
          <cell r="U1447">
            <v>0</v>
          </cell>
          <cell r="V1447">
            <v>0</v>
          </cell>
          <cell r="W1447">
            <v>0</v>
          </cell>
          <cell r="X1447" t="str">
            <v/>
          </cell>
          <cell r="Y1447" t="str">
            <v/>
          </cell>
          <cell r="Z1447" t="str">
            <v/>
          </cell>
          <cell r="AA1447" t="str">
            <v/>
          </cell>
          <cell r="AB1447" t="str">
            <v/>
          </cell>
          <cell r="AC1447" t="str">
            <v/>
          </cell>
          <cell r="AD1447" t="str">
            <v/>
          </cell>
          <cell r="AE1447" t="str">
            <v>⑪</v>
          </cell>
          <cell r="AF1447" t="str">
            <v/>
          </cell>
          <cell r="AG1447" t="str">
            <v/>
          </cell>
          <cell r="AH1447" t="str">
            <v/>
          </cell>
          <cell r="AI1447" t="str">
            <v/>
          </cell>
        </row>
        <row r="1448">
          <cell r="B1448">
            <v>7219</v>
          </cell>
          <cell r="C1448">
            <v>72</v>
          </cell>
          <cell r="D1448">
            <v>19</v>
          </cell>
          <cell r="F1448" t="str">
            <v>名古屋</v>
          </cell>
          <cell r="G1448" t="str">
            <v>煤煙測定</v>
          </cell>
          <cell r="H1448" t="str">
            <v>三協熱研</v>
          </cell>
          <cell r="I1448">
            <v>110000</v>
          </cell>
          <cell r="J1448">
            <v>126500</v>
          </cell>
          <cell r="K1448">
            <v>2</v>
          </cell>
          <cell r="L1448">
            <v>0</v>
          </cell>
          <cell r="M1448">
            <v>0</v>
          </cell>
          <cell r="N1448">
            <v>126500</v>
          </cell>
          <cell r="O1448">
            <v>0</v>
          </cell>
          <cell r="P1448">
            <v>0</v>
          </cell>
          <cell r="Q1448">
            <v>0</v>
          </cell>
          <cell r="R1448">
            <v>0</v>
          </cell>
          <cell r="S1448">
            <v>0</v>
          </cell>
          <cell r="T1448">
            <v>126500</v>
          </cell>
          <cell r="U1448">
            <v>0</v>
          </cell>
          <cell r="V1448">
            <v>0</v>
          </cell>
          <cell r="W1448">
            <v>0</v>
          </cell>
          <cell r="X1448" t="str">
            <v/>
          </cell>
          <cell r="Y1448" t="str">
            <v/>
          </cell>
          <cell r="Z1448" t="str">
            <v>⑥</v>
          </cell>
          <cell r="AA1448" t="str">
            <v/>
          </cell>
          <cell r="AB1448" t="str">
            <v/>
          </cell>
          <cell r="AC1448" t="str">
            <v/>
          </cell>
          <cell r="AD1448" t="str">
            <v/>
          </cell>
          <cell r="AE1448" t="str">
            <v/>
          </cell>
          <cell r="AF1448" t="str">
            <v>⑫</v>
          </cell>
          <cell r="AG1448" t="str">
            <v/>
          </cell>
          <cell r="AH1448" t="str">
            <v/>
          </cell>
          <cell r="AI1448" t="str">
            <v/>
          </cell>
        </row>
        <row r="1449">
          <cell r="B1449">
            <v>7220</v>
          </cell>
          <cell r="C1449">
            <v>72</v>
          </cell>
          <cell r="D1449">
            <v>20</v>
          </cell>
          <cell r="F1449" t="str">
            <v>名古屋</v>
          </cell>
          <cell r="G1449" t="str">
            <v>自動ドアー保守</v>
          </cell>
          <cell r="H1449" t="str">
            <v>ナブコドア</v>
          </cell>
          <cell r="I1449">
            <v>59250</v>
          </cell>
          <cell r="J1449">
            <v>60435</v>
          </cell>
          <cell r="K1449">
            <v>4</v>
          </cell>
          <cell r="L1449">
            <v>60435</v>
          </cell>
          <cell r="M1449">
            <v>0</v>
          </cell>
          <cell r="N1449">
            <v>0</v>
          </cell>
          <cell r="O1449">
            <v>60435</v>
          </cell>
          <cell r="P1449">
            <v>0</v>
          </cell>
          <cell r="Q1449">
            <v>0</v>
          </cell>
          <cell r="R1449">
            <v>60435</v>
          </cell>
          <cell r="S1449">
            <v>0</v>
          </cell>
          <cell r="T1449">
            <v>0</v>
          </cell>
          <cell r="U1449">
            <v>60435</v>
          </cell>
          <cell r="V1449">
            <v>0</v>
          </cell>
          <cell r="W1449">
            <v>0</v>
          </cell>
          <cell r="X1449" t="str">
            <v>④</v>
          </cell>
          <cell r="Y1449" t="str">
            <v/>
          </cell>
          <cell r="Z1449" t="str">
            <v/>
          </cell>
          <cell r="AA1449" t="str">
            <v>⑦</v>
          </cell>
          <cell r="AB1449" t="str">
            <v/>
          </cell>
          <cell r="AC1449" t="str">
            <v/>
          </cell>
          <cell r="AD1449" t="str">
            <v>⑩</v>
          </cell>
          <cell r="AE1449" t="str">
            <v/>
          </cell>
          <cell r="AF1449" t="str">
            <v/>
          </cell>
          <cell r="AG1449" t="str">
            <v>①</v>
          </cell>
          <cell r="AH1449" t="str">
            <v/>
          </cell>
          <cell r="AI1449" t="str">
            <v/>
          </cell>
        </row>
        <row r="1450">
          <cell r="B1450">
            <v>7221</v>
          </cell>
          <cell r="C1450">
            <v>72</v>
          </cell>
          <cell r="D1450">
            <v>21</v>
          </cell>
          <cell r="F1450" t="str">
            <v>名古屋</v>
          </cell>
          <cell r="G1450" t="str">
            <v>オートアンロック設備保守</v>
          </cell>
          <cell r="H1450" t="str">
            <v>高砂熱学工業</v>
          </cell>
          <cell r="I1450">
            <v>83000</v>
          </cell>
          <cell r="J1450">
            <v>88700</v>
          </cell>
          <cell r="K1450">
            <v>12</v>
          </cell>
          <cell r="L1450">
            <v>88700</v>
          </cell>
          <cell r="M1450">
            <v>88700</v>
          </cell>
          <cell r="N1450">
            <v>88700</v>
          </cell>
          <cell r="O1450">
            <v>88700</v>
          </cell>
          <cell r="P1450">
            <v>88700</v>
          </cell>
          <cell r="Q1450">
            <v>88700</v>
          </cell>
          <cell r="R1450">
            <v>88700</v>
          </cell>
          <cell r="S1450">
            <v>88700</v>
          </cell>
          <cell r="T1450">
            <v>88700</v>
          </cell>
          <cell r="U1450">
            <v>88700</v>
          </cell>
          <cell r="V1450">
            <v>88700</v>
          </cell>
          <cell r="W1450">
            <v>88700</v>
          </cell>
          <cell r="X1450" t="str">
            <v>④</v>
          </cell>
          <cell r="Y1450" t="str">
            <v>⑤</v>
          </cell>
          <cell r="Z1450" t="str">
            <v>⑥</v>
          </cell>
          <cell r="AA1450" t="str">
            <v>⑦</v>
          </cell>
          <cell r="AB1450" t="str">
            <v>⑧</v>
          </cell>
          <cell r="AC1450" t="str">
            <v>⑨</v>
          </cell>
          <cell r="AD1450" t="str">
            <v>⑩</v>
          </cell>
          <cell r="AE1450" t="str">
            <v>⑪</v>
          </cell>
          <cell r="AF1450" t="str">
            <v>⑫</v>
          </cell>
          <cell r="AG1450" t="str">
            <v>①</v>
          </cell>
          <cell r="AH1450" t="str">
            <v>②</v>
          </cell>
          <cell r="AI1450" t="str">
            <v>③</v>
          </cell>
          <cell r="AJ1450" t="str">
            <v>変</v>
          </cell>
        </row>
        <row r="1451">
          <cell r="B1451">
            <v>7222</v>
          </cell>
          <cell r="C1451">
            <v>72</v>
          </cell>
          <cell r="D1451">
            <v>22</v>
          </cell>
          <cell r="F1451" t="str">
            <v>名古屋</v>
          </cell>
          <cell r="G1451" t="str">
            <v>ﾊﾟｯｹｰｼﾞエアコン保守</v>
          </cell>
          <cell r="H1451" t="str">
            <v>高砂熱学工業</v>
          </cell>
          <cell r="I1451">
            <v>115000</v>
          </cell>
          <cell r="J1451">
            <v>123900</v>
          </cell>
          <cell r="K1451">
            <v>12</v>
          </cell>
          <cell r="L1451">
            <v>123900</v>
          </cell>
          <cell r="M1451">
            <v>123900</v>
          </cell>
          <cell r="N1451">
            <v>123900</v>
          </cell>
          <cell r="O1451">
            <v>123900</v>
          </cell>
          <cell r="P1451">
            <v>123900</v>
          </cell>
          <cell r="Q1451">
            <v>123900</v>
          </cell>
          <cell r="R1451">
            <v>123900</v>
          </cell>
          <cell r="S1451">
            <v>123900</v>
          </cell>
          <cell r="T1451">
            <v>123900</v>
          </cell>
          <cell r="U1451">
            <v>123900</v>
          </cell>
          <cell r="V1451">
            <v>123900</v>
          </cell>
          <cell r="W1451">
            <v>123900</v>
          </cell>
          <cell r="X1451" t="str">
            <v>④</v>
          </cell>
          <cell r="Y1451" t="str">
            <v>⑤</v>
          </cell>
          <cell r="Z1451" t="str">
            <v>⑥</v>
          </cell>
          <cell r="AA1451" t="str">
            <v>⑦</v>
          </cell>
          <cell r="AB1451" t="str">
            <v>⑧</v>
          </cell>
          <cell r="AC1451" t="str">
            <v>⑨</v>
          </cell>
          <cell r="AD1451" t="str">
            <v>⑩</v>
          </cell>
          <cell r="AE1451" t="str">
            <v>⑪</v>
          </cell>
          <cell r="AF1451" t="str">
            <v>⑫</v>
          </cell>
          <cell r="AG1451" t="str">
            <v>①</v>
          </cell>
          <cell r="AH1451" t="str">
            <v>②</v>
          </cell>
          <cell r="AI1451" t="str">
            <v>③</v>
          </cell>
          <cell r="AJ1451" t="str">
            <v>変</v>
          </cell>
        </row>
        <row r="1452">
          <cell r="B1452">
            <v>7223</v>
          </cell>
          <cell r="C1452">
            <v>72</v>
          </cell>
          <cell r="D1452">
            <v>23</v>
          </cell>
          <cell r="F1452" t="str">
            <v>名古屋</v>
          </cell>
          <cell r="G1452" t="str">
            <v>自動制御機器設備保守</v>
          </cell>
          <cell r="H1452" t="str">
            <v>高砂熱学工業</v>
          </cell>
          <cell r="I1452">
            <v>63000</v>
          </cell>
          <cell r="J1452">
            <v>67620</v>
          </cell>
          <cell r="K1452">
            <v>12</v>
          </cell>
          <cell r="L1452">
            <v>67620</v>
          </cell>
          <cell r="M1452">
            <v>67620</v>
          </cell>
          <cell r="N1452">
            <v>67620</v>
          </cell>
          <cell r="O1452">
            <v>67620</v>
          </cell>
          <cell r="P1452">
            <v>67620</v>
          </cell>
          <cell r="Q1452">
            <v>67620</v>
          </cell>
          <cell r="R1452">
            <v>67620</v>
          </cell>
          <cell r="S1452">
            <v>67620</v>
          </cell>
          <cell r="T1452">
            <v>67620</v>
          </cell>
          <cell r="U1452">
            <v>67620</v>
          </cell>
          <cell r="V1452">
            <v>67620</v>
          </cell>
          <cell r="W1452">
            <v>67620</v>
          </cell>
          <cell r="X1452" t="str">
            <v>④</v>
          </cell>
          <cell r="Y1452" t="str">
            <v>⑤</v>
          </cell>
          <cell r="Z1452" t="str">
            <v>⑥</v>
          </cell>
          <cell r="AA1452" t="str">
            <v>⑦</v>
          </cell>
          <cell r="AB1452" t="str">
            <v>⑧</v>
          </cell>
          <cell r="AC1452" t="str">
            <v>⑨</v>
          </cell>
          <cell r="AD1452" t="str">
            <v>⑩</v>
          </cell>
          <cell r="AE1452" t="str">
            <v>⑪</v>
          </cell>
          <cell r="AF1452" t="str">
            <v>⑫</v>
          </cell>
          <cell r="AG1452" t="str">
            <v>①</v>
          </cell>
          <cell r="AH1452" t="str">
            <v>②</v>
          </cell>
          <cell r="AI1452" t="str">
            <v>③</v>
          </cell>
          <cell r="AJ1452" t="str">
            <v>変</v>
          </cell>
        </row>
        <row r="1453">
          <cell r="B1453">
            <v>7224</v>
          </cell>
          <cell r="C1453">
            <v>72</v>
          </cell>
          <cell r="D1453">
            <v>24</v>
          </cell>
          <cell r="F1453" t="str">
            <v>名古屋</v>
          </cell>
          <cell r="G1453" t="str">
            <v>ターボ式･吸収式冷凍機保守</v>
          </cell>
          <cell r="H1453" t="str">
            <v>菱信工業</v>
          </cell>
          <cell r="I1453">
            <v>125000</v>
          </cell>
          <cell r="J1453">
            <v>127500</v>
          </cell>
          <cell r="K1453">
            <v>12</v>
          </cell>
          <cell r="L1453">
            <v>127500</v>
          </cell>
          <cell r="M1453">
            <v>127500</v>
          </cell>
          <cell r="N1453">
            <v>127500</v>
          </cell>
          <cell r="O1453">
            <v>127500</v>
          </cell>
          <cell r="P1453">
            <v>127500</v>
          </cell>
          <cell r="Q1453">
            <v>127500</v>
          </cell>
          <cell r="R1453">
            <v>127500</v>
          </cell>
          <cell r="S1453">
            <v>127500</v>
          </cell>
          <cell r="T1453">
            <v>127500</v>
          </cell>
          <cell r="U1453">
            <v>127500</v>
          </cell>
          <cell r="V1453">
            <v>127500</v>
          </cell>
          <cell r="W1453">
            <v>127500</v>
          </cell>
          <cell r="X1453" t="str">
            <v>④</v>
          </cell>
          <cell r="Y1453" t="str">
            <v>⑤</v>
          </cell>
          <cell r="Z1453" t="str">
            <v>⑥</v>
          </cell>
          <cell r="AA1453" t="str">
            <v>⑦</v>
          </cell>
          <cell r="AB1453" t="str">
            <v>⑧</v>
          </cell>
          <cell r="AC1453" t="str">
            <v>⑨</v>
          </cell>
          <cell r="AD1453" t="str">
            <v>⑩</v>
          </cell>
          <cell r="AE1453" t="str">
            <v>⑪</v>
          </cell>
          <cell r="AF1453" t="str">
            <v>⑫</v>
          </cell>
          <cell r="AG1453" t="str">
            <v>①</v>
          </cell>
          <cell r="AH1453" t="str">
            <v>②</v>
          </cell>
          <cell r="AI1453" t="str">
            <v>③</v>
          </cell>
        </row>
        <row r="1454">
          <cell r="B1454">
            <v>7225</v>
          </cell>
          <cell r="C1454">
            <v>72</v>
          </cell>
          <cell r="D1454">
            <v>25</v>
          </cell>
          <cell r="F1454" t="str">
            <v>名古屋</v>
          </cell>
          <cell r="G1454" t="str">
            <v>非常通報装置保守</v>
          </cell>
          <cell r="H1454" t="str">
            <v>電気通信共済会</v>
          </cell>
          <cell r="I1454">
            <v>18300</v>
          </cell>
          <cell r="J1454">
            <v>18666</v>
          </cell>
          <cell r="K1454">
            <v>4</v>
          </cell>
          <cell r="L1454">
            <v>0</v>
          </cell>
          <cell r="M1454">
            <v>0</v>
          </cell>
          <cell r="N1454">
            <v>18666</v>
          </cell>
          <cell r="O1454">
            <v>0</v>
          </cell>
          <cell r="P1454">
            <v>0</v>
          </cell>
          <cell r="Q1454">
            <v>18666</v>
          </cell>
          <cell r="R1454">
            <v>0</v>
          </cell>
          <cell r="S1454">
            <v>0</v>
          </cell>
          <cell r="T1454">
            <v>18666</v>
          </cell>
          <cell r="U1454">
            <v>0</v>
          </cell>
          <cell r="V1454">
            <v>0</v>
          </cell>
          <cell r="W1454">
            <v>18666</v>
          </cell>
          <cell r="X1454" t="str">
            <v/>
          </cell>
          <cell r="Y1454" t="str">
            <v/>
          </cell>
          <cell r="Z1454" t="str">
            <v>⑥</v>
          </cell>
          <cell r="AA1454" t="str">
            <v/>
          </cell>
          <cell r="AB1454" t="str">
            <v/>
          </cell>
          <cell r="AC1454" t="str">
            <v>⑨</v>
          </cell>
          <cell r="AD1454" t="str">
            <v/>
          </cell>
          <cell r="AE1454" t="str">
            <v/>
          </cell>
          <cell r="AF1454" t="str">
            <v>⑫</v>
          </cell>
          <cell r="AG1454" t="str">
            <v/>
          </cell>
          <cell r="AH1454" t="str">
            <v/>
          </cell>
          <cell r="AI1454" t="str">
            <v>③</v>
          </cell>
        </row>
        <row r="1455">
          <cell r="B1455">
            <v>7226</v>
          </cell>
          <cell r="C1455">
            <v>72</v>
          </cell>
          <cell r="D1455">
            <v>26</v>
          </cell>
          <cell r="F1455" t="str">
            <v>名古屋</v>
          </cell>
          <cell r="G1455" t="str">
            <v>設備保守管理</v>
          </cell>
          <cell r="H1455" t="str">
            <v>名古屋東管サービス</v>
          </cell>
          <cell r="I1455">
            <v>210000</v>
          </cell>
          <cell r="J1455">
            <v>214200</v>
          </cell>
          <cell r="K1455">
            <v>12</v>
          </cell>
          <cell r="L1455">
            <v>214200</v>
          </cell>
          <cell r="M1455">
            <v>214200</v>
          </cell>
          <cell r="N1455">
            <v>214200</v>
          </cell>
          <cell r="O1455">
            <v>214200</v>
          </cell>
          <cell r="P1455">
            <v>214200</v>
          </cell>
          <cell r="Q1455">
            <v>214200</v>
          </cell>
          <cell r="R1455">
            <v>214200</v>
          </cell>
          <cell r="S1455">
            <v>214200</v>
          </cell>
          <cell r="T1455">
            <v>214200</v>
          </cell>
          <cell r="U1455">
            <v>214200</v>
          </cell>
          <cell r="V1455">
            <v>214200</v>
          </cell>
          <cell r="W1455">
            <v>214200</v>
          </cell>
          <cell r="X1455" t="str">
            <v>④</v>
          </cell>
          <cell r="Y1455" t="str">
            <v>⑤</v>
          </cell>
          <cell r="Z1455" t="str">
            <v>⑥</v>
          </cell>
          <cell r="AA1455" t="str">
            <v>⑦</v>
          </cell>
          <cell r="AB1455" t="str">
            <v>⑧</v>
          </cell>
          <cell r="AC1455" t="str">
            <v>⑨</v>
          </cell>
          <cell r="AD1455" t="str">
            <v>⑩</v>
          </cell>
          <cell r="AE1455" t="str">
            <v>⑪</v>
          </cell>
          <cell r="AF1455" t="str">
            <v>⑫</v>
          </cell>
          <cell r="AG1455" t="str">
            <v>①</v>
          </cell>
          <cell r="AH1455" t="str">
            <v>②</v>
          </cell>
          <cell r="AI1455" t="str">
            <v>③</v>
          </cell>
        </row>
        <row r="1456">
          <cell r="B1456">
            <v>7227</v>
          </cell>
          <cell r="C1456">
            <v>72</v>
          </cell>
          <cell r="D1456">
            <v>27</v>
          </cell>
          <cell r="F1456" t="str">
            <v>名古屋</v>
          </cell>
          <cell r="G1456" t="str">
            <v>庭園維持管理</v>
          </cell>
          <cell r="H1456" t="str">
            <v>諸戸緑化産業</v>
          </cell>
          <cell r="I1456">
            <v>110000</v>
          </cell>
          <cell r="J1456">
            <v>112200</v>
          </cell>
          <cell r="K1456">
            <v>2</v>
          </cell>
          <cell r="L1456">
            <v>0</v>
          </cell>
          <cell r="M1456">
            <v>0</v>
          </cell>
          <cell r="N1456">
            <v>0</v>
          </cell>
          <cell r="O1456">
            <v>0</v>
          </cell>
          <cell r="P1456">
            <v>112200</v>
          </cell>
          <cell r="Q1456">
            <v>0</v>
          </cell>
          <cell r="R1456">
            <v>0</v>
          </cell>
          <cell r="S1456">
            <v>0</v>
          </cell>
          <cell r="T1456">
            <v>0</v>
          </cell>
          <cell r="U1456">
            <v>0</v>
          </cell>
          <cell r="V1456">
            <v>112200</v>
          </cell>
          <cell r="W1456">
            <v>0</v>
          </cell>
          <cell r="X1456" t="str">
            <v/>
          </cell>
          <cell r="Y1456" t="str">
            <v/>
          </cell>
          <cell r="Z1456" t="str">
            <v/>
          </cell>
          <cell r="AA1456" t="str">
            <v/>
          </cell>
          <cell r="AB1456" t="str">
            <v>⑧</v>
          </cell>
          <cell r="AC1456" t="str">
            <v/>
          </cell>
          <cell r="AD1456" t="str">
            <v/>
          </cell>
          <cell r="AE1456" t="str">
            <v/>
          </cell>
          <cell r="AF1456" t="str">
            <v/>
          </cell>
          <cell r="AG1456" t="str">
            <v/>
          </cell>
          <cell r="AH1456" t="str">
            <v>②</v>
          </cell>
          <cell r="AI1456" t="str">
            <v/>
          </cell>
        </row>
        <row r="1457">
          <cell r="B1457">
            <v>7228</v>
          </cell>
          <cell r="C1457">
            <v>72</v>
          </cell>
          <cell r="D1457">
            <v>28</v>
          </cell>
          <cell r="F1457" t="str">
            <v>名古屋</v>
          </cell>
          <cell r="G1457" t="str">
            <v>庭園維持管理</v>
          </cell>
          <cell r="H1457" t="str">
            <v>植芝園</v>
          </cell>
          <cell r="I1457">
            <v>600000</v>
          </cell>
          <cell r="J1457">
            <v>612000</v>
          </cell>
          <cell r="K1457">
            <v>2</v>
          </cell>
          <cell r="L1457">
            <v>0</v>
          </cell>
          <cell r="M1457">
            <v>612000</v>
          </cell>
          <cell r="N1457">
            <v>0</v>
          </cell>
          <cell r="O1457">
            <v>0</v>
          </cell>
          <cell r="P1457">
            <v>0</v>
          </cell>
          <cell r="Q1457">
            <v>0</v>
          </cell>
          <cell r="R1457">
            <v>0</v>
          </cell>
          <cell r="S1457">
            <v>612000</v>
          </cell>
          <cell r="T1457">
            <v>0</v>
          </cell>
          <cell r="U1457">
            <v>0</v>
          </cell>
          <cell r="V1457">
            <v>0</v>
          </cell>
          <cell r="W1457">
            <v>0</v>
          </cell>
          <cell r="X1457" t="str">
            <v/>
          </cell>
          <cell r="Y1457" t="str">
            <v>⑤</v>
          </cell>
          <cell r="Z1457" t="str">
            <v/>
          </cell>
          <cell r="AA1457" t="str">
            <v/>
          </cell>
          <cell r="AB1457" t="str">
            <v/>
          </cell>
          <cell r="AC1457" t="str">
            <v/>
          </cell>
          <cell r="AD1457" t="str">
            <v/>
          </cell>
          <cell r="AE1457" t="str">
            <v>⑪</v>
          </cell>
          <cell r="AF1457" t="str">
            <v/>
          </cell>
          <cell r="AG1457" t="str">
            <v/>
          </cell>
          <cell r="AH1457" t="str">
            <v/>
          </cell>
          <cell r="AI1457" t="str">
            <v/>
          </cell>
        </row>
        <row r="1458">
          <cell r="B1458">
            <v>7229</v>
          </cell>
          <cell r="C1458">
            <v>72</v>
          </cell>
          <cell r="D1458">
            <v>29</v>
          </cell>
          <cell r="F1458" t="str">
            <v>名古屋</v>
          </cell>
          <cell r="G1458" t="str">
            <v>貸植木代</v>
          </cell>
          <cell r="H1458" t="str">
            <v>富士メンテナンス</v>
          </cell>
          <cell r="I1458">
            <v>47780</v>
          </cell>
          <cell r="J1458">
            <v>48735</v>
          </cell>
          <cell r="K1458">
            <v>12</v>
          </cell>
          <cell r="L1458">
            <v>48735</v>
          </cell>
          <cell r="M1458">
            <v>48735</v>
          </cell>
          <cell r="N1458">
            <v>48735</v>
          </cell>
          <cell r="O1458">
            <v>48735</v>
          </cell>
          <cell r="P1458">
            <v>48735</v>
          </cell>
          <cell r="Q1458">
            <v>48735</v>
          </cell>
          <cell r="R1458">
            <v>48735</v>
          </cell>
          <cell r="S1458">
            <v>48735</v>
          </cell>
          <cell r="T1458">
            <v>48735</v>
          </cell>
          <cell r="U1458">
            <v>48735</v>
          </cell>
          <cell r="V1458">
            <v>48735</v>
          </cell>
          <cell r="W1458">
            <v>48735</v>
          </cell>
          <cell r="X1458" t="str">
            <v>④</v>
          </cell>
          <cell r="Y1458" t="str">
            <v>⑤</v>
          </cell>
          <cell r="Z1458" t="str">
            <v>⑥</v>
          </cell>
          <cell r="AA1458" t="str">
            <v>⑦</v>
          </cell>
          <cell r="AB1458" t="str">
            <v>⑧</v>
          </cell>
          <cell r="AC1458" t="str">
            <v>⑨</v>
          </cell>
          <cell r="AD1458" t="str">
            <v>⑩</v>
          </cell>
          <cell r="AE1458" t="str">
            <v>⑪</v>
          </cell>
          <cell r="AF1458" t="str">
            <v>⑫</v>
          </cell>
          <cell r="AG1458" t="str">
            <v>①</v>
          </cell>
          <cell r="AH1458" t="str">
            <v>②</v>
          </cell>
          <cell r="AI1458" t="str">
            <v>③</v>
          </cell>
        </row>
        <row r="1459">
          <cell r="B1459">
            <v>7230</v>
          </cell>
          <cell r="C1459">
            <v>72</v>
          </cell>
          <cell r="D1459">
            <v>30</v>
          </cell>
          <cell r="F1459" t="str">
            <v>名古屋</v>
          </cell>
          <cell r="G1459" t="str">
            <v>ＢＧＭ放送テープリース</v>
          </cell>
          <cell r="H1459" t="str">
            <v>毎日映像音響システム</v>
          </cell>
          <cell r="I1459">
            <v>18260</v>
          </cell>
          <cell r="J1459">
            <v>18625</v>
          </cell>
          <cell r="K1459">
            <v>12</v>
          </cell>
          <cell r="L1459">
            <v>18625</v>
          </cell>
          <cell r="M1459">
            <v>18625</v>
          </cell>
          <cell r="N1459">
            <v>18625</v>
          </cell>
          <cell r="O1459">
            <v>18625</v>
          </cell>
          <cell r="P1459">
            <v>18625</v>
          </cell>
          <cell r="Q1459">
            <v>18625</v>
          </cell>
          <cell r="R1459">
            <v>18625</v>
          </cell>
          <cell r="S1459">
            <v>18625</v>
          </cell>
          <cell r="T1459">
            <v>18625</v>
          </cell>
          <cell r="U1459">
            <v>18625</v>
          </cell>
          <cell r="V1459">
            <v>18625</v>
          </cell>
          <cell r="W1459">
            <v>18625</v>
          </cell>
          <cell r="X1459" t="str">
            <v>④</v>
          </cell>
          <cell r="Y1459" t="str">
            <v>⑤</v>
          </cell>
          <cell r="Z1459" t="str">
            <v>⑥</v>
          </cell>
          <cell r="AA1459" t="str">
            <v>⑦</v>
          </cell>
          <cell r="AB1459" t="str">
            <v>⑧</v>
          </cell>
          <cell r="AC1459" t="str">
            <v>⑨</v>
          </cell>
          <cell r="AD1459" t="str">
            <v>⑩</v>
          </cell>
          <cell r="AE1459" t="str">
            <v>⑪</v>
          </cell>
          <cell r="AF1459" t="str">
            <v>⑫</v>
          </cell>
          <cell r="AG1459" t="str">
            <v>①</v>
          </cell>
          <cell r="AH1459" t="str">
            <v>②</v>
          </cell>
          <cell r="AI1459" t="str">
            <v>③</v>
          </cell>
        </row>
        <row r="1460">
          <cell r="B1460">
            <v>7231</v>
          </cell>
          <cell r="C1460">
            <v>72</v>
          </cell>
          <cell r="D1460">
            <v>31</v>
          </cell>
          <cell r="F1460" t="str">
            <v>名古屋</v>
          </cell>
          <cell r="G1460" t="str">
            <v>ロスナイ点検清掃</v>
          </cell>
          <cell r="H1460" t="str">
            <v>名古屋東管サービス</v>
          </cell>
          <cell r="I1460">
            <v>200000</v>
          </cell>
          <cell r="J1460">
            <v>230000</v>
          </cell>
          <cell r="K1460">
            <v>1</v>
          </cell>
          <cell r="L1460">
            <v>0</v>
          </cell>
          <cell r="M1460">
            <v>0</v>
          </cell>
          <cell r="N1460">
            <v>0</v>
          </cell>
          <cell r="O1460">
            <v>0</v>
          </cell>
          <cell r="P1460">
            <v>0</v>
          </cell>
          <cell r="Q1460">
            <v>0</v>
          </cell>
          <cell r="R1460">
            <v>0</v>
          </cell>
          <cell r="S1460">
            <v>230000</v>
          </cell>
          <cell r="T1460">
            <v>0</v>
          </cell>
          <cell r="U1460">
            <v>0</v>
          </cell>
          <cell r="V1460">
            <v>0</v>
          </cell>
          <cell r="W1460">
            <v>0</v>
          </cell>
          <cell r="X1460" t="str">
            <v/>
          </cell>
          <cell r="Y1460" t="str">
            <v/>
          </cell>
          <cell r="Z1460" t="str">
            <v/>
          </cell>
          <cell r="AA1460" t="str">
            <v/>
          </cell>
          <cell r="AB1460" t="str">
            <v/>
          </cell>
          <cell r="AC1460" t="str">
            <v/>
          </cell>
          <cell r="AD1460" t="str">
            <v/>
          </cell>
          <cell r="AE1460" t="str">
            <v>⑪</v>
          </cell>
          <cell r="AF1460" t="str">
            <v/>
          </cell>
          <cell r="AG1460" t="str">
            <v/>
          </cell>
          <cell r="AH1460" t="str">
            <v/>
          </cell>
          <cell r="AI1460" t="str">
            <v/>
          </cell>
          <cell r="AJ1460" t="str">
            <v>追</v>
          </cell>
        </row>
        <row r="1461">
          <cell r="B1461">
            <v>7232</v>
          </cell>
          <cell r="C1461">
            <v>72</v>
          </cell>
          <cell r="D1461">
            <v>32</v>
          </cell>
          <cell r="F1461" t="str">
            <v>名古屋</v>
          </cell>
          <cell r="G1461" t="str">
            <v>膨張タンク内部点検清掃</v>
          </cell>
          <cell r="H1461" t="str">
            <v>名古屋東管サービス</v>
          </cell>
          <cell r="I1461">
            <v>30000</v>
          </cell>
          <cell r="J1461">
            <v>34500</v>
          </cell>
          <cell r="K1461">
            <v>2</v>
          </cell>
          <cell r="L1461">
            <v>0</v>
          </cell>
          <cell r="M1461">
            <v>34500</v>
          </cell>
          <cell r="N1461">
            <v>0</v>
          </cell>
          <cell r="O1461">
            <v>0</v>
          </cell>
          <cell r="P1461">
            <v>0</v>
          </cell>
          <cell r="Q1461">
            <v>0</v>
          </cell>
          <cell r="R1461">
            <v>0</v>
          </cell>
          <cell r="S1461">
            <v>34500</v>
          </cell>
          <cell r="T1461">
            <v>0</v>
          </cell>
          <cell r="U1461">
            <v>0</v>
          </cell>
          <cell r="V1461">
            <v>0</v>
          </cell>
          <cell r="W1461">
            <v>0</v>
          </cell>
          <cell r="X1461" t="str">
            <v/>
          </cell>
          <cell r="Y1461" t="str">
            <v>⑤</v>
          </cell>
          <cell r="Z1461" t="str">
            <v/>
          </cell>
          <cell r="AA1461" t="str">
            <v/>
          </cell>
          <cell r="AB1461" t="str">
            <v/>
          </cell>
          <cell r="AC1461" t="str">
            <v/>
          </cell>
          <cell r="AD1461" t="str">
            <v/>
          </cell>
          <cell r="AE1461" t="str">
            <v>⑪</v>
          </cell>
          <cell r="AF1461" t="str">
            <v/>
          </cell>
          <cell r="AG1461" t="str">
            <v/>
          </cell>
          <cell r="AH1461" t="str">
            <v/>
          </cell>
          <cell r="AI1461" t="str">
            <v/>
          </cell>
          <cell r="AJ1461" t="str">
            <v>追</v>
          </cell>
        </row>
        <row r="1462">
          <cell r="B1462">
            <v>7233</v>
          </cell>
          <cell r="C1462">
            <v>72</v>
          </cell>
          <cell r="D1462">
            <v>33</v>
          </cell>
          <cell r="F1462" t="str">
            <v>名古屋</v>
          </cell>
          <cell r="G1462" t="str">
            <v>揚水ポンプ定期整備</v>
          </cell>
          <cell r="H1462" t="str">
            <v>西原衛生工業所</v>
          </cell>
          <cell r="I1462">
            <v>142000</v>
          </cell>
          <cell r="J1462">
            <v>163300</v>
          </cell>
          <cell r="K1462">
            <v>1</v>
          </cell>
          <cell r="L1462">
            <v>0</v>
          </cell>
          <cell r="M1462">
            <v>0</v>
          </cell>
          <cell r="N1462">
            <v>0</v>
          </cell>
          <cell r="O1462">
            <v>0</v>
          </cell>
          <cell r="P1462">
            <v>0</v>
          </cell>
          <cell r="Q1462">
            <v>0</v>
          </cell>
          <cell r="R1462">
            <v>0</v>
          </cell>
          <cell r="S1462">
            <v>0</v>
          </cell>
          <cell r="T1462">
            <v>0</v>
          </cell>
          <cell r="U1462">
            <v>163300</v>
          </cell>
          <cell r="V1462">
            <v>0</v>
          </cell>
          <cell r="W1462">
            <v>0</v>
          </cell>
          <cell r="X1462" t="str">
            <v/>
          </cell>
          <cell r="Y1462" t="str">
            <v/>
          </cell>
          <cell r="Z1462" t="str">
            <v/>
          </cell>
          <cell r="AA1462" t="str">
            <v/>
          </cell>
          <cell r="AB1462" t="str">
            <v/>
          </cell>
          <cell r="AC1462" t="str">
            <v/>
          </cell>
          <cell r="AD1462" t="str">
            <v/>
          </cell>
          <cell r="AE1462" t="str">
            <v/>
          </cell>
          <cell r="AF1462" t="str">
            <v/>
          </cell>
          <cell r="AG1462" t="str">
            <v>①</v>
          </cell>
          <cell r="AH1462" t="str">
            <v/>
          </cell>
          <cell r="AI1462" t="str">
            <v/>
          </cell>
          <cell r="AJ1462" t="str">
            <v>追</v>
          </cell>
        </row>
        <row r="1463">
          <cell r="B1463">
            <v>7234</v>
          </cell>
          <cell r="C1463">
            <v>72</v>
          </cell>
          <cell r="D1463">
            <v>34</v>
          </cell>
          <cell r="F1463" t="str">
            <v>名古屋</v>
          </cell>
          <cell r="G1463" t="str">
            <v>シャッター設備点検整備</v>
          </cell>
          <cell r="H1463" t="str">
            <v>三和シャッター工業</v>
          </cell>
          <cell r="I1463">
            <v>233000</v>
          </cell>
          <cell r="J1463">
            <v>267950</v>
          </cell>
          <cell r="K1463">
            <v>1</v>
          </cell>
          <cell r="L1463">
            <v>0</v>
          </cell>
          <cell r="M1463">
            <v>0</v>
          </cell>
          <cell r="N1463">
            <v>0</v>
          </cell>
          <cell r="O1463">
            <v>267950</v>
          </cell>
          <cell r="P1463">
            <v>0</v>
          </cell>
          <cell r="Q1463">
            <v>0</v>
          </cell>
          <cell r="R1463">
            <v>0</v>
          </cell>
          <cell r="S1463">
            <v>0</v>
          </cell>
          <cell r="T1463">
            <v>0</v>
          </cell>
          <cell r="U1463">
            <v>0</v>
          </cell>
          <cell r="V1463">
            <v>0</v>
          </cell>
          <cell r="W1463">
            <v>0</v>
          </cell>
          <cell r="X1463" t="str">
            <v/>
          </cell>
          <cell r="Y1463" t="str">
            <v/>
          </cell>
          <cell r="Z1463" t="str">
            <v/>
          </cell>
          <cell r="AA1463" t="str">
            <v>⑦</v>
          </cell>
          <cell r="AB1463" t="str">
            <v/>
          </cell>
          <cell r="AC1463" t="str">
            <v/>
          </cell>
          <cell r="AD1463" t="str">
            <v/>
          </cell>
          <cell r="AE1463" t="str">
            <v/>
          </cell>
          <cell r="AF1463" t="str">
            <v/>
          </cell>
          <cell r="AG1463" t="str">
            <v/>
          </cell>
          <cell r="AH1463" t="str">
            <v/>
          </cell>
          <cell r="AI1463" t="str">
            <v/>
          </cell>
          <cell r="AJ1463" t="str">
            <v>追</v>
          </cell>
        </row>
        <row r="1464">
          <cell r="B1464">
            <v>7235</v>
          </cell>
          <cell r="C1464">
            <v>72</v>
          </cell>
          <cell r="D1464">
            <v>35</v>
          </cell>
          <cell r="F1464" t="str">
            <v>名古屋</v>
          </cell>
          <cell r="G1464" t="str">
            <v>冷却塔点検整備</v>
          </cell>
          <cell r="H1464" t="str">
            <v>高砂熱学工業</v>
          </cell>
          <cell r="I1464">
            <v>265000</v>
          </cell>
          <cell r="J1464">
            <v>304750</v>
          </cell>
          <cell r="K1464">
            <v>1</v>
          </cell>
          <cell r="L1464">
            <v>0</v>
          </cell>
          <cell r="M1464">
            <v>0</v>
          </cell>
          <cell r="N1464">
            <v>0</v>
          </cell>
          <cell r="O1464">
            <v>0</v>
          </cell>
          <cell r="P1464">
            <v>0</v>
          </cell>
          <cell r="Q1464">
            <v>0</v>
          </cell>
          <cell r="R1464">
            <v>0</v>
          </cell>
          <cell r="S1464">
            <v>0</v>
          </cell>
          <cell r="T1464">
            <v>304750</v>
          </cell>
          <cell r="U1464">
            <v>0</v>
          </cell>
          <cell r="V1464">
            <v>0</v>
          </cell>
          <cell r="W1464">
            <v>0</v>
          </cell>
          <cell r="X1464" t="str">
            <v/>
          </cell>
          <cell r="Y1464" t="str">
            <v/>
          </cell>
          <cell r="Z1464" t="str">
            <v/>
          </cell>
          <cell r="AA1464" t="str">
            <v/>
          </cell>
          <cell r="AB1464" t="str">
            <v/>
          </cell>
          <cell r="AC1464" t="str">
            <v/>
          </cell>
          <cell r="AD1464" t="str">
            <v/>
          </cell>
          <cell r="AE1464" t="str">
            <v/>
          </cell>
          <cell r="AF1464" t="str">
            <v>⑫</v>
          </cell>
          <cell r="AG1464" t="str">
            <v/>
          </cell>
          <cell r="AH1464" t="str">
            <v/>
          </cell>
          <cell r="AI1464" t="str">
            <v/>
          </cell>
          <cell r="AJ1464" t="str">
            <v>追</v>
          </cell>
        </row>
        <row r="1465">
          <cell r="B1465">
            <v>7236</v>
          </cell>
          <cell r="C1465">
            <v>72</v>
          </cell>
          <cell r="D1465">
            <v>36</v>
          </cell>
          <cell r="F1465" t="str">
            <v>名古屋</v>
          </cell>
          <cell r="G1465" t="str">
            <v>小型エアコン点検洗浄</v>
          </cell>
          <cell r="H1465" t="str">
            <v>八洲興業</v>
          </cell>
          <cell r="I1465">
            <v>750000</v>
          </cell>
          <cell r="J1465">
            <v>862500</v>
          </cell>
          <cell r="K1465">
            <v>1</v>
          </cell>
          <cell r="L1465">
            <v>0</v>
          </cell>
          <cell r="M1465">
            <v>0</v>
          </cell>
          <cell r="N1465">
            <v>0</v>
          </cell>
          <cell r="O1465">
            <v>0</v>
          </cell>
          <cell r="P1465">
            <v>0</v>
          </cell>
          <cell r="Q1465">
            <v>0</v>
          </cell>
          <cell r="R1465">
            <v>862500</v>
          </cell>
          <cell r="S1465">
            <v>0</v>
          </cell>
          <cell r="T1465">
            <v>0</v>
          </cell>
          <cell r="U1465">
            <v>0</v>
          </cell>
          <cell r="V1465">
            <v>0</v>
          </cell>
          <cell r="W1465">
            <v>0</v>
          </cell>
          <cell r="X1465" t="str">
            <v/>
          </cell>
          <cell r="Y1465" t="str">
            <v/>
          </cell>
          <cell r="Z1465" t="str">
            <v/>
          </cell>
          <cell r="AA1465" t="str">
            <v/>
          </cell>
          <cell r="AB1465" t="str">
            <v/>
          </cell>
          <cell r="AC1465" t="str">
            <v/>
          </cell>
          <cell r="AD1465" t="str">
            <v>⑩</v>
          </cell>
          <cell r="AE1465" t="str">
            <v/>
          </cell>
          <cell r="AF1465" t="str">
            <v/>
          </cell>
          <cell r="AG1465" t="str">
            <v/>
          </cell>
          <cell r="AH1465" t="str">
            <v/>
          </cell>
          <cell r="AI1465" t="str">
            <v/>
          </cell>
          <cell r="AJ1465" t="str">
            <v>追</v>
          </cell>
        </row>
        <row r="1466">
          <cell r="B1466">
            <v>7237</v>
          </cell>
          <cell r="C1466">
            <v>72</v>
          </cell>
          <cell r="D1466">
            <v>37</v>
          </cell>
          <cell r="F1466" t="str">
            <v>名古屋</v>
          </cell>
          <cell r="G1466" t="str">
            <v>送排風機定期整備</v>
          </cell>
          <cell r="H1466" t="str">
            <v>八洲興業</v>
          </cell>
          <cell r="I1466">
            <v>1500000</v>
          </cell>
          <cell r="J1466">
            <v>1715000</v>
          </cell>
          <cell r="K1466">
            <v>1</v>
          </cell>
          <cell r="L1466">
            <v>0</v>
          </cell>
          <cell r="M1466">
            <v>0</v>
          </cell>
          <cell r="N1466">
            <v>0</v>
          </cell>
          <cell r="O1466">
            <v>0</v>
          </cell>
          <cell r="P1466">
            <v>0</v>
          </cell>
          <cell r="Q1466">
            <v>0</v>
          </cell>
          <cell r="R1466">
            <v>0</v>
          </cell>
          <cell r="S1466">
            <v>0</v>
          </cell>
          <cell r="T1466">
            <v>0</v>
          </cell>
          <cell r="U1466">
            <v>1715000</v>
          </cell>
          <cell r="V1466">
            <v>0</v>
          </cell>
          <cell r="W1466">
            <v>0</v>
          </cell>
          <cell r="X1466" t="str">
            <v/>
          </cell>
          <cell r="Y1466" t="str">
            <v/>
          </cell>
          <cell r="Z1466" t="str">
            <v/>
          </cell>
          <cell r="AA1466" t="str">
            <v/>
          </cell>
          <cell r="AB1466" t="str">
            <v/>
          </cell>
          <cell r="AC1466" t="str">
            <v/>
          </cell>
          <cell r="AD1466" t="str">
            <v/>
          </cell>
          <cell r="AE1466" t="str">
            <v/>
          </cell>
          <cell r="AF1466" t="str">
            <v/>
          </cell>
          <cell r="AG1466" t="str">
            <v>①</v>
          </cell>
          <cell r="AH1466" t="str">
            <v/>
          </cell>
          <cell r="AI1466" t="str">
            <v/>
          </cell>
          <cell r="AJ1466" t="str">
            <v>追</v>
          </cell>
        </row>
        <row r="1467">
          <cell r="B1467">
            <v>7238</v>
          </cell>
          <cell r="C1467">
            <v>72</v>
          </cell>
          <cell r="D1467">
            <v>38</v>
          </cell>
          <cell r="F1467" t="str">
            <v>名古屋</v>
          </cell>
          <cell r="G1467" t="str">
            <v>店舗系ダクト定期清掃</v>
          </cell>
          <cell r="H1467" t="str">
            <v>八洲興業</v>
          </cell>
          <cell r="I1467">
            <v>1480000</v>
          </cell>
          <cell r="J1467">
            <v>1692400</v>
          </cell>
          <cell r="K1467">
            <v>1</v>
          </cell>
          <cell r="L1467">
            <v>0</v>
          </cell>
          <cell r="M1467">
            <v>0</v>
          </cell>
          <cell r="N1467">
            <v>0</v>
          </cell>
          <cell r="O1467">
            <v>0</v>
          </cell>
          <cell r="P1467">
            <v>0</v>
          </cell>
          <cell r="Q1467">
            <v>0</v>
          </cell>
          <cell r="R1467">
            <v>0</v>
          </cell>
          <cell r="S1467">
            <v>0</v>
          </cell>
          <cell r="T1467">
            <v>0</v>
          </cell>
          <cell r="U1467">
            <v>1692400</v>
          </cell>
          <cell r="V1467">
            <v>0</v>
          </cell>
          <cell r="W1467">
            <v>0</v>
          </cell>
          <cell r="X1467" t="str">
            <v/>
          </cell>
          <cell r="Y1467" t="str">
            <v/>
          </cell>
          <cell r="Z1467" t="str">
            <v/>
          </cell>
          <cell r="AA1467" t="str">
            <v/>
          </cell>
          <cell r="AB1467" t="str">
            <v/>
          </cell>
          <cell r="AC1467" t="str">
            <v/>
          </cell>
          <cell r="AD1467" t="str">
            <v/>
          </cell>
          <cell r="AE1467" t="str">
            <v/>
          </cell>
          <cell r="AF1467" t="str">
            <v/>
          </cell>
          <cell r="AG1467" t="str">
            <v>①</v>
          </cell>
          <cell r="AH1467" t="str">
            <v/>
          </cell>
          <cell r="AI1467" t="str">
            <v/>
          </cell>
          <cell r="AJ1467" t="str">
            <v>追</v>
          </cell>
        </row>
        <row r="1468">
          <cell r="B1468">
            <v>7239</v>
          </cell>
          <cell r="C1468">
            <v>72</v>
          </cell>
          <cell r="D1468">
            <v>39</v>
          </cell>
          <cell r="F1468" t="str">
            <v>名古屋</v>
          </cell>
          <cell r="G1468" t="str">
            <v>空調機定期整備</v>
          </cell>
          <cell r="H1468" t="str">
            <v>八洲興業</v>
          </cell>
          <cell r="I1468">
            <v>4000000</v>
          </cell>
          <cell r="J1468">
            <v>4480000</v>
          </cell>
          <cell r="K1468">
            <v>1</v>
          </cell>
          <cell r="L1468">
            <v>0</v>
          </cell>
          <cell r="M1468">
            <v>0</v>
          </cell>
          <cell r="N1468">
            <v>0</v>
          </cell>
          <cell r="O1468">
            <v>0</v>
          </cell>
          <cell r="P1468">
            <v>0</v>
          </cell>
          <cell r="Q1468">
            <v>0</v>
          </cell>
          <cell r="R1468">
            <v>0</v>
          </cell>
          <cell r="S1468">
            <v>0</v>
          </cell>
          <cell r="T1468">
            <v>0</v>
          </cell>
          <cell r="U1468">
            <v>4480000</v>
          </cell>
          <cell r="V1468">
            <v>0</v>
          </cell>
          <cell r="W1468">
            <v>0</v>
          </cell>
          <cell r="X1468" t="str">
            <v/>
          </cell>
          <cell r="Y1468" t="str">
            <v/>
          </cell>
          <cell r="Z1468" t="str">
            <v/>
          </cell>
          <cell r="AA1468" t="str">
            <v/>
          </cell>
          <cell r="AB1468" t="str">
            <v/>
          </cell>
          <cell r="AC1468" t="str">
            <v/>
          </cell>
          <cell r="AD1468" t="str">
            <v/>
          </cell>
          <cell r="AE1468" t="str">
            <v/>
          </cell>
          <cell r="AF1468" t="str">
            <v/>
          </cell>
          <cell r="AG1468" t="str">
            <v>①</v>
          </cell>
          <cell r="AH1468" t="str">
            <v/>
          </cell>
          <cell r="AI1468" t="str">
            <v/>
          </cell>
          <cell r="AJ1468" t="str">
            <v>追</v>
          </cell>
        </row>
        <row r="1469">
          <cell r="B1469">
            <v>7240</v>
          </cell>
          <cell r="C1469">
            <v>72</v>
          </cell>
          <cell r="D1469">
            <v>40</v>
          </cell>
          <cell r="F1469" t="str">
            <v>名古屋</v>
          </cell>
          <cell r="G1469" t="str">
            <v>空調ポンプ定期整備</v>
          </cell>
          <cell r="H1469" t="str">
            <v>高砂熱学工業</v>
          </cell>
          <cell r="I1469">
            <v>627000</v>
          </cell>
          <cell r="J1469">
            <v>721050</v>
          </cell>
          <cell r="K1469">
            <v>1</v>
          </cell>
          <cell r="L1469">
            <v>0</v>
          </cell>
          <cell r="M1469">
            <v>0</v>
          </cell>
          <cell r="N1469">
            <v>0</v>
          </cell>
          <cell r="O1469">
            <v>0</v>
          </cell>
          <cell r="P1469">
            <v>0</v>
          </cell>
          <cell r="Q1469">
            <v>0</v>
          </cell>
          <cell r="R1469">
            <v>0</v>
          </cell>
          <cell r="S1469">
            <v>0</v>
          </cell>
          <cell r="T1469">
            <v>0</v>
          </cell>
          <cell r="U1469">
            <v>0</v>
          </cell>
          <cell r="V1469">
            <v>721050</v>
          </cell>
          <cell r="W1469">
            <v>0</v>
          </cell>
          <cell r="X1469" t="str">
            <v/>
          </cell>
          <cell r="Y1469" t="str">
            <v/>
          </cell>
          <cell r="Z1469" t="str">
            <v/>
          </cell>
          <cell r="AA1469" t="str">
            <v/>
          </cell>
          <cell r="AB1469" t="str">
            <v/>
          </cell>
          <cell r="AC1469" t="str">
            <v/>
          </cell>
          <cell r="AD1469" t="str">
            <v/>
          </cell>
          <cell r="AE1469" t="str">
            <v/>
          </cell>
          <cell r="AF1469" t="str">
            <v/>
          </cell>
          <cell r="AG1469" t="str">
            <v/>
          </cell>
          <cell r="AH1469" t="str">
            <v>②</v>
          </cell>
          <cell r="AI1469" t="str">
            <v/>
          </cell>
          <cell r="AJ1469" t="str">
            <v>追</v>
          </cell>
        </row>
        <row r="1470">
          <cell r="B1470">
            <v>7241</v>
          </cell>
          <cell r="C1470">
            <v>72</v>
          </cell>
          <cell r="D1470">
            <v>41</v>
          </cell>
          <cell r="F1470" t="str">
            <v>名古屋</v>
          </cell>
          <cell r="G1470" t="str">
            <v>ファンコイル定期整備</v>
          </cell>
          <cell r="H1470" t="str">
            <v>丸石エンジニアリング</v>
          </cell>
          <cell r="I1470">
            <v>2800000</v>
          </cell>
          <cell r="J1470">
            <v>3160000</v>
          </cell>
          <cell r="K1470">
            <v>1</v>
          </cell>
          <cell r="L1470">
            <v>0</v>
          </cell>
          <cell r="M1470">
            <v>0</v>
          </cell>
          <cell r="N1470">
            <v>0</v>
          </cell>
          <cell r="O1470">
            <v>0</v>
          </cell>
          <cell r="P1470">
            <v>0</v>
          </cell>
          <cell r="Q1470">
            <v>0</v>
          </cell>
          <cell r="R1470">
            <v>0</v>
          </cell>
          <cell r="S1470">
            <v>0</v>
          </cell>
          <cell r="T1470">
            <v>0</v>
          </cell>
          <cell r="U1470">
            <v>3160000</v>
          </cell>
          <cell r="V1470">
            <v>0</v>
          </cell>
          <cell r="W1470">
            <v>0</v>
          </cell>
          <cell r="X1470" t="str">
            <v/>
          </cell>
          <cell r="Y1470" t="str">
            <v/>
          </cell>
          <cell r="Z1470" t="str">
            <v/>
          </cell>
          <cell r="AA1470" t="str">
            <v/>
          </cell>
          <cell r="AB1470" t="str">
            <v/>
          </cell>
          <cell r="AC1470" t="str">
            <v/>
          </cell>
          <cell r="AD1470" t="str">
            <v/>
          </cell>
          <cell r="AE1470" t="str">
            <v/>
          </cell>
          <cell r="AF1470" t="str">
            <v/>
          </cell>
          <cell r="AG1470" t="str">
            <v>①</v>
          </cell>
          <cell r="AH1470" t="str">
            <v/>
          </cell>
          <cell r="AI1470" t="str">
            <v/>
          </cell>
          <cell r="AJ1470" t="str">
            <v>追</v>
          </cell>
        </row>
        <row r="1471">
          <cell r="B1471">
            <v>7242</v>
          </cell>
          <cell r="C1471">
            <v>72</v>
          </cell>
          <cell r="D1471">
            <v>42</v>
          </cell>
          <cell r="F1471" t="str">
            <v>名古屋</v>
          </cell>
          <cell r="G1471" t="str">
            <v>ボイラー設備定期点検整備</v>
          </cell>
          <cell r="H1471" t="str">
            <v>水野</v>
          </cell>
          <cell r="I1471">
            <v>2460000</v>
          </cell>
          <cell r="J1471">
            <v>2786000</v>
          </cell>
          <cell r="K1471">
            <v>1</v>
          </cell>
          <cell r="L1471">
            <v>0</v>
          </cell>
          <cell r="M1471">
            <v>0</v>
          </cell>
          <cell r="N1471">
            <v>2786000</v>
          </cell>
          <cell r="O1471">
            <v>0</v>
          </cell>
          <cell r="P1471">
            <v>0</v>
          </cell>
          <cell r="Q1471">
            <v>0</v>
          </cell>
          <cell r="R1471">
            <v>0</v>
          </cell>
          <cell r="S1471">
            <v>0</v>
          </cell>
          <cell r="T1471">
            <v>0</v>
          </cell>
          <cell r="U1471">
            <v>0</v>
          </cell>
          <cell r="V1471">
            <v>0</v>
          </cell>
          <cell r="W1471">
            <v>0</v>
          </cell>
          <cell r="X1471" t="str">
            <v/>
          </cell>
          <cell r="Y1471" t="str">
            <v/>
          </cell>
          <cell r="Z1471" t="str">
            <v>⑥</v>
          </cell>
          <cell r="AA1471" t="str">
            <v/>
          </cell>
          <cell r="AB1471" t="str">
            <v/>
          </cell>
          <cell r="AC1471" t="str">
            <v/>
          </cell>
          <cell r="AD1471" t="str">
            <v/>
          </cell>
          <cell r="AE1471" t="str">
            <v/>
          </cell>
          <cell r="AF1471" t="str">
            <v/>
          </cell>
          <cell r="AG1471" t="str">
            <v/>
          </cell>
          <cell r="AH1471" t="str">
            <v/>
          </cell>
          <cell r="AI1471" t="str">
            <v/>
          </cell>
          <cell r="AJ1471" t="str">
            <v>追</v>
          </cell>
        </row>
        <row r="1472">
          <cell r="B1472">
            <v>7301</v>
          </cell>
          <cell r="C1472">
            <v>73</v>
          </cell>
          <cell r="D1472">
            <v>1</v>
          </cell>
          <cell r="F1472" t="str">
            <v>広小路</v>
          </cell>
          <cell r="G1472" t="str">
            <v>機械式駐車場設備保守</v>
          </cell>
          <cell r="H1472" t="str">
            <v>三菱重工ﾊﾟｰｷﾝｸﾞ建設</v>
          </cell>
          <cell r="I1472">
            <v>107000</v>
          </cell>
          <cell r="J1472">
            <v>109140</v>
          </cell>
          <cell r="K1472">
            <v>12</v>
          </cell>
          <cell r="L1472">
            <v>109140</v>
          </cell>
          <cell r="M1472">
            <v>109140</v>
          </cell>
          <cell r="N1472">
            <v>109140</v>
          </cell>
          <cell r="O1472">
            <v>109140</v>
          </cell>
          <cell r="P1472">
            <v>109140</v>
          </cell>
          <cell r="Q1472">
            <v>109140</v>
          </cell>
          <cell r="R1472">
            <v>109140</v>
          </cell>
          <cell r="S1472">
            <v>109140</v>
          </cell>
          <cell r="T1472">
            <v>109140</v>
          </cell>
          <cell r="U1472">
            <v>109140</v>
          </cell>
          <cell r="V1472">
            <v>109140</v>
          </cell>
          <cell r="W1472">
            <v>109140</v>
          </cell>
          <cell r="X1472" t="str">
            <v>④</v>
          </cell>
          <cell r="Y1472" t="str">
            <v>⑤</v>
          </cell>
          <cell r="Z1472" t="str">
            <v>⑥</v>
          </cell>
          <cell r="AA1472" t="str">
            <v>⑦</v>
          </cell>
          <cell r="AB1472" t="str">
            <v>⑧</v>
          </cell>
          <cell r="AC1472" t="str">
            <v>⑨</v>
          </cell>
          <cell r="AD1472" t="str">
            <v>⑩</v>
          </cell>
          <cell r="AE1472" t="str">
            <v>⑪</v>
          </cell>
          <cell r="AF1472" t="str">
            <v>⑫</v>
          </cell>
          <cell r="AG1472" t="str">
            <v>①</v>
          </cell>
          <cell r="AH1472" t="str">
            <v>②</v>
          </cell>
          <cell r="AI1472" t="str">
            <v>③</v>
          </cell>
        </row>
        <row r="1473">
          <cell r="B1473">
            <v>7302</v>
          </cell>
          <cell r="C1473">
            <v>73</v>
          </cell>
          <cell r="D1473">
            <v>2</v>
          </cell>
          <cell r="F1473" t="str">
            <v>広小路</v>
          </cell>
          <cell r="G1473" t="str">
            <v>エレベーター保守</v>
          </cell>
          <cell r="H1473" t="str">
            <v>三菱電機ﾋﾞﾙﾃｸﾉｻｰﾋﾞｽ</v>
          </cell>
          <cell r="I1473">
            <v>140900</v>
          </cell>
          <cell r="J1473">
            <v>143718</v>
          </cell>
          <cell r="K1473">
            <v>12</v>
          </cell>
          <cell r="L1473">
            <v>143718</v>
          </cell>
          <cell r="M1473">
            <v>143718</v>
          </cell>
          <cell r="N1473">
            <v>143718</v>
          </cell>
          <cell r="O1473">
            <v>143718</v>
          </cell>
          <cell r="P1473">
            <v>143718</v>
          </cell>
          <cell r="Q1473">
            <v>143718</v>
          </cell>
          <cell r="R1473">
            <v>143718</v>
          </cell>
          <cell r="S1473">
            <v>143718</v>
          </cell>
          <cell r="T1473">
            <v>143718</v>
          </cell>
          <cell r="U1473">
            <v>143718</v>
          </cell>
          <cell r="V1473">
            <v>143718</v>
          </cell>
          <cell r="W1473">
            <v>143718</v>
          </cell>
          <cell r="X1473" t="str">
            <v>④</v>
          </cell>
          <cell r="Y1473" t="str">
            <v>⑤</v>
          </cell>
          <cell r="Z1473" t="str">
            <v>⑥</v>
          </cell>
          <cell r="AA1473" t="str">
            <v>⑦</v>
          </cell>
          <cell r="AB1473" t="str">
            <v>⑧</v>
          </cell>
          <cell r="AC1473" t="str">
            <v>⑨</v>
          </cell>
          <cell r="AD1473" t="str">
            <v>⑩</v>
          </cell>
          <cell r="AE1473" t="str">
            <v>⑪</v>
          </cell>
          <cell r="AF1473" t="str">
            <v>⑫</v>
          </cell>
          <cell r="AG1473" t="str">
            <v>①</v>
          </cell>
          <cell r="AH1473" t="str">
            <v>②</v>
          </cell>
          <cell r="AI1473" t="str">
            <v>③</v>
          </cell>
        </row>
        <row r="1474">
          <cell r="B1474">
            <v>7303</v>
          </cell>
          <cell r="C1474">
            <v>73</v>
          </cell>
          <cell r="D1474">
            <v>3</v>
          </cell>
          <cell r="F1474" t="str">
            <v>広小路</v>
          </cell>
          <cell r="G1474" t="str">
            <v>非常放送(外観)</v>
          </cell>
          <cell r="H1474" t="str">
            <v>ホーチキ</v>
          </cell>
          <cell r="I1474">
            <v>42300</v>
          </cell>
          <cell r="J1474">
            <v>43146</v>
          </cell>
          <cell r="K1474">
            <v>1</v>
          </cell>
          <cell r="L1474">
            <v>0</v>
          </cell>
          <cell r="M1474">
            <v>43146</v>
          </cell>
          <cell r="N1474">
            <v>0</v>
          </cell>
          <cell r="O1474">
            <v>0</v>
          </cell>
          <cell r="P1474">
            <v>0</v>
          </cell>
          <cell r="Q1474">
            <v>0</v>
          </cell>
          <cell r="R1474">
            <v>0</v>
          </cell>
          <cell r="S1474">
            <v>0</v>
          </cell>
          <cell r="T1474">
            <v>0</v>
          </cell>
          <cell r="U1474">
            <v>0</v>
          </cell>
          <cell r="V1474">
            <v>0</v>
          </cell>
          <cell r="W1474">
            <v>0</v>
          </cell>
          <cell r="X1474" t="str">
            <v/>
          </cell>
          <cell r="Y1474" t="str">
            <v>⑤</v>
          </cell>
          <cell r="Z1474" t="str">
            <v/>
          </cell>
          <cell r="AA1474" t="str">
            <v/>
          </cell>
          <cell r="AB1474" t="str">
            <v/>
          </cell>
          <cell r="AC1474" t="str">
            <v/>
          </cell>
          <cell r="AD1474" t="str">
            <v/>
          </cell>
          <cell r="AE1474" t="str">
            <v/>
          </cell>
          <cell r="AF1474" t="str">
            <v/>
          </cell>
          <cell r="AG1474" t="str">
            <v/>
          </cell>
          <cell r="AH1474" t="str">
            <v/>
          </cell>
          <cell r="AI1474" t="str">
            <v/>
          </cell>
        </row>
        <row r="1475">
          <cell r="B1475">
            <v>7304</v>
          </cell>
          <cell r="C1475">
            <v>73</v>
          </cell>
          <cell r="D1475">
            <v>4</v>
          </cell>
          <cell r="F1475" t="str">
            <v>広小路</v>
          </cell>
          <cell r="G1475" t="str">
            <v>非常放送(総合)</v>
          </cell>
          <cell r="H1475" t="str">
            <v>ホーチキ</v>
          </cell>
          <cell r="I1475">
            <v>58500</v>
          </cell>
          <cell r="J1475">
            <v>59670</v>
          </cell>
          <cell r="K1475">
            <v>1</v>
          </cell>
          <cell r="L1475">
            <v>0</v>
          </cell>
          <cell r="M1475">
            <v>0</v>
          </cell>
          <cell r="N1475">
            <v>0</v>
          </cell>
          <cell r="O1475">
            <v>0</v>
          </cell>
          <cell r="P1475">
            <v>0</v>
          </cell>
          <cell r="Q1475">
            <v>0</v>
          </cell>
          <cell r="R1475">
            <v>0</v>
          </cell>
          <cell r="S1475">
            <v>59670</v>
          </cell>
          <cell r="T1475">
            <v>0</v>
          </cell>
          <cell r="U1475">
            <v>0</v>
          </cell>
          <cell r="V1475">
            <v>0</v>
          </cell>
          <cell r="W1475">
            <v>0</v>
          </cell>
          <cell r="X1475" t="str">
            <v/>
          </cell>
          <cell r="Y1475" t="str">
            <v/>
          </cell>
          <cell r="Z1475" t="str">
            <v/>
          </cell>
          <cell r="AA1475" t="str">
            <v/>
          </cell>
          <cell r="AB1475" t="str">
            <v/>
          </cell>
          <cell r="AC1475" t="str">
            <v/>
          </cell>
          <cell r="AD1475" t="str">
            <v/>
          </cell>
          <cell r="AE1475" t="str">
            <v>⑪</v>
          </cell>
          <cell r="AF1475" t="str">
            <v/>
          </cell>
          <cell r="AG1475" t="str">
            <v/>
          </cell>
          <cell r="AH1475" t="str">
            <v/>
          </cell>
          <cell r="AI1475" t="str">
            <v/>
          </cell>
        </row>
        <row r="1476">
          <cell r="B1476">
            <v>7305</v>
          </cell>
          <cell r="C1476">
            <v>73</v>
          </cell>
          <cell r="D1476">
            <v>5</v>
          </cell>
          <cell r="F1476" t="str">
            <v>広小路</v>
          </cell>
          <cell r="G1476" t="str">
            <v>誘導灯(外観)</v>
          </cell>
          <cell r="H1476" t="str">
            <v>ホーチキ</v>
          </cell>
          <cell r="I1476">
            <v>28800</v>
          </cell>
          <cell r="J1476">
            <v>29376</v>
          </cell>
          <cell r="K1476">
            <v>1</v>
          </cell>
          <cell r="L1476">
            <v>0</v>
          </cell>
          <cell r="M1476">
            <v>29376</v>
          </cell>
          <cell r="N1476">
            <v>0</v>
          </cell>
          <cell r="O1476">
            <v>0</v>
          </cell>
          <cell r="P1476">
            <v>0</v>
          </cell>
          <cell r="Q1476">
            <v>0</v>
          </cell>
          <cell r="R1476">
            <v>0</v>
          </cell>
          <cell r="S1476">
            <v>0</v>
          </cell>
          <cell r="T1476">
            <v>0</v>
          </cell>
          <cell r="U1476">
            <v>0</v>
          </cell>
          <cell r="V1476">
            <v>0</v>
          </cell>
          <cell r="W1476">
            <v>0</v>
          </cell>
          <cell r="X1476" t="str">
            <v/>
          </cell>
          <cell r="Y1476" t="str">
            <v>⑤</v>
          </cell>
          <cell r="Z1476" t="str">
            <v/>
          </cell>
          <cell r="AA1476" t="str">
            <v/>
          </cell>
          <cell r="AB1476" t="str">
            <v/>
          </cell>
          <cell r="AC1476" t="str">
            <v/>
          </cell>
          <cell r="AD1476" t="str">
            <v/>
          </cell>
          <cell r="AE1476" t="str">
            <v/>
          </cell>
          <cell r="AF1476" t="str">
            <v/>
          </cell>
          <cell r="AG1476" t="str">
            <v/>
          </cell>
          <cell r="AH1476" t="str">
            <v/>
          </cell>
          <cell r="AI1476" t="str">
            <v/>
          </cell>
        </row>
        <row r="1477">
          <cell r="B1477">
            <v>7306</v>
          </cell>
          <cell r="C1477">
            <v>73</v>
          </cell>
          <cell r="D1477">
            <v>6</v>
          </cell>
          <cell r="F1477" t="str">
            <v>広小路</v>
          </cell>
          <cell r="G1477" t="str">
            <v>誘導灯(総合)</v>
          </cell>
          <cell r="H1477" t="str">
            <v>ホーチキ</v>
          </cell>
          <cell r="I1477">
            <v>48600</v>
          </cell>
          <cell r="J1477">
            <v>49572</v>
          </cell>
          <cell r="K1477">
            <v>1</v>
          </cell>
          <cell r="L1477">
            <v>0</v>
          </cell>
          <cell r="M1477">
            <v>0</v>
          </cell>
          <cell r="N1477">
            <v>0</v>
          </cell>
          <cell r="O1477">
            <v>0</v>
          </cell>
          <cell r="P1477">
            <v>0</v>
          </cell>
          <cell r="Q1477">
            <v>0</v>
          </cell>
          <cell r="R1477">
            <v>0</v>
          </cell>
          <cell r="S1477">
            <v>49572</v>
          </cell>
          <cell r="T1477">
            <v>0</v>
          </cell>
          <cell r="U1477">
            <v>0</v>
          </cell>
          <cell r="V1477">
            <v>0</v>
          </cell>
          <cell r="W1477">
            <v>0</v>
          </cell>
          <cell r="X1477" t="str">
            <v/>
          </cell>
          <cell r="Y1477" t="str">
            <v/>
          </cell>
          <cell r="Z1477" t="str">
            <v/>
          </cell>
          <cell r="AA1477" t="str">
            <v/>
          </cell>
          <cell r="AB1477" t="str">
            <v/>
          </cell>
          <cell r="AC1477" t="str">
            <v/>
          </cell>
          <cell r="AD1477" t="str">
            <v/>
          </cell>
          <cell r="AE1477" t="str">
            <v>⑪</v>
          </cell>
          <cell r="AF1477" t="str">
            <v/>
          </cell>
          <cell r="AG1477" t="str">
            <v/>
          </cell>
          <cell r="AH1477" t="str">
            <v/>
          </cell>
          <cell r="AI1477" t="str">
            <v/>
          </cell>
        </row>
        <row r="1478">
          <cell r="B1478">
            <v>7307</v>
          </cell>
          <cell r="C1478">
            <v>73</v>
          </cell>
          <cell r="D1478">
            <v>7</v>
          </cell>
          <cell r="F1478" t="str">
            <v>広小路</v>
          </cell>
          <cell r="G1478" t="str">
            <v>Ｐ型防排煙制御(外観)</v>
          </cell>
          <cell r="H1478" t="str">
            <v>ホーチキ</v>
          </cell>
          <cell r="I1478">
            <v>86400</v>
          </cell>
          <cell r="J1478">
            <v>88128</v>
          </cell>
          <cell r="K1478">
            <v>1</v>
          </cell>
          <cell r="L1478">
            <v>0</v>
          </cell>
          <cell r="M1478">
            <v>88128</v>
          </cell>
          <cell r="N1478">
            <v>0</v>
          </cell>
          <cell r="O1478">
            <v>0</v>
          </cell>
          <cell r="P1478">
            <v>0</v>
          </cell>
          <cell r="Q1478">
            <v>0</v>
          </cell>
          <cell r="R1478">
            <v>0</v>
          </cell>
          <cell r="S1478">
            <v>0</v>
          </cell>
          <cell r="T1478">
            <v>0</v>
          </cell>
          <cell r="U1478">
            <v>0</v>
          </cell>
          <cell r="V1478">
            <v>0</v>
          </cell>
          <cell r="W1478">
            <v>0</v>
          </cell>
          <cell r="X1478" t="str">
            <v/>
          </cell>
          <cell r="Y1478" t="str">
            <v>⑤</v>
          </cell>
          <cell r="Z1478" t="str">
            <v/>
          </cell>
          <cell r="AA1478" t="str">
            <v/>
          </cell>
          <cell r="AB1478" t="str">
            <v/>
          </cell>
          <cell r="AC1478" t="str">
            <v/>
          </cell>
          <cell r="AD1478" t="str">
            <v/>
          </cell>
          <cell r="AE1478" t="str">
            <v/>
          </cell>
          <cell r="AF1478" t="str">
            <v/>
          </cell>
          <cell r="AG1478" t="str">
            <v/>
          </cell>
          <cell r="AH1478" t="str">
            <v/>
          </cell>
          <cell r="AI1478" t="str">
            <v/>
          </cell>
        </row>
        <row r="1479">
          <cell r="B1479">
            <v>7308</v>
          </cell>
          <cell r="C1479">
            <v>73</v>
          </cell>
          <cell r="D1479">
            <v>8</v>
          </cell>
          <cell r="F1479" t="str">
            <v>広小路</v>
          </cell>
          <cell r="G1479" t="str">
            <v>Ｐ型防排煙制御(総合)</v>
          </cell>
          <cell r="H1479" t="str">
            <v>ホーチキ</v>
          </cell>
          <cell r="I1479">
            <v>97200</v>
          </cell>
          <cell r="J1479">
            <v>99144</v>
          </cell>
          <cell r="K1479">
            <v>1</v>
          </cell>
          <cell r="L1479">
            <v>0</v>
          </cell>
          <cell r="M1479">
            <v>0</v>
          </cell>
          <cell r="N1479">
            <v>0</v>
          </cell>
          <cell r="O1479">
            <v>0</v>
          </cell>
          <cell r="P1479">
            <v>0</v>
          </cell>
          <cell r="Q1479">
            <v>0</v>
          </cell>
          <cell r="R1479">
            <v>0</v>
          </cell>
          <cell r="S1479">
            <v>99144</v>
          </cell>
          <cell r="T1479">
            <v>0</v>
          </cell>
          <cell r="U1479">
            <v>0</v>
          </cell>
          <cell r="V1479">
            <v>0</v>
          </cell>
          <cell r="W1479">
            <v>0</v>
          </cell>
          <cell r="X1479" t="str">
            <v/>
          </cell>
          <cell r="Y1479" t="str">
            <v/>
          </cell>
          <cell r="Z1479" t="str">
            <v/>
          </cell>
          <cell r="AA1479" t="str">
            <v/>
          </cell>
          <cell r="AB1479" t="str">
            <v/>
          </cell>
          <cell r="AC1479" t="str">
            <v/>
          </cell>
          <cell r="AD1479" t="str">
            <v/>
          </cell>
          <cell r="AE1479" t="str">
            <v>⑪</v>
          </cell>
          <cell r="AF1479" t="str">
            <v/>
          </cell>
          <cell r="AG1479" t="str">
            <v/>
          </cell>
          <cell r="AH1479" t="str">
            <v/>
          </cell>
          <cell r="AI1479" t="str">
            <v/>
          </cell>
        </row>
        <row r="1480">
          <cell r="B1480">
            <v>7309</v>
          </cell>
          <cell r="C1480">
            <v>73</v>
          </cell>
          <cell r="D1480">
            <v>9</v>
          </cell>
          <cell r="F1480" t="str">
            <v>広小路</v>
          </cell>
          <cell r="G1480" t="str">
            <v>Ｐ型ｶﾞｽ漏火災警報(外観)</v>
          </cell>
          <cell r="H1480" t="str">
            <v>ホーチキ</v>
          </cell>
          <cell r="I1480">
            <v>12600</v>
          </cell>
          <cell r="J1480">
            <v>12852</v>
          </cell>
          <cell r="K1480">
            <v>1</v>
          </cell>
          <cell r="L1480">
            <v>0</v>
          </cell>
          <cell r="M1480">
            <v>12852</v>
          </cell>
          <cell r="N1480">
            <v>0</v>
          </cell>
          <cell r="O1480">
            <v>0</v>
          </cell>
          <cell r="P1480">
            <v>0</v>
          </cell>
          <cell r="Q1480">
            <v>0</v>
          </cell>
          <cell r="R1480">
            <v>0</v>
          </cell>
          <cell r="S1480">
            <v>0</v>
          </cell>
          <cell r="T1480">
            <v>0</v>
          </cell>
          <cell r="U1480">
            <v>0</v>
          </cell>
          <cell r="V1480">
            <v>0</v>
          </cell>
          <cell r="W1480">
            <v>0</v>
          </cell>
          <cell r="X1480" t="str">
            <v/>
          </cell>
          <cell r="Y1480" t="str">
            <v>⑤</v>
          </cell>
          <cell r="Z1480" t="str">
            <v/>
          </cell>
          <cell r="AA1480" t="str">
            <v/>
          </cell>
          <cell r="AB1480" t="str">
            <v/>
          </cell>
          <cell r="AC1480" t="str">
            <v/>
          </cell>
          <cell r="AD1480" t="str">
            <v/>
          </cell>
          <cell r="AE1480" t="str">
            <v/>
          </cell>
          <cell r="AF1480" t="str">
            <v/>
          </cell>
          <cell r="AG1480" t="str">
            <v/>
          </cell>
          <cell r="AH1480" t="str">
            <v/>
          </cell>
          <cell r="AI1480" t="str">
            <v/>
          </cell>
        </row>
        <row r="1481">
          <cell r="B1481">
            <v>7310</v>
          </cell>
          <cell r="C1481">
            <v>73</v>
          </cell>
          <cell r="D1481">
            <v>10</v>
          </cell>
          <cell r="F1481" t="str">
            <v>広小路</v>
          </cell>
          <cell r="G1481" t="str">
            <v>Ｐ型ｶﾞｽ漏火災警報(総合)</v>
          </cell>
          <cell r="H1481" t="str">
            <v>ホーチキ</v>
          </cell>
          <cell r="I1481">
            <v>20700</v>
          </cell>
          <cell r="J1481">
            <v>21114</v>
          </cell>
          <cell r="K1481">
            <v>1</v>
          </cell>
          <cell r="L1481">
            <v>0</v>
          </cell>
          <cell r="M1481">
            <v>0</v>
          </cell>
          <cell r="N1481">
            <v>0</v>
          </cell>
          <cell r="O1481">
            <v>0</v>
          </cell>
          <cell r="P1481">
            <v>0</v>
          </cell>
          <cell r="Q1481">
            <v>0</v>
          </cell>
          <cell r="R1481">
            <v>0</v>
          </cell>
          <cell r="S1481">
            <v>21114</v>
          </cell>
          <cell r="T1481">
            <v>0</v>
          </cell>
          <cell r="U1481">
            <v>0</v>
          </cell>
          <cell r="V1481">
            <v>0</v>
          </cell>
          <cell r="W1481">
            <v>0</v>
          </cell>
          <cell r="X1481" t="str">
            <v/>
          </cell>
          <cell r="Y1481" t="str">
            <v/>
          </cell>
          <cell r="Z1481" t="str">
            <v/>
          </cell>
          <cell r="AA1481" t="str">
            <v/>
          </cell>
          <cell r="AB1481" t="str">
            <v/>
          </cell>
          <cell r="AC1481" t="str">
            <v/>
          </cell>
          <cell r="AD1481" t="str">
            <v/>
          </cell>
          <cell r="AE1481" t="str">
            <v>⑪</v>
          </cell>
          <cell r="AF1481" t="str">
            <v/>
          </cell>
          <cell r="AG1481" t="str">
            <v/>
          </cell>
          <cell r="AH1481" t="str">
            <v/>
          </cell>
          <cell r="AI1481" t="str">
            <v/>
          </cell>
        </row>
        <row r="1482">
          <cell r="B1482">
            <v>7311</v>
          </cell>
          <cell r="C1482">
            <v>73</v>
          </cell>
          <cell r="D1482">
            <v>11</v>
          </cell>
          <cell r="F1482" t="str">
            <v>広小路</v>
          </cell>
          <cell r="G1482" t="str">
            <v>Ｐ型自火報(外観)</v>
          </cell>
          <cell r="H1482" t="str">
            <v>ホーチキ</v>
          </cell>
          <cell r="I1482">
            <v>87300</v>
          </cell>
          <cell r="J1482">
            <v>89046</v>
          </cell>
          <cell r="K1482">
            <v>1</v>
          </cell>
          <cell r="L1482">
            <v>0</v>
          </cell>
          <cell r="M1482">
            <v>89046</v>
          </cell>
          <cell r="N1482">
            <v>0</v>
          </cell>
          <cell r="O1482">
            <v>0</v>
          </cell>
          <cell r="P1482">
            <v>0</v>
          </cell>
          <cell r="Q1482">
            <v>0</v>
          </cell>
          <cell r="R1482">
            <v>0</v>
          </cell>
          <cell r="S1482">
            <v>0</v>
          </cell>
          <cell r="T1482">
            <v>0</v>
          </cell>
          <cell r="U1482">
            <v>0</v>
          </cell>
          <cell r="V1482">
            <v>0</v>
          </cell>
          <cell r="W1482">
            <v>0</v>
          </cell>
          <cell r="X1482" t="str">
            <v/>
          </cell>
          <cell r="Y1482" t="str">
            <v>⑤</v>
          </cell>
          <cell r="Z1482" t="str">
            <v/>
          </cell>
          <cell r="AA1482" t="str">
            <v/>
          </cell>
          <cell r="AB1482" t="str">
            <v/>
          </cell>
          <cell r="AC1482" t="str">
            <v/>
          </cell>
          <cell r="AD1482" t="str">
            <v/>
          </cell>
          <cell r="AE1482" t="str">
            <v/>
          </cell>
          <cell r="AF1482" t="str">
            <v/>
          </cell>
          <cell r="AG1482" t="str">
            <v/>
          </cell>
          <cell r="AH1482" t="str">
            <v/>
          </cell>
          <cell r="AI1482" t="str">
            <v/>
          </cell>
        </row>
        <row r="1483">
          <cell r="B1483">
            <v>7312</v>
          </cell>
          <cell r="C1483">
            <v>73</v>
          </cell>
          <cell r="D1483">
            <v>12</v>
          </cell>
          <cell r="F1483" t="str">
            <v>広小路</v>
          </cell>
          <cell r="G1483" t="str">
            <v>Ｐ型自火報(総合)</v>
          </cell>
          <cell r="H1483" t="str">
            <v>ホーチキ</v>
          </cell>
          <cell r="I1483">
            <v>207900</v>
          </cell>
          <cell r="J1483">
            <v>212058</v>
          </cell>
          <cell r="K1483">
            <v>1</v>
          </cell>
          <cell r="L1483">
            <v>0</v>
          </cell>
          <cell r="M1483">
            <v>0</v>
          </cell>
          <cell r="N1483">
            <v>0</v>
          </cell>
          <cell r="O1483">
            <v>0</v>
          </cell>
          <cell r="P1483">
            <v>0</v>
          </cell>
          <cell r="Q1483">
            <v>0</v>
          </cell>
          <cell r="R1483">
            <v>0</v>
          </cell>
          <cell r="S1483">
            <v>212058</v>
          </cell>
          <cell r="T1483">
            <v>0</v>
          </cell>
          <cell r="U1483">
            <v>0</v>
          </cell>
          <cell r="V1483">
            <v>0</v>
          </cell>
          <cell r="W1483">
            <v>0</v>
          </cell>
          <cell r="X1483" t="str">
            <v/>
          </cell>
          <cell r="Y1483" t="str">
            <v/>
          </cell>
          <cell r="Z1483" t="str">
            <v/>
          </cell>
          <cell r="AA1483" t="str">
            <v/>
          </cell>
          <cell r="AB1483" t="str">
            <v/>
          </cell>
          <cell r="AC1483" t="str">
            <v/>
          </cell>
          <cell r="AD1483" t="str">
            <v/>
          </cell>
          <cell r="AE1483" t="str">
            <v>⑪</v>
          </cell>
          <cell r="AF1483" t="str">
            <v/>
          </cell>
          <cell r="AG1483" t="str">
            <v/>
          </cell>
          <cell r="AH1483" t="str">
            <v/>
          </cell>
          <cell r="AI1483" t="str">
            <v/>
          </cell>
        </row>
        <row r="1484">
          <cell r="B1484">
            <v>7313</v>
          </cell>
          <cell r="C1484">
            <v>73</v>
          </cell>
          <cell r="D1484">
            <v>13</v>
          </cell>
          <cell r="F1484" t="str">
            <v>広小路</v>
          </cell>
          <cell r="G1484" t="str">
            <v>消火栓他(外観)</v>
          </cell>
          <cell r="H1484" t="str">
            <v>日本ドライケミカル</v>
          </cell>
          <cell r="I1484">
            <v>160000</v>
          </cell>
          <cell r="J1484">
            <v>168000</v>
          </cell>
          <cell r="K1484">
            <v>1</v>
          </cell>
          <cell r="L1484">
            <v>0</v>
          </cell>
          <cell r="M1484">
            <v>168000</v>
          </cell>
          <cell r="N1484">
            <v>0</v>
          </cell>
          <cell r="O1484">
            <v>0</v>
          </cell>
          <cell r="P1484">
            <v>0</v>
          </cell>
          <cell r="Q1484">
            <v>0</v>
          </cell>
          <cell r="R1484">
            <v>0</v>
          </cell>
          <cell r="S1484">
            <v>0</v>
          </cell>
          <cell r="T1484">
            <v>0</v>
          </cell>
          <cell r="U1484">
            <v>0</v>
          </cell>
          <cell r="V1484">
            <v>0</v>
          </cell>
          <cell r="W1484">
            <v>0</v>
          </cell>
          <cell r="X1484" t="str">
            <v/>
          </cell>
          <cell r="Y1484" t="str">
            <v>⑤</v>
          </cell>
          <cell r="AA1484" t="str">
            <v/>
          </cell>
          <cell r="AB1484" t="str">
            <v/>
          </cell>
          <cell r="AC1484" t="str">
            <v/>
          </cell>
          <cell r="AD1484" t="str">
            <v/>
          </cell>
          <cell r="AE1484" t="str">
            <v/>
          </cell>
          <cell r="AF1484" t="str">
            <v/>
          </cell>
          <cell r="AG1484" t="str">
            <v/>
          </cell>
          <cell r="AH1484" t="str">
            <v/>
          </cell>
          <cell r="AI1484" t="str">
            <v/>
          </cell>
          <cell r="AJ1484" t="str">
            <v>変</v>
          </cell>
        </row>
        <row r="1485">
          <cell r="B1485">
            <v>7314</v>
          </cell>
          <cell r="C1485">
            <v>73</v>
          </cell>
          <cell r="D1485">
            <v>14</v>
          </cell>
          <cell r="F1485" t="str">
            <v>広小路</v>
          </cell>
          <cell r="G1485" t="str">
            <v>消火栓他(総合)</v>
          </cell>
          <cell r="H1485" t="str">
            <v>日本ドライケミカル</v>
          </cell>
          <cell r="I1485">
            <v>244000</v>
          </cell>
          <cell r="J1485">
            <v>256320</v>
          </cell>
          <cell r="K1485">
            <v>1</v>
          </cell>
          <cell r="L1485">
            <v>0</v>
          </cell>
          <cell r="M1485">
            <v>0</v>
          </cell>
          <cell r="N1485">
            <v>0</v>
          </cell>
          <cell r="O1485">
            <v>0</v>
          </cell>
          <cell r="P1485">
            <v>0</v>
          </cell>
          <cell r="Q1485">
            <v>0</v>
          </cell>
          <cell r="R1485">
            <v>0</v>
          </cell>
          <cell r="S1485">
            <v>256320</v>
          </cell>
          <cell r="T1485">
            <v>0</v>
          </cell>
          <cell r="U1485">
            <v>0</v>
          </cell>
          <cell r="V1485">
            <v>0</v>
          </cell>
          <cell r="W1485">
            <v>0</v>
          </cell>
          <cell r="X1485" t="str">
            <v/>
          </cell>
          <cell r="Y1485" t="str">
            <v/>
          </cell>
          <cell r="Z1485" t="str">
            <v/>
          </cell>
          <cell r="AA1485" t="str">
            <v/>
          </cell>
          <cell r="AB1485" t="str">
            <v/>
          </cell>
          <cell r="AC1485" t="str">
            <v/>
          </cell>
          <cell r="AD1485" t="str">
            <v/>
          </cell>
          <cell r="AE1485" t="str">
            <v>⑪</v>
          </cell>
          <cell r="AG1485" t="str">
            <v/>
          </cell>
          <cell r="AH1485" t="str">
            <v/>
          </cell>
          <cell r="AI1485" t="str">
            <v/>
          </cell>
          <cell r="AJ1485" t="str">
            <v>変</v>
          </cell>
        </row>
        <row r="1486">
          <cell r="B1486">
            <v>7315</v>
          </cell>
          <cell r="C1486">
            <v>73</v>
          </cell>
          <cell r="D1486">
            <v>15</v>
          </cell>
          <cell r="F1486" t="str">
            <v>広小路</v>
          </cell>
          <cell r="G1486" t="str">
            <v>消防設備点検(消火器)</v>
          </cell>
          <cell r="H1486" t="str">
            <v>名鉄自動車整備</v>
          </cell>
          <cell r="I1486">
            <v>28000</v>
          </cell>
          <cell r="J1486">
            <v>28560</v>
          </cell>
          <cell r="K1486">
            <v>1</v>
          </cell>
          <cell r="L1486">
            <v>0</v>
          </cell>
          <cell r="M1486">
            <v>0</v>
          </cell>
          <cell r="N1486">
            <v>28560</v>
          </cell>
          <cell r="O1486">
            <v>0</v>
          </cell>
          <cell r="P1486">
            <v>0</v>
          </cell>
          <cell r="Q1486">
            <v>0</v>
          </cell>
          <cell r="R1486">
            <v>0</v>
          </cell>
          <cell r="S1486">
            <v>0</v>
          </cell>
          <cell r="T1486">
            <v>0</v>
          </cell>
          <cell r="U1486">
            <v>0</v>
          </cell>
          <cell r="V1486">
            <v>0</v>
          </cell>
          <cell r="W1486">
            <v>0</v>
          </cell>
          <cell r="X1486" t="str">
            <v/>
          </cell>
          <cell r="Y1486" t="str">
            <v/>
          </cell>
          <cell r="Z1486" t="str">
            <v>⑥</v>
          </cell>
          <cell r="AA1486" t="str">
            <v/>
          </cell>
          <cell r="AB1486" t="str">
            <v/>
          </cell>
          <cell r="AC1486" t="str">
            <v/>
          </cell>
          <cell r="AD1486" t="str">
            <v/>
          </cell>
          <cell r="AE1486" t="str">
            <v/>
          </cell>
          <cell r="AF1486" t="str">
            <v/>
          </cell>
          <cell r="AG1486" t="str">
            <v/>
          </cell>
          <cell r="AH1486" t="str">
            <v/>
          </cell>
          <cell r="AI1486" t="str">
            <v/>
          </cell>
        </row>
        <row r="1487">
          <cell r="B1487">
            <v>7316</v>
          </cell>
          <cell r="C1487">
            <v>73</v>
          </cell>
          <cell r="D1487">
            <v>16</v>
          </cell>
          <cell r="F1487" t="str">
            <v>広小路</v>
          </cell>
          <cell r="G1487" t="str">
            <v>消防設備点検(消火器)</v>
          </cell>
          <cell r="H1487" t="str">
            <v>名鉄自動車整備</v>
          </cell>
          <cell r="I1487">
            <v>42000</v>
          </cell>
          <cell r="J1487">
            <v>42840</v>
          </cell>
          <cell r="K1487">
            <v>1</v>
          </cell>
          <cell r="L1487">
            <v>0</v>
          </cell>
          <cell r="M1487">
            <v>0</v>
          </cell>
          <cell r="N1487">
            <v>0</v>
          </cell>
          <cell r="O1487">
            <v>0</v>
          </cell>
          <cell r="P1487">
            <v>0</v>
          </cell>
          <cell r="Q1487">
            <v>0</v>
          </cell>
          <cell r="R1487">
            <v>0</v>
          </cell>
          <cell r="S1487">
            <v>0</v>
          </cell>
          <cell r="T1487">
            <v>42840</v>
          </cell>
          <cell r="U1487">
            <v>0</v>
          </cell>
          <cell r="V1487">
            <v>0</v>
          </cell>
          <cell r="W1487">
            <v>0</v>
          </cell>
          <cell r="X1487" t="str">
            <v/>
          </cell>
          <cell r="Y1487" t="str">
            <v/>
          </cell>
          <cell r="Z1487" t="str">
            <v/>
          </cell>
          <cell r="AA1487" t="str">
            <v/>
          </cell>
          <cell r="AB1487" t="str">
            <v/>
          </cell>
          <cell r="AC1487" t="str">
            <v/>
          </cell>
          <cell r="AD1487" t="str">
            <v/>
          </cell>
          <cell r="AE1487" t="str">
            <v/>
          </cell>
          <cell r="AF1487" t="str">
            <v>⑫</v>
          </cell>
          <cell r="AG1487" t="str">
            <v/>
          </cell>
          <cell r="AH1487" t="str">
            <v/>
          </cell>
          <cell r="AI1487" t="str">
            <v/>
          </cell>
        </row>
        <row r="1488">
          <cell r="B1488">
            <v>7317</v>
          </cell>
          <cell r="C1488">
            <v>73</v>
          </cell>
          <cell r="D1488">
            <v>17</v>
          </cell>
          <cell r="F1488" t="str">
            <v>広小路</v>
          </cell>
          <cell r="G1488" t="str">
            <v>非常発電機設備保守</v>
          </cell>
          <cell r="H1488" t="str">
            <v>大竹建機産業</v>
          </cell>
          <cell r="I1488">
            <v>60000</v>
          </cell>
          <cell r="J1488">
            <v>61200</v>
          </cell>
          <cell r="K1488">
            <v>1</v>
          </cell>
          <cell r="L1488">
            <v>0</v>
          </cell>
          <cell r="M1488">
            <v>0</v>
          </cell>
          <cell r="N1488">
            <v>0</v>
          </cell>
          <cell r="O1488">
            <v>0</v>
          </cell>
          <cell r="P1488">
            <v>61200</v>
          </cell>
          <cell r="Q1488">
            <v>0</v>
          </cell>
          <cell r="R1488">
            <v>0</v>
          </cell>
          <cell r="S1488">
            <v>0</v>
          </cell>
          <cell r="T1488">
            <v>0</v>
          </cell>
          <cell r="U1488">
            <v>0</v>
          </cell>
          <cell r="V1488">
            <v>0</v>
          </cell>
          <cell r="W1488">
            <v>0</v>
          </cell>
          <cell r="X1488" t="str">
            <v/>
          </cell>
          <cell r="Y1488" t="str">
            <v/>
          </cell>
          <cell r="Z1488" t="str">
            <v/>
          </cell>
          <cell r="AA1488" t="str">
            <v/>
          </cell>
          <cell r="AB1488" t="str">
            <v>⑧</v>
          </cell>
          <cell r="AC1488" t="str">
            <v/>
          </cell>
          <cell r="AD1488" t="str">
            <v/>
          </cell>
          <cell r="AE1488" t="str">
            <v/>
          </cell>
          <cell r="AF1488" t="str">
            <v/>
          </cell>
          <cell r="AG1488" t="str">
            <v/>
          </cell>
          <cell r="AH1488" t="str">
            <v/>
          </cell>
          <cell r="AI1488" t="str">
            <v/>
          </cell>
        </row>
        <row r="1489">
          <cell r="B1489">
            <v>7318</v>
          </cell>
          <cell r="C1489">
            <v>73</v>
          </cell>
          <cell r="D1489">
            <v>18</v>
          </cell>
          <cell r="F1489" t="str">
            <v>広小路</v>
          </cell>
          <cell r="G1489" t="str">
            <v>非常発電機設備保守</v>
          </cell>
          <cell r="H1489" t="str">
            <v>大竹建機産業</v>
          </cell>
          <cell r="I1489">
            <v>80000</v>
          </cell>
          <cell r="J1489">
            <v>81600</v>
          </cell>
          <cell r="K1489">
            <v>1</v>
          </cell>
          <cell r="L1489">
            <v>0</v>
          </cell>
          <cell r="M1489">
            <v>0</v>
          </cell>
          <cell r="N1489">
            <v>0</v>
          </cell>
          <cell r="O1489">
            <v>0</v>
          </cell>
          <cell r="P1489">
            <v>0</v>
          </cell>
          <cell r="Q1489">
            <v>0</v>
          </cell>
          <cell r="R1489">
            <v>0</v>
          </cell>
          <cell r="S1489">
            <v>0</v>
          </cell>
          <cell r="T1489">
            <v>0</v>
          </cell>
          <cell r="U1489">
            <v>0</v>
          </cell>
          <cell r="V1489">
            <v>81600</v>
          </cell>
          <cell r="W1489">
            <v>0</v>
          </cell>
          <cell r="X1489" t="str">
            <v/>
          </cell>
          <cell r="Y1489" t="str">
            <v/>
          </cell>
          <cell r="Z1489" t="str">
            <v/>
          </cell>
          <cell r="AA1489" t="str">
            <v/>
          </cell>
          <cell r="AB1489" t="str">
            <v/>
          </cell>
          <cell r="AC1489" t="str">
            <v/>
          </cell>
          <cell r="AD1489" t="str">
            <v/>
          </cell>
          <cell r="AE1489" t="str">
            <v/>
          </cell>
          <cell r="AF1489" t="str">
            <v/>
          </cell>
          <cell r="AG1489" t="str">
            <v/>
          </cell>
          <cell r="AH1489" t="str">
            <v>②</v>
          </cell>
          <cell r="AI1489" t="str">
            <v/>
          </cell>
        </row>
        <row r="1490">
          <cell r="B1490">
            <v>7319</v>
          </cell>
          <cell r="C1490">
            <v>73</v>
          </cell>
          <cell r="D1490">
            <v>19</v>
          </cell>
          <cell r="F1490" t="str">
            <v>広小路</v>
          </cell>
          <cell r="G1490" t="str">
            <v>害虫駆除</v>
          </cell>
          <cell r="H1490" t="str">
            <v>セントラルトリニティ</v>
          </cell>
          <cell r="I1490">
            <v>26500</v>
          </cell>
          <cell r="J1490">
            <v>30250</v>
          </cell>
          <cell r="K1490">
            <v>12</v>
          </cell>
          <cell r="L1490">
            <v>30250</v>
          </cell>
          <cell r="M1490">
            <v>30250</v>
          </cell>
          <cell r="N1490">
            <v>30250</v>
          </cell>
          <cell r="O1490">
            <v>30250</v>
          </cell>
          <cell r="P1490">
            <v>30250</v>
          </cell>
          <cell r="Q1490">
            <v>30250</v>
          </cell>
          <cell r="R1490">
            <v>30250</v>
          </cell>
          <cell r="S1490">
            <v>30250</v>
          </cell>
          <cell r="T1490">
            <v>30250</v>
          </cell>
          <cell r="U1490">
            <v>30250</v>
          </cell>
          <cell r="V1490">
            <v>30250</v>
          </cell>
          <cell r="W1490">
            <v>30250</v>
          </cell>
          <cell r="X1490" t="str">
            <v>④</v>
          </cell>
          <cell r="Y1490" t="str">
            <v>⑤</v>
          </cell>
          <cell r="Z1490" t="str">
            <v>⑥</v>
          </cell>
          <cell r="AA1490" t="str">
            <v>⑦</v>
          </cell>
          <cell r="AB1490" t="str">
            <v>⑧</v>
          </cell>
          <cell r="AC1490" t="str">
            <v>⑨</v>
          </cell>
          <cell r="AD1490" t="str">
            <v>⑩</v>
          </cell>
          <cell r="AE1490" t="str">
            <v>⑪</v>
          </cell>
          <cell r="AF1490" t="str">
            <v>⑫</v>
          </cell>
          <cell r="AG1490" t="str">
            <v>①</v>
          </cell>
          <cell r="AH1490" t="str">
            <v>②</v>
          </cell>
          <cell r="AI1490" t="str">
            <v>③</v>
          </cell>
          <cell r="AJ1490" t="str">
            <v>変</v>
          </cell>
        </row>
        <row r="1491">
          <cell r="B1491">
            <v>7320</v>
          </cell>
          <cell r="C1491">
            <v>73</v>
          </cell>
          <cell r="D1491">
            <v>20</v>
          </cell>
          <cell r="F1491" t="str">
            <v>広小路</v>
          </cell>
          <cell r="G1491" t="str">
            <v>汚水槽清掃</v>
          </cell>
          <cell r="H1491" t="str">
            <v>名古屋東管サービス</v>
          </cell>
          <cell r="I1491">
            <v>80000</v>
          </cell>
          <cell r="J1491">
            <v>89600</v>
          </cell>
          <cell r="K1491">
            <v>2</v>
          </cell>
          <cell r="L1491">
            <v>0</v>
          </cell>
          <cell r="M1491">
            <v>0</v>
          </cell>
          <cell r="N1491">
            <v>0</v>
          </cell>
          <cell r="O1491">
            <v>0</v>
          </cell>
          <cell r="P1491">
            <v>89600</v>
          </cell>
          <cell r="Q1491">
            <v>0</v>
          </cell>
          <cell r="R1491">
            <v>0</v>
          </cell>
          <cell r="S1491">
            <v>0</v>
          </cell>
          <cell r="T1491">
            <v>0</v>
          </cell>
          <cell r="U1491">
            <v>0</v>
          </cell>
          <cell r="V1491">
            <v>89600</v>
          </cell>
          <cell r="W1491">
            <v>0</v>
          </cell>
          <cell r="X1491" t="str">
            <v/>
          </cell>
          <cell r="Y1491" t="str">
            <v/>
          </cell>
          <cell r="Z1491" t="str">
            <v/>
          </cell>
          <cell r="AA1491" t="str">
            <v/>
          </cell>
          <cell r="AB1491" t="str">
            <v>⑧</v>
          </cell>
          <cell r="AC1491" t="str">
            <v/>
          </cell>
          <cell r="AD1491" t="str">
            <v/>
          </cell>
          <cell r="AE1491" t="str">
            <v/>
          </cell>
          <cell r="AF1491" t="str">
            <v/>
          </cell>
          <cell r="AG1491" t="str">
            <v/>
          </cell>
          <cell r="AH1491" t="str">
            <v>②</v>
          </cell>
          <cell r="AI1491" t="str">
            <v/>
          </cell>
        </row>
        <row r="1492">
          <cell r="B1492">
            <v>7321</v>
          </cell>
          <cell r="C1492">
            <v>73</v>
          </cell>
          <cell r="D1492">
            <v>21</v>
          </cell>
          <cell r="F1492" t="str">
            <v>広小路</v>
          </cell>
          <cell r="G1492" t="str">
            <v>貯水槽清掃</v>
          </cell>
          <cell r="H1492" t="str">
            <v>名古屋東管サービス</v>
          </cell>
          <cell r="I1492">
            <v>147400</v>
          </cell>
          <cell r="J1492">
            <v>166562</v>
          </cell>
          <cell r="K1492">
            <v>1</v>
          </cell>
          <cell r="L1492">
            <v>0</v>
          </cell>
          <cell r="M1492">
            <v>0</v>
          </cell>
          <cell r="N1492">
            <v>0</v>
          </cell>
          <cell r="O1492">
            <v>0</v>
          </cell>
          <cell r="P1492">
            <v>0</v>
          </cell>
          <cell r="Q1492">
            <v>0</v>
          </cell>
          <cell r="R1492">
            <v>166562</v>
          </cell>
          <cell r="S1492">
            <v>0</v>
          </cell>
          <cell r="T1492">
            <v>0</v>
          </cell>
          <cell r="U1492">
            <v>0</v>
          </cell>
          <cell r="V1492">
            <v>0</v>
          </cell>
          <cell r="W1492">
            <v>0</v>
          </cell>
          <cell r="X1492" t="str">
            <v/>
          </cell>
          <cell r="Y1492" t="str">
            <v/>
          </cell>
          <cell r="Z1492" t="str">
            <v/>
          </cell>
          <cell r="AA1492" t="str">
            <v/>
          </cell>
          <cell r="AB1492" t="str">
            <v/>
          </cell>
          <cell r="AC1492" t="str">
            <v/>
          </cell>
          <cell r="AD1492" t="str">
            <v>⑩</v>
          </cell>
          <cell r="AE1492" t="str">
            <v/>
          </cell>
          <cell r="AF1492" t="str">
            <v/>
          </cell>
          <cell r="AG1492" t="str">
            <v/>
          </cell>
          <cell r="AH1492" t="str">
            <v/>
          </cell>
          <cell r="AI1492" t="str">
            <v/>
          </cell>
        </row>
        <row r="1493">
          <cell r="B1493">
            <v>7322</v>
          </cell>
          <cell r="C1493">
            <v>73</v>
          </cell>
          <cell r="D1493">
            <v>22</v>
          </cell>
          <cell r="F1493" t="str">
            <v>広小路</v>
          </cell>
          <cell r="G1493" t="str">
            <v>自動ドアー保守</v>
          </cell>
          <cell r="H1493" t="str">
            <v>ナブコドアエンジン</v>
          </cell>
          <cell r="I1493">
            <v>27000</v>
          </cell>
          <cell r="J1493">
            <v>27540</v>
          </cell>
          <cell r="K1493">
            <v>4</v>
          </cell>
          <cell r="L1493">
            <v>27540</v>
          </cell>
          <cell r="M1493">
            <v>0</v>
          </cell>
          <cell r="N1493">
            <v>0</v>
          </cell>
          <cell r="O1493">
            <v>27540</v>
          </cell>
          <cell r="P1493">
            <v>0</v>
          </cell>
          <cell r="Q1493">
            <v>0</v>
          </cell>
          <cell r="R1493">
            <v>27540</v>
          </cell>
          <cell r="S1493">
            <v>0</v>
          </cell>
          <cell r="T1493">
            <v>0</v>
          </cell>
          <cell r="U1493">
            <v>27540</v>
          </cell>
          <cell r="V1493">
            <v>0</v>
          </cell>
          <cell r="W1493">
            <v>0</v>
          </cell>
          <cell r="X1493" t="str">
            <v>④</v>
          </cell>
          <cell r="Y1493" t="str">
            <v/>
          </cell>
          <cell r="Z1493" t="str">
            <v/>
          </cell>
          <cell r="AA1493" t="str">
            <v>⑦</v>
          </cell>
          <cell r="AB1493" t="str">
            <v/>
          </cell>
          <cell r="AC1493" t="str">
            <v/>
          </cell>
          <cell r="AD1493" t="str">
            <v>⑩</v>
          </cell>
          <cell r="AE1493" t="str">
            <v/>
          </cell>
          <cell r="AF1493" t="str">
            <v/>
          </cell>
          <cell r="AG1493" t="str">
            <v>①</v>
          </cell>
          <cell r="AH1493" t="str">
            <v/>
          </cell>
          <cell r="AI1493" t="str">
            <v/>
          </cell>
        </row>
        <row r="1494">
          <cell r="B1494">
            <v>7323</v>
          </cell>
          <cell r="C1494">
            <v>73</v>
          </cell>
          <cell r="D1494">
            <v>23</v>
          </cell>
          <cell r="F1494" t="str">
            <v>広小路</v>
          </cell>
          <cell r="G1494" t="str">
            <v>空調機設備保守</v>
          </cell>
          <cell r="H1494" t="str">
            <v>新菱冷熱工業</v>
          </cell>
          <cell r="I1494">
            <v>93000</v>
          </cell>
          <cell r="J1494">
            <v>99540</v>
          </cell>
          <cell r="K1494">
            <v>12</v>
          </cell>
          <cell r="L1494">
            <v>99540</v>
          </cell>
          <cell r="M1494">
            <v>99540</v>
          </cell>
          <cell r="N1494">
            <v>99540</v>
          </cell>
          <cell r="O1494">
            <v>99540</v>
          </cell>
          <cell r="P1494">
            <v>99540</v>
          </cell>
          <cell r="Q1494">
            <v>99540</v>
          </cell>
          <cell r="R1494">
            <v>99540</v>
          </cell>
          <cell r="S1494">
            <v>99540</v>
          </cell>
          <cell r="T1494">
            <v>99540</v>
          </cell>
          <cell r="U1494">
            <v>99540</v>
          </cell>
          <cell r="V1494">
            <v>99540</v>
          </cell>
          <cell r="W1494">
            <v>99540</v>
          </cell>
          <cell r="X1494" t="str">
            <v>④</v>
          </cell>
          <cell r="Y1494" t="str">
            <v>⑤</v>
          </cell>
          <cell r="Z1494" t="str">
            <v>⑥</v>
          </cell>
          <cell r="AA1494" t="str">
            <v>⑦</v>
          </cell>
          <cell r="AB1494" t="str">
            <v>⑧</v>
          </cell>
          <cell r="AC1494" t="str">
            <v>⑨</v>
          </cell>
          <cell r="AD1494" t="str">
            <v>⑩</v>
          </cell>
          <cell r="AE1494" t="str">
            <v>⑪</v>
          </cell>
          <cell r="AF1494" t="str">
            <v>⑫</v>
          </cell>
          <cell r="AG1494" t="str">
            <v>①</v>
          </cell>
          <cell r="AH1494" t="str">
            <v>②</v>
          </cell>
          <cell r="AI1494" t="str">
            <v>③</v>
          </cell>
          <cell r="AJ1494" t="str">
            <v>変</v>
          </cell>
        </row>
        <row r="1495">
          <cell r="B1495">
            <v>7324</v>
          </cell>
          <cell r="C1495">
            <v>73</v>
          </cell>
          <cell r="D1495">
            <v>24</v>
          </cell>
          <cell r="F1495" t="str">
            <v>広小路</v>
          </cell>
          <cell r="G1495" t="str">
            <v>ﾌｨﾙﾀｰ清掃</v>
          </cell>
          <cell r="H1495" t="str">
            <v>名古屋東管サービス</v>
          </cell>
          <cell r="I1495">
            <v>17000</v>
          </cell>
          <cell r="J1495">
            <v>17340</v>
          </cell>
          <cell r="K1495">
            <v>12</v>
          </cell>
          <cell r="L1495">
            <v>17340</v>
          </cell>
          <cell r="M1495">
            <v>17340</v>
          </cell>
          <cell r="N1495">
            <v>17340</v>
          </cell>
          <cell r="O1495">
            <v>17340</v>
          </cell>
          <cell r="P1495">
            <v>17340</v>
          </cell>
          <cell r="Q1495">
            <v>17340</v>
          </cell>
          <cell r="R1495">
            <v>17340</v>
          </cell>
          <cell r="S1495">
            <v>17340</v>
          </cell>
          <cell r="T1495">
            <v>17340</v>
          </cell>
          <cell r="U1495">
            <v>17340</v>
          </cell>
          <cell r="V1495">
            <v>17340</v>
          </cell>
          <cell r="W1495">
            <v>17340</v>
          </cell>
          <cell r="X1495" t="str">
            <v>④</v>
          </cell>
          <cell r="Y1495" t="str">
            <v>⑤</v>
          </cell>
          <cell r="Z1495" t="str">
            <v>⑥</v>
          </cell>
          <cell r="AA1495" t="str">
            <v>⑦</v>
          </cell>
          <cell r="AB1495" t="str">
            <v>⑧</v>
          </cell>
          <cell r="AC1495" t="str">
            <v>⑨</v>
          </cell>
          <cell r="AD1495" t="str">
            <v>⑩</v>
          </cell>
          <cell r="AE1495" t="str">
            <v>⑪</v>
          </cell>
          <cell r="AF1495" t="str">
            <v>⑫</v>
          </cell>
          <cell r="AG1495" t="str">
            <v>①</v>
          </cell>
          <cell r="AH1495" t="str">
            <v>②</v>
          </cell>
          <cell r="AI1495" t="str">
            <v>③</v>
          </cell>
        </row>
        <row r="1496">
          <cell r="B1496">
            <v>7325</v>
          </cell>
          <cell r="C1496">
            <v>73</v>
          </cell>
          <cell r="D1496">
            <v>25</v>
          </cell>
          <cell r="F1496" t="str">
            <v>広小路</v>
          </cell>
          <cell r="G1496" t="str">
            <v>店舗系ダクト定期清掃</v>
          </cell>
          <cell r="H1496" t="str">
            <v>八洲興業</v>
          </cell>
          <cell r="I1496">
            <v>318000</v>
          </cell>
          <cell r="J1496">
            <v>365700</v>
          </cell>
          <cell r="K1496">
            <v>1</v>
          </cell>
          <cell r="L1496">
            <v>0</v>
          </cell>
          <cell r="M1496">
            <v>0</v>
          </cell>
          <cell r="N1496">
            <v>0</v>
          </cell>
          <cell r="O1496">
            <v>0</v>
          </cell>
          <cell r="P1496">
            <v>0</v>
          </cell>
          <cell r="Q1496">
            <v>0</v>
          </cell>
          <cell r="R1496">
            <v>0</v>
          </cell>
          <cell r="S1496">
            <v>0</v>
          </cell>
          <cell r="T1496">
            <v>0</v>
          </cell>
          <cell r="U1496">
            <v>365700</v>
          </cell>
          <cell r="V1496">
            <v>0</v>
          </cell>
          <cell r="W1496">
            <v>0</v>
          </cell>
          <cell r="X1496" t="str">
            <v/>
          </cell>
          <cell r="Y1496" t="str">
            <v/>
          </cell>
          <cell r="Z1496" t="str">
            <v/>
          </cell>
          <cell r="AA1496" t="str">
            <v/>
          </cell>
          <cell r="AB1496" t="str">
            <v/>
          </cell>
          <cell r="AC1496" t="str">
            <v/>
          </cell>
          <cell r="AD1496" t="str">
            <v/>
          </cell>
          <cell r="AE1496" t="str">
            <v/>
          </cell>
          <cell r="AF1496" t="str">
            <v/>
          </cell>
          <cell r="AG1496" t="str">
            <v>①</v>
          </cell>
          <cell r="AH1496" t="str">
            <v/>
          </cell>
          <cell r="AI1496" t="str">
            <v/>
          </cell>
          <cell r="AJ1496" t="str">
            <v>追</v>
          </cell>
        </row>
        <row r="1497">
          <cell r="B1497">
            <v>7401</v>
          </cell>
          <cell r="C1497">
            <v>74</v>
          </cell>
          <cell r="D1497">
            <v>1</v>
          </cell>
          <cell r="F1497" t="str">
            <v>豊橋</v>
          </cell>
          <cell r="G1497" t="str">
            <v>立体駐車場設備保守</v>
          </cell>
          <cell r="H1497" t="str">
            <v>三菱重工ﾊﾟｰｷﾝｸﾞ建設</v>
          </cell>
          <cell r="I1497">
            <v>94000</v>
          </cell>
          <cell r="J1497">
            <v>95880</v>
          </cell>
          <cell r="K1497">
            <v>12</v>
          </cell>
          <cell r="L1497">
            <v>95880</v>
          </cell>
          <cell r="M1497">
            <v>95880</v>
          </cell>
          <cell r="N1497">
            <v>95880</v>
          </cell>
          <cell r="O1497">
            <v>95880</v>
          </cell>
          <cell r="P1497">
            <v>95880</v>
          </cell>
          <cell r="Q1497">
            <v>95880</v>
          </cell>
          <cell r="R1497">
            <v>95880</v>
          </cell>
          <cell r="S1497">
            <v>95880</v>
          </cell>
          <cell r="T1497">
            <v>95880</v>
          </cell>
          <cell r="U1497">
            <v>95880</v>
          </cell>
          <cell r="V1497">
            <v>95880</v>
          </cell>
          <cell r="W1497">
            <v>95880</v>
          </cell>
          <cell r="X1497" t="str">
            <v>④</v>
          </cell>
          <cell r="Y1497" t="str">
            <v>⑤</v>
          </cell>
          <cell r="Z1497" t="str">
            <v>⑥</v>
          </cell>
          <cell r="AA1497" t="str">
            <v>⑦</v>
          </cell>
          <cell r="AB1497" t="str">
            <v>⑧</v>
          </cell>
          <cell r="AC1497" t="str">
            <v>⑨</v>
          </cell>
          <cell r="AD1497" t="str">
            <v>⑩</v>
          </cell>
          <cell r="AE1497" t="str">
            <v>⑪</v>
          </cell>
          <cell r="AF1497" t="str">
            <v>⑫</v>
          </cell>
          <cell r="AG1497" t="str">
            <v>①</v>
          </cell>
          <cell r="AH1497" t="str">
            <v>②</v>
          </cell>
          <cell r="AI1497" t="str">
            <v>③</v>
          </cell>
        </row>
        <row r="1498">
          <cell r="B1498">
            <v>7402</v>
          </cell>
          <cell r="C1498">
            <v>74</v>
          </cell>
          <cell r="D1498">
            <v>2</v>
          </cell>
          <cell r="F1498" t="str">
            <v>豊橋</v>
          </cell>
          <cell r="G1498" t="str">
            <v>機械式駐車場設備保守</v>
          </cell>
          <cell r="H1498" t="str">
            <v>新明和ｴﾝｼﾞﾆｱﾘﾝｸﾞ</v>
          </cell>
          <cell r="I1498">
            <v>42500</v>
          </cell>
          <cell r="J1498">
            <v>43350</v>
          </cell>
          <cell r="K1498">
            <v>12</v>
          </cell>
          <cell r="L1498">
            <v>43350</v>
          </cell>
          <cell r="M1498">
            <v>43350</v>
          </cell>
          <cell r="N1498">
            <v>43350</v>
          </cell>
          <cell r="O1498">
            <v>43350</v>
          </cell>
          <cell r="P1498">
            <v>43350</v>
          </cell>
          <cell r="Q1498">
            <v>43350</v>
          </cell>
          <cell r="R1498">
            <v>43350</v>
          </cell>
          <cell r="S1498">
            <v>43350</v>
          </cell>
          <cell r="T1498">
            <v>43350</v>
          </cell>
          <cell r="U1498">
            <v>43350</v>
          </cell>
          <cell r="V1498">
            <v>43350</v>
          </cell>
          <cell r="W1498">
            <v>43350</v>
          </cell>
          <cell r="X1498" t="str">
            <v>④</v>
          </cell>
          <cell r="Y1498" t="str">
            <v>⑤</v>
          </cell>
          <cell r="Z1498" t="str">
            <v>⑥</v>
          </cell>
          <cell r="AA1498" t="str">
            <v>⑦</v>
          </cell>
          <cell r="AB1498" t="str">
            <v>⑧</v>
          </cell>
          <cell r="AC1498" t="str">
            <v>⑨</v>
          </cell>
          <cell r="AD1498" t="str">
            <v>⑩</v>
          </cell>
          <cell r="AE1498" t="str">
            <v>⑪</v>
          </cell>
          <cell r="AF1498" t="str">
            <v>⑫</v>
          </cell>
          <cell r="AG1498" t="str">
            <v>①</v>
          </cell>
          <cell r="AH1498" t="str">
            <v>②</v>
          </cell>
          <cell r="AI1498" t="str">
            <v>③</v>
          </cell>
        </row>
        <row r="1499">
          <cell r="B1499">
            <v>7403</v>
          </cell>
          <cell r="C1499">
            <v>74</v>
          </cell>
          <cell r="D1499">
            <v>3</v>
          </cell>
          <cell r="F1499" t="str">
            <v>豊橋</v>
          </cell>
          <cell r="G1499" t="str">
            <v>エレベーター保守</v>
          </cell>
          <cell r="H1499" t="str">
            <v>三菱電機ﾋﾞﾙﾃｸﾉｻｰﾋﾞｽ</v>
          </cell>
          <cell r="I1499">
            <v>66600</v>
          </cell>
          <cell r="J1499">
            <v>67932</v>
          </cell>
          <cell r="K1499">
            <v>12</v>
          </cell>
          <cell r="L1499">
            <v>67932</v>
          </cell>
          <cell r="M1499">
            <v>67932</v>
          </cell>
          <cell r="N1499">
            <v>67932</v>
          </cell>
          <cell r="O1499">
            <v>67932</v>
          </cell>
          <cell r="P1499">
            <v>67932</v>
          </cell>
          <cell r="Q1499">
            <v>67932</v>
          </cell>
          <cell r="R1499">
            <v>67932</v>
          </cell>
          <cell r="S1499">
            <v>67932</v>
          </cell>
          <cell r="T1499">
            <v>67932</v>
          </cell>
          <cell r="U1499">
            <v>67932</v>
          </cell>
          <cell r="V1499">
            <v>67932</v>
          </cell>
          <cell r="W1499">
            <v>67932</v>
          </cell>
          <cell r="X1499" t="str">
            <v>④</v>
          </cell>
          <cell r="Y1499" t="str">
            <v>⑤</v>
          </cell>
          <cell r="Z1499" t="str">
            <v>⑥</v>
          </cell>
          <cell r="AA1499" t="str">
            <v>⑦</v>
          </cell>
          <cell r="AB1499" t="str">
            <v>⑧</v>
          </cell>
          <cell r="AC1499" t="str">
            <v>⑨</v>
          </cell>
          <cell r="AD1499" t="str">
            <v>⑩</v>
          </cell>
          <cell r="AE1499" t="str">
            <v>⑪</v>
          </cell>
          <cell r="AF1499" t="str">
            <v>⑫</v>
          </cell>
          <cell r="AG1499" t="str">
            <v>①</v>
          </cell>
          <cell r="AH1499" t="str">
            <v>②</v>
          </cell>
          <cell r="AI1499" t="str">
            <v>③</v>
          </cell>
        </row>
        <row r="1500">
          <cell r="B1500">
            <v>7404</v>
          </cell>
          <cell r="C1500">
            <v>74</v>
          </cell>
          <cell r="D1500">
            <v>4</v>
          </cell>
          <cell r="F1500" t="str">
            <v>豊橋</v>
          </cell>
          <cell r="G1500" t="str">
            <v>シャッター設備保守</v>
          </cell>
          <cell r="H1500" t="str">
            <v>三和シャッター工業</v>
          </cell>
          <cell r="I1500">
            <v>74000</v>
          </cell>
          <cell r="J1500">
            <v>75480</v>
          </cell>
          <cell r="K1500">
            <v>1</v>
          </cell>
          <cell r="L1500">
            <v>0</v>
          </cell>
          <cell r="M1500">
            <v>0</v>
          </cell>
          <cell r="N1500">
            <v>0</v>
          </cell>
          <cell r="O1500">
            <v>75480</v>
          </cell>
          <cell r="P1500">
            <v>0</v>
          </cell>
          <cell r="Q1500">
            <v>0</v>
          </cell>
          <cell r="R1500">
            <v>0</v>
          </cell>
          <cell r="S1500">
            <v>0</v>
          </cell>
          <cell r="T1500">
            <v>0</v>
          </cell>
          <cell r="U1500">
            <v>0</v>
          </cell>
          <cell r="V1500">
            <v>0</v>
          </cell>
          <cell r="W1500">
            <v>0</v>
          </cell>
          <cell r="X1500" t="str">
            <v/>
          </cell>
          <cell r="Y1500" t="str">
            <v/>
          </cell>
          <cell r="Z1500" t="str">
            <v/>
          </cell>
          <cell r="AA1500" t="str">
            <v>⑦</v>
          </cell>
          <cell r="AB1500" t="str">
            <v/>
          </cell>
          <cell r="AC1500" t="str">
            <v/>
          </cell>
          <cell r="AD1500" t="str">
            <v/>
          </cell>
          <cell r="AE1500" t="str">
            <v/>
          </cell>
          <cell r="AF1500" t="str">
            <v/>
          </cell>
          <cell r="AG1500" t="str">
            <v/>
          </cell>
          <cell r="AH1500" t="str">
            <v/>
          </cell>
          <cell r="AI1500" t="str">
            <v/>
          </cell>
        </row>
        <row r="1501">
          <cell r="B1501">
            <v>7405</v>
          </cell>
          <cell r="C1501">
            <v>74</v>
          </cell>
          <cell r="D1501">
            <v>5</v>
          </cell>
          <cell r="F1501" t="str">
            <v>豊橋</v>
          </cell>
          <cell r="G1501" t="str">
            <v>害虫駆除</v>
          </cell>
          <cell r="H1501" t="str">
            <v>シェル商事</v>
          </cell>
          <cell r="I1501">
            <v>80000</v>
          </cell>
          <cell r="J1501">
            <v>88000</v>
          </cell>
          <cell r="K1501">
            <v>2</v>
          </cell>
          <cell r="L1501">
            <v>0</v>
          </cell>
          <cell r="M1501">
            <v>88000</v>
          </cell>
          <cell r="N1501">
            <v>0</v>
          </cell>
          <cell r="O1501">
            <v>0</v>
          </cell>
          <cell r="P1501">
            <v>0</v>
          </cell>
          <cell r="Q1501">
            <v>0</v>
          </cell>
          <cell r="R1501">
            <v>0</v>
          </cell>
          <cell r="S1501">
            <v>88000</v>
          </cell>
          <cell r="T1501">
            <v>0</v>
          </cell>
          <cell r="U1501">
            <v>0</v>
          </cell>
          <cell r="V1501">
            <v>0</v>
          </cell>
          <cell r="W1501">
            <v>0</v>
          </cell>
          <cell r="X1501" t="str">
            <v/>
          </cell>
          <cell r="Y1501" t="str">
            <v>⑤</v>
          </cell>
          <cell r="Z1501" t="str">
            <v/>
          </cell>
          <cell r="AA1501" t="str">
            <v/>
          </cell>
          <cell r="AB1501" t="str">
            <v/>
          </cell>
          <cell r="AC1501" t="str">
            <v/>
          </cell>
          <cell r="AD1501" t="str">
            <v/>
          </cell>
          <cell r="AE1501" t="str">
            <v>⑪</v>
          </cell>
          <cell r="AF1501" t="str">
            <v/>
          </cell>
          <cell r="AG1501" t="str">
            <v/>
          </cell>
          <cell r="AH1501" t="str">
            <v/>
          </cell>
          <cell r="AI1501" t="str">
            <v/>
          </cell>
        </row>
        <row r="1502">
          <cell r="B1502">
            <v>7406</v>
          </cell>
          <cell r="C1502">
            <v>74</v>
          </cell>
          <cell r="D1502">
            <v>6</v>
          </cell>
          <cell r="F1502" t="str">
            <v>豊橋</v>
          </cell>
          <cell r="G1502" t="str">
            <v>貯水槽清掃</v>
          </cell>
          <cell r="H1502" t="str">
            <v>ビル管理ヒロセ</v>
          </cell>
          <cell r="I1502">
            <v>83000</v>
          </cell>
          <cell r="J1502">
            <v>93790</v>
          </cell>
          <cell r="K1502">
            <v>1</v>
          </cell>
          <cell r="L1502">
            <v>0</v>
          </cell>
          <cell r="M1502">
            <v>93790</v>
          </cell>
          <cell r="N1502">
            <v>0</v>
          </cell>
          <cell r="O1502">
            <v>0</v>
          </cell>
          <cell r="P1502">
            <v>0</v>
          </cell>
          <cell r="Q1502">
            <v>0</v>
          </cell>
          <cell r="R1502">
            <v>0</v>
          </cell>
          <cell r="S1502">
            <v>0</v>
          </cell>
          <cell r="T1502">
            <v>0</v>
          </cell>
          <cell r="U1502">
            <v>0</v>
          </cell>
          <cell r="V1502">
            <v>0</v>
          </cell>
          <cell r="W1502">
            <v>0</v>
          </cell>
          <cell r="X1502" t="str">
            <v/>
          </cell>
          <cell r="Y1502" t="str">
            <v>⑤</v>
          </cell>
          <cell r="Z1502" t="str">
            <v/>
          </cell>
          <cell r="AA1502" t="str">
            <v/>
          </cell>
          <cell r="AB1502" t="str">
            <v/>
          </cell>
          <cell r="AC1502" t="str">
            <v/>
          </cell>
          <cell r="AD1502" t="str">
            <v/>
          </cell>
          <cell r="AE1502" t="str">
            <v/>
          </cell>
          <cell r="AF1502" t="str">
            <v/>
          </cell>
          <cell r="AG1502" t="str">
            <v/>
          </cell>
          <cell r="AH1502" t="str">
            <v/>
          </cell>
          <cell r="AI1502" t="str">
            <v/>
          </cell>
        </row>
        <row r="1503">
          <cell r="B1503">
            <v>7407</v>
          </cell>
          <cell r="C1503">
            <v>74</v>
          </cell>
          <cell r="D1503">
            <v>7</v>
          </cell>
          <cell r="F1503" t="str">
            <v>豊橋</v>
          </cell>
          <cell r="G1503" t="str">
            <v>自動ドアー保守</v>
          </cell>
          <cell r="H1503" t="str">
            <v>ナブコドア</v>
          </cell>
          <cell r="I1503">
            <v>19000</v>
          </cell>
          <cell r="J1503">
            <v>19380</v>
          </cell>
          <cell r="K1503">
            <v>2</v>
          </cell>
          <cell r="L1503">
            <v>0</v>
          </cell>
          <cell r="M1503">
            <v>0</v>
          </cell>
          <cell r="N1503">
            <v>0</v>
          </cell>
          <cell r="O1503">
            <v>0</v>
          </cell>
          <cell r="P1503">
            <v>0</v>
          </cell>
          <cell r="Q1503">
            <v>19380</v>
          </cell>
          <cell r="R1503">
            <v>0</v>
          </cell>
          <cell r="S1503">
            <v>0</v>
          </cell>
          <cell r="T1503">
            <v>0</v>
          </cell>
          <cell r="U1503">
            <v>0</v>
          </cell>
          <cell r="V1503">
            <v>0</v>
          </cell>
          <cell r="W1503">
            <v>19380</v>
          </cell>
          <cell r="X1503" t="str">
            <v/>
          </cell>
          <cell r="Y1503" t="str">
            <v/>
          </cell>
          <cell r="Z1503" t="str">
            <v/>
          </cell>
          <cell r="AA1503" t="str">
            <v/>
          </cell>
          <cell r="AB1503" t="str">
            <v/>
          </cell>
          <cell r="AC1503" t="str">
            <v>⑨</v>
          </cell>
          <cell r="AD1503" t="str">
            <v/>
          </cell>
          <cell r="AE1503" t="str">
            <v/>
          </cell>
          <cell r="AF1503" t="str">
            <v/>
          </cell>
          <cell r="AG1503" t="str">
            <v/>
          </cell>
          <cell r="AH1503" t="str">
            <v/>
          </cell>
          <cell r="AI1503" t="str">
            <v>③</v>
          </cell>
        </row>
        <row r="1504">
          <cell r="B1504">
            <v>7408</v>
          </cell>
          <cell r="C1504">
            <v>74</v>
          </cell>
          <cell r="D1504">
            <v>8</v>
          </cell>
          <cell r="F1504" t="str">
            <v>豊橋</v>
          </cell>
          <cell r="G1504" t="str">
            <v>空調機設備保守</v>
          </cell>
          <cell r="H1504" t="str">
            <v>大冷工業</v>
          </cell>
          <cell r="I1504">
            <v>266500</v>
          </cell>
          <cell r="J1504">
            <v>288000</v>
          </cell>
          <cell r="K1504">
            <v>2</v>
          </cell>
          <cell r="L1504">
            <v>0</v>
          </cell>
          <cell r="M1504">
            <v>288000</v>
          </cell>
          <cell r="N1504">
            <v>0</v>
          </cell>
          <cell r="O1504">
            <v>0</v>
          </cell>
          <cell r="P1504">
            <v>0</v>
          </cell>
          <cell r="Q1504">
            <v>0</v>
          </cell>
          <cell r="R1504">
            <v>0</v>
          </cell>
          <cell r="S1504">
            <v>288000</v>
          </cell>
          <cell r="T1504">
            <v>0</v>
          </cell>
          <cell r="U1504">
            <v>0</v>
          </cell>
          <cell r="V1504">
            <v>0</v>
          </cell>
          <cell r="W1504">
            <v>0</v>
          </cell>
          <cell r="X1504" t="str">
            <v/>
          </cell>
          <cell r="Y1504" t="str">
            <v>⑤</v>
          </cell>
          <cell r="Z1504" t="str">
            <v/>
          </cell>
          <cell r="AA1504" t="str">
            <v/>
          </cell>
          <cell r="AB1504" t="str">
            <v/>
          </cell>
          <cell r="AC1504" t="str">
            <v/>
          </cell>
          <cell r="AD1504" t="str">
            <v/>
          </cell>
          <cell r="AE1504" t="str">
            <v>⑪</v>
          </cell>
          <cell r="AF1504" t="str">
            <v/>
          </cell>
          <cell r="AG1504" t="str">
            <v/>
          </cell>
          <cell r="AH1504" t="str">
            <v/>
          </cell>
          <cell r="AI1504" t="str">
            <v/>
          </cell>
          <cell r="AJ1504" t="str">
            <v>変</v>
          </cell>
        </row>
        <row r="1505">
          <cell r="B1505">
            <v>7409</v>
          </cell>
          <cell r="C1505">
            <v>74</v>
          </cell>
          <cell r="D1505">
            <v>9</v>
          </cell>
          <cell r="F1505" t="str">
            <v>豊橋</v>
          </cell>
          <cell r="G1505" t="str">
            <v>空調機設備保守</v>
          </cell>
          <cell r="H1505" t="str">
            <v>大冷工業</v>
          </cell>
          <cell r="I1505">
            <v>133500</v>
          </cell>
          <cell r="J1505">
            <v>144000</v>
          </cell>
          <cell r="K1505">
            <v>2</v>
          </cell>
          <cell r="L1505">
            <v>0</v>
          </cell>
          <cell r="M1505">
            <v>0</v>
          </cell>
          <cell r="N1505">
            <v>0</v>
          </cell>
          <cell r="O1505">
            <v>0</v>
          </cell>
          <cell r="P1505">
            <v>144000</v>
          </cell>
          <cell r="Q1505">
            <v>0</v>
          </cell>
          <cell r="R1505">
            <v>0</v>
          </cell>
          <cell r="S1505">
            <v>0</v>
          </cell>
          <cell r="T1505">
            <v>0</v>
          </cell>
          <cell r="U1505">
            <v>0</v>
          </cell>
          <cell r="V1505">
            <v>144000</v>
          </cell>
          <cell r="W1505">
            <v>0</v>
          </cell>
          <cell r="X1505" t="str">
            <v/>
          </cell>
          <cell r="Y1505" t="str">
            <v/>
          </cell>
          <cell r="Z1505" t="str">
            <v/>
          </cell>
          <cell r="AA1505" t="str">
            <v/>
          </cell>
          <cell r="AB1505" t="str">
            <v>⑧</v>
          </cell>
          <cell r="AC1505" t="str">
            <v/>
          </cell>
          <cell r="AD1505" t="str">
            <v/>
          </cell>
          <cell r="AE1505" t="str">
            <v/>
          </cell>
          <cell r="AF1505" t="str">
            <v/>
          </cell>
          <cell r="AG1505" t="str">
            <v/>
          </cell>
          <cell r="AH1505" t="str">
            <v>②</v>
          </cell>
          <cell r="AI1505" t="str">
            <v/>
          </cell>
          <cell r="AJ1505" t="str">
            <v>変</v>
          </cell>
        </row>
        <row r="1506">
          <cell r="B1506">
            <v>7410</v>
          </cell>
          <cell r="C1506">
            <v>74</v>
          </cell>
          <cell r="D1506">
            <v>10</v>
          </cell>
          <cell r="F1506" t="str">
            <v>豊橋</v>
          </cell>
          <cell r="G1506" t="str">
            <v>植栽管理</v>
          </cell>
          <cell r="H1506" t="str">
            <v>浦川造園</v>
          </cell>
          <cell r="I1506">
            <v>28571</v>
          </cell>
          <cell r="J1506">
            <v>29142</v>
          </cell>
          <cell r="K1506">
            <v>2</v>
          </cell>
          <cell r="L1506">
            <v>0</v>
          </cell>
          <cell r="M1506">
            <v>0</v>
          </cell>
          <cell r="N1506">
            <v>0</v>
          </cell>
          <cell r="O1506">
            <v>29142</v>
          </cell>
          <cell r="P1506">
            <v>0</v>
          </cell>
          <cell r="Q1506">
            <v>0</v>
          </cell>
          <cell r="R1506">
            <v>29142</v>
          </cell>
          <cell r="S1506">
            <v>0</v>
          </cell>
          <cell r="T1506">
            <v>0</v>
          </cell>
          <cell r="U1506">
            <v>0</v>
          </cell>
          <cell r="V1506">
            <v>0</v>
          </cell>
          <cell r="W1506">
            <v>0</v>
          </cell>
          <cell r="X1506" t="str">
            <v/>
          </cell>
          <cell r="Y1506" t="str">
            <v/>
          </cell>
          <cell r="Z1506" t="str">
            <v/>
          </cell>
          <cell r="AA1506" t="str">
            <v>⑦</v>
          </cell>
          <cell r="AB1506" t="str">
            <v/>
          </cell>
          <cell r="AC1506" t="str">
            <v/>
          </cell>
          <cell r="AD1506" t="str">
            <v>⑩</v>
          </cell>
          <cell r="AE1506" t="str">
            <v/>
          </cell>
          <cell r="AF1506" t="str">
            <v/>
          </cell>
          <cell r="AG1506" t="str">
            <v/>
          </cell>
          <cell r="AH1506" t="str">
            <v/>
          </cell>
          <cell r="AI1506" t="str">
            <v/>
          </cell>
        </row>
        <row r="1507">
          <cell r="B1507">
            <v>7411</v>
          </cell>
          <cell r="C1507">
            <v>74</v>
          </cell>
          <cell r="D1507">
            <v>11</v>
          </cell>
          <cell r="F1507" t="str">
            <v>豊橋</v>
          </cell>
          <cell r="G1507" t="str">
            <v>ハロゲン化物保守点検(総合)</v>
          </cell>
          <cell r="H1507" t="str">
            <v>常友保守センター</v>
          </cell>
          <cell r="I1507">
            <v>78540</v>
          </cell>
          <cell r="J1507">
            <v>78540</v>
          </cell>
          <cell r="K1507">
            <v>1</v>
          </cell>
          <cell r="L1507">
            <v>78540</v>
          </cell>
          <cell r="M1507">
            <v>0</v>
          </cell>
          <cell r="N1507">
            <v>0</v>
          </cell>
          <cell r="O1507">
            <v>0</v>
          </cell>
          <cell r="P1507">
            <v>0</v>
          </cell>
          <cell r="Q1507">
            <v>0</v>
          </cell>
          <cell r="R1507">
            <v>0</v>
          </cell>
          <cell r="S1507">
            <v>0</v>
          </cell>
          <cell r="T1507">
            <v>0</v>
          </cell>
          <cell r="U1507">
            <v>0</v>
          </cell>
          <cell r="V1507">
            <v>0</v>
          </cell>
          <cell r="W1507">
            <v>0</v>
          </cell>
          <cell r="X1507" t="str">
            <v>④</v>
          </cell>
          <cell r="Y1507" t="str">
            <v/>
          </cell>
          <cell r="Z1507" t="str">
            <v/>
          </cell>
          <cell r="AA1507" t="str">
            <v/>
          </cell>
          <cell r="AB1507" t="str">
            <v/>
          </cell>
          <cell r="AC1507" t="str">
            <v/>
          </cell>
          <cell r="AD1507" t="str">
            <v/>
          </cell>
          <cell r="AE1507" t="str">
            <v/>
          </cell>
          <cell r="AF1507" t="str">
            <v/>
          </cell>
          <cell r="AG1507" t="str">
            <v/>
          </cell>
          <cell r="AH1507" t="str">
            <v/>
          </cell>
          <cell r="AI1507" t="str">
            <v/>
          </cell>
        </row>
        <row r="1508">
          <cell r="B1508">
            <v>7412</v>
          </cell>
          <cell r="C1508">
            <v>74</v>
          </cell>
          <cell r="D1508">
            <v>12</v>
          </cell>
          <cell r="F1508" t="str">
            <v>豊橋</v>
          </cell>
          <cell r="G1508" t="str">
            <v>自火報保守点検(総合)</v>
          </cell>
          <cell r="H1508" t="str">
            <v>常友保守センター</v>
          </cell>
          <cell r="I1508">
            <v>116280</v>
          </cell>
          <cell r="J1508">
            <v>116280</v>
          </cell>
          <cell r="K1508">
            <v>1</v>
          </cell>
          <cell r="L1508">
            <v>116280</v>
          </cell>
          <cell r="M1508">
            <v>0</v>
          </cell>
          <cell r="N1508">
            <v>0</v>
          </cell>
          <cell r="O1508">
            <v>0</v>
          </cell>
          <cell r="P1508">
            <v>0</v>
          </cell>
          <cell r="Q1508">
            <v>0</v>
          </cell>
          <cell r="R1508">
            <v>0</v>
          </cell>
          <cell r="S1508">
            <v>0</v>
          </cell>
          <cell r="T1508">
            <v>0</v>
          </cell>
          <cell r="U1508">
            <v>0</v>
          </cell>
          <cell r="V1508">
            <v>0</v>
          </cell>
          <cell r="W1508">
            <v>0</v>
          </cell>
          <cell r="X1508" t="str">
            <v>④</v>
          </cell>
          <cell r="Y1508" t="str">
            <v/>
          </cell>
          <cell r="Z1508" t="str">
            <v/>
          </cell>
          <cell r="AA1508" t="str">
            <v/>
          </cell>
          <cell r="AB1508" t="str">
            <v/>
          </cell>
          <cell r="AC1508" t="str">
            <v/>
          </cell>
          <cell r="AE1508" t="str">
            <v/>
          </cell>
          <cell r="AF1508" t="str">
            <v/>
          </cell>
          <cell r="AG1508" t="str">
            <v/>
          </cell>
          <cell r="AH1508" t="str">
            <v/>
          </cell>
          <cell r="AI1508" t="str">
            <v/>
          </cell>
        </row>
        <row r="1509">
          <cell r="B1509">
            <v>7413</v>
          </cell>
          <cell r="C1509">
            <v>74</v>
          </cell>
          <cell r="D1509">
            <v>13</v>
          </cell>
          <cell r="F1509" t="str">
            <v>豊橋</v>
          </cell>
          <cell r="G1509" t="str">
            <v>屋内外消火栓保守点検(総合)</v>
          </cell>
          <cell r="H1509" t="str">
            <v>常友保守センター</v>
          </cell>
          <cell r="I1509">
            <v>66300</v>
          </cell>
          <cell r="J1509">
            <v>66300</v>
          </cell>
          <cell r="K1509">
            <v>1</v>
          </cell>
          <cell r="L1509">
            <v>66300</v>
          </cell>
          <cell r="M1509">
            <v>0</v>
          </cell>
          <cell r="N1509">
            <v>0</v>
          </cell>
          <cell r="O1509">
            <v>0</v>
          </cell>
          <cell r="P1509">
            <v>0</v>
          </cell>
          <cell r="Q1509">
            <v>0</v>
          </cell>
          <cell r="R1509">
            <v>0</v>
          </cell>
          <cell r="S1509">
            <v>0</v>
          </cell>
          <cell r="T1509">
            <v>0</v>
          </cell>
          <cell r="U1509">
            <v>0</v>
          </cell>
          <cell r="V1509">
            <v>0</v>
          </cell>
          <cell r="W1509">
            <v>0</v>
          </cell>
          <cell r="X1509" t="str">
            <v>④</v>
          </cell>
          <cell r="Y1509" t="str">
            <v/>
          </cell>
          <cell r="Z1509" t="str">
            <v/>
          </cell>
          <cell r="AA1509" t="str">
            <v/>
          </cell>
          <cell r="AB1509" t="str">
            <v/>
          </cell>
          <cell r="AC1509" t="str">
            <v/>
          </cell>
          <cell r="AE1509" t="str">
            <v/>
          </cell>
          <cell r="AF1509" t="str">
            <v/>
          </cell>
          <cell r="AG1509" t="str">
            <v/>
          </cell>
          <cell r="AH1509" t="str">
            <v/>
          </cell>
          <cell r="AI1509" t="str">
            <v/>
          </cell>
        </row>
        <row r="1510">
          <cell r="B1510">
            <v>7414</v>
          </cell>
          <cell r="C1510">
            <v>74</v>
          </cell>
          <cell r="D1510">
            <v>14</v>
          </cell>
          <cell r="F1510" t="str">
            <v>豊橋</v>
          </cell>
          <cell r="G1510" t="str">
            <v>粉末消火設備保守点検(総合)</v>
          </cell>
          <cell r="H1510" t="str">
            <v>常友保守センター</v>
          </cell>
          <cell r="I1510">
            <v>20400</v>
          </cell>
          <cell r="J1510">
            <v>20400</v>
          </cell>
          <cell r="K1510">
            <v>1</v>
          </cell>
          <cell r="L1510">
            <v>20400</v>
          </cell>
          <cell r="M1510">
            <v>0</v>
          </cell>
          <cell r="N1510">
            <v>0</v>
          </cell>
          <cell r="O1510">
            <v>0</v>
          </cell>
          <cell r="P1510">
            <v>0</v>
          </cell>
          <cell r="Q1510">
            <v>0</v>
          </cell>
          <cell r="R1510">
            <v>0</v>
          </cell>
          <cell r="S1510">
            <v>0</v>
          </cell>
          <cell r="T1510">
            <v>0</v>
          </cell>
          <cell r="U1510">
            <v>0</v>
          </cell>
          <cell r="V1510">
            <v>0</v>
          </cell>
          <cell r="W1510">
            <v>0</v>
          </cell>
          <cell r="X1510" t="str">
            <v>④</v>
          </cell>
          <cell r="Y1510" t="str">
            <v/>
          </cell>
          <cell r="Z1510" t="str">
            <v/>
          </cell>
          <cell r="AA1510" t="str">
            <v/>
          </cell>
          <cell r="AB1510" t="str">
            <v/>
          </cell>
          <cell r="AC1510" t="str">
            <v/>
          </cell>
          <cell r="AE1510" t="str">
            <v/>
          </cell>
          <cell r="AF1510" t="str">
            <v/>
          </cell>
          <cell r="AG1510" t="str">
            <v/>
          </cell>
          <cell r="AH1510" t="str">
            <v/>
          </cell>
          <cell r="AI1510" t="str">
            <v/>
          </cell>
        </row>
        <row r="1511">
          <cell r="B1511">
            <v>7415</v>
          </cell>
          <cell r="C1511">
            <v>74</v>
          </cell>
          <cell r="D1511">
            <v>15</v>
          </cell>
          <cell r="F1511" t="str">
            <v>豊橋</v>
          </cell>
          <cell r="G1511" t="str">
            <v>排煙設備保守点検(総合)</v>
          </cell>
          <cell r="H1511" t="str">
            <v>常友保守センター</v>
          </cell>
          <cell r="I1511">
            <v>36720</v>
          </cell>
          <cell r="J1511">
            <v>36720</v>
          </cell>
          <cell r="K1511">
            <v>1</v>
          </cell>
          <cell r="L1511">
            <v>36720</v>
          </cell>
          <cell r="M1511">
            <v>0</v>
          </cell>
          <cell r="N1511">
            <v>0</v>
          </cell>
          <cell r="O1511">
            <v>0</v>
          </cell>
          <cell r="P1511">
            <v>0</v>
          </cell>
          <cell r="Q1511">
            <v>0</v>
          </cell>
          <cell r="R1511">
            <v>0</v>
          </cell>
          <cell r="S1511">
            <v>0</v>
          </cell>
          <cell r="T1511">
            <v>0</v>
          </cell>
          <cell r="U1511">
            <v>0</v>
          </cell>
          <cell r="V1511">
            <v>0</v>
          </cell>
          <cell r="W1511">
            <v>0</v>
          </cell>
          <cell r="X1511" t="str">
            <v>④</v>
          </cell>
          <cell r="Y1511" t="str">
            <v/>
          </cell>
          <cell r="Z1511" t="str">
            <v/>
          </cell>
          <cell r="AA1511" t="str">
            <v/>
          </cell>
          <cell r="AB1511" t="str">
            <v/>
          </cell>
          <cell r="AC1511" t="str">
            <v/>
          </cell>
          <cell r="AE1511" t="str">
            <v/>
          </cell>
          <cell r="AF1511" t="str">
            <v/>
          </cell>
          <cell r="AG1511" t="str">
            <v/>
          </cell>
          <cell r="AH1511" t="str">
            <v/>
          </cell>
          <cell r="AI1511" t="str">
            <v/>
          </cell>
        </row>
        <row r="1512">
          <cell r="B1512">
            <v>7416</v>
          </cell>
          <cell r="C1512">
            <v>74</v>
          </cell>
          <cell r="D1512">
            <v>16</v>
          </cell>
          <cell r="F1512" t="str">
            <v>豊橋</v>
          </cell>
          <cell r="G1512" t="str">
            <v>誘導灯･標識保守点検(総合)</v>
          </cell>
          <cell r="H1512" t="str">
            <v>常友保守センター</v>
          </cell>
          <cell r="I1512">
            <v>21420</v>
          </cell>
          <cell r="J1512">
            <v>21420</v>
          </cell>
          <cell r="K1512">
            <v>1</v>
          </cell>
          <cell r="L1512">
            <v>21420</v>
          </cell>
          <cell r="M1512">
            <v>0</v>
          </cell>
          <cell r="N1512">
            <v>0</v>
          </cell>
          <cell r="O1512">
            <v>0</v>
          </cell>
          <cell r="P1512">
            <v>0</v>
          </cell>
          <cell r="Q1512">
            <v>0</v>
          </cell>
          <cell r="R1512">
            <v>0</v>
          </cell>
          <cell r="S1512">
            <v>0</v>
          </cell>
          <cell r="T1512">
            <v>0</v>
          </cell>
          <cell r="U1512">
            <v>0</v>
          </cell>
          <cell r="V1512">
            <v>0</v>
          </cell>
          <cell r="W1512">
            <v>0</v>
          </cell>
          <cell r="X1512" t="str">
            <v>④</v>
          </cell>
          <cell r="Y1512" t="str">
            <v/>
          </cell>
          <cell r="Z1512" t="str">
            <v/>
          </cell>
          <cell r="AA1512" t="str">
            <v/>
          </cell>
          <cell r="AB1512" t="str">
            <v/>
          </cell>
          <cell r="AC1512" t="str">
            <v/>
          </cell>
          <cell r="AE1512" t="str">
            <v/>
          </cell>
          <cell r="AF1512" t="str">
            <v/>
          </cell>
          <cell r="AG1512" t="str">
            <v/>
          </cell>
          <cell r="AH1512" t="str">
            <v/>
          </cell>
          <cell r="AI1512" t="str">
            <v/>
          </cell>
        </row>
        <row r="1513">
          <cell r="B1513">
            <v>7417</v>
          </cell>
          <cell r="C1513">
            <v>74</v>
          </cell>
          <cell r="D1513">
            <v>17</v>
          </cell>
          <cell r="F1513" t="str">
            <v>豊橋</v>
          </cell>
          <cell r="G1513" t="str">
            <v>連結送水管保守点検(総合)</v>
          </cell>
          <cell r="H1513" t="str">
            <v>常友保守センター</v>
          </cell>
          <cell r="I1513">
            <v>8160</v>
          </cell>
          <cell r="J1513">
            <v>8160</v>
          </cell>
          <cell r="K1513">
            <v>1</v>
          </cell>
          <cell r="L1513">
            <v>8160</v>
          </cell>
          <cell r="M1513">
            <v>0</v>
          </cell>
          <cell r="N1513">
            <v>0</v>
          </cell>
          <cell r="O1513">
            <v>0</v>
          </cell>
          <cell r="P1513">
            <v>0</v>
          </cell>
          <cell r="Q1513">
            <v>0</v>
          </cell>
          <cell r="R1513">
            <v>0</v>
          </cell>
          <cell r="S1513">
            <v>0</v>
          </cell>
          <cell r="T1513">
            <v>0</v>
          </cell>
          <cell r="U1513">
            <v>0</v>
          </cell>
          <cell r="V1513">
            <v>0</v>
          </cell>
          <cell r="W1513">
            <v>0</v>
          </cell>
          <cell r="X1513" t="str">
            <v>④</v>
          </cell>
          <cell r="Y1513" t="str">
            <v/>
          </cell>
          <cell r="Z1513" t="str">
            <v/>
          </cell>
          <cell r="AA1513" t="str">
            <v/>
          </cell>
          <cell r="AB1513" t="str">
            <v/>
          </cell>
          <cell r="AC1513" t="str">
            <v/>
          </cell>
          <cell r="AE1513" t="str">
            <v/>
          </cell>
          <cell r="AF1513" t="str">
            <v/>
          </cell>
          <cell r="AG1513" t="str">
            <v/>
          </cell>
          <cell r="AH1513" t="str">
            <v/>
          </cell>
          <cell r="AI1513" t="str">
            <v/>
          </cell>
        </row>
        <row r="1514">
          <cell r="B1514">
            <v>7418</v>
          </cell>
          <cell r="C1514">
            <v>74</v>
          </cell>
          <cell r="D1514">
            <v>18</v>
          </cell>
          <cell r="F1514" t="str">
            <v>豊橋</v>
          </cell>
          <cell r="G1514" t="str">
            <v>非常放送設備保守点検(総合)</v>
          </cell>
          <cell r="H1514" t="str">
            <v>常友保守センター</v>
          </cell>
          <cell r="I1514">
            <v>28560</v>
          </cell>
          <cell r="J1514">
            <v>28560</v>
          </cell>
          <cell r="K1514">
            <v>1</v>
          </cell>
          <cell r="L1514">
            <v>28560</v>
          </cell>
          <cell r="M1514">
            <v>0</v>
          </cell>
          <cell r="N1514">
            <v>0</v>
          </cell>
          <cell r="O1514">
            <v>0</v>
          </cell>
          <cell r="P1514">
            <v>0</v>
          </cell>
          <cell r="Q1514">
            <v>0</v>
          </cell>
          <cell r="R1514">
            <v>0</v>
          </cell>
          <cell r="S1514">
            <v>0</v>
          </cell>
          <cell r="T1514">
            <v>0</v>
          </cell>
          <cell r="U1514">
            <v>0</v>
          </cell>
          <cell r="V1514">
            <v>0</v>
          </cell>
          <cell r="W1514">
            <v>0</v>
          </cell>
          <cell r="X1514" t="str">
            <v>④</v>
          </cell>
          <cell r="Y1514" t="str">
            <v/>
          </cell>
          <cell r="Z1514" t="str">
            <v/>
          </cell>
          <cell r="AA1514" t="str">
            <v/>
          </cell>
          <cell r="AB1514" t="str">
            <v/>
          </cell>
          <cell r="AC1514" t="str">
            <v/>
          </cell>
          <cell r="AE1514" t="str">
            <v/>
          </cell>
          <cell r="AF1514" t="str">
            <v/>
          </cell>
          <cell r="AG1514" t="str">
            <v/>
          </cell>
          <cell r="AH1514" t="str">
            <v/>
          </cell>
          <cell r="AI1514" t="str">
            <v/>
          </cell>
        </row>
        <row r="1515">
          <cell r="B1515">
            <v>7419</v>
          </cell>
          <cell r="C1515">
            <v>74</v>
          </cell>
          <cell r="D1515">
            <v>19</v>
          </cell>
          <cell r="F1515" t="str">
            <v>豊橋</v>
          </cell>
          <cell r="G1515" t="str">
            <v>ハロゲン化物保守点検(外観)</v>
          </cell>
          <cell r="H1515" t="str">
            <v>常友保守センター</v>
          </cell>
          <cell r="I1515">
            <v>34680</v>
          </cell>
          <cell r="J1515">
            <v>34680</v>
          </cell>
          <cell r="K1515">
            <v>1</v>
          </cell>
          <cell r="L1515">
            <v>0</v>
          </cell>
          <cell r="M1515">
            <v>0</v>
          </cell>
          <cell r="N1515">
            <v>0</v>
          </cell>
          <cell r="O1515">
            <v>0</v>
          </cell>
          <cell r="P1515">
            <v>0</v>
          </cell>
          <cell r="Q1515">
            <v>0</v>
          </cell>
          <cell r="R1515">
            <v>34680</v>
          </cell>
          <cell r="S1515">
            <v>0</v>
          </cell>
          <cell r="T1515">
            <v>0</v>
          </cell>
          <cell r="U1515">
            <v>0</v>
          </cell>
          <cell r="V1515">
            <v>0</v>
          </cell>
          <cell r="W1515">
            <v>0</v>
          </cell>
          <cell r="X1515" t="str">
            <v/>
          </cell>
          <cell r="Y1515" t="str">
            <v/>
          </cell>
          <cell r="Z1515" t="str">
            <v/>
          </cell>
          <cell r="AA1515" t="str">
            <v/>
          </cell>
          <cell r="AB1515" t="str">
            <v/>
          </cell>
          <cell r="AC1515" t="str">
            <v/>
          </cell>
          <cell r="AD1515" t="str">
            <v>⑩</v>
          </cell>
          <cell r="AE1515" t="str">
            <v/>
          </cell>
          <cell r="AF1515" t="str">
            <v/>
          </cell>
          <cell r="AG1515" t="str">
            <v/>
          </cell>
          <cell r="AH1515" t="str">
            <v/>
          </cell>
          <cell r="AI1515" t="str">
            <v/>
          </cell>
        </row>
        <row r="1516">
          <cell r="B1516">
            <v>7420</v>
          </cell>
          <cell r="C1516">
            <v>74</v>
          </cell>
          <cell r="D1516">
            <v>20</v>
          </cell>
          <cell r="F1516" t="str">
            <v>豊橋</v>
          </cell>
          <cell r="G1516" t="str">
            <v>自火報保守点検(外観)</v>
          </cell>
          <cell r="H1516" t="str">
            <v>常友保守センター</v>
          </cell>
          <cell r="I1516">
            <v>46920</v>
          </cell>
          <cell r="J1516">
            <v>46920</v>
          </cell>
          <cell r="K1516">
            <v>1</v>
          </cell>
          <cell r="L1516">
            <v>0</v>
          </cell>
          <cell r="M1516">
            <v>0</v>
          </cell>
          <cell r="N1516">
            <v>0</v>
          </cell>
          <cell r="O1516">
            <v>0</v>
          </cell>
          <cell r="P1516">
            <v>0</v>
          </cell>
          <cell r="Q1516">
            <v>0</v>
          </cell>
          <cell r="R1516">
            <v>46920</v>
          </cell>
          <cell r="S1516">
            <v>0</v>
          </cell>
          <cell r="T1516">
            <v>0</v>
          </cell>
          <cell r="U1516">
            <v>0</v>
          </cell>
          <cell r="V1516">
            <v>0</v>
          </cell>
          <cell r="W1516">
            <v>0</v>
          </cell>
          <cell r="X1516" t="str">
            <v/>
          </cell>
          <cell r="Y1516" t="str">
            <v/>
          </cell>
          <cell r="Z1516" t="str">
            <v/>
          </cell>
          <cell r="AA1516" t="str">
            <v/>
          </cell>
          <cell r="AB1516" t="str">
            <v/>
          </cell>
          <cell r="AC1516" t="str">
            <v/>
          </cell>
          <cell r="AD1516" t="str">
            <v>⑩</v>
          </cell>
          <cell r="AE1516" t="str">
            <v/>
          </cell>
          <cell r="AF1516" t="str">
            <v/>
          </cell>
          <cell r="AG1516" t="str">
            <v/>
          </cell>
          <cell r="AH1516" t="str">
            <v/>
          </cell>
          <cell r="AI1516" t="str">
            <v/>
          </cell>
        </row>
        <row r="1517">
          <cell r="B1517">
            <v>7421</v>
          </cell>
          <cell r="C1517">
            <v>74</v>
          </cell>
          <cell r="D1517">
            <v>21</v>
          </cell>
          <cell r="F1517" t="str">
            <v>豊橋</v>
          </cell>
          <cell r="G1517" t="str">
            <v>屋内外消火栓保守点検(外観)</v>
          </cell>
          <cell r="H1517" t="str">
            <v>常友保守センター</v>
          </cell>
          <cell r="I1517">
            <v>32640</v>
          </cell>
          <cell r="J1517">
            <v>32640</v>
          </cell>
          <cell r="K1517">
            <v>1</v>
          </cell>
          <cell r="L1517">
            <v>0</v>
          </cell>
          <cell r="M1517">
            <v>0</v>
          </cell>
          <cell r="N1517">
            <v>0</v>
          </cell>
          <cell r="O1517">
            <v>0</v>
          </cell>
          <cell r="P1517">
            <v>0</v>
          </cell>
          <cell r="Q1517">
            <v>0</v>
          </cell>
          <cell r="R1517">
            <v>32640</v>
          </cell>
          <cell r="S1517">
            <v>0</v>
          </cell>
          <cell r="T1517">
            <v>0</v>
          </cell>
          <cell r="U1517">
            <v>0</v>
          </cell>
          <cell r="V1517">
            <v>0</v>
          </cell>
          <cell r="W1517">
            <v>0</v>
          </cell>
          <cell r="X1517" t="str">
            <v/>
          </cell>
          <cell r="Y1517" t="str">
            <v/>
          </cell>
          <cell r="Z1517" t="str">
            <v/>
          </cell>
          <cell r="AA1517" t="str">
            <v/>
          </cell>
          <cell r="AB1517" t="str">
            <v/>
          </cell>
          <cell r="AC1517" t="str">
            <v/>
          </cell>
          <cell r="AD1517" t="str">
            <v>⑩</v>
          </cell>
          <cell r="AE1517" t="str">
            <v/>
          </cell>
          <cell r="AF1517" t="str">
            <v/>
          </cell>
          <cell r="AG1517" t="str">
            <v/>
          </cell>
          <cell r="AH1517" t="str">
            <v/>
          </cell>
          <cell r="AI1517" t="str">
            <v/>
          </cell>
        </row>
        <row r="1518">
          <cell r="B1518">
            <v>7422</v>
          </cell>
          <cell r="C1518">
            <v>74</v>
          </cell>
          <cell r="D1518">
            <v>22</v>
          </cell>
          <cell r="F1518" t="str">
            <v>豊橋</v>
          </cell>
          <cell r="G1518" t="str">
            <v>粉末消火設備保守点検(外観)</v>
          </cell>
          <cell r="H1518" t="str">
            <v>常友保守センター</v>
          </cell>
          <cell r="I1518">
            <v>20400</v>
          </cell>
          <cell r="J1518">
            <v>20400</v>
          </cell>
          <cell r="K1518">
            <v>1</v>
          </cell>
          <cell r="L1518">
            <v>0</v>
          </cell>
          <cell r="M1518">
            <v>0</v>
          </cell>
          <cell r="N1518">
            <v>0</v>
          </cell>
          <cell r="O1518">
            <v>0</v>
          </cell>
          <cell r="P1518">
            <v>0</v>
          </cell>
          <cell r="Q1518">
            <v>0</v>
          </cell>
          <cell r="R1518">
            <v>20400</v>
          </cell>
          <cell r="S1518">
            <v>0</v>
          </cell>
          <cell r="T1518">
            <v>0</v>
          </cell>
          <cell r="U1518">
            <v>0</v>
          </cell>
          <cell r="V1518">
            <v>0</v>
          </cell>
          <cell r="W1518">
            <v>0</v>
          </cell>
          <cell r="X1518" t="str">
            <v/>
          </cell>
          <cell r="Y1518" t="str">
            <v/>
          </cell>
          <cell r="Z1518" t="str">
            <v/>
          </cell>
          <cell r="AA1518" t="str">
            <v/>
          </cell>
          <cell r="AB1518" t="str">
            <v/>
          </cell>
          <cell r="AC1518" t="str">
            <v/>
          </cell>
          <cell r="AD1518" t="str">
            <v>⑩</v>
          </cell>
          <cell r="AE1518" t="str">
            <v/>
          </cell>
          <cell r="AF1518" t="str">
            <v/>
          </cell>
          <cell r="AG1518" t="str">
            <v/>
          </cell>
          <cell r="AH1518" t="str">
            <v/>
          </cell>
          <cell r="AI1518" t="str">
            <v/>
          </cell>
        </row>
        <row r="1519">
          <cell r="B1519">
            <v>7423</v>
          </cell>
          <cell r="C1519">
            <v>74</v>
          </cell>
          <cell r="D1519">
            <v>23</v>
          </cell>
          <cell r="F1519" t="str">
            <v>豊橋</v>
          </cell>
          <cell r="G1519" t="str">
            <v>排煙設備保守点検(外観)</v>
          </cell>
          <cell r="H1519" t="str">
            <v>常友保守センター</v>
          </cell>
          <cell r="I1519">
            <v>21420</v>
          </cell>
          <cell r="J1519">
            <v>21420</v>
          </cell>
          <cell r="K1519">
            <v>1</v>
          </cell>
          <cell r="L1519">
            <v>0</v>
          </cell>
          <cell r="M1519">
            <v>0</v>
          </cell>
          <cell r="N1519">
            <v>0</v>
          </cell>
          <cell r="O1519">
            <v>0</v>
          </cell>
          <cell r="P1519">
            <v>0</v>
          </cell>
          <cell r="Q1519">
            <v>0</v>
          </cell>
          <cell r="R1519">
            <v>21420</v>
          </cell>
          <cell r="S1519">
            <v>0</v>
          </cell>
          <cell r="T1519">
            <v>0</v>
          </cell>
          <cell r="U1519">
            <v>0</v>
          </cell>
          <cell r="V1519">
            <v>0</v>
          </cell>
          <cell r="W1519">
            <v>0</v>
          </cell>
          <cell r="X1519" t="str">
            <v/>
          </cell>
          <cell r="Y1519" t="str">
            <v/>
          </cell>
          <cell r="Z1519" t="str">
            <v/>
          </cell>
          <cell r="AA1519" t="str">
            <v/>
          </cell>
          <cell r="AB1519" t="str">
            <v/>
          </cell>
          <cell r="AC1519" t="str">
            <v/>
          </cell>
          <cell r="AD1519" t="str">
            <v>⑩</v>
          </cell>
          <cell r="AE1519" t="str">
            <v/>
          </cell>
          <cell r="AF1519" t="str">
            <v/>
          </cell>
          <cell r="AG1519" t="str">
            <v/>
          </cell>
          <cell r="AH1519" t="str">
            <v/>
          </cell>
          <cell r="AI1519" t="str">
            <v/>
          </cell>
        </row>
        <row r="1520">
          <cell r="B1520">
            <v>7424</v>
          </cell>
          <cell r="C1520">
            <v>74</v>
          </cell>
          <cell r="D1520">
            <v>24</v>
          </cell>
          <cell r="F1520" t="str">
            <v>豊橋</v>
          </cell>
          <cell r="G1520" t="str">
            <v>誘導灯･標識保守点検(外観)</v>
          </cell>
          <cell r="H1520" t="str">
            <v>常友保守センター</v>
          </cell>
          <cell r="I1520">
            <v>18360</v>
          </cell>
          <cell r="J1520">
            <v>18360</v>
          </cell>
          <cell r="K1520">
            <v>1</v>
          </cell>
          <cell r="L1520">
            <v>0</v>
          </cell>
          <cell r="M1520">
            <v>0</v>
          </cell>
          <cell r="N1520">
            <v>0</v>
          </cell>
          <cell r="O1520">
            <v>0</v>
          </cell>
          <cell r="P1520">
            <v>0</v>
          </cell>
          <cell r="Q1520">
            <v>0</v>
          </cell>
          <cell r="R1520">
            <v>18360</v>
          </cell>
          <cell r="S1520">
            <v>0</v>
          </cell>
          <cell r="T1520">
            <v>0</v>
          </cell>
          <cell r="U1520">
            <v>0</v>
          </cell>
          <cell r="V1520">
            <v>0</v>
          </cell>
          <cell r="W1520">
            <v>0</v>
          </cell>
          <cell r="X1520" t="str">
            <v/>
          </cell>
          <cell r="Y1520" t="str">
            <v/>
          </cell>
          <cell r="Z1520" t="str">
            <v/>
          </cell>
          <cell r="AA1520" t="str">
            <v/>
          </cell>
          <cell r="AB1520" t="str">
            <v/>
          </cell>
          <cell r="AC1520" t="str">
            <v/>
          </cell>
          <cell r="AD1520" t="str">
            <v>⑩</v>
          </cell>
          <cell r="AE1520" t="str">
            <v/>
          </cell>
          <cell r="AF1520" t="str">
            <v/>
          </cell>
          <cell r="AG1520" t="str">
            <v/>
          </cell>
          <cell r="AH1520" t="str">
            <v/>
          </cell>
          <cell r="AI1520" t="str">
            <v/>
          </cell>
        </row>
        <row r="1521">
          <cell r="B1521">
            <v>7425</v>
          </cell>
          <cell r="C1521">
            <v>74</v>
          </cell>
          <cell r="D1521">
            <v>25</v>
          </cell>
          <cell r="F1521" t="str">
            <v>豊橋</v>
          </cell>
          <cell r="G1521" t="str">
            <v>連結送水管保守点検(外観)</v>
          </cell>
          <cell r="H1521" t="str">
            <v>常友保守センター</v>
          </cell>
          <cell r="I1521">
            <v>7140</v>
          </cell>
          <cell r="J1521">
            <v>7140</v>
          </cell>
          <cell r="K1521">
            <v>1</v>
          </cell>
          <cell r="L1521">
            <v>0</v>
          </cell>
          <cell r="M1521">
            <v>0</v>
          </cell>
          <cell r="N1521">
            <v>0</v>
          </cell>
          <cell r="O1521">
            <v>0</v>
          </cell>
          <cell r="P1521">
            <v>0</v>
          </cell>
          <cell r="Q1521">
            <v>0</v>
          </cell>
          <cell r="R1521">
            <v>7140</v>
          </cell>
          <cell r="S1521">
            <v>0</v>
          </cell>
          <cell r="T1521">
            <v>0</v>
          </cell>
          <cell r="U1521">
            <v>0</v>
          </cell>
          <cell r="V1521">
            <v>0</v>
          </cell>
          <cell r="W1521">
            <v>0</v>
          </cell>
          <cell r="X1521" t="str">
            <v/>
          </cell>
          <cell r="Y1521" t="str">
            <v/>
          </cell>
          <cell r="Z1521" t="str">
            <v/>
          </cell>
          <cell r="AA1521" t="str">
            <v/>
          </cell>
          <cell r="AB1521" t="str">
            <v/>
          </cell>
          <cell r="AC1521" t="str">
            <v/>
          </cell>
          <cell r="AD1521" t="str">
            <v>⑩</v>
          </cell>
          <cell r="AE1521" t="str">
            <v/>
          </cell>
          <cell r="AF1521" t="str">
            <v/>
          </cell>
          <cell r="AG1521" t="str">
            <v/>
          </cell>
          <cell r="AH1521" t="str">
            <v/>
          </cell>
          <cell r="AI1521" t="str">
            <v/>
          </cell>
        </row>
        <row r="1522">
          <cell r="B1522">
            <v>7426</v>
          </cell>
          <cell r="C1522">
            <v>74</v>
          </cell>
          <cell r="D1522">
            <v>26</v>
          </cell>
          <cell r="F1522" t="str">
            <v>豊橋</v>
          </cell>
          <cell r="G1522" t="str">
            <v>非常放送設備保守点検(外観)</v>
          </cell>
          <cell r="H1522" t="str">
            <v>常友保守センター</v>
          </cell>
          <cell r="I1522">
            <v>17340</v>
          </cell>
          <cell r="J1522">
            <v>17340</v>
          </cell>
          <cell r="K1522">
            <v>1</v>
          </cell>
          <cell r="L1522">
            <v>0</v>
          </cell>
          <cell r="M1522">
            <v>0</v>
          </cell>
          <cell r="N1522">
            <v>0</v>
          </cell>
          <cell r="O1522">
            <v>0</v>
          </cell>
          <cell r="P1522">
            <v>0</v>
          </cell>
          <cell r="Q1522">
            <v>0</v>
          </cell>
          <cell r="R1522">
            <v>17340</v>
          </cell>
          <cell r="S1522">
            <v>0</v>
          </cell>
          <cell r="T1522">
            <v>0</v>
          </cell>
          <cell r="U1522">
            <v>0</v>
          </cell>
          <cell r="V1522">
            <v>0</v>
          </cell>
          <cell r="W1522">
            <v>0</v>
          </cell>
          <cell r="X1522" t="str">
            <v/>
          </cell>
          <cell r="Y1522" t="str">
            <v/>
          </cell>
          <cell r="Z1522" t="str">
            <v/>
          </cell>
          <cell r="AA1522" t="str">
            <v/>
          </cell>
          <cell r="AB1522" t="str">
            <v/>
          </cell>
          <cell r="AC1522" t="str">
            <v/>
          </cell>
          <cell r="AD1522" t="str">
            <v>⑩</v>
          </cell>
          <cell r="AE1522" t="str">
            <v/>
          </cell>
          <cell r="AF1522" t="str">
            <v/>
          </cell>
          <cell r="AG1522" t="str">
            <v/>
          </cell>
          <cell r="AH1522" t="str">
            <v/>
          </cell>
          <cell r="AI1522" t="str">
            <v/>
          </cell>
        </row>
        <row r="1523">
          <cell r="B1523">
            <v>7501</v>
          </cell>
          <cell r="C1523">
            <v>75</v>
          </cell>
          <cell r="D1523">
            <v>1</v>
          </cell>
          <cell r="F1523" t="str">
            <v>豊田</v>
          </cell>
          <cell r="G1523" t="str">
            <v>立体駐車場装置保守</v>
          </cell>
          <cell r="H1523" t="str">
            <v>三菱重工ﾊﾟｰｷﾝｸﾞ建設</v>
          </cell>
          <cell r="I1523">
            <v>174000</v>
          </cell>
          <cell r="J1523">
            <v>177480</v>
          </cell>
          <cell r="K1523">
            <v>12</v>
          </cell>
          <cell r="L1523">
            <v>177480</v>
          </cell>
          <cell r="M1523">
            <v>177480</v>
          </cell>
          <cell r="N1523">
            <v>177480</v>
          </cell>
          <cell r="O1523">
            <v>177480</v>
          </cell>
          <cell r="P1523">
            <v>177480</v>
          </cell>
          <cell r="Q1523">
            <v>177480</v>
          </cell>
          <cell r="R1523">
            <v>177480</v>
          </cell>
          <cell r="S1523">
            <v>177480</v>
          </cell>
          <cell r="T1523">
            <v>177480</v>
          </cell>
          <cell r="U1523">
            <v>177480</v>
          </cell>
          <cell r="V1523">
            <v>177480</v>
          </cell>
          <cell r="W1523">
            <v>177480</v>
          </cell>
          <cell r="X1523" t="str">
            <v>④</v>
          </cell>
          <cell r="Y1523" t="str">
            <v>⑤</v>
          </cell>
          <cell r="Z1523" t="str">
            <v>⑥</v>
          </cell>
          <cell r="AA1523" t="str">
            <v>⑦</v>
          </cell>
          <cell r="AB1523" t="str">
            <v>⑧</v>
          </cell>
          <cell r="AC1523" t="str">
            <v>⑨</v>
          </cell>
          <cell r="AD1523" t="str">
            <v>⑩</v>
          </cell>
          <cell r="AE1523" t="str">
            <v>⑪</v>
          </cell>
          <cell r="AF1523" t="str">
            <v>⑫</v>
          </cell>
          <cell r="AG1523" t="str">
            <v>①</v>
          </cell>
          <cell r="AH1523" t="str">
            <v>②</v>
          </cell>
          <cell r="AI1523" t="str">
            <v>③</v>
          </cell>
        </row>
        <row r="1524">
          <cell r="B1524">
            <v>7502</v>
          </cell>
          <cell r="C1524">
            <v>75</v>
          </cell>
          <cell r="D1524">
            <v>2</v>
          </cell>
          <cell r="F1524" t="str">
            <v>豊田</v>
          </cell>
          <cell r="G1524" t="str">
            <v>エレベーター保守</v>
          </cell>
          <cell r="H1524" t="str">
            <v>三菱電機ﾋﾞﾙﾃｸﾉｻｰﾋﾞｽ</v>
          </cell>
          <cell r="I1524">
            <v>67900</v>
          </cell>
          <cell r="J1524">
            <v>69258</v>
          </cell>
          <cell r="K1524">
            <v>12</v>
          </cell>
          <cell r="L1524">
            <v>69258</v>
          </cell>
          <cell r="M1524">
            <v>69258</v>
          </cell>
          <cell r="N1524">
            <v>69258</v>
          </cell>
          <cell r="O1524">
            <v>69258</v>
          </cell>
          <cell r="P1524">
            <v>69258</v>
          </cell>
          <cell r="Q1524">
            <v>69258</v>
          </cell>
          <cell r="R1524">
            <v>69258</v>
          </cell>
          <cell r="S1524">
            <v>69258</v>
          </cell>
          <cell r="T1524">
            <v>69258</v>
          </cell>
          <cell r="U1524">
            <v>69258</v>
          </cell>
          <cell r="V1524">
            <v>69258</v>
          </cell>
          <cell r="W1524">
            <v>69258</v>
          </cell>
          <cell r="X1524" t="str">
            <v>④</v>
          </cell>
          <cell r="Y1524" t="str">
            <v>⑤</v>
          </cell>
          <cell r="Z1524" t="str">
            <v>⑥</v>
          </cell>
          <cell r="AA1524" t="str">
            <v>⑦</v>
          </cell>
          <cell r="AB1524" t="str">
            <v>⑧</v>
          </cell>
          <cell r="AC1524" t="str">
            <v>⑨</v>
          </cell>
          <cell r="AD1524" t="str">
            <v>⑩</v>
          </cell>
          <cell r="AE1524" t="str">
            <v>⑪</v>
          </cell>
          <cell r="AF1524" t="str">
            <v>⑫</v>
          </cell>
          <cell r="AG1524" t="str">
            <v>①</v>
          </cell>
          <cell r="AH1524" t="str">
            <v>②</v>
          </cell>
          <cell r="AI1524" t="str">
            <v>③</v>
          </cell>
        </row>
        <row r="1525">
          <cell r="B1525">
            <v>7503</v>
          </cell>
          <cell r="C1525">
            <v>75</v>
          </cell>
          <cell r="D1525">
            <v>3</v>
          </cell>
          <cell r="F1525" t="str">
            <v>豊田</v>
          </cell>
          <cell r="G1525" t="str">
            <v>シャッター設備保守</v>
          </cell>
          <cell r="H1525" t="str">
            <v>文化シャッター</v>
          </cell>
          <cell r="I1525">
            <v>50000</v>
          </cell>
          <cell r="J1525">
            <v>51000</v>
          </cell>
          <cell r="K1525">
            <v>1</v>
          </cell>
          <cell r="L1525">
            <v>0</v>
          </cell>
          <cell r="M1525">
            <v>0</v>
          </cell>
          <cell r="N1525">
            <v>0</v>
          </cell>
          <cell r="O1525">
            <v>0</v>
          </cell>
          <cell r="P1525">
            <v>0</v>
          </cell>
          <cell r="Q1525">
            <v>0</v>
          </cell>
          <cell r="R1525">
            <v>0</v>
          </cell>
          <cell r="S1525">
            <v>0</v>
          </cell>
          <cell r="T1525">
            <v>0</v>
          </cell>
          <cell r="U1525">
            <v>0</v>
          </cell>
          <cell r="V1525">
            <v>0</v>
          </cell>
          <cell r="W1525">
            <v>51000</v>
          </cell>
          <cell r="X1525" t="str">
            <v/>
          </cell>
          <cell r="Y1525" t="str">
            <v/>
          </cell>
          <cell r="Z1525" t="str">
            <v/>
          </cell>
          <cell r="AA1525" t="str">
            <v/>
          </cell>
          <cell r="AB1525" t="str">
            <v/>
          </cell>
          <cell r="AC1525" t="str">
            <v/>
          </cell>
          <cell r="AD1525" t="str">
            <v/>
          </cell>
          <cell r="AE1525" t="str">
            <v/>
          </cell>
          <cell r="AF1525" t="str">
            <v/>
          </cell>
          <cell r="AG1525" t="str">
            <v/>
          </cell>
          <cell r="AH1525" t="str">
            <v/>
          </cell>
          <cell r="AI1525" t="str">
            <v>③</v>
          </cell>
        </row>
        <row r="1526">
          <cell r="B1526">
            <v>7504</v>
          </cell>
          <cell r="C1526">
            <v>75</v>
          </cell>
          <cell r="D1526">
            <v>4</v>
          </cell>
          <cell r="F1526" t="str">
            <v>豊田</v>
          </cell>
          <cell r="G1526" t="str">
            <v>消火器(外観)</v>
          </cell>
          <cell r="H1526" t="str">
            <v>ホーチキ</v>
          </cell>
          <cell r="I1526">
            <v>9000</v>
          </cell>
          <cell r="J1526">
            <v>9180</v>
          </cell>
          <cell r="K1526">
            <v>2</v>
          </cell>
          <cell r="L1526">
            <v>0</v>
          </cell>
          <cell r="M1526">
            <v>9180</v>
          </cell>
          <cell r="N1526">
            <v>0</v>
          </cell>
          <cell r="O1526">
            <v>0</v>
          </cell>
          <cell r="P1526">
            <v>0</v>
          </cell>
          <cell r="Q1526">
            <v>0</v>
          </cell>
          <cell r="R1526">
            <v>0</v>
          </cell>
          <cell r="S1526">
            <v>9180</v>
          </cell>
          <cell r="T1526">
            <v>0</v>
          </cell>
          <cell r="U1526">
            <v>0</v>
          </cell>
          <cell r="V1526">
            <v>0</v>
          </cell>
          <cell r="W1526">
            <v>0</v>
          </cell>
          <cell r="X1526" t="str">
            <v/>
          </cell>
          <cell r="Y1526" t="str">
            <v>⑤</v>
          </cell>
          <cell r="Z1526" t="str">
            <v/>
          </cell>
          <cell r="AA1526" t="str">
            <v/>
          </cell>
          <cell r="AB1526" t="str">
            <v/>
          </cell>
          <cell r="AC1526" t="str">
            <v/>
          </cell>
          <cell r="AD1526" t="str">
            <v/>
          </cell>
          <cell r="AE1526" t="str">
            <v>⑪</v>
          </cell>
          <cell r="AF1526" t="str">
            <v/>
          </cell>
          <cell r="AG1526" t="str">
            <v/>
          </cell>
          <cell r="AH1526" t="str">
            <v/>
          </cell>
          <cell r="AI1526" t="str">
            <v/>
          </cell>
        </row>
        <row r="1527">
          <cell r="B1527">
            <v>7505</v>
          </cell>
          <cell r="C1527">
            <v>75</v>
          </cell>
          <cell r="D1527">
            <v>5</v>
          </cell>
          <cell r="F1527" t="str">
            <v>豊田</v>
          </cell>
          <cell r="G1527" t="str">
            <v>屋内消火栓(外観)</v>
          </cell>
          <cell r="H1527" t="str">
            <v>ホーチキ</v>
          </cell>
          <cell r="I1527">
            <v>40500</v>
          </cell>
          <cell r="J1527">
            <v>41310</v>
          </cell>
          <cell r="K1527">
            <v>1</v>
          </cell>
          <cell r="L1527">
            <v>0</v>
          </cell>
          <cell r="M1527">
            <v>0</v>
          </cell>
          <cell r="N1527">
            <v>0</v>
          </cell>
          <cell r="O1527">
            <v>0</v>
          </cell>
          <cell r="P1527">
            <v>0</v>
          </cell>
          <cell r="Q1527">
            <v>0</v>
          </cell>
          <cell r="R1527">
            <v>0</v>
          </cell>
          <cell r="S1527">
            <v>41310</v>
          </cell>
          <cell r="T1527">
            <v>0</v>
          </cell>
          <cell r="U1527">
            <v>0</v>
          </cell>
          <cell r="V1527">
            <v>0</v>
          </cell>
          <cell r="W1527">
            <v>0</v>
          </cell>
          <cell r="X1527" t="str">
            <v/>
          </cell>
          <cell r="Y1527" t="str">
            <v/>
          </cell>
          <cell r="Z1527" t="str">
            <v/>
          </cell>
          <cell r="AA1527" t="str">
            <v/>
          </cell>
          <cell r="AB1527" t="str">
            <v/>
          </cell>
          <cell r="AC1527" t="str">
            <v/>
          </cell>
          <cell r="AD1527" t="str">
            <v/>
          </cell>
          <cell r="AE1527" t="str">
            <v>⑪</v>
          </cell>
          <cell r="AF1527" t="str">
            <v/>
          </cell>
          <cell r="AG1527" t="str">
            <v/>
          </cell>
          <cell r="AH1527" t="str">
            <v/>
          </cell>
          <cell r="AI1527" t="str">
            <v/>
          </cell>
        </row>
        <row r="1528">
          <cell r="B1528">
            <v>7506</v>
          </cell>
          <cell r="C1528">
            <v>75</v>
          </cell>
          <cell r="D1528">
            <v>6</v>
          </cell>
          <cell r="F1528" t="str">
            <v>豊田</v>
          </cell>
          <cell r="G1528" t="str">
            <v>屋内消火栓(総合)</v>
          </cell>
          <cell r="H1528" t="str">
            <v>ホーチキ</v>
          </cell>
          <cell r="I1528">
            <v>66600</v>
          </cell>
          <cell r="J1528">
            <v>67932</v>
          </cell>
          <cell r="K1528">
            <v>1</v>
          </cell>
          <cell r="L1528">
            <v>0</v>
          </cell>
          <cell r="M1528">
            <v>67932</v>
          </cell>
          <cell r="N1528">
            <v>0</v>
          </cell>
          <cell r="O1528">
            <v>0</v>
          </cell>
          <cell r="P1528">
            <v>0</v>
          </cell>
          <cell r="Q1528">
            <v>0</v>
          </cell>
          <cell r="R1528">
            <v>0</v>
          </cell>
          <cell r="S1528">
            <v>0</v>
          </cell>
          <cell r="T1528">
            <v>0</v>
          </cell>
          <cell r="U1528">
            <v>0</v>
          </cell>
          <cell r="V1528">
            <v>0</v>
          </cell>
          <cell r="W1528">
            <v>0</v>
          </cell>
          <cell r="X1528" t="str">
            <v/>
          </cell>
          <cell r="Y1528" t="str">
            <v>⑤</v>
          </cell>
          <cell r="Z1528" t="str">
            <v/>
          </cell>
          <cell r="AA1528" t="str">
            <v/>
          </cell>
          <cell r="AB1528" t="str">
            <v/>
          </cell>
          <cell r="AC1528" t="str">
            <v/>
          </cell>
          <cell r="AD1528" t="str">
            <v/>
          </cell>
          <cell r="AE1528" t="str">
            <v/>
          </cell>
          <cell r="AF1528" t="str">
            <v/>
          </cell>
          <cell r="AG1528" t="str">
            <v/>
          </cell>
          <cell r="AH1528" t="str">
            <v/>
          </cell>
          <cell r="AI1528" t="str">
            <v/>
          </cell>
        </row>
        <row r="1529">
          <cell r="B1529">
            <v>7507</v>
          </cell>
          <cell r="C1529">
            <v>75</v>
          </cell>
          <cell r="D1529">
            <v>7</v>
          </cell>
          <cell r="F1529" t="str">
            <v>豊田</v>
          </cell>
          <cell r="G1529" t="str">
            <v>ハロゲン消火(外観)</v>
          </cell>
          <cell r="H1529" t="str">
            <v>ホーチキ</v>
          </cell>
          <cell r="I1529">
            <v>49500</v>
          </cell>
          <cell r="J1529">
            <v>50490</v>
          </cell>
          <cell r="K1529">
            <v>1</v>
          </cell>
          <cell r="L1529">
            <v>0</v>
          </cell>
          <cell r="M1529">
            <v>0</v>
          </cell>
          <cell r="N1529">
            <v>0</v>
          </cell>
          <cell r="O1529">
            <v>0</v>
          </cell>
          <cell r="P1529">
            <v>0</v>
          </cell>
          <cell r="Q1529">
            <v>0</v>
          </cell>
          <cell r="R1529">
            <v>0</v>
          </cell>
          <cell r="S1529">
            <v>50490</v>
          </cell>
          <cell r="T1529">
            <v>0</v>
          </cell>
          <cell r="U1529">
            <v>0</v>
          </cell>
          <cell r="V1529">
            <v>0</v>
          </cell>
          <cell r="W1529">
            <v>0</v>
          </cell>
          <cell r="X1529" t="str">
            <v/>
          </cell>
          <cell r="Y1529" t="str">
            <v/>
          </cell>
          <cell r="Z1529" t="str">
            <v/>
          </cell>
          <cell r="AA1529" t="str">
            <v/>
          </cell>
          <cell r="AB1529" t="str">
            <v/>
          </cell>
          <cell r="AC1529" t="str">
            <v/>
          </cell>
          <cell r="AD1529" t="str">
            <v/>
          </cell>
          <cell r="AE1529" t="str">
            <v>⑪</v>
          </cell>
          <cell r="AF1529" t="str">
            <v/>
          </cell>
          <cell r="AG1529" t="str">
            <v/>
          </cell>
          <cell r="AH1529" t="str">
            <v/>
          </cell>
          <cell r="AI1529" t="str">
            <v/>
          </cell>
        </row>
        <row r="1530">
          <cell r="B1530">
            <v>7508</v>
          </cell>
          <cell r="C1530">
            <v>75</v>
          </cell>
          <cell r="D1530">
            <v>8</v>
          </cell>
          <cell r="F1530" t="str">
            <v>豊田</v>
          </cell>
          <cell r="G1530" t="str">
            <v>ハロゲン消火(総合)</v>
          </cell>
          <cell r="H1530" t="str">
            <v>ホーチキ</v>
          </cell>
          <cell r="I1530">
            <v>135000</v>
          </cell>
          <cell r="J1530">
            <v>137700</v>
          </cell>
          <cell r="K1530">
            <v>1</v>
          </cell>
          <cell r="L1530">
            <v>0</v>
          </cell>
          <cell r="M1530">
            <v>137700</v>
          </cell>
          <cell r="N1530">
            <v>0</v>
          </cell>
          <cell r="O1530">
            <v>0</v>
          </cell>
          <cell r="P1530">
            <v>0</v>
          </cell>
          <cell r="Q1530">
            <v>0</v>
          </cell>
          <cell r="R1530">
            <v>0</v>
          </cell>
          <cell r="S1530">
            <v>0</v>
          </cell>
          <cell r="T1530">
            <v>0</v>
          </cell>
          <cell r="U1530">
            <v>0</v>
          </cell>
          <cell r="V1530">
            <v>0</v>
          </cell>
          <cell r="W1530">
            <v>0</v>
          </cell>
          <cell r="X1530" t="str">
            <v/>
          </cell>
          <cell r="Y1530" t="str">
            <v>⑤</v>
          </cell>
          <cell r="Z1530" t="str">
            <v/>
          </cell>
          <cell r="AA1530" t="str">
            <v/>
          </cell>
          <cell r="AB1530" t="str">
            <v/>
          </cell>
          <cell r="AC1530" t="str">
            <v/>
          </cell>
          <cell r="AD1530" t="str">
            <v/>
          </cell>
          <cell r="AE1530" t="str">
            <v/>
          </cell>
          <cell r="AF1530" t="str">
            <v/>
          </cell>
          <cell r="AG1530" t="str">
            <v/>
          </cell>
          <cell r="AH1530" t="str">
            <v/>
          </cell>
          <cell r="AI1530" t="str">
            <v/>
          </cell>
        </row>
        <row r="1531">
          <cell r="B1531">
            <v>7509</v>
          </cell>
          <cell r="C1531">
            <v>75</v>
          </cell>
          <cell r="D1531">
            <v>9</v>
          </cell>
          <cell r="F1531" t="str">
            <v>豊田</v>
          </cell>
          <cell r="G1531" t="str">
            <v>非常放送(外観)</v>
          </cell>
          <cell r="H1531" t="str">
            <v>ホーチキ</v>
          </cell>
          <cell r="I1531">
            <v>13500</v>
          </cell>
          <cell r="J1531">
            <v>13770</v>
          </cell>
          <cell r="K1531">
            <v>1</v>
          </cell>
          <cell r="L1531">
            <v>0</v>
          </cell>
          <cell r="M1531">
            <v>0</v>
          </cell>
          <cell r="N1531">
            <v>0</v>
          </cell>
          <cell r="O1531">
            <v>0</v>
          </cell>
          <cell r="P1531">
            <v>0</v>
          </cell>
          <cell r="Q1531">
            <v>0</v>
          </cell>
          <cell r="R1531">
            <v>0</v>
          </cell>
          <cell r="S1531">
            <v>13770</v>
          </cell>
          <cell r="T1531">
            <v>0</v>
          </cell>
          <cell r="U1531">
            <v>0</v>
          </cell>
          <cell r="V1531">
            <v>0</v>
          </cell>
          <cell r="W1531">
            <v>0</v>
          </cell>
          <cell r="X1531" t="str">
            <v/>
          </cell>
          <cell r="Y1531" t="str">
            <v/>
          </cell>
          <cell r="Z1531" t="str">
            <v/>
          </cell>
          <cell r="AA1531" t="str">
            <v/>
          </cell>
          <cell r="AB1531" t="str">
            <v/>
          </cell>
          <cell r="AC1531" t="str">
            <v/>
          </cell>
          <cell r="AD1531" t="str">
            <v/>
          </cell>
          <cell r="AE1531" t="str">
            <v>⑪</v>
          </cell>
          <cell r="AF1531" t="str">
            <v/>
          </cell>
          <cell r="AG1531" t="str">
            <v/>
          </cell>
          <cell r="AH1531" t="str">
            <v/>
          </cell>
          <cell r="AI1531" t="str">
            <v/>
          </cell>
        </row>
        <row r="1532">
          <cell r="B1532">
            <v>7510</v>
          </cell>
          <cell r="C1532">
            <v>75</v>
          </cell>
          <cell r="D1532">
            <v>10</v>
          </cell>
          <cell r="F1532" t="str">
            <v>豊田</v>
          </cell>
          <cell r="G1532" t="str">
            <v>非常放送(総合)</v>
          </cell>
          <cell r="H1532" t="str">
            <v>ホーチキ</v>
          </cell>
          <cell r="I1532">
            <v>20700</v>
          </cell>
          <cell r="J1532">
            <v>21114</v>
          </cell>
          <cell r="K1532">
            <v>1</v>
          </cell>
          <cell r="L1532">
            <v>0</v>
          </cell>
          <cell r="M1532">
            <v>21114</v>
          </cell>
          <cell r="N1532">
            <v>0</v>
          </cell>
          <cell r="O1532">
            <v>0</v>
          </cell>
          <cell r="P1532">
            <v>0</v>
          </cell>
          <cell r="Q1532">
            <v>0</v>
          </cell>
          <cell r="R1532">
            <v>0</v>
          </cell>
          <cell r="S1532">
            <v>0</v>
          </cell>
          <cell r="T1532">
            <v>0</v>
          </cell>
          <cell r="U1532">
            <v>0</v>
          </cell>
          <cell r="V1532">
            <v>0</v>
          </cell>
          <cell r="W1532">
            <v>0</v>
          </cell>
          <cell r="X1532" t="str">
            <v/>
          </cell>
          <cell r="Y1532" t="str">
            <v>⑤</v>
          </cell>
          <cell r="Z1532" t="str">
            <v/>
          </cell>
          <cell r="AA1532" t="str">
            <v/>
          </cell>
          <cell r="AB1532" t="str">
            <v/>
          </cell>
          <cell r="AC1532" t="str">
            <v/>
          </cell>
          <cell r="AD1532" t="str">
            <v/>
          </cell>
          <cell r="AE1532" t="str">
            <v/>
          </cell>
          <cell r="AF1532" t="str">
            <v/>
          </cell>
          <cell r="AG1532" t="str">
            <v/>
          </cell>
          <cell r="AH1532" t="str">
            <v/>
          </cell>
          <cell r="AI1532" t="str">
            <v/>
          </cell>
        </row>
        <row r="1533">
          <cell r="B1533">
            <v>7511</v>
          </cell>
          <cell r="C1533">
            <v>75</v>
          </cell>
          <cell r="D1533">
            <v>11</v>
          </cell>
          <cell r="F1533" t="str">
            <v>豊田</v>
          </cell>
          <cell r="G1533" t="str">
            <v>避難器具(外観)</v>
          </cell>
          <cell r="H1533" t="str">
            <v>ホーチキ</v>
          </cell>
          <cell r="I1533">
            <v>15300</v>
          </cell>
          <cell r="J1533">
            <v>15606</v>
          </cell>
          <cell r="K1533">
            <v>1</v>
          </cell>
          <cell r="L1533">
            <v>0</v>
          </cell>
          <cell r="M1533">
            <v>0</v>
          </cell>
          <cell r="N1533">
            <v>0</v>
          </cell>
          <cell r="O1533">
            <v>0</v>
          </cell>
          <cell r="P1533">
            <v>0</v>
          </cell>
          <cell r="Q1533">
            <v>0</v>
          </cell>
          <cell r="R1533">
            <v>0</v>
          </cell>
          <cell r="S1533">
            <v>15606</v>
          </cell>
          <cell r="T1533">
            <v>0</v>
          </cell>
          <cell r="U1533">
            <v>0</v>
          </cell>
          <cell r="V1533">
            <v>0</v>
          </cell>
          <cell r="W1533">
            <v>0</v>
          </cell>
          <cell r="X1533" t="str">
            <v/>
          </cell>
          <cell r="Y1533" t="str">
            <v/>
          </cell>
          <cell r="Z1533" t="str">
            <v/>
          </cell>
          <cell r="AA1533" t="str">
            <v/>
          </cell>
          <cell r="AB1533" t="str">
            <v/>
          </cell>
          <cell r="AC1533" t="str">
            <v/>
          </cell>
          <cell r="AD1533" t="str">
            <v/>
          </cell>
          <cell r="AE1533" t="str">
            <v>⑪</v>
          </cell>
          <cell r="AF1533" t="str">
            <v/>
          </cell>
          <cell r="AG1533" t="str">
            <v/>
          </cell>
          <cell r="AH1533" t="str">
            <v/>
          </cell>
          <cell r="AI1533" t="str">
            <v/>
          </cell>
        </row>
        <row r="1534">
          <cell r="B1534">
            <v>7512</v>
          </cell>
          <cell r="C1534">
            <v>75</v>
          </cell>
          <cell r="D1534">
            <v>12</v>
          </cell>
          <cell r="F1534" t="str">
            <v>豊田</v>
          </cell>
          <cell r="G1534" t="str">
            <v>避難器具(総合)</v>
          </cell>
          <cell r="H1534" t="str">
            <v>ホーチキ</v>
          </cell>
          <cell r="I1534">
            <v>18900</v>
          </cell>
          <cell r="J1534">
            <v>19278</v>
          </cell>
          <cell r="K1534">
            <v>1</v>
          </cell>
          <cell r="L1534">
            <v>0</v>
          </cell>
          <cell r="M1534">
            <v>19278</v>
          </cell>
          <cell r="N1534">
            <v>0</v>
          </cell>
          <cell r="O1534">
            <v>0</v>
          </cell>
          <cell r="P1534">
            <v>0</v>
          </cell>
          <cell r="Q1534">
            <v>0</v>
          </cell>
          <cell r="R1534">
            <v>0</v>
          </cell>
          <cell r="S1534">
            <v>0</v>
          </cell>
          <cell r="T1534">
            <v>0</v>
          </cell>
          <cell r="U1534">
            <v>0</v>
          </cell>
          <cell r="V1534">
            <v>0</v>
          </cell>
          <cell r="W1534">
            <v>0</v>
          </cell>
          <cell r="X1534" t="str">
            <v/>
          </cell>
          <cell r="Y1534" t="str">
            <v>⑤</v>
          </cell>
          <cell r="Z1534" t="str">
            <v/>
          </cell>
          <cell r="AA1534" t="str">
            <v/>
          </cell>
          <cell r="AB1534" t="str">
            <v/>
          </cell>
          <cell r="AC1534" t="str">
            <v/>
          </cell>
          <cell r="AD1534" t="str">
            <v/>
          </cell>
          <cell r="AE1534" t="str">
            <v/>
          </cell>
          <cell r="AF1534" t="str">
            <v/>
          </cell>
          <cell r="AG1534" t="str">
            <v/>
          </cell>
          <cell r="AH1534" t="str">
            <v/>
          </cell>
          <cell r="AI1534" t="str">
            <v/>
          </cell>
        </row>
        <row r="1535">
          <cell r="B1535">
            <v>7513</v>
          </cell>
          <cell r="C1535">
            <v>75</v>
          </cell>
          <cell r="D1535">
            <v>13</v>
          </cell>
          <cell r="F1535" t="str">
            <v>豊田</v>
          </cell>
          <cell r="G1535" t="str">
            <v>誘導灯(外観)</v>
          </cell>
          <cell r="H1535" t="str">
            <v>ホーチキ</v>
          </cell>
          <cell r="I1535">
            <v>9900</v>
          </cell>
          <cell r="J1535">
            <v>10098</v>
          </cell>
          <cell r="K1535">
            <v>1</v>
          </cell>
          <cell r="L1535">
            <v>0</v>
          </cell>
          <cell r="M1535">
            <v>0</v>
          </cell>
          <cell r="N1535">
            <v>0</v>
          </cell>
          <cell r="O1535">
            <v>0</v>
          </cell>
          <cell r="P1535">
            <v>0</v>
          </cell>
          <cell r="Q1535">
            <v>0</v>
          </cell>
          <cell r="R1535">
            <v>0</v>
          </cell>
          <cell r="S1535">
            <v>10098</v>
          </cell>
          <cell r="T1535">
            <v>0</v>
          </cell>
          <cell r="U1535">
            <v>0</v>
          </cell>
          <cell r="V1535">
            <v>0</v>
          </cell>
          <cell r="W1535">
            <v>0</v>
          </cell>
          <cell r="X1535" t="str">
            <v/>
          </cell>
          <cell r="Y1535" t="str">
            <v/>
          </cell>
          <cell r="Z1535" t="str">
            <v/>
          </cell>
          <cell r="AA1535" t="str">
            <v/>
          </cell>
          <cell r="AB1535" t="str">
            <v/>
          </cell>
          <cell r="AC1535" t="str">
            <v/>
          </cell>
          <cell r="AD1535" t="str">
            <v/>
          </cell>
          <cell r="AE1535" t="str">
            <v>⑪</v>
          </cell>
          <cell r="AF1535" t="str">
            <v/>
          </cell>
          <cell r="AG1535" t="str">
            <v/>
          </cell>
          <cell r="AH1535" t="str">
            <v/>
          </cell>
          <cell r="AI1535" t="str">
            <v/>
          </cell>
        </row>
        <row r="1536">
          <cell r="B1536">
            <v>7514</v>
          </cell>
          <cell r="C1536">
            <v>75</v>
          </cell>
          <cell r="D1536">
            <v>14</v>
          </cell>
          <cell r="F1536" t="str">
            <v>豊田</v>
          </cell>
          <cell r="G1536" t="str">
            <v>誘導灯(総合)</v>
          </cell>
          <cell r="H1536" t="str">
            <v>ホーチキ</v>
          </cell>
          <cell r="I1536">
            <v>14400</v>
          </cell>
          <cell r="J1536">
            <v>14688</v>
          </cell>
          <cell r="K1536">
            <v>1</v>
          </cell>
          <cell r="L1536">
            <v>0</v>
          </cell>
          <cell r="M1536">
            <v>14688</v>
          </cell>
          <cell r="N1536">
            <v>0</v>
          </cell>
          <cell r="O1536">
            <v>0</v>
          </cell>
          <cell r="P1536">
            <v>0</v>
          </cell>
          <cell r="Q1536">
            <v>0</v>
          </cell>
          <cell r="R1536">
            <v>0</v>
          </cell>
          <cell r="S1536">
            <v>0</v>
          </cell>
          <cell r="T1536">
            <v>0</v>
          </cell>
          <cell r="U1536">
            <v>0</v>
          </cell>
          <cell r="V1536">
            <v>0</v>
          </cell>
          <cell r="W1536">
            <v>0</v>
          </cell>
          <cell r="X1536" t="str">
            <v/>
          </cell>
          <cell r="Y1536" t="str">
            <v>⑤</v>
          </cell>
          <cell r="Z1536" t="str">
            <v/>
          </cell>
          <cell r="AA1536" t="str">
            <v/>
          </cell>
          <cell r="AB1536" t="str">
            <v/>
          </cell>
          <cell r="AC1536" t="str">
            <v/>
          </cell>
          <cell r="AD1536" t="str">
            <v/>
          </cell>
          <cell r="AE1536" t="str">
            <v/>
          </cell>
          <cell r="AF1536" t="str">
            <v/>
          </cell>
          <cell r="AG1536" t="str">
            <v/>
          </cell>
          <cell r="AH1536" t="str">
            <v/>
          </cell>
          <cell r="AI1536" t="str">
            <v/>
          </cell>
        </row>
        <row r="1537">
          <cell r="B1537">
            <v>7515</v>
          </cell>
          <cell r="C1537">
            <v>75</v>
          </cell>
          <cell r="D1537">
            <v>15</v>
          </cell>
          <cell r="F1537" t="str">
            <v>豊田</v>
          </cell>
          <cell r="G1537" t="str">
            <v>Ｐ型防排煙制御(外観)</v>
          </cell>
          <cell r="H1537" t="str">
            <v>ホーチキ</v>
          </cell>
          <cell r="I1537">
            <v>17100</v>
          </cell>
          <cell r="J1537">
            <v>17442</v>
          </cell>
          <cell r="K1537">
            <v>1</v>
          </cell>
          <cell r="L1537">
            <v>0</v>
          </cell>
          <cell r="M1537">
            <v>0</v>
          </cell>
          <cell r="N1537">
            <v>0</v>
          </cell>
          <cell r="O1537">
            <v>0</v>
          </cell>
          <cell r="P1537">
            <v>0</v>
          </cell>
          <cell r="Q1537">
            <v>0</v>
          </cell>
          <cell r="R1537">
            <v>0</v>
          </cell>
          <cell r="S1537">
            <v>17442</v>
          </cell>
          <cell r="T1537">
            <v>0</v>
          </cell>
          <cell r="U1537">
            <v>0</v>
          </cell>
          <cell r="V1537">
            <v>0</v>
          </cell>
          <cell r="W1537">
            <v>0</v>
          </cell>
          <cell r="X1537" t="str">
            <v/>
          </cell>
          <cell r="Y1537" t="str">
            <v/>
          </cell>
          <cell r="Z1537" t="str">
            <v/>
          </cell>
          <cell r="AA1537" t="str">
            <v/>
          </cell>
          <cell r="AB1537" t="str">
            <v/>
          </cell>
          <cell r="AC1537" t="str">
            <v/>
          </cell>
          <cell r="AD1537" t="str">
            <v/>
          </cell>
          <cell r="AE1537" t="str">
            <v>⑪</v>
          </cell>
          <cell r="AF1537" t="str">
            <v/>
          </cell>
          <cell r="AG1537" t="str">
            <v/>
          </cell>
          <cell r="AH1537" t="str">
            <v/>
          </cell>
          <cell r="AI1537" t="str">
            <v/>
          </cell>
        </row>
        <row r="1538">
          <cell r="B1538">
            <v>7516</v>
          </cell>
          <cell r="C1538">
            <v>75</v>
          </cell>
          <cell r="D1538">
            <v>16</v>
          </cell>
          <cell r="F1538" t="str">
            <v>豊田</v>
          </cell>
          <cell r="G1538" t="str">
            <v>Ｐ型防排煙制御(総合)</v>
          </cell>
          <cell r="H1538" t="str">
            <v>ホーチキ</v>
          </cell>
          <cell r="I1538">
            <v>20700</v>
          </cell>
          <cell r="J1538">
            <v>21114</v>
          </cell>
          <cell r="K1538">
            <v>1</v>
          </cell>
          <cell r="L1538">
            <v>0</v>
          </cell>
          <cell r="M1538">
            <v>21114</v>
          </cell>
          <cell r="N1538">
            <v>0</v>
          </cell>
          <cell r="O1538">
            <v>0</v>
          </cell>
          <cell r="P1538">
            <v>0</v>
          </cell>
          <cell r="Q1538">
            <v>0</v>
          </cell>
          <cell r="R1538">
            <v>0</v>
          </cell>
          <cell r="S1538">
            <v>0</v>
          </cell>
          <cell r="T1538">
            <v>0</v>
          </cell>
          <cell r="U1538">
            <v>0</v>
          </cell>
          <cell r="V1538">
            <v>0</v>
          </cell>
          <cell r="W1538">
            <v>0</v>
          </cell>
          <cell r="X1538" t="str">
            <v/>
          </cell>
          <cell r="Y1538" t="str">
            <v>⑤</v>
          </cell>
          <cell r="Z1538" t="str">
            <v/>
          </cell>
          <cell r="AA1538" t="str">
            <v/>
          </cell>
          <cell r="AB1538" t="str">
            <v/>
          </cell>
          <cell r="AC1538" t="str">
            <v/>
          </cell>
          <cell r="AD1538" t="str">
            <v/>
          </cell>
          <cell r="AE1538" t="str">
            <v/>
          </cell>
          <cell r="AF1538" t="str">
            <v/>
          </cell>
          <cell r="AG1538" t="str">
            <v/>
          </cell>
          <cell r="AH1538" t="str">
            <v/>
          </cell>
          <cell r="AI1538" t="str">
            <v/>
          </cell>
        </row>
        <row r="1539">
          <cell r="B1539">
            <v>7517</v>
          </cell>
          <cell r="C1539">
            <v>75</v>
          </cell>
          <cell r="D1539">
            <v>17</v>
          </cell>
          <cell r="F1539" t="str">
            <v>豊田</v>
          </cell>
          <cell r="G1539" t="str">
            <v>連結送水管(外観)</v>
          </cell>
          <cell r="H1539" t="str">
            <v>ホーチキ</v>
          </cell>
          <cell r="I1539">
            <v>9000</v>
          </cell>
          <cell r="J1539">
            <v>9180</v>
          </cell>
          <cell r="K1539">
            <v>1</v>
          </cell>
          <cell r="L1539">
            <v>0</v>
          </cell>
          <cell r="M1539">
            <v>0</v>
          </cell>
          <cell r="N1539">
            <v>0</v>
          </cell>
          <cell r="O1539">
            <v>0</v>
          </cell>
          <cell r="P1539">
            <v>0</v>
          </cell>
          <cell r="Q1539">
            <v>0</v>
          </cell>
          <cell r="R1539">
            <v>0</v>
          </cell>
          <cell r="S1539">
            <v>9180</v>
          </cell>
          <cell r="T1539">
            <v>0</v>
          </cell>
          <cell r="U1539">
            <v>0</v>
          </cell>
          <cell r="V1539">
            <v>0</v>
          </cell>
          <cell r="W1539">
            <v>0</v>
          </cell>
          <cell r="X1539" t="str">
            <v/>
          </cell>
          <cell r="Y1539" t="str">
            <v/>
          </cell>
          <cell r="Z1539" t="str">
            <v/>
          </cell>
          <cell r="AA1539" t="str">
            <v/>
          </cell>
          <cell r="AB1539" t="str">
            <v/>
          </cell>
          <cell r="AC1539" t="str">
            <v/>
          </cell>
          <cell r="AD1539" t="str">
            <v/>
          </cell>
          <cell r="AE1539" t="str">
            <v>⑪</v>
          </cell>
          <cell r="AF1539" t="str">
            <v/>
          </cell>
          <cell r="AG1539" t="str">
            <v/>
          </cell>
          <cell r="AH1539" t="str">
            <v/>
          </cell>
          <cell r="AI1539" t="str">
            <v/>
          </cell>
        </row>
        <row r="1540">
          <cell r="B1540">
            <v>7518</v>
          </cell>
          <cell r="C1540">
            <v>75</v>
          </cell>
          <cell r="D1540">
            <v>18</v>
          </cell>
          <cell r="F1540" t="str">
            <v>豊田</v>
          </cell>
          <cell r="G1540" t="str">
            <v>連結送水管(総合)</v>
          </cell>
          <cell r="H1540" t="str">
            <v>ホーチキ</v>
          </cell>
          <cell r="I1540">
            <v>9000</v>
          </cell>
          <cell r="J1540">
            <v>9180</v>
          </cell>
          <cell r="K1540">
            <v>1</v>
          </cell>
          <cell r="L1540">
            <v>0</v>
          </cell>
          <cell r="M1540">
            <v>9180</v>
          </cell>
          <cell r="N1540">
            <v>0</v>
          </cell>
          <cell r="O1540">
            <v>0</v>
          </cell>
          <cell r="P1540">
            <v>0</v>
          </cell>
          <cell r="Q1540">
            <v>0</v>
          </cell>
          <cell r="R1540">
            <v>0</v>
          </cell>
          <cell r="S1540">
            <v>0</v>
          </cell>
          <cell r="T1540">
            <v>0</v>
          </cell>
          <cell r="U1540">
            <v>0</v>
          </cell>
          <cell r="V1540">
            <v>0</v>
          </cell>
          <cell r="W1540">
            <v>0</v>
          </cell>
          <cell r="X1540" t="str">
            <v/>
          </cell>
          <cell r="Y1540" t="str">
            <v>⑤</v>
          </cell>
          <cell r="Z1540" t="str">
            <v/>
          </cell>
          <cell r="AA1540" t="str">
            <v/>
          </cell>
          <cell r="AB1540" t="str">
            <v/>
          </cell>
          <cell r="AC1540" t="str">
            <v/>
          </cell>
          <cell r="AD1540" t="str">
            <v/>
          </cell>
          <cell r="AE1540" t="str">
            <v/>
          </cell>
          <cell r="AF1540" t="str">
            <v/>
          </cell>
          <cell r="AG1540" t="str">
            <v/>
          </cell>
          <cell r="AH1540" t="str">
            <v/>
          </cell>
          <cell r="AI1540" t="str">
            <v/>
          </cell>
        </row>
        <row r="1541">
          <cell r="B1541">
            <v>7519</v>
          </cell>
          <cell r="C1541">
            <v>75</v>
          </cell>
          <cell r="D1541">
            <v>19</v>
          </cell>
          <cell r="F1541" t="str">
            <v>豊田</v>
          </cell>
          <cell r="G1541" t="str">
            <v>Ｐ型自火報(外観)</v>
          </cell>
          <cell r="H1541" t="str">
            <v>ホーチキ</v>
          </cell>
          <cell r="I1541">
            <v>54000</v>
          </cell>
          <cell r="J1541">
            <v>55080</v>
          </cell>
          <cell r="K1541">
            <v>1</v>
          </cell>
          <cell r="L1541">
            <v>0</v>
          </cell>
          <cell r="M1541">
            <v>0</v>
          </cell>
          <cell r="N1541">
            <v>0</v>
          </cell>
          <cell r="O1541">
            <v>0</v>
          </cell>
          <cell r="P1541">
            <v>0</v>
          </cell>
          <cell r="Q1541">
            <v>0</v>
          </cell>
          <cell r="R1541">
            <v>0</v>
          </cell>
          <cell r="S1541">
            <v>55080</v>
          </cell>
          <cell r="T1541">
            <v>0</v>
          </cell>
          <cell r="U1541">
            <v>0</v>
          </cell>
          <cell r="V1541">
            <v>0</v>
          </cell>
          <cell r="W1541">
            <v>0</v>
          </cell>
          <cell r="X1541" t="str">
            <v/>
          </cell>
          <cell r="Y1541" t="str">
            <v/>
          </cell>
          <cell r="Z1541" t="str">
            <v/>
          </cell>
          <cell r="AA1541" t="str">
            <v/>
          </cell>
          <cell r="AB1541" t="str">
            <v/>
          </cell>
          <cell r="AC1541" t="str">
            <v/>
          </cell>
          <cell r="AD1541" t="str">
            <v/>
          </cell>
          <cell r="AE1541" t="str">
            <v>⑪</v>
          </cell>
          <cell r="AF1541" t="str">
            <v/>
          </cell>
          <cell r="AG1541" t="str">
            <v/>
          </cell>
          <cell r="AH1541" t="str">
            <v/>
          </cell>
          <cell r="AI1541" t="str">
            <v/>
          </cell>
        </row>
        <row r="1542">
          <cell r="B1542">
            <v>7520</v>
          </cell>
          <cell r="C1542">
            <v>75</v>
          </cell>
          <cell r="D1542">
            <v>20</v>
          </cell>
          <cell r="F1542" t="str">
            <v>豊田</v>
          </cell>
          <cell r="G1542" t="str">
            <v>Ｐ型自火報(総合)</v>
          </cell>
          <cell r="H1542" t="str">
            <v>ホーチキ</v>
          </cell>
          <cell r="I1542">
            <v>124200</v>
          </cell>
          <cell r="J1542">
            <v>126684</v>
          </cell>
          <cell r="K1542">
            <v>1</v>
          </cell>
          <cell r="L1542">
            <v>0</v>
          </cell>
          <cell r="M1542">
            <v>126684</v>
          </cell>
          <cell r="N1542">
            <v>0</v>
          </cell>
          <cell r="O1542">
            <v>0</v>
          </cell>
          <cell r="P1542">
            <v>0</v>
          </cell>
          <cell r="Q1542">
            <v>0</v>
          </cell>
          <cell r="R1542">
            <v>0</v>
          </cell>
          <cell r="S1542">
            <v>0</v>
          </cell>
          <cell r="T1542">
            <v>0</v>
          </cell>
          <cell r="U1542">
            <v>0</v>
          </cell>
          <cell r="V1542">
            <v>0</v>
          </cell>
          <cell r="W1542">
            <v>0</v>
          </cell>
          <cell r="X1542" t="str">
            <v/>
          </cell>
          <cell r="Y1542" t="str">
            <v>⑤</v>
          </cell>
          <cell r="Z1542" t="str">
            <v/>
          </cell>
          <cell r="AA1542" t="str">
            <v/>
          </cell>
          <cell r="AB1542" t="str">
            <v/>
          </cell>
          <cell r="AC1542" t="str">
            <v/>
          </cell>
          <cell r="AD1542" t="str">
            <v/>
          </cell>
          <cell r="AE1542" t="str">
            <v/>
          </cell>
          <cell r="AF1542" t="str">
            <v/>
          </cell>
          <cell r="AG1542" t="str">
            <v/>
          </cell>
          <cell r="AH1542" t="str">
            <v/>
          </cell>
          <cell r="AI1542" t="str">
            <v/>
          </cell>
        </row>
        <row r="1543">
          <cell r="B1543">
            <v>7521</v>
          </cell>
          <cell r="C1543">
            <v>75</v>
          </cell>
          <cell r="D1543">
            <v>21</v>
          </cell>
          <cell r="F1543" t="str">
            <v>豊田</v>
          </cell>
          <cell r="G1543" t="str">
            <v>害虫駆除</v>
          </cell>
          <cell r="H1543" t="str">
            <v>シェル商事</v>
          </cell>
          <cell r="I1543">
            <v>95000</v>
          </cell>
          <cell r="J1543">
            <v>104500</v>
          </cell>
          <cell r="K1543">
            <v>2</v>
          </cell>
          <cell r="L1543">
            <v>0</v>
          </cell>
          <cell r="M1543">
            <v>104500</v>
          </cell>
          <cell r="N1543">
            <v>0</v>
          </cell>
          <cell r="O1543">
            <v>0</v>
          </cell>
          <cell r="P1543">
            <v>0</v>
          </cell>
          <cell r="Q1543">
            <v>0</v>
          </cell>
          <cell r="R1543">
            <v>0</v>
          </cell>
          <cell r="S1543">
            <v>104500</v>
          </cell>
          <cell r="T1543">
            <v>0</v>
          </cell>
          <cell r="U1543">
            <v>0</v>
          </cell>
          <cell r="V1543">
            <v>0</v>
          </cell>
          <cell r="W1543">
            <v>0</v>
          </cell>
          <cell r="X1543" t="str">
            <v/>
          </cell>
          <cell r="Y1543" t="str">
            <v>⑤</v>
          </cell>
          <cell r="Z1543" t="str">
            <v/>
          </cell>
          <cell r="AA1543" t="str">
            <v/>
          </cell>
          <cell r="AB1543" t="str">
            <v/>
          </cell>
          <cell r="AC1543" t="str">
            <v/>
          </cell>
          <cell r="AD1543" t="str">
            <v/>
          </cell>
          <cell r="AE1543" t="str">
            <v>⑪</v>
          </cell>
          <cell r="AF1543" t="str">
            <v/>
          </cell>
          <cell r="AG1543" t="str">
            <v/>
          </cell>
          <cell r="AH1543" t="str">
            <v/>
          </cell>
          <cell r="AI1543" t="str">
            <v/>
          </cell>
        </row>
        <row r="1544">
          <cell r="B1544">
            <v>7522</v>
          </cell>
          <cell r="C1544">
            <v>75</v>
          </cell>
          <cell r="D1544">
            <v>22</v>
          </cell>
          <cell r="F1544" t="str">
            <v>豊田</v>
          </cell>
          <cell r="G1544" t="str">
            <v>貯水槽清掃</v>
          </cell>
          <cell r="H1544" t="str">
            <v>ビル管理ヒロセ</v>
          </cell>
          <cell r="I1544">
            <v>83000</v>
          </cell>
          <cell r="J1544">
            <v>93790</v>
          </cell>
          <cell r="K1544">
            <v>1</v>
          </cell>
          <cell r="L1544">
            <v>0</v>
          </cell>
          <cell r="M1544">
            <v>0</v>
          </cell>
          <cell r="N1544">
            <v>93790</v>
          </cell>
          <cell r="O1544">
            <v>0</v>
          </cell>
          <cell r="P1544">
            <v>0</v>
          </cell>
          <cell r="Q1544">
            <v>0</v>
          </cell>
          <cell r="R1544">
            <v>0</v>
          </cell>
          <cell r="S1544">
            <v>0</v>
          </cell>
          <cell r="T1544">
            <v>0</v>
          </cell>
          <cell r="U1544">
            <v>0</v>
          </cell>
          <cell r="V1544">
            <v>0</v>
          </cell>
          <cell r="W1544">
            <v>0</v>
          </cell>
          <cell r="X1544" t="str">
            <v/>
          </cell>
          <cell r="Y1544" t="str">
            <v/>
          </cell>
          <cell r="Z1544" t="str">
            <v>⑥</v>
          </cell>
          <cell r="AA1544" t="str">
            <v/>
          </cell>
          <cell r="AB1544" t="str">
            <v/>
          </cell>
          <cell r="AC1544" t="str">
            <v/>
          </cell>
          <cell r="AD1544" t="str">
            <v/>
          </cell>
          <cell r="AE1544" t="str">
            <v/>
          </cell>
          <cell r="AF1544" t="str">
            <v/>
          </cell>
          <cell r="AG1544" t="str">
            <v/>
          </cell>
          <cell r="AH1544" t="str">
            <v/>
          </cell>
          <cell r="AI1544" t="str">
            <v/>
          </cell>
        </row>
        <row r="1545">
          <cell r="B1545">
            <v>7523</v>
          </cell>
          <cell r="C1545">
            <v>75</v>
          </cell>
          <cell r="D1545">
            <v>23</v>
          </cell>
          <cell r="F1545" t="str">
            <v>豊田</v>
          </cell>
          <cell r="G1545" t="str">
            <v>自動ドアー保守</v>
          </cell>
          <cell r="H1545" t="str">
            <v>ナブコドア</v>
          </cell>
          <cell r="I1545">
            <v>19000</v>
          </cell>
          <cell r="J1545">
            <v>19380</v>
          </cell>
          <cell r="K1545">
            <v>2</v>
          </cell>
          <cell r="L1545">
            <v>0</v>
          </cell>
          <cell r="M1545">
            <v>0</v>
          </cell>
          <cell r="N1545">
            <v>0</v>
          </cell>
          <cell r="O1545">
            <v>0</v>
          </cell>
          <cell r="P1545">
            <v>0</v>
          </cell>
          <cell r="Q1545">
            <v>19380</v>
          </cell>
          <cell r="R1545">
            <v>0</v>
          </cell>
          <cell r="S1545">
            <v>0</v>
          </cell>
          <cell r="T1545">
            <v>0</v>
          </cell>
          <cell r="U1545">
            <v>0</v>
          </cell>
          <cell r="V1545">
            <v>0</v>
          </cell>
          <cell r="W1545">
            <v>19380</v>
          </cell>
          <cell r="X1545" t="str">
            <v/>
          </cell>
          <cell r="Y1545" t="str">
            <v/>
          </cell>
          <cell r="Z1545" t="str">
            <v/>
          </cell>
          <cell r="AA1545" t="str">
            <v/>
          </cell>
          <cell r="AB1545" t="str">
            <v/>
          </cell>
          <cell r="AC1545" t="str">
            <v>⑨</v>
          </cell>
          <cell r="AD1545" t="str">
            <v/>
          </cell>
          <cell r="AE1545" t="str">
            <v/>
          </cell>
          <cell r="AF1545" t="str">
            <v/>
          </cell>
          <cell r="AG1545" t="str">
            <v/>
          </cell>
          <cell r="AH1545" t="str">
            <v/>
          </cell>
          <cell r="AI1545" t="str">
            <v>③</v>
          </cell>
        </row>
        <row r="1546">
          <cell r="B1546">
            <v>7524</v>
          </cell>
          <cell r="C1546">
            <v>75</v>
          </cell>
          <cell r="D1546">
            <v>24</v>
          </cell>
          <cell r="F1546" t="str">
            <v>豊田</v>
          </cell>
          <cell r="G1546" t="str">
            <v>空調機設備保守</v>
          </cell>
          <cell r="H1546" t="str">
            <v>大冷工業</v>
          </cell>
          <cell r="I1546">
            <v>350000</v>
          </cell>
          <cell r="J1546">
            <v>363000</v>
          </cell>
          <cell r="K1546">
            <v>2</v>
          </cell>
          <cell r="L1546">
            <v>0</v>
          </cell>
          <cell r="M1546">
            <v>0</v>
          </cell>
          <cell r="N1546">
            <v>363000</v>
          </cell>
          <cell r="O1546">
            <v>0</v>
          </cell>
          <cell r="P1546">
            <v>0</v>
          </cell>
          <cell r="Q1546">
            <v>0</v>
          </cell>
          <cell r="R1546">
            <v>0</v>
          </cell>
          <cell r="S1546">
            <v>0</v>
          </cell>
          <cell r="T1546">
            <v>363000</v>
          </cell>
          <cell r="U1546">
            <v>0</v>
          </cell>
          <cell r="V1546">
            <v>0</v>
          </cell>
          <cell r="W1546">
            <v>0</v>
          </cell>
          <cell r="X1546" t="str">
            <v/>
          </cell>
          <cell r="Y1546" t="str">
            <v/>
          </cell>
          <cell r="Z1546" t="str">
            <v>⑥</v>
          </cell>
          <cell r="AA1546" t="str">
            <v/>
          </cell>
          <cell r="AB1546" t="str">
            <v/>
          </cell>
          <cell r="AC1546" t="str">
            <v/>
          </cell>
          <cell r="AD1546" t="str">
            <v/>
          </cell>
          <cell r="AE1546" t="str">
            <v/>
          </cell>
          <cell r="AF1546" t="str">
            <v>⑫</v>
          </cell>
          <cell r="AG1546" t="str">
            <v/>
          </cell>
          <cell r="AH1546" t="str">
            <v/>
          </cell>
          <cell r="AI1546" t="str">
            <v/>
          </cell>
          <cell r="AJ1546" t="str">
            <v>変</v>
          </cell>
        </row>
        <row r="1547">
          <cell r="B1547">
            <v>7525</v>
          </cell>
          <cell r="C1547">
            <v>75</v>
          </cell>
          <cell r="D1547">
            <v>25</v>
          </cell>
          <cell r="F1547" t="str">
            <v>豊田</v>
          </cell>
          <cell r="G1547" t="str">
            <v>空調機設備保守</v>
          </cell>
          <cell r="H1547" t="str">
            <v>大冷工業</v>
          </cell>
          <cell r="I1547">
            <v>150000</v>
          </cell>
          <cell r="J1547">
            <v>159000</v>
          </cell>
          <cell r="K1547">
            <v>2</v>
          </cell>
          <cell r="L1547">
            <v>0</v>
          </cell>
          <cell r="M1547">
            <v>0</v>
          </cell>
          <cell r="N1547">
            <v>0</v>
          </cell>
          <cell r="O1547">
            <v>159000</v>
          </cell>
          <cell r="P1547">
            <v>0</v>
          </cell>
          <cell r="Q1547">
            <v>0</v>
          </cell>
          <cell r="R1547">
            <v>0</v>
          </cell>
          <cell r="S1547">
            <v>0</v>
          </cell>
          <cell r="T1547">
            <v>0</v>
          </cell>
          <cell r="U1547">
            <v>159000</v>
          </cell>
          <cell r="V1547">
            <v>0</v>
          </cell>
          <cell r="W1547">
            <v>0</v>
          </cell>
          <cell r="X1547" t="str">
            <v/>
          </cell>
          <cell r="Y1547" t="str">
            <v/>
          </cell>
          <cell r="Z1547" t="str">
            <v/>
          </cell>
          <cell r="AA1547" t="str">
            <v>⑦</v>
          </cell>
          <cell r="AB1547" t="str">
            <v/>
          </cell>
          <cell r="AC1547" t="str">
            <v/>
          </cell>
          <cell r="AD1547" t="str">
            <v/>
          </cell>
          <cell r="AE1547" t="str">
            <v/>
          </cell>
          <cell r="AF1547" t="str">
            <v/>
          </cell>
          <cell r="AG1547" t="str">
            <v>①</v>
          </cell>
          <cell r="AH1547" t="str">
            <v/>
          </cell>
          <cell r="AI1547" t="str">
            <v/>
          </cell>
          <cell r="AJ1547" t="str">
            <v>変</v>
          </cell>
        </row>
        <row r="1548">
          <cell r="B1548">
            <v>7601</v>
          </cell>
          <cell r="C1548">
            <v>76</v>
          </cell>
          <cell r="D1548">
            <v>1</v>
          </cell>
          <cell r="F1548" t="str">
            <v>一宮</v>
          </cell>
          <cell r="G1548" t="str">
            <v>エレベーター保守</v>
          </cell>
          <cell r="H1548" t="str">
            <v>三菱電機ﾋﾞﾙﾃｸﾉｻｰﾋﾞｽ</v>
          </cell>
          <cell r="I1548">
            <v>63100</v>
          </cell>
          <cell r="J1548">
            <v>64362</v>
          </cell>
          <cell r="K1548">
            <v>12</v>
          </cell>
          <cell r="L1548">
            <v>64362</v>
          </cell>
          <cell r="M1548">
            <v>64362</v>
          </cell>
          <cell r="N1548">
            <v>64362</v>
          </cell>
          <cell r="O1548">
            <v>64362</v>
          </cell>
          <cell r="P1548">
            <v>64362</v>
          </cell>
          <cell r="Q1548">
            <v>64362</v>
          </cell>
          <cell r="R1548">
            <v>64362</v>
          </cell>
          <cell r="S1548">
            <v>64362</v>
          </cell>
          <cell r="T1548">
            <v>64362</v>
          </cell>
          <cell r="U1548">
            <v>64362</v>
          </cell>
          <cell r="V1548">
            <v>64362</v>
          </cell>
          <cell r="W1548">
            <v>64362</v>
          </cell>
          <cell r="X1548" t="str">
            <v>④</v>
          </cell>
          <cell r="Y1548" t="str">
            <v>⑤</v>
          </cell>
          <cell r="Z1548" t="str">
            <v>⑥</v>
          </cell>
          <cell r="AA1548" t="str">
            <v>⑦</v>
          </cell>
          <cell r="AB1548" t="str">
            <v>⑧</v>
          </cell>
          <cell r="AC1548" t="str">
            <v>⑨</v>
          </cell>
          <cell r="AD1548" t="str">
            <v>⑩</v>
          </cell>
          <cell r="AE1548" t="str">
            <v>⑪</v>
          </cell>
          <cell r="AF1548" t="str">
            <v>⑫</v>
          </cell>
          <cell r="AG1548" t="str">
            <v>①</v>
          </cell>
          <cell r="AH1548" t="str">
            <v>②</v>
          </cell>
          <cell r="AI1548" t="str">
            <v>③</v>
          </cell>
        </row>
        <row r="1549">
          <cell r="B1549">
            <v>7701</v>
          </cell>
          <cell r="C1549">
            <v>77</v>
          </cell>
          <cell r="D1549">
            <v>1</v>
          </cell>
          <cell r="F1549" t="str">
            <v>岡崎</v>
          </cell>
          <cell r="G1549" t="str">
            <v>エレベーター保守</v>
          </cell>
          <cell r="H1549" t="str">
            <v>三菱電機ﾋﾞﾙﾃｸﾉｻｰﾋﾞｽ</v>
          </cell>
          <cell r="I1549">
            <v>61700</v>
          </cell>
          <cell r="J1549">
            <v>62934</v>
          </cell>
          <cell r="K1549">
            <v>12</v>
          </cell>
          <cell r="L1549">
            <v>62934</v>
          </cell>
          <cell r="M1549">
            <v>62934</v>
          </cell>
          <cell r="N1549">
            <v>62934</v>
          </cell>
          <cell r="O1549">
            <v>62934</v>
          </cell>
          <cell r="P1549">
            <v>62934</v>
          </cell>
          <cell r="Q1549">
            <v>62934</v>
          </cell>
          <cell r="R1549">
            <v>62934</v>
          </cell>
          <cell r="S1549">
            <v>62934</v>
          </cell>
          <cell r="T1549">
            <v>62934</v>
          </cell>
          <cell r="U1549">
            <v>62934</v>
          </cell>
          <cell r="V1549">
            <v>62934</v>
          </cell>
          <cell r="W1549">
            <v>62934</v>
          </cell>
          <cell r="X1549" t="str">
            <v>④</v>
          </cell>
          <cell r="Y1549" t="str">
            <v>⑤</v>
          </cell>
          <cell r="Z1549" t="str">
            <v>⑥</v>
          </cell>
          <cell r="AA1549" t="str">
            <v>⑦</v>
          </cell>
          <cell r="AB1549" t="str">
            <v>⑧</v>
          </cell>
          <cell r="AC1549" t="str">
            <v>⑨</v>
          </cell>
          <cell r="AD1549" t="str">
            <v>⑩</v>
          </cell>
          <cell r="AE1549" t="str">
            <v>⑪</v>
          </cell>
          <cell r="AF1549" t="str">
            <v>⑫</v>
          </cell>
          <cell r="AG1549" t="str">
            <v>①</v>
          </cell>
          <cell r="AH1549" t="str">
            <v>②</v>
          </cell>
          <cell r="AI1549" t="str">
            <v>③</v>
          </cell>
        </row>
        <row r="1550">
          <cell r="B1550">
            <v>7801</v>
          </cell>
          <cell r="C1550">
            <v>78</v>
          </cell>
          <cell r="D1550">
            <v>1</v>
          </cell>
          <cell r="F1550" t="str">
            <v>鈴鹿</v>
          </cell>
          <cell r="G1550" t="str">
            <v>自動ドアー保守</v>
          </cell>
          <cell r="H1550" t="str">
            <v>ナブコドアエンジン</v>
          </cell>
          <cell r="I1550">
            <v>19000</v>
          </cell>
          <cell r="J1550">
            <v>19380</v>
          </cell>
          <cell r="K1550">
            <v>2</v>
          </cell>
          <cell r="L1550">
            <v>0</v>
          </cell>
          <cell r="M1550">
            <v>0</v>
          </cell>
          <cell r="N1550">
            <v>0</v>
          </cell>
          <cell r="O1550">
            <v>0</v>
          </cell>
          <cell r="P1550">
            <v>0</v>
          </cell>
          <cell r="Q1550">
            <v>19380</v>
          </cell>
          <cell r="R1550">
            <v>0</v>
          </cell>
          <cell r="S1550">
            <v>0</v>
          </cell>
          <cell r="T1550">
            <v>0</v>
          </cell>
          <cell r="U1550">
            <v>0</v>
          </cell>
          <cell r="V1550">
            <v>0</v>
          </cell>
          <cell r="W1550">
            <v>19380</v>
          </cell>
          <cell r="X1550" t="str">
            <v/>
          </cell>
          <cell r="Y1550" t="str">
            <v/>
          </cell>
          <cell r="Z1550" t="str">
            <v/>
          </cell>
          <cell r="AA1550" t="str">
            <v/>
          </cell>
          <cell r="AB1550" t="str">
            <v/>
          </cell>
          <cell r="AC1550" t="str">
            <v>⑨</v>
          </cell>
          <cell r="AD1550" t="str">
            <v/>
          </cell>
          <cell r="AE1550" t="str">
            <v/>
          </cell>
          <cell r="AF1550" t="str">
            <v/>
          </cell>
          <cell r="AG1550" t="str">
            <v/>
          </cell>
          <cell r="AH1550" t="str">
            <v/>
          </cell>
          <cell r="AI1550" t="str">
            <v>③</v>
          </cell>
        </row>
        <row r="1551">
          <cell r="B1551">
            <v>7901</v>
          </cell>
          <cell r="C1551">
            <v>79</v>
          </cell>
          <cell r="D1551">
            <v>1</v>
          </cell>
          <cell r="F1551" t="str">
            <v>美濃加茂</v>
          </cell>
          <cell r="G1551" t="str">
            <v>機械式駐車場設備保守</v>
          </cell>
          <cell r="H1551" t="str">
            <v>石川島運搬機械</v>
          </cell>
          <cell r="I1551">
            <v>53530</v>
          </cell>
          <cell r="J1551">
            <v>54600</v>
          </cell>
          <cell r="K1551">
            <v>12</v>
          </cell>
          <cell r="L1551">
            <v>54600</v>
          </cell>
          <cell r="M1551">
            <v>54600</v>
          </cell>
          <cell r="N1551">
            <v>54600</v>
          </cell>
          <cell r="O1551">
            <v>54600</v>
          </cell>
          <cell r="P1551">
            <v>54600</v>
          </cell>
          <cell r="Q1551">
            <v>54600</v>
          </cell>
          <cell r="R1551">
            <v>54600</v>
          </cell>
          <cell r="S1551">
            <v>54600</v>
          </cell>
          <cell r="T1551">
            <v>54600</v>
          </cell>
          <cell r="U1551">
            <v>54600</v>
          </cell>
          <cell r="V1551">
            <v>54600</v>
          </cell>
          <cell r="W1551">
            <v>54600</v>
          </cell>
          <cell r="X1551" t="str">
            <v>④</v>
          </cell>
          <cell r="Y1551" t="str">
            <v>⑤</v>
          </cell>
          <cell r="Z1551" t="str">
            <v>⑥</v>
          </cell>
          <cell r="AA1551" t="str">
            <v>⑦</v>
          </cell>
          <cell r="AB1551" t="str">
            <v>⑧</v>
          </cell>
          <cell r="AC1551" t="str">
            <v>⑨</v>
          </cell>
          <cell r="AD1551" t="str">
            <v>⑩</v>
          </cell>
          <cell r="AE1551" t="str">
            <v>⑪</v>
          </cell>
          <cell r="AF1551" t="str">
            <v>⑫</v>
          </cell>
          <cell r="AG1551" t="str">
            <v>①</v>
          </cell>
          <cell r="AH1551" t="str">
            <v>②</v>
          </cell>
          <cell r="AI1551" t="str">
            <v>③</v>
          </cell>
        </row>
        <row r="1552">
          <cell r="B1552">
            <v>7902</v>
          </cell>
          <cell r="C1552">
            <v>79</v>
          </cell>
          <cell r="D1552">
            <v>2</v>
          </cell>
          <cell r="F1552" t="str">
            <v>美濃加茂</v>
          </cell>
          <cell r="G1552" t="str">
            <v>エレベーター保守</v>
          </cell>
          <cell r="H1552" t="str">
            <v>三菱電機ﾋﾞﾙﾃｸﾉｻｰﾋﾞｽ</v>
          </cell>
          <cell r="I1552">
            <v>67300</v>
          </cell>
          <cell r="J1552">
            <v>68646</v>
          </cell>
          <cell r="K1552">
            <v>12</v>
          </cell>
          <cell r="L1552">
            <v>68646</v>
          </cell>
          <cell r="M1552">
            <v>68646</v>
          </cell>
          <cell r="N1552">
            <v>68646</v>
          </cell>
          <cell r="O1552">
            <v>68646</v>
          </cell>
          <cell r="P1552">
            <v>68646</v>
          </cell>
          <cell r="Q1552">
            <v>68646</v>
          </cell>
          <cell r="R1552">
            <v>68646</v>
          </cell>
          <cell r="S1552">
            <v>68646</v>
          </cell>
          <cell r="T1552">
            <v>68646</v>
          </cell>
          <cell r="U1552">
            <v>68646</v>
          </cell>
          <cell r="V1552">
            <v>68646</v>
          </cell>
          <cell r="W1552">
            <v>68646</v>
          </cell>
          <cell r="X1552" t="str">
            <v>④</v>
          </cell>
          <cell r="Y1552" t="str">
            <v>⑤</v>
          </cell>
          <cell r="Z1552" t="str">
            <v>⑥</v>
          </cell>
          <cell r="AA1552" t="str">
            <v>⑦</v>
          </cell>
          <cell r="AB1552" t="str">
            <v>⑧</v>
          </cell>
          <cell r="AC1552" t="str">
            <v>⑨</v>
          </cell>
          <cell r="AD1552" t="str">
            <v>⑩</v>
          </cell>
          <cell r="AE1552" t="str">
            <v>⑪</v>
          </cell>
          <cell r="AF1552" t="str">
            <v>⑫</v>
          </cell>
          <cell r="AG1552" t="str">
            <v>①</v>
          </cell>
          <cell r="AH1552" t="str">
            <v>②</v>
          </cell>
          <cell r="AI1552" t="str">
            <v>③</v>
          </cell>
        </row>
        <row r="1553">
          <cell r="B1553">
            <v>8001</v>
          </cell>
          <cell r="C1553">
            <v>80</v>
          </cell>
          <cell r="D1553">
            <v>1</v>
          </cell>
          <cell r="F1553" t="str">
            <v>大垣</v>
          </cell>
          <cell r="G1553" t="str">
            <v>機械式駐車場設備保守</v>
          </cell>
          <cell r="H1553" t="str">
            <v>新明和ｴﾝｼﾞﾆｱﾘﾝｸﾞ</v>
          </cell>
          <cell r="I1553">
            <v>81000</v>
          </cell>
          <cell r="J1553">
            <v>82620</v>
          </cell>
          <cell r="K1553">
            <v>12</v>
          </cell>
          <cell r="L1553">
            <v>82620</v>
          </cell>
          <cell r="M1553">
            <v>82620</v>
          </cell>
          <cell r="N1553">
            <v>82620</v>
          </cell>
          <cell r="O1553">
            <v>82620</v>
          </cell>
          <cell r="P1553">
            <v>82620</v>
          </cell>
          <cell r="Q1553">
            <v>82620</v>
          </cell>
          <cell r="R1553">
            <v>82620</v>
          </cell>
          <cell r="S1553">
            <v>82620</v>
          </cell>
          <cell r="T1553">
            <v>82620</v>
          </cell>
          <cell r="U1553">
            <v>82620</v>
          </cell>
          <cell r="V1553">
            <v>82620</v>
          </cell>
          <cell r="W1553">
            <v>82620</v>
          </cell>
          <cell r="X1553" t="str">
            <v>④</v>
          </cell>
          <cell r="Y1553" t="str">
            <v>⑤</v>
          </cell>
          <cell r="Z1553" t="str">
            <v>⑥</v>
          </cell>
          <cell r="AA1553" t="str">
            <v>⑦</v>
          </cell>
          <cell r="AB1553" t="str">
            <v>⑧</v>
          </cell>
          <cell r="AC1553" t="str">
            <v>⑨</v>
          </cell>
          <cell r="AD1553" t="str">
            <v>⑩</v>
          </cell>
          <cell r="AE1553" t="str">
            <v>⑪</v>
          </cell>
          <cell r="AF1553" t="str">
            <v>⑫</v>
          </cell>
          <cell r="AG1553" t="str">
            <v>①</v>
          </cell>
          <cell r="AH1553" t="str">
            <v>②</v>
          </cell>
          <cell r="AI1553" t="str">
            <v>③</v>
          </cell>
        </row>
        <row r="1554">
          <cell r="B1554">
            <v>8002</v>
          </cell>
          <cell r="C1554">
            <v>80</v>
          </cell>
          <cell r="D1554">
            <v>2</v>
          </cell>
          <cell r="F1554" t="str">
            <v>大垣</v>
          </cell>
          <cell r="G1554" t="str">
            <v>エレベーター保守</v>
          </cell>
          <cell r="H1554" t="str">
            <v>三菱電機ﾋﾞﾙﾃｸﾉｻｰﾋﾞｽ</v>
          </cell>
          <cell r="I1554">
            <v>66600</v>
          </cell>
          <cell r="J1554">
            <v>67932</v>
          </cell>
          <cell r="K1554">
            <v>12</v>
          </cell>
          <cell r="L1554">
            <v>67932</v>
          </cell>
          <cell r="M1554">
            <v>67932</v>
          </cell>
          <cell r="N1554">
            <v>67932</v>
          </cell>
          <cell r="O1554">
            <v>67932</v>
          </cell>
          <cell r="P1554">
            <v>67932</v>
          </cell>
          <cell r="Q1554">
            <v>67932</v>
          </cell>
          <cell r="R1554">
            <v>67932</v>
          </cell>
          <cell r="S1554">
            <v>67932</v>
          </cell>
          <cell r="T1554">
            <v>67932</v>
          </cell>
          <cell r="U1554">
            <v>67932</v>
          </cell>
          <cell r="V1554">
            <v>67932</v>
          </cell>
          <cell r="W1554">
            <v>67932</v>
          </cell>
          <cell r="X1554" t="str">
            <v>④</v>
          </cell>
          <cell r="Y1554" t="str">
            <v>⑤</v>
          </cell>
          <cell r="Z1554" t="str">
            <v>⑥</v>
          </cell>
          <cell r="AA1554" t="str">
            <v>⑦</v>
          </cell>
          <cell r="AB1554" t="str">
            <v>⑧</v>
          </cell>
          <cell r="AC1554" t="str">
            <v>⑨</v>
          </cell>
          <cell r="AD1554" t="str">
            <v>⑩</v>
          </cell>
          <cell r="AE1554" t="str">
            <v>⑪</v>
          </cell>
          <cell r="AF1554" t="str">
            <v>⑫</v>
          </cell>
          <cell r="AG1554" t="str">
            <v>①</v>
          </cell>
          <cell r="AH1554" t="str">
            <v>②</v>
          </cell>
          <cell r="AI1554" t="str">
            <v>③</v>
          </cell>
        </row>
        <row r="1555">
          <cell r="B1555">
            <v>8101</v>
          </cell>
          <cell r="C1555">
            <v>81</v>
          </cell>
          <cell r="D1555">
            <v>1</v>
          </cell>
          <cell r="F1555" t="str">
            <v>津</v>
          </cell>
          <cell r="G1555" t="str">
            <v>エレベーター保守</v>
          </cell>
          <cell r="H1555" t="str">
            <v>三菱電機ﾋﾞﾙﾃｸﾉｻｰﾋﾞｽ</v>
          </cell>
          <cell r="I1555">
            <v>63100</v>
          </cell>
          <cell r="J1555">
            <v>64362</v>
          </cell>
          <cell r="K1555">
            <v>12</v>
          </cell>
          <cell r="L1555">
            <v>64362</v>
          </cell>
          <cell r="M1555">
            <v>64362</v>
          </cell>
          <cell r="N1555">
            <v>64362</v>
          </cell>
          <cell r="O1555">
            <v>64362</v>
          </cell>
          <cell r="P1555">
            <v>64362</v>
          </cell>
          <cell r="Q1555">
            <v>64362</v>
          </cell>
          <cell r="R1555">
            <v>64362</v>
          </cell>
          <cell r="S1555">
            <v>64362</v>
          </cell>
          <cell r="T1555">
            <v>64362</v>
          </cell>
          <cell r="U1555">
            <v>64362</v>
          </cell>
          <cell r="V1555">
            <v>64362</v>
          </cell>
          <cell r="W1555">
            <v>64362</v>
          </cell>
          <cell r="X1555" t="str">
            <v>④</v>
          </cell>
          <cell r="Y1555" t="str">
            <v>⑤</v>
          </cell>
          <cell r="Z1555" t="str">
            <v>⑥</v>
          </cell>
          <cell r="AA1555" t="str">
            <v>⑦</v>
          </cell>
          <cell r="AB1555" t="str">
            <v>⑧</v>
          </cell>
          <cell r="AC1555" t="str">
            <v>⑨</v>
          </cell>
          <cell r="AD1555" t="str">
            <v>⑩</v>
          </cell>
          <cell r="AE1555" t="str">
            <v>⑪</v>
          </cell>
          <cell r="AF1555" t="str">
            <v>⑫</v>
          </cell>
          <cell r="AG1555" t="str">
            <v>①</v>
          </cell>
          <cell r="AH1555" t="str">
            <v>②</v>
          </cell>
          <cell r="AI1555" t="str">
            <v>③</v>
          </cell>
        </row>
        <row r="1556">
          <cell r="B1556">
            <v>8102</v>
          </cell>
          <cell r="C1556">
            <v>81</v>
          </cell>
          <cell r="D1556">
            <v>2</v>
          </cell>
          <cell r="F1556" t="str">
            <v>津</v>
          </cell>
          <cell r="G1556" t="str">
            <v>自動ドアー保守</v>
          </cell>
          <cell r="H1556" t="str">
            <v>ナブコドアエンジン</v>
          </cell>
          <cell r="I1556">
            <v>19000</v>
          </cell>
          <cell r="J1556">
            <v>19380</v>
          </cell>
          <cell r="K1556">
            <v>2</v>
          </cell>
          <cell r="L1556">
            <v>0</v>
          </cell>
          <cell r="M1556">
            <v>0</v>
          </cell>
          <cell r="N1556">
            <v>0</v>
          </cell>
          <cell r="O1556">
            <v>0</v>
          </cell>
          <cell r="P1556">
            <v>0</v>
          </cell>
          <cell r="Q1556">
            <v>0</v>
          </cell>
          <cell r="R1556">
            <v>19380</v>
          </cell>
          <cell r="S1556">
            <v>0</v>
          </cell>
          <cell r="T1556">
            <v>0</v>
          </cell>
          <cell r="U1556">
            <v>0</v>
          </cell>
          <cell r="V1556">
            <v>0</v>
          </cell>
          <cell r="W1556">
            <v>19380</v>
          </cell>
          <cell r="X1556" t="str">
            <v/>
          </cell>
          <cell r="Y1556" t="str">
            <v/>
          </cell>
          <cell r="Z1556" t="str">
            <v/>
          </cell>
          <cell r="AA1556" t="str">
            <v/>
          </cell>
          <cell r="AB1556" t="str">
            <v/>
          </cell>
          <cell r="AC1556" t="str">
            <v/>
          </cell>
          <cell r="AD1556" t="str">
            <v>⑩</v>
          </cell>
          <cell r="AE1556" t="str">
            <v/>
          </cell>
          <cell r="AF1556" t="str">
            <v/>
          </cell>
          <cell r="AG1556" t="str">
            <v/>
          </cell>
          <cell r="AH1556" t="str">
            <v/>
          </cell>
          <cell r="AI1556" t="str">
            <v>③</v>
          </cell>
        </row>
        <row r="1557">
          <cell r="B1557">
            <v>8201</v>
          </cell>
          <cell r="C1557">
            <v>82</v>
          </cell>
          <cell r="D1557">
            <v>1</v>
          </cell>
          <cell r="F1557" t="str">
            <v>半田</v>
          </cell>
          <cell r="G1557" t="str">
            <v>自動ドアー保守</v>
          </cell>
          <cell r="H1557" t="str">
            <v>ナブコドアエンジン</v>
          </cell>
          <cell r="I1557">
            <v>19000</v>
          </cell>
          <cell r="J1557">
            <v>19380</v>
          </cell>
          <cell r="K1557">
            <v>2</v>
          </cell>
          <cell r="L1557">
            <v>0</v>
          </cell>
          <cell r="M1557">
            <v>0</v>
          </cell>
          <cell r="N1557">
            <v>0</v>
          </cell>
          <cell r="O1557">
            <v>0</v>
          </cell>
          <cell r="P1557">
            <v>0</v>
          </cell>
          <cell r="Q1557">
            <v>19380</v>
          </cell>
          <cell r="R1557">
            <v>0</v>
          </cell>
          <cell r="S1557">
            <v>0</v>
          </cell>
          <cell r="T1557">
            <v>0</v>
          </cell>
          <cell r="U1557">
            <v>0</v>
          </cell>
          <cell r="V1557">
            <v>0</v>
          </cell>
          <cell r="W1557">
            <v>19380</v>
          </cell>
          <cell r="X1557" t="str">
            <v/>
          </cell>
          <cell r="Y1557" t="str">
            <v/>
          </cell>
          <cell r="Z1557" t="str">
            <v/>
          </cell>
          <cell r="AA1557" t="str">
            <v/>
          </cell>
          <cell r="AB1557" t="str">
            <v/>
          </cell>
          <cell r="AC1557" t="str">
            <v>⑨</v>
          </cell>
          <cell r="AD1557" t="str">
            <v/>
          </cell>
          <cell r="AE1557" t="str">
            <v/>
          </cell>
          <cell r="AF1557" t="str">
            <v/>
          </cell>
          <cell r="AG1557" t="str">
            <v/>
          </cell>
          <cell r="AH1557" t="str">
            <v/>
          </cell>
          <cell r="AI1557" t="str">
            <v>③</v>
          </cell>
        </row>
        <row r="1558">
          <cell r="B1558">
            <v>8301</v>
          </cell>
          <cell r="C1558">
            <v>83</v>
          </cell>
          <cell r="D1558">
            <v>1</v>
          </cell>
          <cell r="F1558" t="str">
            <v>京都</v>
          </cell>
          <cell r="G1558" t="str">
            <v>駐車場設備保守</v>
          </cell>
          <cell r="H1558" t="str">
            <v>石川島運搬機械</v>
          </cell>
          <cell r="I1558">
            <v>84059</v>
          </cell>
          <cell r="J1558">
            <v>85740</v>
          </cell>
          <cell r="K1558">
            <v>12</v>
          </cell>
          <cell r="L1558">
            <v>85740</v>
          </cell>
          <cell r="M1558">
            <v>85740</v>
          </cell>
          <cell r="N1558">
            <v>85740</v>
          </cell>
          <cell r="O1558">
            <v>85740</v>
          </cell>
          <cell r="P1558">
            <v>85740</v>
          </cell>
          <cell r="Q1558">
            <v>85740</v>
          </cell>
          <cell r="R1558">
            <v>85740</v>
          </cell>
          <cell r="S1558">
            <v>85740</v>
          </cell>
          <cell r="T1558">
            <v>85740</v>
          </cell>
          <cell r="U1558">
            <v>85740</v>
          </cell>
          <cell r="V1558">
            <v>85740</v>
          </cell>
          <cell r="W1558">
            <v>85740</v>
          </cell>
          <cell r="X1558" t="str">
            <v>④</v>
          </cell>
          <cell r="Y1558" t="str">
            <v>⑤</v>
          </cell>
          <cell r="Z1558" t="str">
            <v>⑥</v>
          </cell>
          <cell r="AA1558" t="str">
            <v>⑦</v>
          </cell>
          <cell r="AB1558" t="str">
            <v>⑧</v>
          </cell>
          <cell r="AC1558" t="str">
            <v>⑨</v>
          </cell>
          <cell r="AD1558" t="str">
            <v>⑩</v>
          </cell>
          <cell r="AE1558" t="str">
            <v>⑪</v>
          </cell>
          <cell r="AF1558" t="str">
            <v>⑫</v>
          </cell>
          <cell r="AG1558" t="str">
            <v>①</v>
          </cell>
          <cell r="AH1558" t="str">
            <v>②</v>
          </cell>
          <cell r="AI1558" t="str">
            <v>③</v>
          </cell>
        </row>
        <row r="1559">
          <cell r="B1559">
            <v>8302</v>
          </cell>
          <cell r="C1559">
            <v>83</v>
          </cell>
          <cell r="D1559">
            <v>2</v>
          </cell>
          <cell r="F1559" t="str">
            <v>京都</v>
          </cell>
          <cell r="G1559" t="str">
            <v>エレベーター保守</v>
          </cell>
          <cell r="H1559" t="str">
            <v>三菱電機ﾋﾞﾙﾃｸﾉｻｰﾋﾞｽ</v>
          </cell>
          <cell r="I1559">
            <v>153200</v>
          </cell>
          <cell r="J1559">
            <v>156264</v>
          </cell>
          <cell r="K1559">
            <v>12</v>
          </cell>
          <cell r="L1559">
            <v>156264</v>
          </cell>
          <cell r="M1559">
            <v>156264</v>
          </cell>
          <cell r="N1559">
            <v>156264</v>
          </cell>
          <cell r="O1559">
            <v>156264</v>
          </cell>
          <cell r="P1559">
            <v>156264</v>
          </cell>
          <cell r="Q1559">
            <v>156264</v>
          </cell>
          <cell r="R1559">
            <v>156264</v>
          </cell>
          <cell r="S1559">
            <v>156264</v>
          </cell>
          <cell r="T1559">
            <v>156264</v>
          </cell>
          <cell r="U1559">
            <v>156264</v>
          </cell>
          <cell r="V1559">
            <v>156264</v>
          </cell>
          <cell r="W1559">
            <v>156264</v>
          </cell>
          <cell r="X1559" t="str">
            <v>④</v>
          </cell>
          <cell r="Y1559" t="str">
            <v>⑤</v>
          </cell>
          <cell r="Z1559" t="str">
            <v>⑥</v>
          </cell>
          <cell r="AA1559" t="str">
            <v>⑦</v>
          </cell>
          <cell r="AB1559" t="str">
            <v>⑧</v>
          </cell>
          <cell r="AC1559" t="str">
            <v>⑨</v>
          </cell>
          <cell r="AD1559" t="str">
            <v>⑩</v>
          </cell>
          <cell r="AE1559" t="str">
            <v>⑪</v>
          </cell>
          <cell r="AF1559" t="str">
            <v>⑫</v>
          </cell>
          <cell r="AG1559" t="str">
            <v>①</v>
          </cell>
          <cell r="AH1559" t="str">
            <v>②</v>
          </cell>
          <cell r="AI1559" t="str">
            <v>③</v>
          </cell>
        </row>
        <row r="1560">
          <cell r="B1560">
            <v>8303</v>
          </cell>
          <cell r="C1560">
            <v>83</v>
          </cell>
          <cell r="D1560">
            <v>3</v>
          </cell>
          <cell r="F1560" t="str">
            <v>京都</v>
          </cell>
          <cell r="G1560" t="str">
            <v>シャッター設備保守</v>
          </cell>
          <cell r="H1560" t="str">
            <v>東洋シャッター</v>
          </cell>
          <cell r="I1560">
            <v>60000</v>
          </cell>
          <cell r="J1560">
            <v>61200</v>
          </cell>
          <cell r="K1560">
            <v>1</v>
          </cell>
          <cell r="L1560">
            <v>0</v>
          </cell>
          <cell r="M1560">
            <v>0</v>
          </cell>
          <cell r="N1560">
            <v>61200</v>
          </cell>
          <cell r="O1560">
            <v>0</v>
          </cell>
          <cell r="P1560">
            <v>0</v>
          </cell>
          <cell r="Q1560">
            <v>0</v>
          </cell>
          <cell r="R1560">
            <v>0</v>
          </cell>
          <cell r="S1560">
            <v>0</v>
          </cell>
          <cell r="T1560">
            <v>0</v>
          </cell>
          <cell r="U1560">
            <v>0</v>
          </cell>
          <cell r="V1560">
            <v>0</v>
          </cell>
          <cell r="W1560">
            <v>0</v>
          </cell>
          <cell r="X1560" t="str">
            <v/>
          </cell>
          <cell r="Y1560" t="str">
            <v/>
          </cell>
          <cell r="Z1560" t="str">
            <v>⑥</v>
          </cell>
          <cell r="AA1560" t="str">
            <v/>
          </cell>
          <cell r="AC1560" t="str">
            <v/>
          </cell>
          <cell r="AD1560" t="str">
            <v/>
          </cell>
          <cell r="AE1560" t="str">
            <v/>
          </cell>
          <cell r="AF1560" t="str">
            <v/>
          </cell>
          <cell r="AG1560" t="str">
            <v/>
          </cell>
          <cell r="AH1560" t="str">
            <v/>
          </cell>
          <cell r="AI1560" t="str">
            <v/>
          </cell>
        </row>
        <row r="1561">
          <cell r="B1561">
            <v>8304</v>
          </cell>
          <cell r="C1561">
            <v>83</v>
          </cell>
          <cell r="D1561">
            <v>4</v>
          </cell>
          <cell r="F1561" t="str">
            <v>京都</v>
          </cell>
          <cell r="G1561" t="str">
            <v>ハロン消火設備保守(外観)</v>
          </cell>
          <cell r="H1561" t="str">
            <v>川南ファシリティーズ</v>
          </cell>
          <cell r="I1561">
            <v>134000</v>
          </cell>
          <cell r="J1561">
            <v>136680</v>
          </cell>
          <cell r="K1561">
            <v>1</v>
          </cell>
          <cell r="L1561">
            <v>0</v>
          </cell>
          <cell r="M1561">
            <v>136680</v>
          </cell>
          <cell r="N1561">
            <v>0</v>
          </cell>
          <cell r="O1561">
            <v>0</v>
          </cell>
          <cell r="P1561">
            <v>0</v>
          </cell>
          <cell r="Q1561">
            <v>0</v>
          </cell>
          <cell r="R1561">
            <v>0</v>
          </cell>
          <cell r="S1561">
            <v>0</v>
          </cell>
          <cell r="T1561">
            <v>0</v>
          </cell>
          <cell r="U1561">
            <v>0</v>
          </cell>
          <cell r="V1561">
            <v>0</v>
          </cell>
          <cell r="W1561">
            <v>0</v>
          </cell>
          <cell r="X1561" t="str">
            <v/>
          </cell>
          <cell r="Y1561" t="str">
            <v>⑤</v>
          </cell>
          <cell r="AA1561" t="str">
            <v/>
          </cell>
          <cell r="AB1561" t="str">
            <v/>
          </cell>
          <cell r="AC1561" t="str">
            <v/>
          </cell>
          <cell r="AD1561" t="str">
            <v/>
          </cell>
          <cell r="AE1561" t="str">
            <v/>
          </cell>
          <cell r="AF1561" t="str">
            <v/>
          </cell>
          <cell r="AG1561" t="str">
            <v/>
          </cell>
          <cell r="AH1561" t="str">
            <v/>
          </cell>
          <cell r="AI1561" t="str">
            <v/>
          </cell>
        </row>
        <row r="1562">
          <cell r="B1562">
            <v>8305</v>
          </cell>
          <cell r="C1562">
            <v>83</v>
          </cell>
          <cell r="D1562">
            <v>5</v>
          </cell>
          <cell r="F1562" t="str">
            <v>京都</v>
          </cell>
          <cell r="G1562" t="str">
            <v>ハロン消火設備保守(総合)</v>
          </cell>
          <cell r="H1562" t="str">
            <v>川南ファシリティーズ</v>
          </cell>
          <cell r="I1562">
            <v>226000</v>
          </cell>
          <cell r="J1562">
            <v>230520</v>
          </cell>
          <cell r="K1562">
            <v>1</v>
          </cell>
          <cell r="L1562">
            <v>0</v>
          </cell>
          <cell r="M1562">
            <v>0</v>
          </cell>
          <cell r="N1562">
            <v>0</v>
          </cell>
          <cell r="O1562">
            <v>0</v>
          </cell>
          <cell r="P1562">
            <v>0</v>
          </cell>
          <cell r="Q1562">
            <v>0</v>
          </cell>
          <cell r="R1562">
            <v>0</v>
          </cell>
          <cell r="S1562">
            <v>230520</v>
          </cell>
          <cell r="T1562">
            <v>0</v>
          </cell>
          <cell r="U1562">
            <v>0</v>
          </cell>
          <cell r="V1562">
            <v>0</v>
          </cell>
          <cell r="W1562">
            <v>0</v>
          </cell>
          <cell r="X1562" t="str">
            <v/>
          </cell>
          <cell r="Y1562" t="str">
            <v/>
          </cell>
          <cell r="Z1562" t="str">
            <v/>
          </cell>
          <cell r="AA1562" t="str">
            <v/>
          </cell>
          <cell r="AB1562" t="str">
            <v/>
          </cell>
          <cell r="AC1562" t="str">
            <v/>
          </cell>
          <cell r="AD1562" t="str">
            <v/>
          </cell>
          <cell r="AE1562" t="str">
            <v>⑪</v>
          </cell>
          <cell r="AG1562" t="str">
            <v/>
          </cell>
          <cell r="AH1562" t="str">
            <v/>
          </cell>
          <cell r="AI1562" t="str">
            <v/>
          </cell>
        </row>
        <row r="1563">
          <cell r="B1563">
            <v>8306</v>
          </cell>
          <cell r="C1563">
            <v>83</v>
          </cell>
          <cell r="D1563">
            <v>6</v>
          </cell>
          <cell r="F1563" t="str">
            <v>京都</v>
          </cell>
          <cell r="G1563" t="str">
            <v>誘導灯･消火器設備保守(外観)</v>
          </cell>
          <cell r="H1563" t="str">
            <v>ピー・エス・シー</v>
          </cell>
          <cell r="I1563">
            <v>55000</v>
          </cell>
          <cell r="J1563">
            <v>56100</v>
          </cell>
          <cell r="K1563">
            <v>1</v>
          </cell>
          <cell r="L1563">
            <v>0</v>
          </cell>
          <cell r="M1563">
            <v>56100</v>
          </cell>
          <cell r="N1563">
            <v>0</v>
          </cell>
          <cell r="O1563">
            <v>0</v>
          </cell>
          <cell r="P1563">
            <v>0</v>
          </cell>
          <cell r="Q1563">
            <v>0</v>
          </cell>
          <cell r="R1563">
            <v>0</v>
          </cell>
          <cell r="S1563">
            <v>0</v>
          </cell>
          <cell r="T1563">
            <v>0</v>
          </cell>
          <cell r="U1563">
            <v>0</v>
          </cell>
          <cell r="V1563">
            <v>0</v>
          </cell>
          <cell r="W1563">
            <v>0</v>
          </cell>
          <cell r="X1563" t="str">
            <v/>
          </cell>
          <cell r="Y1563" t="str">
            <v>⑤</v>
          </cell>
          <cell r="AA1563" t="str">
            <v/>
          </cell>
          <cell r="AB1563" t="str">
            <v/>
          </cell>
          <cell r="AC1563" t="str">
            <v/>
          </cell>
          <cell r="AD1563" t="str">
            <v/>
          </cell>
          <cell r="AE1563" t="str">
            <v/>
          </cell>
          <cell r="AF1563" t="str">
            <v/>
          </cell>
          <cell r="AG1563" t="str">
            <v/>
          </cell>
          <cell r="AH1563" t="str">
            <v/>
          </cell>
          <cell r="AI1563" t="str">
            <v/>
          </cell>
        </row>
        <row r="1564">
          <cell r="B1564">
            <v>8307</v>
          </cell>
          <cell r="C1564">
            <v>83</v>
          </cell>
          <cell r="D1564">
            <v>7</v>
          </cell>
          <cell r="F1564" t="str">
            <v>京都</v>
          </cell>
          <cell r="G1564" t="str">
            <v>誘導灯･消火器設備保守(総合)</v>
          </cell>
          <cell r="H1564" t="str">
            <v>ピー・エス・シー</v>
          </cell>
          <cell r="I1564">
            <v>80000</v>
          </cell>
          <cell r="J1564">
            <v>81600</v>
          </cell>
          <cell r="K1564">
            <v>1</v>
          </cell>
          <cell r="L1564">
            <v>0</v>
          </cell>
          <cell r="M1564">
            <v>0</v>
          </cell>
          <cell r="N1564">
            <v>0</v>
          </cell>
          <cell r="O1564">
            <v>0</v>
          </cell>
          <cell r="P1564">
            <v>0</v>
          </cell>
          <cell r="Q1564">
            <v>0</v>
          </cell>
          <cell r="R1564">
            <v>0</v>
          </cell>
          <cell r="S1564">
            <v>81600</v>
          </cell>
          <cell r="T1564">
            <v>0</v>
          </cell>
          <cell r="U1564">
            <v>0</v>
          </cell>
          <cell r="V1564">
            <v>0</v>
          </cell>
          <cell r="W1564">
            <v>0</v>
          </cell>
          <cell r="X1564" t="str">
            <v/>
          </cell>
          <cell r="Y1564" t="str">
            <v/>
          </cell>
          <cell r="Z1564" t="str">
            <v/>
          </cell>
          <cell r="AA1564" t="str">
            <v/>
          </cell>
          <cell r="AB1564" t="str">
            <v/>
          </cell>
          <cell r="AC1564" t="str">
            <v/>
          </cell>
          <cell r="AD1564" t="str">
            <v/>
          </cell>
          <cell r="AE1564" t="str">
            <v>⑪</v>
          </cell>
          <cell r="AG1564" t="str">
            <v/>
          </cell>
          <cell r="AH1564" t="str">
            <v/>
          </cell>
          <cell r="AI1564" t="str">
            <v/>
          </cell>
        </row>
        <row r="1565">
          <cell r="B1565">
            <v>8308</v>
          </cell>
          <cell r="C1565">
            <v>83</v>
          </cell>
          <cell r="D1565">
            <v>8</v>
          </cell>
          <cell r="F1565" t="str">
            <v>京都</v>
          </cell>
          <cell r="G1565" t="str">
            <v>屋内消火栓(外観)</v>
          </cell>
          <cell r="H1565" t="str">
            <v>ホーチキ</v>
          </cell>
          <cell r="I1565">
            <v>33900</v>
          </cell>
          <cell r="J1565">
            <v>34578</v>
          </cell>
          <cell r="K1565">
            <v>1</v>
          </cell>
          <cell r="L1565">
            <v>0</v>
          </cell>
          <cell r="M1565">
            <v>34578</v>
          </cell>
          <cell r="N1565">
            <v>0</v>
          </cell>
          <cell r="O1565">
            <v>0</v>
          </cell>
          <cell r="P1565">
            <v>0</v>
          </cell>
          <cell r="Q1565">
            <v>0</v>
          </cell>
          <cell r="R1565">
            <v>0</v>
          </cell>
          <cell r="S1565">
            <v>0</v>
          </cell>
          <cell r="T1565">
            <v>0</v>
          </cell>
          <cell r="U1565">
            <v>0</v>
          </cell>
          <cell r="V1565">
            <v>0</v>
          </cell>
          <cell r="W1565">
            <v>0</v>
          </cell>
          <cell r="X1565" t="str">
            <v/>
          </cell>
          <cell r="Y1565" t="str">
            <v>⑤</v>
          </cell>
          <cell r="Z1565" t="str">
            <v/>
          </cell>
          <cell r="AA1565" t="str">
            <v/>
          </cell>
          <cell r="AB1565" t="str">
            <v/>
          </cell>
          <cell r="AC1565" t="str">
            <v/>
          </cell>
          <cell r="AD1565" t="str">
            <v/>
          </cell>
          <cell r="AE1565" t="str">
            <v/>
          </cell>
          <cell r="AF1565" t="str">
            <v/>
          </cell>
          <cell r="AG1565" t="str">
            <v/>
          </cell>
          <cell r="AH1565" t="str">
            <v/>
          </cell>
          <cell r="AI1565" t="str">
            <v/>
          </cell>
        </row>
        <row r="1566">
          <cell r="B1566">
            <v>8309</v>
          </cell>
          <cell r="C1566">
            <v>83</v>
          </cell>
          <cell r="D1566">
            <v>9</v>
          </cell>
          <cell r="F1566" t="str">
            <v>京都</v>
          </cell>
          <cell r="G1566" t="str">
            <v>屋内消火栓(総合)</v>
          </cell>
          <cell r="H1566" t="str">
            <v>ホーチキ</v>
          </cell>
          <cell r="I1566">
            <v>47100</v>
          </cell>
          <cell r="J1566">
            <v>48042</v>
          </cell>
          <cell r="K1566">
            <v>1</v>
          </cell>
          <cell r="L1566">
            <v>0</v>
          </cell>
          <cell r="M1566">
            <v>0</v>
          </cell>
          <cell r="N1566">
            <v>0</v>
          </cell>
          <cell r="O1566">
            <v>0</v>
          </cell>
          <cell r="P1566">
            <v>0</v>
          </cell>
          <cell r="Q1566">
            <v>0</v>
          </cell>
          <cell r="R1566">
            <v>0</v>
          </cell>
          <cell r="S1566">
            <v>48042</v>
          </cell>
          <cell r="T1566">
            <v>0</v>
          </cell>
          <cell r="U1566">
            <v>0</v>
          </cell>
          <cell r="V1566">
            <v>0</v>
          </cell>
          <cell r="W1566">
            <v>0</v>
          </cell>
          <cell r="X1566" t="str">
            <v/>
          </cell>
          <cell r="Y1566" t="str">
            <v/>
          </cell>
          <cell r="Z1566" t="str">
            <v/>
          </cell>
          <cell r="AA1566" t="str">
            <v/>
          </cell>
          <cell r="AB1566" t="str">
            <v/>
          </cell>
          <cell r="AC1566" t="str">
            <v/>
          </cell>
          <cell r="AD1566" t="str">
            <v/>
          </cell>
          <cell r="AE1566" t="str">
            <v>⑪</v>
          </cell>
          <cell r="AF1566" t="str">
            <v/>
          </cell>
          <cell r="AG1566" t="str">
            <v/>
          </cell>
          <cell r="AH1566" t="str">
            <v/>
          </cell>
          <cell r="AI1566" t="str">
            <v/>
          </cell>
        </row>
        <row r="1567">
          <cell r="B1567">
            <v>8310</v>
          </cell>
          <cell r="C1567">
            <v>83</v>
          </cell>
          <cell r="D1567">
            <v>10</v>
          </cell>
          <cell r="F1567" t="str">
            <v>京都</v>
          </cell>
          <cell r="G1567" t="str">
            <v>ｽﾌﾟﾘﾝｸﾗｰ設備(外観)</v>
          </cell>
          <cell r="H1567" t="str">
            <v>ホーチキ</v>
          </cell>
          <cell r="I1567">
            <v>58200</v>
          </cell>
          <cell r="J1567">
            <v>59364</v>
          </cell>
          <cell r="K1567">
            <v>1</v>
          </cell>
          <cell r="L1567">
            <v>0</v>
          </cell>
          <cell r="M1567">
            <v>59364</v>
          </cell>
          <cell r="N1567">
            <v>0</v>
          </cell>
          <cell r="O1567">
            <v>0</v>
          </cell>
          <cell r="P1567">
            <v>0</v>
          </cell>
          <cell r="Q1567">
            <v>0</v>
          </cell>
          <cell r="R1567">
            <v>0</v>
          </cell>
          <cell r="S1567">
            <v>0</v>
          </cell>
          <cell r="T1567">
            <v>0</v>
          </cell>
          <cell r="U1567">
            <v>0</v>
          </cell>
          <cell r="V1567">
            <v>0</v>
          </cell>
          <cell r="W1567">
            <v>0</v>
          </cell>
          <cell r="X1567" t="str">
            <v/>
          </cell>
          <cell r="Y1567" t="str">
            <v>⑤</v>
          </cell>
          <cell r="Z1567" t="str">
            <v/>
          </cell>
          <cell r="AA1567" t="str">
            <v/>
          </cell>
          <cell r="AB1567" t="str">
            <v/>
          </cell>
          <cell r="AC1567" t="str">
            <v/>
          </cell>
          <cell r="AD1567" t="str">
            <v/>
          </cell>
          <cell r="AE1567" t="str">
            <v/>
          </cell>
          <cell r="AF1567" t="str">
            <v/>
          </cell>
          <cell r="AG1567" t="str">
            <v/>
          </cell>
          <cell r="AH1567" t="str">
            <v/>
          </cell>
          <cell r="AI1567" t="str">
            <v/>
          </cell>
        </row>
        <row r="1568">
          <cell r="B1568">
            <v>8311</v>
          </cell>
          <cell r="C1568">
            <v>83</v>
          </cell>
          <cell r="D1568">
            <v>11</v>
          </cell>
          <cell r="F1568" t="str">
            <v>京都</v>
          </cell>
          <cell r="G1568" t="str">
            <v>ｽﾌﾟﾘﾝｸﾗｰ設備(総合)</v>
          </cell>
          <cell r="H1568" t="str">
            <v>ホーチキ</v>
          </cell>
          <cell r="I1568">
            <v>79800</v>
          </cell>
          <cell r="J1568">
            <v>81396</v>
          </cell>
          <cell r="K1568">
            <v>1</v>
          </cell>
          <cell r="L1568">
            <v>0</v>
          </cell>
          <cell r="M1568">
            <v>0</v>
          </cell>
          <cell r="N1568">
            <v>0</v>
          </cell>
          <cell r="O1568">
            <v>0</v>
          </cell>
          <cell r="P1568">
            <v>0</v>
          </cell>
          <cell r="Q1568">
            <v>0</v>
          </cell>
          <cell r="R1568">
            <v>0</v>
          </cell>
          <cell r="S1568">
            <v>81396</v>
          </cell>
          <cell r="T1568">
            <v>0</v>
          </cell>
          <cell r="U1568">
            <v>0</v>
          </cell>
          <cell r="V1568">
            <v>0</v>
          </cell>
          <cell r="W1568">
            <v>0</v>
          </cell>
          <cell r="X1568" t="str">
            <v/>
          </cell>
          <cell r="Y1568" t="str">
            <v/>
          </cell>
          <cell r="Z1568" t="str">
            <v/>
          </cell>
          <cell r="AA1568" t="str">
            <v/>
          </cell>
          <cell r="AB1568" t="str">
            <v/>
          </cell>
          <cell r="AC1568" t="str">
            <v/>
          </cell>
          <cell r="AD1568" t="str">
            <v/>
          </cell>
          <cell r="AE1568" t="str">
            <v>⑪</v>
          </cell>
          <cell r="AF1568" t="str">
            <v/>
          </cell>
          <cell r="AG1568" t="str">
            <v/>
          </cell>
          <cell r="AH1568" t="str">
            <v/>
          </cell>
          <cell r="AI1568" t="str">
            <v/>
          </cell>
        </row>
        <row r="1569">
          <cell r="B1569">
            <v>8312</v>
          </cell>
          <cell r="C1569">
            <v>83</v>
          </cell>
          <cell r="D1569">
            <v>12</v>
          </cell>
          <cell r="F1569" t="str">
            <v>京都</v>
          </cell>
          <cell r="G1569" t="str">
            <v>漏電警報機(外観)</v>
          </cell>
          <cell r="H1569" t="str">
            <v>ホーチキ</v>
          </cell>
          <cell r="I1569">
            <v>6000</v>
          </cell>
          <cell r="J1569">
            <v>6120</v>
          </cell>
          <cell r="K1569">
            <v>1</v>
          </cell>
          <cell r="L1569">
            <v>0</v>
          </cell>
          <cell r="M1569">
            <v>6120</v>
          </cell>
          <cell r="N1569">
            <v>0</v>
          </cell>
          <cell r="O1569">
            <v>0</v>
          </cell>
          <cell r="P1569">
            <v>0</v>
          </cell>
          <cell r="Q1569">
            <v>0</v>
          </cell>
          <cell r="R1569">
            <v>0</v>
          </cell>
          <cell r="S1569">
            <v>0</v>
          </cell>
          <cell r="T1569">
            <v>0</v>
          </cell>
          <cell r="U1569">
            <v>0</v>
          </cell>
          <cell r="V1569">
            <v>0</v>
          </cell>
          <cell r="W1569">
            <v>0</v>
          </cell>
          <cell r="X1569" t="str">
            <v/>
          </cell>
          <cell r="Y1569" t="str">
            <v>⑤</v>
          </cell>
          <cell r="Z1569" t="str">
            <v/>
          </cell>
          <cell r="AA1569" t="str">
            <v/>
          </cell>
          <cell r="AB1569" t="str">
            <v/>
          </cell>
          <cell r="AC1569" t="str">
            <v/>
          </cell>
          <cell r="AD1569" t="str">
            <v/>
          </cell>
          <cell r="AE1569" t="str">
            <v/>
          </cell>
          <cell r="AF1569" t="str">
            <v/>
          </cell>
          <cell r="AG1569" t="str">
            <v/>
          </cell>
          <cell r="AH1569" t="str">
            <v/>
          </cell>
          <cell r="AI1569" t="str">
            <v/>
          </cell>
        </row>
        <row r="1570">
          <cell r="B1570">
            <v>8313</v>
          </cell>
          <cell r="C1570">
            <v>83</v>
          </cell>
          <cell r="D1570">
            <v>13</v>
          </cell>
          <cell r="F1570" t="str">
            <v>京都</v>
          </cell>
          <cell r="G1570" t="str">
            <v>漏電警報機(総合)</v>
          </cell>
          <cell r="H1570" t="str">
            <v>ホーチキ</v>
          </cell>
          <cell r="I1570">
            <v>8000</v>
          </cell>
          <cell r="J1570">
            <v>8160</v>
          </cell>
          <cell r="K1570">
            <v>1</v>
          </cell>
          <cell r="L1570">
            <v>0</v>
          </cell>
          <cell r="M1570">
            <v>0</v>
          </cell>
          <cell r="N1570">
            <v>0</v>
          </cell>
          <cell r="O1570">
            <v>0</v>
          </cell>
          <cell r="P1570">
            <v>0</v>
          </cell>
          <cell r="Q1570">
            <v>0</v>
          </cell>
          <cell r="R1570">
            <v>0</v>
          </cell>
          <cell r="S1570">
            <v>8160</v>
          </cell>
          <cell r="T1570">
            <v>0</v>
          </cell>
          <cell r="U1570">
            <v>0</v>
          </cell>
          <cell r="V1570">
            <v>0</v>
          </cell>
          <cell r="W1570">
            <v>0</v>
          </cell>
          <cell r="X1570" t="str">
            <v/>
          </cell>
          <cell r="Y1570" t="str">
            <v/>
          </cell>
          <cell r="Z1570" t="str">
            <v/>
          </cell>
          <cell r="AA1570" t="str">
            <v/>
          </cell>
          <cell r="AB1570" t="str">
            <v/>
          </cell>
          <cell r="AC1570" t="str">
            <v/>
          </cell>
          <cell r="AD1570" t="str">
            <v/>
          </cell>
          <cell r="AE1570" t="str">
            <v>⑪</v>
          </cell>
          <cell r="AF1570" t="str">
            <v/>
          </cell>
          <cell r="AG1570" t="str">
            <v/>
          </cell>
          <cell r="AH1570" t="str">
            <v/>
          </cell>
          <cell r="AI1570" t="str">
            <v/>
          </cell>
        </row>
        <row r="1571">
          <cell r="B1571">
            <v>8314</v>
          </cell>
          <cell r="C1571">
            <v>83</v>
          </cell>
          <cell r="D1571">
            <v>14</v>
          </cell>
          <cell r="F1571" t="str">
            <v>京都</v>
          </cell>
          <cell r="G1571" t="str">
            <v>Ｐ型防排煙制御(外観)</v>
          </cell>
          <cell r="H1571" t="str">
            <v>ホーチキ</v>
          </cell>
          <cell r="I1571">
            <v>118600</v>
          </cell>
          <cell r="J1571">
            <v>120972</v>
          </cell>
          <cell r="K1571">
            <v>1</v>
          </cell>
          <cell r="L1571">
            <v>0</v>
          </cell>
          <cell r="M1571">
            <v>120972</v>
          </cell>
          <cell r="N1571">
            <v>0</v>
          </cell>
          <cell r="O1571">
            <v>0</v>
          </cell>
          <cell r="P1571">
            <v>0</v>
          </cell>
          <cell r="Q1571">
            <v>0</v>
          </cell>
          <cell r="R1571">
            <v>0</v>
          </cell>
          <cell r="S1571">
            <v>0</v>
          </cell>
          <cell r="T1571">
            <v>0</v>
          </cell>
          <cell r="U1571">
            <v>0</v>
          </cell>
          <cell r="V1571">
            <v>0</v>
          </cell>
          <cell r="W1571">
            <v>0</v>
          </cell>
          <cell r="X1571" t="str">
            <v/>
          </cell>
          <cell r="Y1571" t="str">
            <v>⑤</v>
          </cell>
          <cell r="Z1571" t="str">
            <v/>
          </cell>
          <cell r="AA1571" t="str">
            <v/>
          </cell>
          <cell r="AB1571" t="str">
            <v/>
          </cell>
          <cell r="AC1571" t="str">
            <v/>
          </cell>
          <cell r="AD1571" t="str">
            <v/>
          </cell>
          <cell r="AE1571" t="str">
            <v/>
          </cell>
          <cell r="AF1571" t="str">
            <v/>
          </cell>
          <cell r="AG1571" t="str">
            <v/>
          </cell>
          <cell r="AH1571" t="str">
            <v/>
          </cell>
          <cell r="AI1571" t="str">
            <v/>
          </cell>
        </row>
        <row r="1572">
          <cell r="B1572">
            <v>8315</v>
          </cell>
          <cell r="C1572">
            <v>83</v>
          </cell>
          <cell r="D1572">
            <v>15</v>
          </cell>
          <cell r="F1572" t="str">
            <v>京都</v>
          </cell>
          <cell r="G1572" t="str">
            <v>Ｐ型防排煙制御(総合)</v>
          </cell>
          <cell r="H1572" t="str">
            <v>ホーチキ</v>
          </cell>
          <cell r="I1572">
            <v>163400</v>
          </cell>
          <cell r="J1572">
            <v>166668</v>
          </cell>
          <cell r="K1572">
            <v>1</v>
          </cell>
          <cell r="L1572">
            <v>0</v>
          </cell>
          <cell r="M1572">
            <v>0</v>
          </cell>
          <cell r="N1572">
            <v>0</v>
          </cell>
          <cell r="O1572">
            <v>0</v>
          </cell>
          <cell r="P1572">
            <v>0</v>
          </cell>
          <cell r="Q1572">
            <v>0</v>
          </cell>
          <cell r="R1572">
            <v>0</v>
          </cell>
          <cell r="S1572">
            <v>166668</v>
          </cell>
          <cell r="T1572">
            <v>0</v>
          </cell>
          <cell r="U1572">
            <v>0</v>
          </cell>
          <cell r="V1572">
            <v>0</v>
          </cell>
          <cell r="W1572">
            <v>0</v>
          </cell>
          <cell r="X1572" t="str">
            <v/>
          </cell>
          <cell r="Y1572" t="str">
            <v/>
          </cell>
          <cell r="Z1572" t="str">
            <v/>
          </cell>
          <cell r="AA1572" t="str">
            <v/>
          </cell>
          <cell r="AB1572" t="str">
            <v/>
          </cell>
          <cell r="AC1572" t="str">
            <v/>
          </cell>
          <cell r="AD1572" t="str">
            <v/>
          </cell>
          <cell r="AE1572" t="str">
            <v>⑪</v>
          </cell>
          <cell r="AF1572" t="str">
            <v/>
          </cell>
          <cell r="AG1572" t="str">
            <v/>
          </cell>
          <cell r="AH1572" t="str">
            <v/>
          </cell>
          <cell r="AI1572" t="str">
            <v/>
          </cell>
        </row>
        <row r="1573">
          <cell r="B1573">
            <v>8316</v>
          </cell>
          <cell r="C1573">
            <v>83</v>
          </cell>
          <cell r="D1573">
            <v>16</v>
          </cell>
          <cell r="F1573" t="str">
            <v>京都</v>
          </cell>
          <cell r="G1573" t="str">
            <v>連結送水管(外観)</v>
          </cell>
          <cell r="H1573" t="str">
            <v>ホーチキ</v>
          </cell>
          <cell r="I1573">
            <v>19900</v>
          </cell>
          <cell r="J1573">
            <v>20298</v>
          </cell>
          <cell r="K1573">
            <v>1</v>
          </cell>
          <cell r="L1573">
            <v>0</v>
          </cell>
          <cell r="M1573">
            <v>20298</v>
          </cell>
          <cell r="N1573">
            <v>0</v>
          </cell>
          <cell r="O1573">
            <v>0</v>
          </cell>
          <cell r="P1573">
            <v>0</v>
          </cell>
          <cell r="Q1573">
            <v>0</v>
          </cell>
          <cell r="R1573">
            <v>0</v>
          </cell>
          <cell r="S1573">
            <v>0</v>
          </cell>
          <cell r="T1573">
            <v>0</v>
          </cell>
          <cell r="U1573">
            <v>0</v>
          </cell>
          <cell r="V1573">
            <v>0</v>
          </cell>
          <cell r="W1573">
            <v>0</v>
          </cell>
          <cell r="X1573" t="str">
            <v/>
          </cell>
          <cell r="Y1573" t="str">
            <v>⑤</v>
          </cell>
          <cell r="Z1573" t="str">
            <v/>
          </cell>
          <cell r="AA1573" t="str">
            <v/>
          </cell>
          <cell r="AB1573" t="str">
            <v/>
          </cell>
          <cell r="AC1573" t="str">
            <v/>
          </cell>
          <cell r="AD1573" t="str">
            <v/>
          </cell>
          <cell r="AE1573" t="str">
            <v/>
          </cell>
          <cell r="AF1573" t="str">
            <v/>
          </cell>
          <cell r="AG1573" t="str">
            <v/>
          </cell>
          <cell r="AH1573" t="str">
            <v/>
          </cell>
          <cell r="AI1573" t="str">
            <v/>
          </cell>
        </row>
        <row r="1574">
          <cell r="B1574">
            <v>8317</v>
          </cell>
          <cell r="C1574">
            <v>83</v>
          </cell>
          <cell r="D1574">
            <v>17</v>
          </cell>
          <cell r="F1574" t="str">
            <v>京都</v>
          </cell>
          <cell r="G1574" t="str">
            <v>連結送水管(総合)</v>
          </cell>
          <cell r="H1574" t="str">
            <v>ホーチキ</v>
          </cell>
          <cell r="I1574">
            <v>21100</v>
          </cell>
          <cell r="J1574">
            <v>21522</v>
          </cell>
          <cell r="K1574">
            <v>1</v>
          </cell>
          <cell r="L1574">
            <v>0</v>
          </cell>
          <cell r="M1574">
            <v>0</v>
          </cell>
          <cell r="N1574">
            <v>0</v>
          </cell>
          <cell r="O1574">
            <v>0</v>
          </cell>
          <cell r="P1574">
            <v>0</v>
          </cell>
          <cell r="Q1574">
            <v>0</v>
          </cell>
          <cell r="R1574">
            <v>0</v>
          </cell>
          <cell r="S1574">
            <v>21522</v>
          </cell>
          <cell r="T1574">
            <v>0</v>
          </cell>
          <cell r="U1574">
            <v>0</v>
          </cell>
          <cell r="V1574">
            <v>0</v>
          </cell>
          <cell r="W1574">
            <v>0</v>
          </cell>
          <cell r="X1574" t="str">
            <v/>
          </cell>
          <cell r="Y1574" t="str">
            <v/>
          </cell>
          <cell r="Z1574" t="str">
            <v/>
          </cell>
          <cell r="AA1574" t="str">
            <v/>
          </cell>
          <cell r="AB1574" t="str">
            <v/>
          </cell>
          <cell r="AC1574" t="str">
            <v/>
          </cell>
          <cell r="AD1574" t="str">
            <v/>
          </cell>
          <cell r="AE1574" t="str">
            <v>⑪</v>
          </cell>
          <cell r="AF1574" t="str">
            <v/>
          </cell>
          <cell r="AG1574" t="str">
            <v/>
          </cell>
          <cell r="AH1574" t="str">
            <v/>
          </cell>
          <cell r="AI1574" t="str">
            <v/>
          </cell>
        </row>
        <row r="1575">
          <cell r="B1575">
            <v>8318</v>
          </cell>
          <cell r="C1575">
            <v>83</v>
          </cell>
          <cell r="D1575">
            <v>18</v>
          </cell>
          <cell r="F1575" t="str">
            <v>京都</v>
          </cell>
          <cell r="G1575" t="str">
            <v>非常コンセント(外観)</v>
          </cell>
          <cell r="H1575" t="str">
            <v>ホーチキ</v>
          </cell>
          <cell r="I1575">
            <v>4500</v>
          </cell>
          <cell r="J1575">
            <v>4590</v>
          </cell>
          <cell r="K1575">
            <v>1</v>
          </cell>
          <cell r="L1575">
            <v>0</v>
          </cell>
          <cell r="M1575">
            <v>4590</v>
          </cell>
          <cell r="N1575">
            <v>0</v>
          </cell>
          <cell r="O1575">
            <v>0</v>
          </cell>
          <cell r="P1575">
            <v>0</v>
          </cell>
          <cell r="Q1575">
            <v>0</v>
          </cell>
          <cell r="R1575">
            <v>0</v>
          </cell>
          <cell r="S1575">
            <v>0</v>
          </cell>
          <cell r="T1575">
            <v>0</v>
          </cell>
          <cell r="U1575">
            <v>0</v>
          </cell>
          <cell r="V1575">
            <v>0</v>
          </cell>
          <cell r="W1575">
            <v>0</v>
          </cell>
          <cell r="X1575" t="str">
            <v/>
          </cell>
          <cell r="Y1575" t="str">
            <v>⑤</v>
          </cell>
          <cell r="Z1575" t="str">
            <v/>
          </cell>
          <cell r="AA1575" t="str">
            <v/>
          </cell>
          <cell r="AB1575" t="str">
            <v/>
          </cell>
          <cell r="AC1575" t="str">
            <v/>
          </cell>
          <cell r="AD1575" t="str">
            <v/>
          </cell>
          <cell r="AE1575" t="str">
            <v/>
          </cell>
          <cell r="AF1575" t="str">
            <v/>
          </cell>
          <cell r="AG1575" t="str">
            <v/>
          </cell>
          <cell r="AH1575" t="str">
            <v/>
          </cell>
          <cell r="AI1575" t="str">
            <v/>
          </cell>
        </row>
        <row r="1576">
          <cell r="B1576">
            <v>8319</v>
          </cell>
          <cell r="C1576">
            <v>83</v>
          </cell>
          <cell r="D1576">
            <v>19</v>
          </cell>
          <cell r="F1576" t="str">
            <v>京都</v>
          </cell>
          <cell r="G1576" t="str">
            <v>非常コンセント(総合)</v>
          </cell>
          <cell r="H1576" t="str">
            <v>ホーチキ</v>
          </cell>
          <cell r="I1576">
            <v>4500</v>
          </cell>
          <cell r="J1576">
            <v>4590</v>
          </cell>
          <cell r="K1576">
            <v>1</v>
          </cell>
          <cell r="L1576">
            <v>0</v>
          </cell>
          <cell r="M1576">
            <v>0</v>
          </cell>
          <cell r="N1576">
            <v>0</v>
          </cell>
          <cell r="O1576">
            <v>0</v>
          </cell>
          <cell r="P1576">
            <v>0</v>
          </cell>
          <cell r="Q1576">
            <v>0</v>
          </cell>
          <cell r="R1576">
            <v>0</v>
          </cell>
          <cell r="S1576">
            <v>4590</v>
          </cell>
          <cell r="T1576">
            <v>0</v>
          </cell>
          <cell r="U1576">
            <v>0</v>
          </cell>
          <cell r="V1576">
            <v>0</v>
          </cell>
          <cell r="W1576">
            <v>0</v>
          </cell>
          <cell r="X1576" t="str">
            <v/>
          </cell>
          <cell r="Y1576" t="str">
            <v/>
          </cell>
          <cell r="Z1576" t="str">
            <v/>
          </cell>
          <cell r="AA1576" t="str">
            <v/>
          </cell>
          <cell r="AB1576" t="str">
            <v/>
          </cell>
          <cell r="AC1576" t="str">
            <v/>
          </cell>
          <cell r="AD1576" t="str">
            <v/>
          </cell>
          <cell r="AE1576" t="str">
            <v>⑪</v>
          </cell>
          <cell r="AF1576" t="str">
            <v/>
          </cell>
          <cell r="AG1576" t="str">
            <v/>
          </cell>
          <cell r="AH1576" t="str">
            <v/>
          </cell>
          <cell r="AI1576" t="str">
            <v/>
          </cell>
        </row>
        <row r="1577">
          <cell r="B1577">
            <v>8320</v>
          </cell>
          <cell r="C1577">
            <v>83</v>
          </cell>
          <cell r="D1577">
            <v>20</v>
          </cell>
          <cell r="F1577" t="str">
            <v>京都</v>
          </cell>
          <cell r="G1577" t="str">
            <v>自家発電(外観)</v>
          </cell>
          <cell r="H1577" t="str">
            <v>ホーチキ</v>
          </cell>
          <cell r="I1577">
            <v>76200</v>
          </cell>
          <cell r="J1577">
            <v>77724</v>
          </cell>
          <cell r="K1577">
            <v>1</v>
          </cell>
          <cell r="L1577">
            <v>0</v>
          </cell>
          <cell r="M1577">
            <v>77724</v>
          </cell>
          <cell r="N1577">
            <v>0</v>
          </cell>
          <cell r="O1577">
            <v>0</v>
          </cell>
          <cell r="P1577">
            <v>0</v>
          </cell>
          <cell r="Q1577">
            <v>0</v>
          </cell>
          <cell r="R1577">
            <v>0</v>
          </cell>
          <cell r="S1577">
            <v>0</v>
          </cell>
          <cell r="T1577">
            <v>0</v>
          </cell>
          <cell r="U1577">
            <v>0</v>
          </cell>
          <cell r="V1577">
            <v>0</v>
          </cell>
          <cell r="W1577">
            <v>0</v>
          </cell>
          <cell r="X1577" t="str">
            <v/>
          </cell>
          <cell r="Y1577" t="str">
            <v>⑤</v>
          </cell>
          <cell r="Z1577" t="str">
            <v/>
          </cell>
          <cell r="AA1577" t="str">
            <v/>
          </cell>
          <cell r="AB1577" t="str">
            <v/>
          </cell>
          <cell r="AC1577" t="str">
            <v/>
          </cell>
          <cell r="AD1577" t="str">
            <v/>
          </cell>
          <cell r="AE1577" t="str">
            <v/>
          </cell>
          <cell r="AF1577" t="str">
            <v/>
          </cell>
          <cell r="AG1577" t="str">
            <v/>
          </cell>
          <cell r="AH1577" t="str">
            <v/>
          </cell>
          <cell r="AI1577" t="str">
            <v/>
          </cell>
        </row>
        <row r="1578">
          <cell r="B1578">
            <v>8321</v>
          </cell>
          <cell r="C1578">
            <v>83</v>
          </cell>
          <cell r="D1578">
            <v>21</v>
          </cell>
          <cell r="F1578" t="str">
            <v>京都</v>
          </cell>
          <cell r="G1578" t="str">
            <v>自家発電(総合)</v>
          </cell>
          <cell r="H1578" t="str">
            <v>ホーチキ</v>
          </cell>
          <cell r="I1578">
            <v>79800</v>
          </cell>
          <cell r="J1578">
            <v>81396</v>
          </cell>
          <cell r="K1578">
            <v>1</v>
          </cell>
          <cell r="L1578">
            <v>0</v>
          </cell>
          <cell r="M1578">
            <v>0</v>
          </cell>
          <cell r="N1578">
            <v>0</v>
          </cell>
          <cell r="O1578">
            <v>0</v>
          </cell>
          <cell r="P1578">
            <v>0</v>
          </cell>
          <cell r="Q1578">
            <v>0</v>
          </cell>
          <cell r="R1578">
            <v>0</v>
          </cell>
          <cell r="S1578">
            <v>81396</v>
          </cell>
          <cell r="T1578">
            <v>0</v>
          </cell>
          <cell r="U1578">
            <v>0</v>
          </cell>
          <cell r="V1578">
            <v>0</v>
          </cell>
          <cell r="W1578">
            <v>0</v>
          </cell>
          <cell r="X1578" t="str">
            <v/>
          </cell>
          <cell r="Y1578" t="str">
            <v/>
          </cell>
          <cell r="Z1578" t="str">
            <v/>
          </cell>
          <cell r="AA1578" t="str">
            <v/>
          </cell>
          <cell r="AB1578" t="str">
            <v/>
          </cell>
          <cell r="AC1578" t="str">
            <v/>
          </cell>
          <cell r="AD1578" t="str">
            <v/>
          </cell>
          <cell r="AE1578" t="str">
            <v>⑪</v>
          </cell>
          <cell r="AF1578" t="str">
            <v/>
          </cell>
          <cell r="AG1578" t="str">
            <v/>
          </cell>
          <cell r="AH1578" t="str">
            <v/>
          </cell>
          <cell r="AI1578" t="str">
            <v/>
          </cell>
        </row>
        <row r="1579">
          <cell r="B1579">
            <v>8322</v>
          </cell>
          <cell r="C1579">
            <v>83</v>
          </cell>
          <cell r="D1579">
            <v>22</v>
          </cell>
          <cell r="F1579" t="str">
            <v>京都</v>
          </cell>
          <cell r="G1579" t="str">
            <v>蓄電池(外観)</v>
          </cell>
          <cell r="H1579" t="str">
            <v>ホーチキ</v>
          </cell>
          <cell r="I1579">
            <v>23500</v>
          </cell>
          <cell r="J1579">
            <v>23970</v>
          </cell>
          <cell r="K1579">
            <v>1</v>
          </cell>
          <cell r="L1579">
            <v>0</v>
          </cell>
          <cell r="M1579">
            <v>23970</v>
          </cell>
          <cell r="N1579">
            <v>0</v>
          </cell>
          <cell r="O1579">
            <v>0</v>
          </cell>
          <cell r="P1579">
            <v>0</v>
          </cell>
          <cell r="Q1579">
            <v>0</v>
          </cell>
          <cell r="R1579">
            <v>0</v>
          </cell>
          <cell r="S1579">
            <v>0</v>
          </cell>
          <cell r="T1579">
            <v>0</v>
          </cell>
          <cell r="U1579">
            <v>0</v>
          </cell>
          <cell r="V1579">
            <v>0</v>
          </cell>
          <cell r="W1579">
            <v>0</v>
          </cell>
          <cell r="X1579" t="str">
            <v/>
          </cell>
          <cell r="Y1579" t="str">
            <v>⑤</v>
          </cell>
          <cell r="Z1579" t="str">
            <v/>
          </cell>
          <cell r="AA1579" t="str">
            <v/>
          </cell>
          <cell r="AB1579" t="str">
            <v/>
          </cell>
          <cell r="AC1579" t="str">
            <v/>
          </cell>
          <cell r="AD1579" t="str">
            <v/>
          </cell>
          <cell r="AE1579" t="str">
            <v/>
          </cell>
          <cell r="AF1579" t="str">
            <v/>
          </cell>
          <cell r="AG1579" t="str">
            <v/>
          </cell>
          <cell r="AH1579" t="str">
            <v/>
          </cell>
          <cell r="AI1579" t="str">
            <v/>
          </cell>
        </row>
        <row r="1580">
          <cell r="B1580">
            <v>8323</v>
          </cell>
          <cell r="C1580">
            <v>83</v>
          </cell>
          <cell r="D1580">
            <v>23</v>
          </cell>
          <cell r="F1580" t="str">
            <v>京都</v>
          </cell>
          <cell r="G1580" t="str">
            <v>蓄電池(総合)</v>
          </cell>
          <cell r="H1580" t="str">
            <v>ホーチキ</v>
          </cell>
          <cell r="I1580">
            <v>28500</v>
          </cell>
          <cell r="J1580">
            <v>29070</v>
          </cell>
          <cell r="K1580">
            <v>1</v>
          </cell>
          <cell r="L1580">
            <v>0</v>
          </cell>
          <cell r="M1580">
            <v>0</v>
          </cell>
          <cell r="N1580">
            <v>0</v>
          </cell>
          <cell r="O1580">
            <v>0</v>
          </cell>
          <cell r="P1580">
            <v>0</v>
          </cell>
          <cell r="Q1580">
            <v>0</v>
          </cell>
          <cell r="R1580">
            <v>0</v>
          </cell>
          <cell r="S1580">
            <v>29070</v>
          </cell>
          <cell r="T1580">
            <v>0</v>
          </cell>
          <cell r="U1580">
            <v>0</v>
          </cell>
          <cell r="V1580">
            <v>0</v>
          </cell>
          <cell r="W1580">
            <v>0</v>
          </cell>
          <cell r="X1580" t="str">
            <v/>
          </cell>
          <cell r="Y1580" t="str">
            <v/>
          </cell>
          <cell r="Z1580" t="str">
            <v/>
          </cell>
          <cell r="AA1580" t="str">
            <v/>
          </cell>
          <cell r="AB1580" t="str">
            <v/>
          </cell>
          <cell r="AC1580" t="str">
            <v/>
          </cell>
          <cell r="AD1580" t="str">
            <v/>
          </cell>
          <cell r="AE1580" t="str">
            <v>⑪</v>
          </cell>
          <cell r="AF1580" t="str">
            <v/>
          </cell>
          <cell r="AG1580" t="str">
            <v/>
          </cell>
          <cell r="AH1580" t="str">
            <v/>
          </cell>
          <cell r="AI1580" t="str">
            <v/>
          </cell>
        </row>
        <row r="1581">
          <cell r="B1581">
            <v>8324</v>
          </cell>
          <cell r="C1581">
            <v>83</v>
          </cell>
          <cell r="D1581">
            <v>24</v>
          </cell>
          <cell r="F1581" t="str">
            <v>京都</v>
          </cell>
          <cell r="G1581" t="str">
            <v>Ｐ型自火報(外観)</v>
          </cell>
          <cell r="H1581" t="str">
            <v>ホーチキ</v>
          </cell>
          <cell r="I1581">
            <v>50900</v>
          </cell>
          <cell r="J1581">
            <v>51918</v>
          </cell>
          <cell r="K1581">
            <v>1</v>
          </cell>
          <cell r="L1581">
            <v>0</v>
          </cell>
          <cell r="M1581">
            <v>51918</v>
          </cell>
          <cell r="N1581">
            <v>0</v>
          </cell>
          <cell r="O1581">
            <v>0</v>
          </cell>
          <cell r="P1581">
            <v>0</v>
          </cell>
          <cell r="Q1581">
            <v>0</v>
          </cell>
          <cell r="R1581">
            <v>0</v>
          </cell>
          <cell r="S1581">
            <v>0</v>
          </cell>
          <cell r="T1581">
            <v>0</v>
          </cell>
          <cell r="U1581">
            <v>0</v>
          </cell>
          <cell r="V1581">
            <v>0</v>
          </cell>
          <cell r="W1581">
            <v>0</v>
          </cell>
          <cell r="X1581" t="str">
            <v/>
          </cell>
          <cell r="Y1581" t="str">
            <v>⑤</v>
          </cell>
          <cell r="Z1581" t="str">
            <v/>
          </cell>
          <cell r="AA1581" t="str">
            <v/>
          </cell>
          <cell r="AB1581" t="str">
            <v/>
          </cell>
          <cell r="AC1581" t="str">
            <v/>
          </cell>
          <cell r="AD1581" t="str">
            <v/>
          </cell>
          <cell r="AE1581" t="str">
            <v/>
          </cell>
          <cell r="AF1581" t="str">
            <v/>
          </cell>
          <cell r="AG1581" t="str">
            <v/>
          </cell>
          <cell r="AH1581" t="str">
            <v/>
          </cell>
          <cell r="AI1581" t="str">
            <v/>
          </cell>
        </row>
        <row r="1582">
          <cell r="B1582">
            <v>8325</v>
          </cell>
          <cell r="C1582">
            <v>83</v>
          </cell>
          <cell r="D1582">
            <v>25</v>
          </cell>
          <cell r="F1582" t="str">
            <v>京都</v>
          </cell>
          <cell r="G1582" t="str">
            <v>Ｐ型自火報(総合)</v>
          </cell>
          <cell r="H1582" t="str">
            <v>ホーチキ</v>
          </cell>
          <cell r="I1582">
            <v>91100</v>
          </cell>
          <cell r="J1582">
            <v>92922</v>
          </cell>
          <cell r="K1582">
            <v>1</v>
          </cell>
          <cell r="L1582">
            <v>0</v>
          </cell>
          <cell r="M1582">
            <v>0</v>
          </cell>
          <cell r="N1582">
            <v>0</v>
          </cell>
          <cell r="O1582">
            <v>0</v>
          </cell>
          <cell r="P1582">
            <v>0</v>
          </cell>
          <cell r="Q1582">
            <v>0</v>
          </cell>
          <cell r="R1582">
            <v>0</v>
          </cell>
          <cell r="S1582">
            <v>92922</v>
          </cell>
          <cell r="T1582">
            <v>0</v>
          </cell>
          <cell r="U1582">
            <v>0</v>
          </cell>
          <cell r="V1582">
            <v>0</v>
          </cell>
          <cell r="W1582">
            <v>0</v>
          </cell>
          <cell r="X1582" t="str">
            <v/>
          </cell>
          <cell r="Y1582" t="str">
            <v/>
          </cell>
          <cell r="Z1582" t="str">
            <v/>
          </cell>
          <cell r="AA1582" t="str">
            <v/>
          </cell>
          <cell r="AB1582" t="str">
            <v/>
          </cell>
          <cell r="AC1582" t="str">
            <v/>
          </cell>
          <cell r="AD1582" t="str">
            <v/>
          </cell>
          <cell r="AE1582" t="str">
            <v>⑪</v>
          </cell>
          <cell r="AF1582" t="str">
            <v/>
          </cell>
          <cell r="AG1582" t="str">
            <v/>
          </cell>
          <cell r="AH1582" t="str">
            <v/>
          </cell>
          <cell r="AI1582" t="str">
            <v/>
          </cell>
        </row>
        <row r="1583">
          <cell r="B1583">
            <v>8326</v>
          </cell>
          <cell r="C1583">
            <v>83</v>
          </cell>
          <cell r="D1583">
            <v>26</v>
          </cell>
          <cell r="F1583" t="str">
            <v>京都</v>
          </cell>
          <cell r="G1583" t="str">
            <v>非常放送設備保守(外観)</v>
          </cell>
          <cell r="H1583" t="str">
            <v>近鉄音響工業</v>
          </cell>
          <cell r="I1583">
            <v>63000</v>
          </cell>
          <cell r="J1583">
            <v>64260</v>
          </cell>
          <cell r="K1583">
            <v>2</v>
          </cell>
          <cell r="L1583">
            <v>0</v>
          </cell>
          <cell r="M1583">
            <v>64260</v>
          </cell>
          <cell r="N1583">
            <v>0</v>
          </cell>
          <cell r="O1583">
            <v>0</v>
          </cell>
          <cell r="P1583">
            <v>0</v>
          </cell>
          <cell r="Q1583">
            <v>0</v>
          </cell>
          <cell r="R1583">
            <v>0</v>
          </cell>
          <cell r="S1583">
            <v>64260</v>
          </cell>
          <cell r="T1583">
            <v>0</v>
          </cell>
          <cell r="U1583">
            <v>0</v>
          </cell>
          <cell r="V1583">
            <v>0</v>
          </cell>
          <cell r="W1583">
            <v>0</v>
          </cell>
          <cell r="X1583" t="str">
            <v/>
          </cell>
          <cell r="Y1583" t="str">
            <v>⑤</v>
          </cell>
          <cell r="Z1583" t="str">
            <v/>
          </cell>
          <cell r="AA1583" t="str">
            <v/>
          </cell>
          <cell r="AB1583" t="str">
            <v/>
          </cell>
          <cell r="AC1583" t="str">
            <v/>
          </cell>
          <cell r="AD1583" t="str">
            <v/>
          </cell>
          <cell r="AE1583" t="str">
            <v>⑪</v>
          </cell>
          <cell r="AF1583" t="str">
            <v/>
          </cell>
          <cell r="AG1583" t="str">
            <v/>
          </cell>
          <cell r="AH1583" t="str">
            <v/>
          </cell>
          <cell r="AI1583" t="str">
            <v/>
          </cell>
        </row>
        <row r="1584">
          <cell r="B1584">
            <v>8327</v>
          </cell>
          <cell r="C1584">
            <v>83</v>
          </cell>
          <cell r="D1584">
            <v>27</v>
          </cell>
          <cell r="F1584" t="str">
            <v>京都</v>
          </cell>
          <cell r="G1584" t="str">
            <v>害虫駆除</v>
          </cell>
          <cell r="H1584" t="str">
            <v>シーアイシー</v>
          </cell>
          <cell r="I1584">
            <v>101500</v>
          </cell>
          <cell r="J1584">
            <v>111650</v>
          </cell>
          <cell r="K1584">
            <v>2</v>
          </cell>
          <cell r="L1584">
            <v>0</v>
          </cell>
          <cell r="M1584">
            <v>0</v>
          </cell>
          <cell r="N1584">
            <v>111650</v>
          </cell>
          <cell r="O1584">
            <v>0</v>
          </cell>
          <cell r="P1584">
            <v>0</v>
          </cell>
          <cell r="Q1584">
            <v>0</v>
          </cell>
          <cell r="R1584">
            <v>0</v>
          </cell>
          <cell r="S1584">
            <v>0</v>
          </cell>
          <cell r="T1584">
            <v>111650</v>
          </cell>
          <cell r="U1584">
            <v>0</v>
          </cell>
          <cell r="V1584">
            <v>0</v>
          </cell>
          <cell r="W1584">
            <v>0</v>
          </cell>
          <cell r="X1584" t="str">
            <v/>
          </cell>
          <cell r="Y1584" t="str">
            <v/>
          </cell>
          <cell r="Z1584" t="str">
            <v>⑥</v>
          </cell>
          <cell r="AA1584" t="str">
            <v/>
          </cell>
          <cell r="AB1584" t="str">
            <v/>
          </cell>
          <cell r="AC1584" t="str">
            <v/>
          </cell>
          <cell r="AD1584" t="str">
            <v/>
          </cell>
          <cell r="AE1584" t="str">
            <v/>
          </cell>
          <cell r="AF1584" t="str">
            <v>⑫</v>
          </cell>
          <cell r="AG1584" t="str">
            <v/>
          </cell>
          <cell r="AH1584" t="str">
            <v/>
          </cell>
          <cell r="AI1584" t="str">
            <v/>
          </cell>
        </row>
        <row r="1585">
          <cell r="B1585">
            <v>8328</v>
          </cell>
          <cell r="C1585">
            <v>83</v>
          </cell>
          <cell r="D1585">
            <v>28</v>
          </cell>
          <cell r="F1585" t="str">
            <v>京都</v>
          </cell>
          <cell r="G1585" t="str">
            <v>排ガス測定</v>
          </cell>
          <cell r="H1585" t="str">
            <v>日本計測サービス</v>
          </cell>
          <cell r="I1585">
            <v>60000</v>
          </cell>
          <cell r="J1585">
            <v>69000</v>
          </cell>
          <cell r="K1585">
            <v>2</v>
          </cell>
          <cell r="L1585">
            <v>0</v>
          </cell>
          <cell r="M1585">
            <v>0</v>
          </cell>
          <cell r="N1585">
            <v>0</v>
          </cell>
          <cell r="O1585">
            <v>69000</v>
          </cell>
          <cell r="P1585">
            <v>0</v>
          </cell>
          <cell r="Q1585">
            <v>0</v>
          </cell>
          <cell r="R1585">
            <v>0</v>
          </cell>
          <cell r="S1585">
            <v>0</v>
          </cell>
          <cell r="T1585">
            <v>0</v>
          </cell>
          <cell r="U1585">
            <v>0</v>
          </cell>
          <cell r="V1585">
            <v>69000</v>
          </cell>
          <cell r="W1585">
            <v>0</v>
          </cell>
          <cell r="X1585" t="str">
            <v/>
          </cell>
          <cell r="Y1585" t="str">
            <v/>
          </cell>
          <cell r="Z1585" t="str">
            <v/>
          </cell>
          <cell r="AA1585" t="str">
            <v>⑦</v>
          </cell>
          <cell r="AC1585" t="str">
            <v/>
          </cell>
          <cell r="AD1585" t="str">
            <v/>
          </cell>
          <cell r="AE1585" t="str">
            <v/>
          </cell>
          <cell r="AF1585" t="str">
            <v/>
          </cell>
          <cell r="AG1585" t="str">
            <v/>
          </cell>
          <cell r="AH1585" t="str">
            <v>②</v>
          </cell>
          <cell r="AI1585" t="str">
            <v/>
          </cell>
        </row>
        <row r="1586">
          <cell r="B1586">
            <v>8329</v>
          </cell>
          <cell r="C1586">
            <v>83</v>
          </cell>
          <cell r="D1586">
            <v>29</v>
          </cell>
          <cell r="F1586" t="str">
            <v>京都</v>
          </cell>
          <cell r="G1586" t="str">
            <v>汚水･雑排水槽清掃</v>
          </cell>
          <cell r="H1586" t="str">
            <v>日本カルミック</v>
          </cell>
          <cell r="I1586">
            <v>61000</v>
          </cell>
          <cell r="J1586">
            <v>68320</v>
          </cell>
          <cell r="K1586">
            <v>2</v>
          </cell>
          <cell r="L1586">
            <v>0</v>
          </cell>
          <cell r="M1586">
            <v>0</v>
          </cell>
          <cell r="N1586">
            <v>0</v>
          </cell>
          <cell r="O1586">
            <v>0</v>
          </cell>
          <cell r="P1586">
            <v>68320</v>
          </cell>
          <cell r="Q1586">
            <v>0</v>
          </cell>
          <cell r="R1586">
            <v>0</v>
          </cell>
          <cell r="S1586">
            <v>0</v>
          </cell>
          <cell r="T1586">
            <v>0</v>
          </cell>
          <cell r="U1586">
            <v>0</v>
          </cell>
          <cell r="V1586">
            <v>68320</v>
          </cell>
          <cell r="W1586">
            <v>0</v>
          </cell>
          <cell r="X1586" t="str">
            <v/>
          </cell>
          <cell r="Y1586" t="str">
            <v/>
          </cell>
          <cell r="Z1586" t="str">
            <v/>
          </cell>
          <cell r="AA1586" t="str">
            <v/>
          </cell>
          <cell r="AB1586" t="str">
            <v>⑧</v>
          </cell>
          <cell r="AD1586" t="str">
            <v/>
          </cell>
          <cell r="AE1586" t="str">
            <v/>
          </cell>
          <cell r="AF1586" t="str">
            <v/>
          </cell>
          <cell r="AG1586" t="str">
            <v/>
          </cell>
          <cell r="AH1586" t="str">
            <v>②</v>
          </cell>
          <cell r="AI1586" t="str">
            <v/>
          </cell>
        </row>
        <row r="1587">
          <cell r="B1587">
            <v>8330</v>
          </cell>
          <cell r="C1587">
            <v>83</v>
          </cell>
          <cell r="D1587">
            <v>30</v>
          </cell>
          <cell r="F1587" t="str">
            <v>京都</v>
          </cell>
          <cell r="G1587" t="str">
            <v>受水槽清掃(含む高架水槽)</v>
          </cell>
          <cell r="H1587" t="str">
            <v>大阪東管サービス</v>
          </cell>
          <cell r="I1587">
            <v>125000</v>
          </cell>
          <cell r="J1587">
            <v>141250</v>
          </cell>
          <cell r="K1587">
            <v>1</v>
          </cell>
          <cell r="L1587">
            <v>0</v>
          </cell>
          <cell r="M1587">
            <v>0</v>
          </cell>
          <cell r="N1587">
            <v>0</v>
          </cell>
          <cell r="O1587">
            <v>0</v>
          </cell>
          <cell r="P1587">
            <v>0</v>
          </cell>
          <cell r="Q1587">
            <v>0</v>
          </cell>
          <cell r="R1587">
            <v>141250</v>
          </cell>
          <cell r="S1587">
            <v>0</v>
          </cell>
          <cell r="T1587">
            <v>0</v>
          </cell>
          <cell r="U1587">
            <v>0</v>
          </cell>
          <cell r="V1587">
            <v>0</v>
          </cell>
          <cell r="W1587">
            <v>0</v>
          </cell>
          <cell r="X1587" t="str">
            <v/>
          </cell>
          <cell r="Y1587" t="str">
            <v/>
          </cell>
          <cell r="Z1587" t="str">
            <v/>
          </cell>
          <cell r="AA1587" t="str">
            <v/>
          </cell>
          <cell r="AB1587" t="str">
            <v/>
          </cell>
          <cell r="AC1587" t="str">
            <v/>
          </cell>
          <cell r="AD1587" t="str">
            <v>⑩</v>
          </cell>
          <cell r="AE1587" t="str">
            <v/>
          </cell>
          <cell r="AF1587" t="str">
            <v/>
          </cell>
          <cell r="AG1587" t="str">
            <v/>
          </cell>
          <cell r="AH1587" t="str">
            <v/>
          </cell>
          <cell r="AI1587" t="str">
            <v/>
          </cell>
        </row>
        <row r="1588">
          <cell r="B1588">
            <v>8331</v>
          </cell>
          <cell r="C1588">
            <v>83</v>
          </cell>
          <cell r="D1588">
            <v>31</v>
          </cell>
          <cell r="F1588" t="str">
            <v>京都</v>
          </cell>
          <cell r="G1588" t="str">
            <v>自動ドアー保守</v>
          </cell>
          <cell r="H1588" t="str">
            <v>ナブコドアエンジン</v>
          </cell>
          <cell r="I1588">
            <v>80000</v>
          </cell>
          <cell r="J1588">
            <v>81600</v>
          </cell>
          <cell r="K1588">
            <v>1</v>
          </cell>
          <cell r="L1588">
            <v>0</v>
          </cell>
          <cell r="M1588">
            <v>0</v>
          </cell>
          <cell r="N1588">
            <v>0</v>
          </cell>
          <cell r="O1588">
            <v>0</v>
          </cell>
          <cell r="P1588">
            <v>0</v>
          </cell>
          <cell r="Q1588">
            <v>0</v>
          </cell>
          <cell r="R1588">
            <v>0</v>
          </cell>
          <cell r="S1588">
            <v>0</v>
          </cell>
          <cell r="T1588">
            <v>0</v>
          </cell>
          <cell r="U1588">
            <v>0</v>
          </cell>
          <cell r="V1588">
            <v>0</v>
          </cell>
          <cell r="W1588">
            <v>81600</v>
          </cell>
          <cell r="X1588" t="str">
            <v/>
          </cell>
          <cell r="Y1588" t="str">
            <v/>
          </cell>
          <cell r="Z1588" t="str">
            <v/>
          </cell>
          <cell r="AA1588" t="str">
            <v/>
          </cell>
          <cell r="AB1588" t="str">
            <v/>
          </cell>
          <cell r="AC1588" t="str">
            <v/>
          </cell>
          <cell r="AD1588" t="str">
            <v/>
          </cell>
          <cell r="AE1588" t="str">
            <v/>
          </cell>
          <cell r="AF1588" t="str">
            <v/>
          </cell>
          <cell r="AG1588" t="str">
            <v/>
          </cell>
          <cell r="AH1588" t="str">
            <v/>
          </cell>
          <cell r="AI1588" t="str">
            <v>③</v>
          </cell>
        </row>
        <row r="1589">
          <cell r="B1589">
            <v>8332</v>
          </cell>
          <cell r="C1589">
            <v>83</v>
          </cell>
          <cell r="D1589">
            <v>32</v>
          </cell>
          <cell r="F1589" t="str">
            <v>京都</v>
          </cell>
          <cell r="G1589" t="str">
            <v>冷暖房設備保守</v>
          </cell>
          <cell r="H1589" t="str">
            <v>東洋製作所</v>
          </cell>
          <cell r="I1589">
            <v>423000</v>
          </cell>
          <cell r="J1589">
            <v>431460</v>
          </cell>
          <cell r="K1589">
            <v>1</v>
          </cell>
          <cell r="L1589">
            <v>431460</v>
          </cell>
          <cell r="M1589">
            <v>0</v>
          </cell>
          <cell r="N1589">
            <v>0</v>
          </cell>
          <cell r="O1589">
            <v>0</v>
          </cell>
          <cell r="P1589">
            <v>0</v>
          </cell>
          <cell r="Q1589">
            <v>0</v>
          </cell>
          <cell r="R1589">
            <v>0</v>
          </cell>
          <cell r="S1589">
            <v>0</v>
          </cell>
          <cell r="T1589">
            <v>0</v>
          </cell>
          <cell r="U1589">
            <v>0</v>
          </cell>
          <cell r="V1589">
            <v>0</v>
          </cell>
          <cell r="W1589">
            <v>0</v>
          </cell>
          <cell r="X1589" t="str">
            <v>④</v>
          </cell>
          <cell r="Y1589" t="str">
            <v/>
          </cell>
          <cell r="AA1589" t="str">
            <v/>
          </cell>
          <cell r="AB1589" t="str">
            <v/>
          </cell>
          <cell r="AC1589" t="str">
            <v/>
          </cell>
          <cell r="AD1589" t="str">
            <v/>
          </cell>
          <cell r="AE1589" t="str">
            <v/>
          </cell>
          <cell r="AF1589" t="str">
            <v/>
          </cell>
          <cell r="AG1589" t="str">
            <v/>
          </cell>
          <cell r="AH1589" t="str">
            <v/>
          </cell>
          <cell r="AI1589" t="str">
            <v/>
          </cell>
        </row>
        <row r="1590">
          <cell r="B1590">
            <v>8333</v>
          </cell>
          <cell r="C1590">
            <v>83</v>
          </cell>
          <cell r="D1590">
            <v>33</v>
          </cell>
          <cell r="F1590" t="str">
            <v>京都</v>
          </cell>
          <cell r="G1590" t="str">
            <v>冷暖房設備保守</v>
          </cell>
          <cell r="H1590" t="str">
            <v>東洋製作所</v>
          </cell>
          <cell r="I1590">
            <v>422900</v>
          </cell>
          <cell r="J1590">
            <v>431358</v>
          </cell>
          <cell r="K1590">
            <v>2</v>
          </cell>
          <cell r="L1590">
            <v>0</v>
          </cell>
          <cell r="M1590">
            <v>0</v>
          </cell>
          <cell r="N1590">
            <v>0</v>
          </cell>
          <cell r="O1590">
            <v>0</v>
          </cell>
          <cell r="P1590">
            <v>0</v>
          </cell>
          <cell r="Q1590">
            <v>0</v>
          </cell>
          <cell r="R1590">
            <v>431358</v>
          </cell>
          <cell r="S1590">
            <v>0</v>
          </cell>
          <cell r="T1590">
            <v>0</v>
          </cell>
          <cell r="U1590">
            <v>0</v>
          </cell>
          <cell r="V1590">
            <v>431358</v>
          </cell>
          <cell r="W1590">
            <v>0</v>
          </cell>
          <cell r="X1590" t="str">
            <v/>
          </cell>
          <cell r="Y1590" t="str">
            <v/>
          </cell>
          <cell r="Z1590" t="str">
            <v/>
          </cell>
          <cell r="AA1590" t="str">
            <v/>
          </cell>
          <cell r="AB1590" t="str">
            <v/>
          </cell>
          <cell r="AC1590" t="str">
            <v/>
          </cell>
          <cell r="AD1590" t="str">
            <v>⑩</v>
          </cell>
          <cell r="AE1590" t="str">
            <v/>
          </cell>
          <cell r="AF1590" t="str">
            <v/>
          </cell>
          <cell r="AG1590" t="str">
            <v/>
          </cell>
          <cell r="AH1590" t="str">
            <v>②</v>
          </cell>
          <cell r="AI1590" t="str">
            <v/>
          </cell>
        </row>
        <row r="1591">
          <cell r="B1591">
            <v>8334</v>
          </cell>
          <cell r="C1591">
            <v>83</v>
          </cell>
          <cell r="D1591">
            <v>34</v>
          </cell>
          <cell r="F1591" t="str">
            <v>京都</v>
          </cell>
          <cell r="G1591" t="str">
            <v>テレビ共聴設備保守</v>
          </cell>
          <cell r="H1591" t="str">
            <v>川合電気通信工業</v>
          </cell>
          <cell r="I1591">
            <v>45500</v>
          </cell>
          <cell r="J1591">
            <v>46410</v>
          </cell>
          <cell r="K1591">
            <v>12</v>
          </cell>
          <cell r="L1591">
            <v>46410</v>
          </cell>
          <cell r="M1591">
            <v>46410</v>
          </cell>
          <cell r="N1591">
            <v>46410</v>
          </cell>
          <cell r="O1591">
            <v>46410</v>
          </cell>
          <cell r="P1591">
            <v>46410</v>
          </cell>
          <cell r="Q1591">
            <v>46410</v>
          </cell>
          <cell r="R1591">
            <v>46410</v>
          </cell>
          <cell r="S1591">
            <v>46410</v>
          </cell>
          <cell r="T1591">
            <v>46410</v>
          </cell>
          <cell r="U1591">
            <v>46410</v>
          </cell>
          <cell r="V1591">
            <v>46410</v>
          </cell>
          <cell r="W1591">
            <v>46410</v>
          </cell>
          <cell r="X1591" t="str">
            <v>④</v>
          </cell>
          <cell r="Y1591" t="str">
            <v>⑤</v>
          </cell>
          <cell r="Z1591" t="str">
            <v>⑥</v>
          </cell>
          <cell r="AA1591" t="str">
            <v>⑦</v>
          </cell>
          <cell r="AB1591" t="str">
            <v>⑧</v>
          </cell>
          <cell r="AC1591" t="str">
            <v>⑨</v>
          </cell>
          <cell r="AD1591" t="str">
            <v>⑩</v>
          </cell>
          <cell r="AE1591" t="str">
            <v>⑪</v>
          </cell>
          <cell r="AF1591" t="str">
            <v>⑫</v>
          </cell>
          <cell r="AG1591" t="str">
            <v>①</v>
          </cell>
          <cell r="AH1591" t="str">
            <v>②</v>
          </cell>
          <cell r="AI1591" t="str">
            <v>③</v>
          </cell>
        </row>
        <row r="1592">
          <cell r="B1592">
            <v>8335</v>
          </cell>
          <cell r="C1592">
            <v>83</v>
          </cell>
          <cell r="D1592">
            <v>35</v>
          </cell>
          <cell r="F1592" t="str">
            <v>京都</v>
          </cell>
          <cell r="G1592" t="str">
            <v>高圧集塵機洗浄</v>
          </cell>
          <cell r="H1592" t="str">
            <v>大阪東管サービス</v>
          </cell>
          <cell r="I1592">
            <v>200000</v>
          </cell>
          <cell r="J1592">
            <v>230000</v>
          </cell>
          <cell r="K1592">
            <v>3</v>
          </cell>
          <cell r="L1592">
            <v>0</v>
          </cell>
          <cell r="M1592">
            <v>0</v>
          </cell>
          <cell r="N1592">
            <v>230000</v>
          </cell>
          <cell r="O1592">
            <v>0</v>
          </cell>
          <cell r="P1592">
            <v>0</v>
          </cell>
          <cell r="Q1592">
            <v>0</v>
          </cell>
          <cell r="R1592">
            <v>230000</v>
          </cell>
          <cell r="S1592">
            <v>0</v>
          </cell>
          <cell r="T1592">
            <v>0</v>
          </cell>
          <cell r="U1592">
            <v>0</v>
          </cell>
          <cell r="V1592">
            <v>230000</v>
          </cell>
          <cell r="W1592">
            <v>0</v>
          </cell>
          <cell r="X1592" t="str">
            <v/>
          </cell>
          <cell r="Y1592" t="str">
            <v/>
          </cell>
          <cell r="Z1592" t="str">
            <v>⑥</v>
          </cell>
          <cell r="AA1592" t="str">
            <v/>
          </cell>
          <cell r="AB1592" t="str">
            <v/>
          </cell>
          <cell r="AC1592" t="str">
            <v/>
          </cell>
          <cell r="AD1592" t="str">
            <v>⑩</v>
          </cell>
          <cell r="AE1592" t="str">
            <v/>
          </cell>
          <cell r="AF1592" t="str">
            <v/>
          </cell>
          <cell r="AG1592" t="str">
            <v/>
          </cell>
          <cell r="AH1592" t="str">
            <v>②</v>
          </cell>
          <cell r="AI1592" t="str">
            <v/>
          </cell>
          <cell r="AJ1592" t="str">
            <v>追</v>
          </cell>
        </row>
        <row r="1593">
          <cell r="B1593">
            <v>8401</v>
          </cell>
          <cell r="C1593">
            <v>84</v>
          </cell>
          <cell r="D1593">
            <v>1</v>
          </cell>
          <cell r="F1593" t="str">
            <v>彦根</v>
          </cell>
          <cell r="G1593" t="str">
            <v>機械式駐車場設備保守</v>
          </cell>
          <cell r="H1593" t="str">
            <v>石川島運搬機械</v>
          </cell>
          <cell r="I1593">
            <v>45295</v>
          </cell>
          <cell r="J1593">
            <v>46200</v>
          </cell>
          <cell r="K1593">
            <v>12</v>
          </cell>
          <cell r="L1593">
            <v>46200</v>
          </cell>
          <cell r="M1593">
            <v>46200</v>
          </cell>
          <cell r="N1593">
            <v>46200</v>
          </cell>
          <cell r="O1593">
            <v>46200</v>
          </cell>
          <cell r="P1593">
            <v>46200</v>
          </cell>
          <cell r="Q1593">
            <v>46200</v>
          </cell>
          <cell r="R1593">
            <v>46200</v>
          </cell>
          <cell r="S1593">
            <v>46200</v>
          </cell>
          <cell r="T1593">
            <v>46200</v>
          </cell>
          <cell r="U1593">
            <v>46200</v>
          </cell>
          <cell r="V1593">
            <v>46200</v>
          </cell>
          <cell r="W1593">
            <v>46200</v>
          </cell>
          <cell r="X1593" t="str">
            <v>④</v>
          </cell>
          <cell r="Y1593" t="str">
            <v>⑤</v>
          </cell>
          <cell r="Z1593" t="str">
            <v>⑥</v>
          </cell>
          <cell r="AA1593" t="str">
            <v>⑦</v>
          </cell>
          <cell r="AB1593" t="str">
            <v>⑧</v>
          </cell>
          <cell r="AC1593" t="str">
            <v>⑨</v>
          </cell>
          <cell r="AD1593" t="str">
            <v>⑩</v>
          </cell>
          <cell r="AE1593" t="str">
            <v>⑪</v>
          </cell>
          <cell r="AF1593" t="str">
            <v>⑫</v>
          </cell>
          <cell r="AG1593" t="str">
            <v>①</v>
          </cell>
          <cell r="AH1593" t="str">
            <v>②</v>
          </cell>
          <cell r="AI1593" t="str">
            <v>③</v>
          </cell>
        </row>
        <row r="1594">
          <cell r="B1594">
            <v>8402</v>
          </cell>
          <cell r="C1594">
            <v>84</v>
          </cell>
          <cell r="D1594">
            <v>2</v>
          </cell>
          <cell r="F1594" t="str">
            <v>彦根</v>
          </cell>
          <cell r="G1594" t="str">
            <v>エレベーター保守</v>
          </cell>
          <cell r="H1594" t="str">
            <v>三菱電機ﾋﾞﾙﾃｸﾉｻｰﾋﾞｽ</v>
          </cell>
          <cell r="I1594">
            <v>67300</v>
          </cell>
          <cell r="J1594">
            <v>68646</v>
          </cell>
          <cell r="K1594">
            <v>12</v>
          </cell>
          <cell r="L1594">
            <v>68646</v>
          </cell>
          <cell r="M1594">
            <v>68646</v>
          </cell>
          <cell r="N1594">
            <v>68646</v>
          </cell>
          <cell r="O1594">
            <v>68646</v>
          </cell>
          <cell r="P1594">
            <v>68646</v>
          </cell>
          <cell r="Q1594">
            <v>68646</v>
          </cell>
          <cell r="R1594">
            <v>68646</v>
          </cell>
          <cell r="S1594">
            <v>68646</v>
          </cell>
          <cell r="T1594">
            <v>68646</v>
          </cell>
          <cell r="U1594">
            <v>68646</v>
          </cell>
          <cell r="V1594">
            <v>68646</v>
          </cell>
          <cell r="W1594">
            <v>68646</v>
          </cell>
          <cell r="X1594" t="str">
            <v>④</v>
          </cell>
          <cell r="Y1594" t="str">
            <v>⑤</v>
          </cell>
          <cell r="Z1594" t="str">
            <v>⑥</v>
          </cell>
          <cell r="AA1594" t="str">
            <v>⑦</v>
          </cell>
          <cell r="AB1594" t="str">
            <v>⑧</v>
          </cell>
          <cell r="AC1594" t="str">
            <v>⑨</v>
          </cell>
          <cell r="AD1594" t="str">
            <v>⑩</v>
          </cell>
          <cell r="AE1594" t="str">
            <v>⑪</v>
          </cell>
          <cell r="AF1594" t="str">
            <v>⑫</v>
          </cell>
          <cell r="AG1594" t="str">
            <v>①</v>
          </cell>
          <cell r="AH1594" t="str">
            <v>②</v>
          </cell>
          <cell r="AI1594" t="str">
            <v>③</v>
          </cell>
        </row>
        <row r="1595">
          <cell r="B1595">
            <v>8403</v>
          </cell>
          <cell r="C1595">
            <v>84</v>
          </cell>
          <cell r="D1595">
            <v>3</v>
          </cell>
          <cell r="F1595" t="str">
            <v>彦根</v>
          </cell>
          <cell r="G1595" t="str">
            <v>テレビ共同受信設備保守</v>
          </cell>
          <cell r="H1595" t="str">
            <v>シガＭＥＣ</v>
          </cell>
          <cell r="I1595">
            <v>60000</v>
          </cell>
          <cell r="J1595">
            <v>61200</v>
          </cell>
          <cell r="K1595">
            <v>1</v>
          </cell>
          <cell r="L1595">
            <v>0</v>
          </cell>
          <cell r="M1595">
            <v>0</v>
          </cell>
          <cell r="N1595">
            <v>0</v>
          </cell>
          <cell r="O1595">
            <v>61200</v>
          </cell>
          <cell r="P1595">
            <v>0</v>
          </cell>
          <cell r="Q1595">
            <v>0</v>
          </cell>
          <cell r="R1595">
            <v>0</v>
          </cell>
          <cell r="S1595">
            <v>0</v>
          </cell>
          <cell r="T1595">
            <v>0</v>
          </cell>
          <cell r="U1595">
            <v>0</v>
          </cell>
          <cell r="V1595">
            <v>0</v>
          </cell>
          <cell r="W1595">
            <v>0</v>
          </cell>
          <cell r="X1595" t="str">
            <v/>
          </cell>
          <cell r="Y1595" t="str">
            <v/>
          </cell>
          <cell r="Z1595" t="str">
            <v/>
          </cell>
          <cell r="AA1595" t="str">
            <v>⑦</v>
          </cell>
          <cell r="AB1595" t="str">
            <v/>
          </cell>
          <cell r="AC1595" t="str">
            <v/>
          </cell>
          <cell r="AD1595" t="str">
            <v/>
          </cell>
          <cell r="AE1595" t="str">
            <v/>
          </cell>
          <cell r="AF1595" t="str">
            <v/>
          </cell>
          <cell r="AG1595" t="str">
            <v/>
          </cell>
          <cell r="AH1595" t="str">
            <v/>
          </cell>
          <cell r="AI1595" t="str">
            <v/>
          </cell>
        </row>
        <row r="1596">
          <cell r="B1596">
            <v>8501</v>
          </cell>
          <cell r="C1596">
            <v>85</v>
          </cell>
          <cell r="D1596">
            <v>1</v>
          </cell>
          <cell r="F1596" t="str">
            <v>大阪</v>
          </cell>
          <cell r="G1596" t="str">
            <v>エレベーター保守</v>
          </cell>
          <cell r="H1596" t="str">
            <v>三菱電機ﾋﾞﾙﾃｸﾉｻｰﾋﾞｽ</v>
          </cell>
          <cell r="I1596">
            <v>2183300</v>
          </cell>
          <cell r="J1596">
            <v>2226966</v>
          </cell>
          <cell r="K1596">
            <v>12</v>
          </cell>
          <cell r="L1596">
            <v>2226966</v>
          </cell>
          <cell r="M1596">
            <v>2226966</v>
          </cell>
          <cell r="N1596">
            <v>2226966</v>
          </cell>
          <cell r="O1596">
            <v>2226966</v>
          </cell>
          <cell r="P1596">
            <v>2226966</v>
          </cell>
          <cell r="Q1596">
            <v>2226966</v>
          </cell>
          <cell r="R1596">
            <v>2226966</v>
          </cell>
          <cell r="S1596">
            <v>2226966</v>
          </cell>
          <cell r="T1596">
            <v>2226966</v>
          </cell>
          <cell r="U1596">
            <v>2226966</v>
          </cell>
          <cell r="V1596">
            <v>2226966</v>
          </cell>
          <cell r="W1596">
            <v>2226966</v>
          </cell>
          <cell r="X1596" t="str">
            <v>④</v>
          </cell>
          <cell r="Y1596" t="str">
            <v>⑤</v>
          </cell>
          <cell r="Z1596" t="str">
            <v>⑥</v>
          </cell>
          <cell r="AA1596" t="str">
            <v>⑦</v>
          </cell>
          <cell r="AB1596" t="str">
            <v>⑧</v>
          </cell>
          <cell r="AC1596" t="str">
            <v>⑨</v>
          </cell>
          <cell r="AD1596" t="str">
            <v>⑩</v>
          </cell>
          <cell r="AE1596" t="str">
            <v>⑪</v>
          </cell>
          <cell r="AF1596" t="str">
            <v>⑫</v>
          </cell>
          <cell r="AG1596" t="str">
            <v>①</v>
          </cell>
          <cell r="AH1596" t="str">
            <v>②</v>
          </cell>
          <cell r="AI1596" t="str">
            <v>③</v>
          </cell>
        </row>
        <row r="1597">
          <cell r="B1597">
            <v>8502</v>
          </cell>
          <cell r="C1597">
            <v>85</v>
          </cell>
          <cell r="D1597">
            <v>2</v>
          </cell>
          <cell r="F1597" t="str">
            <v>大阪</v>
          </cell>
          <cell r="G1597" t="str">
            <v>ゴンドラ設備保守</v>
          </cell>
          <cell r="H1597" t="str">
            <v>サンセイ</v>
          </cell>
          <cell r="I1597">
            <v>275000</v>
          </cell>
          <cell r="J1597">
            <v>280500</v>
          </cell>
          <cell r="K1597">
            <v>12</v>
          </cell>
          <cell r="L1597">
            <v>280500</v>
          </cell>
          <cell r="M1597">
            <v>280500</v>
          </cell>
          <cell r="N1597">
            <v>280500</v>
          </cell>
          <cell r="O1597">
            <v>280500</v>
          </cell>
          <cell r="P1597">
            <v>280500</v>
          </cell>
          <cell r="Q1597">
            <v>280500</v>
          </cell>
          <cell r="R1597">
            <v>280500</v>
          </cell>
          <cell r="S1597">
            <v>280500</v>
          </cell>
          <cell r="T1597">
            <v>280500</v>
          </cell>
          <cell r="U1597">
            <v>280500</v>
          </cell>
          <cell r="V1597">
            <v>280500</v>
          </cell>
          <cell r="W1597">
            <v>280500</v>
          </cell>
          <cell r="X1597" t="str">
            <v>④</v>
          </cell>
          <cell r="Y1597" t="str">
            <v>⑤</v>
          </cell>
          <cell r="Z1597" t="str">
            <v>⑥</v>
          </cell>
          <cell r="AA1597" t="str">
            <v>⑦</v>
          </cell>
          <cell r="AB1597" t="str">
            <v>⑧</v>
          </cell>
          <cell r="AC1597" t="str">
            <v>⑨</v>
          </cell>
          <cell r="AD1597" t="str">
            <v>⑩</v>
          </cell>
          <cell r="AE1597" t="str">
            <v>⑪</v>
          </cell>
          <cell r="AF1597" t="str">
            <v>⑫</v>
          </cell>
          <cell r="AG1597" t="str">
            <v>①</v>
          </cell>
          <cell r="AH1597" t="str">
            <v>②</v>
          </cell>
          <cell r="AI1597" t="str">
            <v>③</v>
          </cell>
        </row>
        <row r="1598">
          <cell r="B1598">
            <v>8503</v>
          </cell>
          <cell r="C1598">
            <v>85</v>
          </cell>
          <cell r="D1598">
            <v>3</v>
          </cell>
          <cell r="F1598" t="str">
            <v>大阪</v>
          </cell>
          <cell r="G1598" t="str">
            <v>ゴンドラ設備(性能検査)</v>
          </cell>
          <cell r="H1598" t="str">
            <v>サンセイ</v>
          </cell>
          <cell r="I1598">
            <v>240000</v>
          </cell>
          <cell r="J1598">
            <v>244800</v>
          </cell>
          <cell r="K1598">
            <v>1</v>
          </cell>
          <cell r="L1598">
            <v>0</v>
          </cell>
          <cell r="M1598">
            <v>0</v>
          </cell>
          <cell r="N1598">
            <v>0</v>
          </cell>
          <cell r="O1598">
            <v>0</v>
          </cell>
          <cell r="P1598">
            <v>0</v>
          </cell>
          <cell r="Q1598">
            <v>0</v>
          </cell>
          <cell r="R1598">
            <v>0</v>
          </cell>
          <cell r="S1598">
            <v>0</v>
          </cell>
          <cell r="T1598">
            <v>0</v>
          </cell>
          <cell r="U1598">
            <v>0</v>
          </cell>
          <cell r="V1598">
            <v>0</v>
          </cell>
          <cell r="W1598">
            <v>244800</v>
          </cell>
          <cell r="X1598" t="str">
            <v/>
          </cell>
          <cell r="Y1598" t="str">
            <v/>
          </cell>
          <cell r="Z1598" t="str">
            <v/>
          </cell>
          <cell r="AA1598" t="str">
            <v/>
          </cell>
          <cell r="AB1598" t="str">
            <v/>
          </cell>
          <cell r="AC1598" t="str">
            <v/>
          </cell>
          <cell r="AD1598" t="str">
            <v/>
          </cell>
          <cell r="AE1598" t="str">
            <v/>
          </cell>
          <cell r="AF1598" t="str">
            <v/>
          </cell>
          <cell r="AG1598" t="str">
            <v/>
          </cell>
          <cell r="AH1598" t="str">
            <v/>
          </cell>
          <cell r="AI1598" t="str">
            <v>③</v>
          </cell>
        </row>
        <row r="1599">
          <cell r="B1599">
            <v>8504</v>
          </cell>
          <cell r="C1599">
            <v>85</v>
          </cell>
          <cell r="D1599">
            <v>4</v>
          </cell>
          <cell r="F1599" t="str">
            <v>大阪</v>
          </cell>
          <cell r="G1599" t="str">
            <v>屋内消火栓(外観)</v>
          </cell>
          <cell r="H1599" t="str">
            <v>ホーチキ</v>
          </cell>
          <cell r="I1599">
            <v>197000</v>
          </cell>
          <cell r="J1599">
            <v>200940</v>
          </cell>
          <cell r="K1599">
            <v>1</v>
          </cell>
          <cell r="L1599">
            <v>0</v>
          </cell>
          <cell r="M1599">
            <v>0</v>
          </cell>
          <cell r="N1599">
            <v>200940</v>
          </cell>
          <cell r="O1599">
            <v>0</v>
          </cell>
          <cell r="P1599">
            <v>0</v>
          </cell>
          <cell r="Q1599">
            <v>0</v>
          </cell>
          <cell r="R1599">
            <v>0</v>
          </cell>
          <cell r="S1599">
            <v>0</v>
          </cell>
          <cell r="T1599">
            <v>0</v>
          </cell>
          <cell r="U1599">
            <v>0</v>
          </cell>
          <cell r="V1599">
            <v>0</v>
          </cell>
          <cell r="W1599">
            <v>0</v>
          </cell>
          <cell r="X1599" t="str">
            <v/>
          </cell>
          <cell r="Y1599" t="str">
            <v/>
          </cell>
          <cell r="Z1599" t="str">
            <v>⑥</v>
          </cell>
          <cell r="AA1599" t="str">
            <v/>
          </cell>
          <cell r="AB1599" t="str">
            <v/>
          </cell>
          <cell r="AC1599" t="str">
            <v/>
          </cell>
          <cell r="AD1599" t="str">
            <v/>
          </cell>
          <cell r="AE1599" t="str">
            <v/>
          </cell>
          <cell r="AF1599" t="str">
            <v/>
          </cell>
          <cell r="AG1599" t="str">
            <v/>
          </cell>
          <cell r="AH1599" t="str">
            <v/>
          </cell>
          <cell r="AI1599" t="str">
            <v/>
          </cell>
        </row>
        <row r="1600">
          <cell r="B1600">
            <v>8505</v>
          </cell>
          <cell r="C1600">
            <v>85</v>
          </cell>
          <cell r="D1600">
            <v>5</v>
          </cell>
          <cell r="F1600" t="str">
            <v>大阪</v>
          </cell>
          <cell r="G1600" t="str">
            <v>屋内消火栓(総合)</v>
          </cell>
          <cell r="H1600" t="str">
            <v>ホーチキ</v>
          </cell>
          <cell r="I1600">
            <v>200000</v>
          </cell>
          <cell r="J1600">
            <v>204000</v>
          </cell>
          <cell r="K1600">
            <v>1</v>
          </cell>
          <cell r="L1600">
            <v>0</v>
          </cell>
          <cell r="M1600">
            <v>0</v>
          </cell>
          <cell r="N1600">
            <v>0</v>
          </cell>
          <cell r="O1600">
            <v>0</v>
          </cell>
          <cell r="P1600">
            <v>0</v>
          </cell>
          <cell r="Q1600">
            <v>0</v>
          </cell>
          <cell r="R1600">
            <v>0</v>
          </cell>
          <cell r="S1600">
            <v>0</v>
          </cell>
          <cell r="T1600">
            <v>204000</v>
          </cell>
          <cell r="U1600">
            <v>0</v>
          </cell>
          <cell r="V1600">
            <v>0</v>
          </cell>
          <cell r="W1600">
            <v>0</v>
          </cell>
          <cell r="X1600" t="str">
            <v/>
          </cell>
          <cell r="Y1600" t="str">
            <v/>
          </cell>
          <cell r="Z1600" t="str">
            <v/>
          </cell>
          <cell r="AA1600" t="str">
            <v/>
          </cell>
          <cell r="AB1600" t="str">
            <v/>
          </cell>
          <cell r="AC1600" t="str">
            <v/>
          </cell>
          <cell r="AD1600" t="str">
            <v/>
          </cell>
          <cell r="AE1600" t="str">
            <v/>
          </cell>
          <cell r="AF1600" t="str">
            <v>⑫</v>
          </cell>
          <cell r="AG1600" t="str">
            <v/>
          </cell>
          <cell r="AH1600" t="str">
            <v/>
          </cell>
          <cell r="AI1600" t="str">
            <v/>
          </cell>
        </row>
        <row r="1601">
          <cell r="B1601">
            <v>8506</v>
          </cell>
          <cell r="C1601">
            <v>85</v>
          </cell>
          <cell r="D1601">
            <v>6</v>
          </cell>
          <cell r="F1601" t="str">
            <v>大阪</v>
          </cell>
          <cell r="G1601" t="str">
            <v>ｽﾌﾟﾘﾝｸﾗｰ設備(外観)</v>
          </cell>
          <cell r="H1601" t="str">
            <v>ホーチキ</v>
          </cell>
          <cell r="I1601">
            <v>345000</v>
          </cell>
          <cell r="J1601">
            <v>351900</v>
          </cell>
          <cell r="K1601">
            <v>1</v>
          </cell>
          <cell r="L1601">
            <v>0</v>
          </cell>
          <cell r="M1601">
            <v>0</v>
          </cell>
          <cell r="N1601">
            <v>351900</v>
          </cell>
          <cell r="O1601">
            <v>0</v>
          </cell>
          <cell r="P1601">
            <v>0</v>
          </cell>
          <cell r="Q1601">
            <v>0</v>
          </cell>
          <cell r="R1601">
            <v>0</v>
          </cell>
          <cell r="S1601">
            <v>0</v>
          </cell>
          <cell r="T1601">
            <v>0</v>
          </cell>
          <cell r="U1601">
            <v>0</v>
          </cell>
          <cell r="V1601">
            <v>0</v>
          </cell>
          <cell r="W1601">
            <v>0</v>
          </cell>
          <cell r="X1601" t="str">
            <v/>
          </cell>
          <cell r="Y1601" t="str">
            <v/>
          </cell>
          <cell r="Z1601" t="str">
            <v>⑥</v>
          </cell>
          <cell r="AA1601" t="str">
            <v/>
          </cell>
          <cell r="AB1601" t="str">
            <v/>
          </cell>
          <cell r="AC1601" t="str">
            <v/>
          </cell>
          <cell r="AD1601" t="str">
            <v/>
          </cell>
          <cell r="AE1601" t="str">
            <v/>
          </cell>
          <cell r="AF1601" t="str">
            <v/>
          </cell>
          <cell r="AG1601" t="str">
            <v/>
          </cell>
          <cell r="AH1601" t="str">
            <v/>
          </cell>
          <cell r="AI1601" t="str">
            <v/>
          </cell>
        </row>
        <row r="1602">
          <cell r="B1602">
            <v>8507</v>
          </cell>
          <cell r="C1602">
            <v>85</v>
          </cell>
          <cell r="D1602">
            <v>7</v>
          </cell>
          <cell r="F1602" t="str">
            <v>大阪</v>
          </cell>
          <cell r="G1602" t="str">
            <v>ｽﾌﾟﾘﾝｸﾗｰ設備(総合)</v>
          </cell>
          <cell r="H1602" t="str">
            <v>ホーチキ</v>
          </cell>
          <cell r="I1602">
            <v>420000</v>
          </cell>
          <cell r="J1602">
            <v>428400</v>
          </cell>
          <cell r="K1602">
            <v>1</v>
          </cell>
          <cell r="L1602">
            <v>0</v>
          </cell>
          <cell r="M1602">
            <v>0</v>
          </cell>
          <cell r="N1602">
            <v>0</v>
          </cell>
          <cell r="O1602">
            <v>0</v>
          </cell>
          <cell r="P1602">
            <v>0</v>
          </cell>
          <cell r="Q1602">
            <v>0</v>
          </cell>
          <cell r="R1602">
            <v>0</v>
          </cell>
          <cell r="S1602">
            <v>0</v>
          </cell>
          <cell r="T1602">
            <v>428400</v>
          </cell>
          <cell r="U1602">
            <v>0</v>
          </cell>
          <cell r="V1602">
            <v>0</v>
          </cell>
          <cell r="W1602">
            <v>0</v>
          </cell>
          <cell r="X1602" t="str">
            <v/>
          </cell>
          <cell r="Y1602" t="str">
            <v/>
          </cell>
          <cell r="Z1602" t="str">
            <v/>
          </cell>
          <cell r="AA1602" t="str">
            <v/>
          </cell>
          <cell r="AB1602" t="str">
            <v/>
          </cell>
          <cell r="AC1602" t="str">
            <v/>
          </cell>
          <cell r="AD1602" t="str">
            <v/>
          </cell>
          <cell r="AE1602" t="str">
            <v/>
          </cell>
          <cell r="AF1602" t="str">
            <v>⑫</v>
          </cell>
          <cell r="AG1602" t="str">
            <v/>
          </cell>
          <cell r="AH1602" t="str">
            <v/>
          </cell>
          <cell r="AI1602" t="str">
            <v/>
          </cell>
        </row>
        <row r="1603">
          <cell r="B1603">
            <v>8508</v>
          </cell>
          <cell r="C1603">
            <v>85</v>
          </cell>
          <cell r="D1603">
            <v>8</v>
          </cell>
          <cell r="F1603" t="str">
            <v>大阪</v>
          </cell>
          <cell r="G1603" t="str">
            <v>ハロゲン消火(外観)</v>
          </cell>
          <cell r="H1603" t="str">
            <v>ホーチキ</v>
          </cell>
          <cell r="I1603">
            <v>110000</v>
          </cell>
          <cell r="J1603">
            <v>112200</v>
          </cell>
          <cell r="K1603">
            <v>1</v>
          </cell>
          <cell r="L1603">
            <v>0</v>
          </cell>
          <cell r="M1603">
            <v>0</v>
          </cell>
          <cell r="N1603">
            <v>112200</v>
          </cell>
          <cell r="O1603">
            <v>0</v>
          </cell>
          <cell r="P1603">
            <v>0</v>
          </cell>
          <cell r="Q1603">
            <v>0</v>
          </cell>
          <cell r="R1603">
            <v>0</v>
          </cell>
          <cell r="S1603">
            <v>0</v>
          </cell>
          <cell r="T1603">
            <v>0</v>
          </cell>
          <cell r="U1603">
            <v>0</v>
          </cell>
          <cell r="V1603">
            <v>0</v>
          </cell>
          <cell r="W1603">
            <v>0</v>
          </cell>
          <cell r="X1603" t="str">
            <v/>
          </cell>
          <cell r="Y1603" t="str">
            <v/>
          </cell>
          <cell r="Z1603" t="str">
            <v>⑥</v>
          </cell>
          <cell r="AA1603" t="str">
            <v/>
          </cell>
          <cell r="AB1603" t="str">
            <v/>
          </cell>
          <cell r="AC1603" t="str">
            <v/>
          </cell>
          <cell r="AD1603" t="str">
            <v/>
          </cell>
          <cell r="AE1603" t="str">
            <v/>
          </cell>
          <cell r="AF1603" t="str">
            <v/>
          </cell>
          <cell r="AG1603" t="str">
            <v/>
          </cell>
          <cell r="AH1603" t="str">
            <v/>
          </cell>
          <cell r="AI1603" t="str">
            <v/>
          </cell>
        </row>
        <row r="1604">
          <cell r="B1604">
            <v>8509</v>
          </cell>
          <cell r="C1604">
            <v>85</v>
          </cell>
          <cell r="D1604">
            <v>9</v>
          </cell>
          <cell r="F1604" t="str">
            <v>大阪</v>
          </cell>
          <cell r="G1604" t="str">
            <v>ハロゲン消火(総合)</v>
          </cell>
          <cell r="H1604" t="str">
            <v>ホーチキ</v>
          </cell>
          <cell r="I1604">
            <v>160000</v>
          </cell>
          <cell r="J1604">
            <v>163200</v>
          </cell>
          <cell r="K1604">
            <v>1</v>
          </cell>
          <cell r="L1604">
            <v>0</v>
          </cell>
          <cell r="M1604">
            <v>0</v>
          </cell>
          <cell r="N1604">
            <v>0</v>
          </cell>
          <cell r="O1604">
            <v>0</v>
          </cell>
          <cell r="P1604">
            <v>0</v>
          </cell>
          <cell r="Q1604">
            <v>0</v>
          </cell>
          <cell r="R1604">
            <v>0</v>
          </cell>
          <cell r="S1604">
            <v>0</v>
          </cell>
          <cell r="T1604">
            <v>163200</v>
          </cell>
          <cell r="U1604">
            <v>0</v>
          </cell>
          <cell r="V1604">
            <v>0</v>
          </cell>
          <cell r="W1604">
            <v>0</v>
          </cell>
          <cell r="X1604" t="str">
            <v/>
          </cell>
          <cell r="Y1604" t="str">
            <v/>
          </cell>
          <cell r="Z1604" t="str">
            <v/>
          </cell>
          <cell r="AA1604" t="str">
            <v/>
          </cell>
          <cell r="AB1604" t="str">
            <v/>
          </cell>
          <cell r="AC1604" t="str">
            <v/>
          </cell>
          <cell r="AD1604" t="str">
            <v/>
          </cell>
          <cell r="AE1604" t="str">
            <v/>
          </cell>
          <cell r="AF1604" t="str">
            <v>⑫</v>
          </cell>
          <cell r="AG1604" t="str">
            <v/>
          </cell>
          <cell r="AH1604" t="str">
            <v/>
          </cell>
          <cell r="AI1604" t="str">
            <v/>
          </cell>
        </row>
        <row r="1605">
          <cell r="B1605">
            <v>8510</v>
          </cell>
          <cell r="C1605">
            <v>85</v>
          </cell>
          <cell r="D1605">
            <v>10</v>
          </cell>
          <cell r="F1605" t="str">
            <v>大阪</v>
          </cell>
          <cell r="G1605" t="str">
            <v>非常放送(外観)</v>
          </cell>
          <cell r="H1605" t="str">
            <v>ホーチキ</v>
          </cell>
          <cell r="I1605">
            <v>300000</v>
          </cell>
          <cell r="J1605">
            <v>306000</v>
          </cell>
          <cell r="K1605">
            <v>1</v>
          </cell>
          <cell r="L1605">
            <v>0</v>
          </cell>
          <cell r="M1605">
            <v>0</v>
          </cell>
          <cell r="N1605">
            <v>306000</v>
          </cell>
          <cell r="O1605">
            <v>0</v>
          </cell>
          <cell r="P1605">
            <v>0</v>
          </cell>
          <cell r="Q1605">
            <v>0</v>
          </cell>
          <cell r="R1605">
            <v>0</v>
          </cell>
          <cell r="S1605">
            <v>0</v>
          </cell>
          <cell r="T1605">
            <v>0</v>
          </cell>
          <cell r="U1605">
            <v>0</v>
          </cell>
          <cell r="V1605">
            <v>0</v>
          </cell>
          <cell r="W1605">
            <v>0</v>
          </cell>
          <cell r="X1605" t="str">
            <v/>
          </cell>
          <cell r="Y1605" t="str">
            <v/>
          </cell>
          <cell r="Z1605" t="str">
            <v>⑥</v>
          </cell>
          <cell r="AA1605" t="str">
            <v/>
          </cell>
          <cell r="AB1605" t="str">
            <v/>
          </cell>
          <cell r="AC1605" t="str">
            <v/>
          </cell>
          <cell r="AD1605" t="str">
            <v/>
          </cell>
          <cell r="AE1605" t="str">
            <v/>
          </cell>
          <cell r="AF1605" t="str">
            <v/>
          </cell>
          <cell r="AG1605" t="str">
            <v/>
          </cell>
          <cell r="AH1605" t="str">
            <v/>
          </cell>
          <cell r="AI1605" t="str">
            <v/>
          </cell>
        </row>
        <row r="1606">
          <cell r="B1606">
            <v>8511</v>
          </cell>
          <cell r="C1606">
            <v>85</v>
          </cell>
          <cell r="D1606">
            <v>11</v>
          </cell>
          <cell r="F1606" t="str">
            <v>大阪</v>
          </cell>
          <cell r="G1606" t="str">
            <v>非常放送(総合)</v>
          </cell>
          <cell r="H1606" t="str">
            <v>ホーチキ</v>
          </cell>
          <cell r="I1606">
            <v>303000</v>
          </cell>
          <cell r="J1606">
            <v>309060</v>
          </cell>
          <cell r="K1606">
            <v>1</v>
          </cell>
          <cell r="L1606">
            <v>0</v>
          </cell>
          <cell r="M1606">
            <v>0</v>
          </cell>
          <cell r="N1606">
            <v>0</v>
          </cell>
          <cell r="O1606">
            <v>0</v>
          </cell>
          <cell r="P1606">
            <v>0</v>
          </cell>
          <cell r="Q1606">
            <v>0</v>
          </cell>
          <cell r="R1606">
            <v>0</v>
          </cell>
          <cell r="S1606">
            <v>0</v>
          </cell>
          <cell r="T1606">
            <v>309060</v>
          </cell>
          <cell r="U1606">
            <v>0</v>
          </cell>
          <cell r="V1606">
            <v>0</v>
          </cell>
          <cell r="W1606">
            <v>0</v>
          </cell>
          <cell r="X1606" t="str">
            <v/>
          </cell>
          <cell r="Y1606" t="str">
            <v/>
          </cell>
          <cell r="Z1606" t="str">
            <v/>
          </cell>
          <cell r="AA1606" t="str">
            <v/>
          </cell>
          <cell r="AB1606" t="str">
            <v/>
          </cell>
          <cell r="AC1606" t="str">
            <v/>
          </cell>
          <cell r="AD1606" t="str">
            <v/>
          </cell>
          <cell r="AE1606" t="str">
            <v/>
          </cell>
          <cell r="AF1606" t="str">
            <v>⑫</v>
          </cell>
          <cell r="AG1606" t="str">
            <v/>
          </cell>
          <cell r="AH1606" t="str">
            <v/>
          </cell>
          <cell r="AI1606" t="str">
            <v/>
          </cell>
        </row>
        <row r="1607">
          <cell r="B1607">
            <v>8512</v>
          </cell>
          <cell r="C1607">
            <v>85</v>
          </cell>
          <cell r="D1607">
            <v>12</v>
          </cell>
          <cell r="F1607" t="str">
            <v>大阪</v>
          </cell>
          <cell r="G1607" t="str">
            <v>消防用水(外観)</v>
          </cell>
          <cell r="H1607" t="str">
            <v>ホーチキ</v>
          </cell>
          <cell r="I1607">
            <v>7000</v>
          </cell>
          <cell r="J1607">
            <v>7140</v>
          </cell>
          <cell r="K1607">
            <v>1</v>
          </cell>
          <cell r="L1607">
            <v>0</v>
          </cell>
          <cell r="M1607">
            <v>0</v>
          </cell>
          <cell r="N1607">
            <v>7140</v>
          </cell>
          <cell r="O1607">
            <v>0</v>
          </cell>
          <cell r="P1607">
            <v>0</v>
          </cell>
          <cell r="Q1607">
            <v>0</v>
          </cell>
          <cell r="R1607">
            <v>0</v>
          </cell>
          <cell r="S1607">
            <v>0</v>
          </cell>
          <cell r="T1607">
            <v>0</v>
          </cell>
          <cell r="U1607">
            <v>0</v>
          </cell>
          <cell r="V1607">
            <v>0</v>
          </cell>
          <cell r="W1607">
            <v>0</v>
          </cell>
          <cell r="X1607" t="str">
            <v/>
          </cell>
          <cell r="Y1607" t="str">
            <v/>
          </cell>
          <cell r="Z1607" t="str">
            <v>⑥</v>
          </cell>
          <cell r="AA1607" t="str">
            <v/>
          </cell>
          <cell r="AB1607" t="str">
            <v/>
          </cell>
          <cell r="AC1607" t="str">
            <v/>
          </cell>
          <cell r="AD1607" t="str">
            <v/>
          </cell>
          <cell r="AE1607" t="str">
            <v/>
          </cell>
          <cell r="AF1607" t="str">
            <v/>
          </cell>
          <cell r="AG1607" t="str">
            <v/>
          </cell>
          <cell r="AH1607" t="str">
            <v/>
          </cell>
          <cell r="AI1607" t="str">
            <v/>
          </cell>
        </row>
        <row r="1608">
          <cell r="B1608">
            <v>8513</v>
          </cell>
          <cell r="C1608">
            <v>85</v>
          </cell>
          <cell r="D1608">
            <v>13</v>
          </cell>
          <cell r="F1608" t="str">
            <v>大阪</v>
          </cell>
          <cell r="G1608" t="str">
            <v>消防用水(総合)</v>
          </cell>
          <cell r="H1608" t="str">
            <v>ホーチキ</v>
          </cell>
          <cell r="I1608">
            <v>7000</v>
          </cell>
          <cell r="J1608">
            <v>7140</v>
          </cell>
          <cell r="K1608">
            <v>1</v>
          </cell>
          <cell r="L1608">
            <v>0</v>
          </cell>
          <cell r="M1608">
            <v>0</v>
          </cell>
          <cell r="N1608">
            <v>0</v>
          </cell>
          <cell r="O1608">
            <v>0</v>
          </cell>
          <cell r="P1608">
            <v>0</v>
          </cell>
          <cell r="Q1608">
            <v>0</v>
          </cell>
          <cell r="R1608">
            <v>0</v>
          </cell>
          <cell r="S1608">
            <v>0</v>
          </cell>
          <cell r="T1608">
            <v>7140</v>
          </cell>
          <cell r="U1608">
            <v>0</v>
          </cell>
          <cell r="V1608">
            <v>0</v>
          </cell>
          <cell r="W1608">
            <v>0</v>
          </cell>
          <cell r="X1608" t="str">
            <v/>
          </cell>
          <cell r="Y1608" t="str">
            <v/>
          </cell>
          <cell r="Z1608" t="str">
            <v/>
          </cell>
          <cell r="AA1608" t="str">
            <v/>
          </cell>
          <cell r="AB1608" t="str">
            <v/>
          </cell>
          <cell r="AC1608" t="str">
            <v/>
          </cell>
          <cell r="AD1608" t="str">
            <v/>
          </cell>
          <cell r="AE1608" t="str">
            <v/>
          </cell>
          <cell r="AF1608" t="str">
            <v>⑫</v>
          </cell>
          <cell r="AG1608" t="str">
            <v/>
          </cell>
          <cell r="AH1608" t="str">
            <v/>
          </cell>
          <cell r="AI1608" t="str">
            <v/>
          </cell>
        </row>
        <row r="1609">
          <cell r="B1609">
            <v>8514</v>
          </cell>
          <cell r="C1609">
            <v>85</v>
          </cell>
          <cell r="D1609">
            <v>14</v>
          </cell>
          <cell r="F1609" t="str">
            <v>大阪</v>
          </cell>
          <cell r="G1609" t="str">
            <v>連結送水管(外観)</v>
          </cell>
          <cell r="H1609" t="str">
            <v>ホーチキ</v>
          </cell>
          <cell r="I1609">
            <v>30000</v>
          </cell>
          <cell r="J1609">
            <v>30600</v>
          </cell>
          <cell r="K1609">
            <v>1</v>
          </cell>
          <cell r="L1609">
            <v>0</v>
          </cell>
          <cell r="M1609">
            <v>0</v>
          </cell>
          <cell r="N1609">
            <v>30600</v>
          </cell>
          <cell r="O1609">
            <v>0</v>
          </cell>
          <cell r="P1609">
            <v>0</v>
          </cell>
          <cell r="Q1609">
            <v>0</v>
          </cell>
          <cell r="R1609">
            <v>0</v>
          </cell>
          <cell r="S1609">
            <v>0</v>
          </cell>
          <cell r="T1609">
            <v>0</v>
          </cell>
          <cell r="U1609">
            <v>0</v>
          </cell>
          <cell r="V1609">
            <v>0</v>
          </cell>
          <cell r="W1609">
            <v>0</v>
          </cell>
          <cell r="X1609" t="str">
            <v/>
          </cell>
          <cell r="Y1609" t="str">
            <v/>
          </cell>
          <cell r="Z1609" t="str">
            <v>⑥</v>
          </cell>
          <cell r="AA1609" t="str">
            <v/>
          </cell>
          <cell r="AB1609" t="str">
            <v/>
          </cell>
          <cell r="AC1609" t="str">
            <v/>
          </cell>
          <cell r="AD1609" t="str">
            <v/>
          </cell>
          <cell r="AE1609" t="str">
            <v/>
          </cell>
          <cell r="AF1609" t="str">
            <v/>
          </cell>
          <cell r="AG1609" t="str">
            <v/>
          </cell>
          <cell r="AH1609" t="str">
            <v/>
          </cell>
          <cell r="AI1609" t="str">
            <v/>
          </cell>
        </row>
        <row r="1610">
          <cell r="B1610">
            <v>8515</v>
          </cell>
          <cell r="C1610">
            <v>85</v>
          </cell>
          <cell r="D1610">
            <v>15</v>
          </cell>
          <cell r="F1610" t="str">
            <v>大阪</v>
          </cell>
          <cell r="G1610" t="str">
            <v>連結送水管(総合)</v>
          </cell>
          <cell r="H1610" t="str">
            <v>ホーチキ</v>
          </cell>
          <cell r="I1610">
            <v>30000</v>
          </cell>
          <cell r="J1610">
            <v>30600</v>
          </cell>
          <cell r="K1610">
            <v>1</v>
          </cell>
          <cell r="L1610">
            <v>0</v>
          </cell>
          <cell r="M1610">
            <v>0</v>
          </cell>
          <cell r="N1610">
            <v>0</v>
          </cell>
          <cell r="O1610">
            <v>0</v>
          </cell>
          <cell r="P1610">
            <v>0</v>
          </cell>
          <cell r="Q1610">
            <v>0</v>
          </cell>
          <cell r="R1610">
            <v>0</v>
          </cell>
          <cell r="S1610">
            <v>0</v>
          </cell>
          <cell r="T1610">
            <v>30600</v>
          </cell>
          <cell r="U1610">
            <v>0</v>
          </cell>
          <cell r="V1610">
            <v>0</v>
          </cell>
          <cell r="W1610">
            <v>0</v>
          </cell>
          <cell r="X1610" t="str">
            <v/>
          </cell>
          <cell r="Y1610" t="str">
            <v/>
          </cell>
          <cell r="Z1610" t="str">
            <v/>
          </cell>
          <cell r="AA1610" t="str">
            <v/>
          </cell>
          <cell r="AB1610" t="str">
            <v/>
          </cell>
          <cell r="AC1610" t="str">
            <v/>
          </cell>
          <cell r="AD1610" t="str">
            <v/>
          </cell>
          <cell r="AE1610" t="str">
            <v/>
          </cell>
          <cell r="AF1610" t="str">
            <v>⑫</v>
          </cell>
          <cell r="AG1610" t="str">
            <v/>
          </cell>
          <cell r="AH1610" t="str">
            <v/>
          </cell>
          <cell r="AI1610" t="str">
            <v/>
          </cell>
        </row>
        <row r="1611">
          <cell r="B1611">
            <v>8516</v>
          </cell>
          <cell r="C1611">
            <v>85</v>
          </cell>
          <cell r="D1611">
            <v>16</v>
          </cell>
          <cell r="F1611" t="str">
            <v>大阪</v>
          </cell>
          <cell r="G1611" t="str">
            <v>非常電源専用受電(外観)</v>
          </cell>
          <cell r="H1611" t="str">
            <v>ホーチキ</v>
          </cell>
          <cell r="I1611">
            <v>17000</v>
          </cell>
          <cell r="J1611">
            <v>17340</v>
          </cell>
          <cell r="K1611">
            <v>1</v>
          </cell>
          <cell r="L1611">
            <v>0</v>
          </cell>
          <cell r="M1611">
            <v>0</v>
          </cell>
          <cell r="N1611">
            <v>17340</v>
          </cell>
          <cell r="O1611">
            <v>0</v>
          </cell>
          <cell r="P1611">
            <v>0</v>
          </cell>
          <cell r="Q1611">
            <v>0</v>
          </cell>
          <cell r="R1611">
            <v>0</v>
          </cell>
          <cell r="S1611">
            <v>0</v>
          </cell>
          <cell r="T1611">
            <v>0</v>
          </cell>
          <cell r="U1611">
            <v>0</v>
          </cell>
          <cell r="V1611">
            <v>0</v>
          </cell>
          <cell r="W1611">
            <v>0</v>
          </cell>
          <cell r="X1611" t="str">
            <v/>
          </cell>
          <cell r="Y1611" t="str">
            <v/>
          </cell>
          <cell r="Z1611" t="str">
            <v>⑥</v>
          </cell>
          <cell r="AA1611" t="str">
            <v/>
          </cell>
          <cell r="AB1611" t="str">
            <v/>
          </cell>
          <cell r="AC1611" t="str">
            <v/>
          </cell>
          <cell r="AD1611" t="str">
            <v/>
          </cell>
          <cell r="AE1611" t="str">
            <v/>
          </cell>
          <cell r="AF1611" t="str">
            <v/>
          </cell>
          <cell r="AG1611" t="str">
            <v/>
          </cell>
          <cell r="AH1611" t="str">
            <v/>
          </cell>
          <cell r="AI1611" t="str">
            <v/>
          </cell>
        </row>
        <row r="1612">
          <cell r="B1612">
            <v>8517</v>
          </cell>
          <cell r="C1612">
            <v>85</v>
          </cell>
          <cell r="D1612">
            <v>17</v>
          </cell>
          <cell r="F1612" t="str">
            <v>大阪</v>
          </cell>
          <cell r="G1612" t="str">
            <v>非常電源専用受電(総合)</v>
          </cell>
          <cell r="H1612" t="str">
            <v>ホーチキ</v>
          </cell>
          <cell r="I1612">
            <v>17000</v>
          </cell>
          <cell r="J1612">
            <v>17340</v>
          </cell>
          <cell r="K1612">
            <v>1</v>
          </cell>
          <cell r="L1612">
            <v>0</v>
          </cell>
          <cell r="M1612">
            <v>0</v>
          </cell>
          <cell r="N1612">
            <v>0</v>
          </cell>
          <cell r="O1612">
            <v>0</v>
          </cell>
          <cell r="P1612">
            <v>0</v>
          </cell>
          <cell r="Q1612">
            <v>0</v>
          </cell>
          <cell r="R1612">
            <v>0</v>
          </cell>
          <cell r="S1612">
            <v>0</v>
          </cell>
          <cell r="T1612">
            <v>17340</v>
          </cell>
          <cell r="U1612">
            <v>0</v>
          </cell>
          <cell r="V1612">
            <v>0</v>
          </cell>
          <cell r="W1612">
            <v>0</v>
          </cell>
          <cell r="X1612" t="str">
            <v/>
          </cell>
          <cell r="Y1612" t="str">
            <v/>
          </cell>
          <cell r="Z1612" t="str">
            <v/>
          </cell>
          <cell r="AA1612" t="str">
            <v/>
          </cell>
          <cell r="AB1612" t="str">
            <v/>
          </cell>
          <cell r="AC1612" t="str">
            <v/>
          </cell>
          <cell r="AD1612" t="str">
            <v/>
          </cell>
          <cell r="AE1612" t="str">
            <v/>
          </cell>
          <cell r="AF1612" t="str">
            <v>⑫</v>
          </cell>
          <cell r="AG1612" t="str">
            <v/>
          </cell>
          <cell r="AH1612" t="str">
            <v/>
          </cell>
          <cell r="AI1612" t="str">
            <v/>
          </cell>
        </row>
        <row r="1613">
          <cell r="B1613">
            <v>8518</v>
          </cell>
          <cell r="C1613">
            <v>85</v>
          </cell>
          <cell r="D1613">
            <v>18</v>
          </cell>
          <cell r="F1613" t="str">
            <v>大阪</v>
          </cell>
          <cell r="G1613" t="str">
            <v>ＣＲＴ設備(総合)</v>
          </cell>
          <cell r="H1613" t="str">
            <v>ホーチキ</v>
          </cell>
          <cell r="I1613">
            <v>635000</v>
          </cell>
          <cell r="J1613">
            <v>647700</v>
          </cell>
          <cell r="K1613">
            <v>1</v>
          </cell>
          <cell r="L1613">
            <v>0</v>
          </cell>
          <cell r="M1613">
            <v>0</v>
          </cell>
          <cell r="N1613">
            <v>0</v>
          </cell>
          <cell r="O1613">
            <v>0</v>
          </cell>
          <cell r="P1613">
            <v>0</v>
          </cell>
          <cell r="Q1613">
            <v>0</v>
          </cell>
          <cell r="R1613">
            <v>0</v>
          </cell>
          <cell r="S1613">
            <v>0</v>
          </cell>
          <cell r="T1613">
            <v>647700</v>
          </cell>
          <cell r="U1613">
            <v>0</v>
          </cell>
          <cell r="V1613">
            <v>0</v>
          </cell>
          <cell r="W1613">
            <v>0</v>
          </cell>
          <cell r="X1613" t="str">
            <v/>
          </cell>
          <cell r="Y1613" t="str">
            <v/>
          </cell>
          <cell r="Z1613" t="str">
            <v/>
          </cell>
          <cell r="AA1613" t="str">
            <v/>
          </cell>
          <cell r="AB1613" t="str">
            <v/>
          </cell>
          <cell r="AC1613" t="str">
            <v/>
          </cell>
          <cell r="AD1613" t="str">
            <v/>
          </cell>
          <cell r="AE1613" t="str">
            <v/>
          </cell>
          <cell r="AF1613" t="str">
            <v>⑫</v>
          </cell>
          <cell r="AG1613" t="str">
            <v/>
          </cell>
          <cell r="AH1613" t="str">
            <v/>
          </cell>
          <cell r="AI1613" t="str">
            <v/>
          </cell>
        </row>
        <row r="1614">
          <cell r="B1614">
            <v>8519</v>
          </cell>
          <cell r="C1614">
            <v>85</v>
          </cell>
          <cell r="D1614">
            <v>19</v>
          </cell>
          <cell r="F1614" t="str">
            <v>大阪</v>
          </cell>
          <cell r="G1614" t="str">
            <v>Ｐ型ｶﾞｽ漏火災警報(外観)</v>
          </cell>
          <cell r="H1614" t="str">
            <v>ホーチキ</v>
          </cell>
          <cell r="I1614">
            <v>23000</v>
          </cell>
          <cell r="J1614">
            <v>23460</v>
          </cell>
          <cell r="K1614">
            <v>1</v>
          </cell>
          <cell r="L1614">
            <v>0</v>
          </cell>
          <cell r="M1614">
            <v>0</v>
          </cell>
          <cell r="N1614">
            <v>23460</v>
          </cell>
          <cell r="O1614">
            <v>0</v>
          </cell>
          <cell r="P1614">
            <v>0</v>
          </cell>
          <cell r="Q1614">
            <v>0</v>
          </cell>
          <cell r="R1614">
            <v>0</v>
          </cell>
          <cell r="S1614">
            <v>0</v>
          </cell>
          <cell r="T1614">
            <v>0</v>
          </cell>
          <cell r="U1614">
            <v>0</v>
          </cell>
          <cell r="V1614">
            <v>0</v>
          </cell>
          <cell r="W1614">
            <v>0</v>
          </cell>
          <cell r="X1614" t="str">
            <v/>
          </cell>
          <cell r="Y1614" t="str">
            <v/>
          </cell>
          <cell r="Z1614" t="str">
            <v>⑥</v>
          </cell>
          <cell r="AA1614" t="str">
            <v/>
          </cell>
          <cell r="AB1614" t="str">
            <v/>
          </cell>
          <cell r="AC1614" t="str">
            <v/>
          </cell>
          <cell r="AD1614" t="str">
            <v/>
          </cell>
          <cell r="AE1614" t="str">
            <v/>
          </cell>
          <cell r="AF1614" t="str">
            <v/>
          </cell>
          <cell r="AG1614" t="str">
            <v/>
          </cell>
          <cell r="AH1614" t="str">
            <v/>
          </cell>
          <cell r="AI1614" t="str">
            <v/>
          </cell>
        </row>
        <row r="1615">
          <cell r="B1615">
            <v>8520</v>
          </cell>
          <cell r="C1615">
            <v>85</v>
          </cell>
          <cell r="D1615">
            <v>20</v>
          </cell>
          <cell r="F1615" t="str">
            <v>大阪</v>
          </cell>
          <cell r="G1615" t="str">
            <v>Ｐ型ｶﾞｽ漏火災警報(総合)</v>
          </cell>
          <cell r="H1615" t="str">
            <v>ホーチキ</v>
          </cell>
          <cell r="I1615">
            <v>23000</v>
          </cell>
          <cell r="J1615">
            <v>23460</v>
          </cell>
          <cell r="K1615">
            <v>1</v>
          </cell>
          <cell r="L1615">
            <v>0</v>
          </cell>
          <cell r="M1615">
            <v>0</v>
          </cell>
          <cell r="N1615">
            <v>0</v>
          </cell>
          <cell r="O1615">
            <v>0</v>
          </cell>
          <cell r="P1615">
            <v>0</v>
          </cell>
          <cell r="Q1615">
            <v>0</v>
          </cell>
          <cell r="R1615">
            <v>0</v>
          </cell>
          <cell r="S1615">
            <v>0</v>
          </cell>
          <cell r="T1615">
            <v>23460</v>
          </cell>
          <cell r="U1615">
            <v>0</v>
          </cell>
          <cell r="V1615">
            <v>0</v>
          </cell>
          <cell r="W1615">
            <v>0</v>
          </cell>
          <cell r="X1615" t="str">
            <v/>
          </cell>
          <cell r="Y1615" t="str">
            <v/>
          </cell>
          <cell r="Z1615" t="str">
            <v/>
          </cell>
          <cell r="AA1615" t="str">
            <v/>
          </cell>
          <cell r="AB1615" t="str">
            <v/>
          </cell>
          <cell r="AC1615" t="str">
            <v/>
          </cell>
          <cell r="AD1615" t="str">
            <v/>
          </cell>
          <cell r="AE1615" t="str">
            <v/>
          </cell>
          <cell r="AF1615" t="str">
            <v>⑫</v>
          </cell>
          <cell r="AG1615" t="str">
            <v/>
          </cell>
          <cell r="AH1615" t="str">
            <v/>
          </cell>
          <cell r="AI1615" t="str">
            <v/>
          </cell>
        </row>
        <row r="1616">
          <cell r="B1616">
            <v>8521</v>
          </cell>
          <cell r="C1616">
            <v>85</v>
          </cell>
          <cell r="D1616">
            <v>21</v>
          </cell>
          <cell r="F1616" t="str">
            <v>大阪</v>
          </cell>
          <cell r="G1616" t="str">
            <v>簡易自動消火(外観)</v>
          </cell>
          <cell r="H1616" t="str">
            <v>ホーチキ</v>
          </cell>
          <cell r="I1616">
            <v>11000</v>
          </cell>
          <cell r="J1616">
            <v>11220</v>
          </cell>
          <cell r="K1616">
            <v>1</v>
          </cell>
          <cell r="L1616">
            <v>0</v>
          </cell>
          <cell r="M1616">
            <v>0</v>
          </cell>
          <cell r="N1616">
            <v>11220</v>
          </cell>
          <cell r="O1616">
            <v>0</v>
          </cell>
          <cell r="P1616">
            <v>0</v>
          </cell>
          <cell r="Q1616">
            <v>0</v>
          </cell>
          <cell r="R1616">
            <v>0</v>
          </cell>
          <cell r="S1616">
            <v>0</v>
          </cell>
          <cell r="T1616">
            <v>0</v>
          </cell>
          <cell r="U1616">
            <v>0</v>
          </cell>
          <cell r="V1616">
            <v>0</v>
          </cell>
          <cell r="W1616">
            <v>0</v>
          </cell>
          <cell r="X1616" t="str">
            <v/>
          </cell>
          <cell r="Y1616" t="str">
            <v/>
          </cell>
          <cell r="Z1616" t="str">
            <v>⑥</v>
          </cell>
          <cell r="AA1616" t="str">
            <v/>
          </cell>
          <cell r="AB1616" t="str">
            <v/>
          </cell>
          <cell r="AC1616" t="str">
            <v/>
          </cell>
          <cell r="AD1616" t="str">
            <v/>
          </cell>
          <cell r="AE1616" t="str">
            <v/>
          </cell>
          <cell r="AF1616" t="str">
            <v/>
          </cell>
          <cell r="AG1616" t="str">
            <v/>
          </cell>
          <cell r="AH1616" t="str">
            <v/>
          </cell>
          <cell r="AI1616" t="str">
            <v/>
          </cell>
        </row>
        <row r="1617">
          <cell r="B1617">
            <v>8522</v>
          </cell>
          <cell r="C1617">
            <v>85</v>
          </cell>
          <cell r="D1617">
            <v>22</v>
          </cell>
          <cell r="F1617" t="str">
            <v>大阪</v>
          </cell>
          <cell r="G1617" t="str">
            <v>簡易自動消火(総合)</v>
          </cell>
          <cell r="H1617" t="str">
            <v>ホーチキ</v>
          </cell>
          <cell r="I1617">
            <v>11000</v>
          </cell>
          <cell r="J1617">
            <v>11220</v>
          </cell>
          <cell r="K1617">
            <v>1</v>
          </cell>
          <cell r="L1617">
            <v>0</v>
          </cell>
          <cell r="M1617">
            <v>0</v>
          </cell>
          <cell r="N1617">
            <v>0</v>
          </cell>
          <cell r="O1617">
            <v>0</v>
          </cell>
          <cell r="P1617">
            <v>0</v>
          </cell>
          <cell r="Q1617">
            <v>0</v>
          </cell>
          <cell r="R1617">
            <v>0</v>
          </cell>
          <cell r="S1617">
            <v>0</v>
          </cell>
          <cell r="T1617">
            <v>11220</v>
          </cell>
          <cell r="U1617">
            <v>0</v>
          </cell>
          <cell r="V1617">
            <v>0</v>
          </cell>
          <cell r="W1617">
            <v>0</v>
          </cell>
          <cell r="X1617" t="str">
            <v/>
          </cell>
          <cell r="Y1617" t="str">
            <v/>
          </cell>
          <cell r="Z1617" t="str">
            <v/>
          </cell>
          <cell r="AA1617" t="str">
            <v/>
          </cell>
          <cell r="AB1617" t="str">
            <v/>
          </cell>
          <cell r="AC1617" t="str">
            <v/>
          </cell>
          <cell r="AD1617" t="str">
            <v/>
          </cell>
          <cell r="AE1617" t="str">
            <v/>
          </cell>
          <cell r="AF1617" t="str">
            <v>⑫</v>
          </cell>
          <cell r="AG1617" t="str">
            <v/>
          </cell>
          <cell r="AH1617" t="str">
            <v/>
          </cell>
          <cell r="AI1617" t="str">
            <v/>
          </cell>
        </row>
        <row r="1618">
          <cell r="B1618">
            <v>8523</v>
          </cell>
          <cell r="C1618">
            <v>85</v>
          </cell>
          <cell r="D1618">
            <v>23</v>
          </cell>
          <cell r="F1618" t="str">
            <v>大阪</v>
          </cell>
          <cell r="G1618" t="str">
            <v>その他設備(外観)</v>
          </cell>
          <cell r="H1618" t="str">
            <v>ホーチキ</v>
          </cell>
          <cell r="I1618">
            <v>80000</v>
          </cell>
          <cell r="J1618">
            <v>81600</v>
          </cell>
          <cell r="K1618">
            <v>1</v>
          </cell>
          <cell r="L1618">
            <v>0</v>
          </cell>
          <cell r="M1618">
            <v>0</v>
          </cell>
          <cell r="N1618">
            <v>81600</v>
          </cell>
          <cell r="O1618">
            <v>0</v>
          </cell>
          <cell r="P1618">
            <v>0</v>
          </cell>
          <cell r="Q1618">
            <v>0</v>
          </cell>
          <cell r="R1618">
            <v>0</v>
          </cell>
          <cell r="S1618">
            <v>0</v>
          </cell>
          <cell r="T1618">
            <v>0</v>
          </cell>
          <cell r="U1618">
            <v>0</v>
          </cell>
          <cell r="V1618">
            <v>0</v>
          </cell>
          <cell r="W1618">
            <v>0</v>
          </cell>
          <cell r="X1618" t="str">
            <v/>
          </cell>
          <cell r="Y1618" t="str">
            <v/>
          </cell>
          <cell r="Z1618" t="str">
            <v>⑥</v>
          </cell>
          <cell r="AA1618" t="str">
            <v/>
          </cell>
          <cell r="AB1618" t="str">
            <v/>
          </cell>
          <cell r="AC1618" t="str">
            <v/>
          </cell>
          <cell r="AD1618" t="str">
            <v/>
          </cell>
          <cell r="AE1618" t="str">
            <v/>
          </cell>
          <cell r="AF1618" t="str">
            <v/>
          </cell>
          <cell r="AG1618" t="str">
            <v/>
          </cell>
          <cell r="AH1618" t="str">
            <v/>
          </cell>
          <cell r="AI1618" t="str">
            <v/>
          </cell>
        </row>
        <row r="1619">
          <cell r="B1619">
            <v>8524</v>
          </cell>
          <cell r="C1619">
            <v>85</v>
          </cell>
          <cell r="D1619">
            <v>24</v>
          </cell>
          <cell r="F1619" t="str">
            <v>大阪</v>
          </cell>
          <cell r="G1619" t="str">
            <v>その他設備(総合)</v>
          </cell>
          <cell r="H1619" t="str">
            <v>ホーチキ</v>
          </cell>
          <cell r="I1619">
            <v>80000</v>
          </cell>
          <cell r="J1619">
            <v>81600</v>
          </cell>
          <cell r="K1619">
            <v>1</v>
          </cell>
          <cell r="L1619">
            <v>0</v>
          </cell>
          <cell r="M1619">
            <v>0</v>
          </cell>
          <cell r="N1619">
            <v>0</v>
          </cell>
          <cell r="O1619">
            <v>0</v>
          </cell>
          <cell r="P1619">
            <v>0</v>
          </cell>
          <cell r="Q1619">
            <v>0</v>
          </cell>
          <cell r="R1619">
            <v>0</v>
          </cell>
          <cell r="S1619">
            <v>0</v>
          </cell>
          <cell r="T1619">
            <v>81600</v>
          </cell>
          <cell r="U1619">
            <v>0</v>
          </cell>
          <cell r="V1619">
            <v>0</v>
          </cell>
          <cell r="W1619">
            <v>0</v>
          </cell>
          <cell r="X1619" t="str">
            <v/>
          </cell>
          <cell r="Y1619" t="str">
            <v/>
          </cell>
          <cell r="Z1619" t="str">
            <v/>
          </cell>
          <cell r="AA1619" t="str">
            <v/>
          </cell>
          <cell r="AB1619" t="str">
            <v/>
          </cell>
          <cell r="AC1619" t="str">
            <v/>
          </cell>
          <cell r="AD1619" t="str">
            <v/>
          </cell>
          <cell r="AE1619" t="str">
            <v/>
          </cell>
          <cell r="AF1619" t="str">
            <v>⑫</v>
          </cell>
          <cell r="AG1619" t="str">
            <v/>
          </cell>
          <cell r="AH1619" t="str">
            <v/>
          </cell>
          <cell r="AI1619" t="str">
            <v/>
          </cell>
        </row>
        <row r="1620">
          <cell r="B1620">
            <v>8525</v>
          </cell>
          <cell r="C1620">
            <v>85</v>
          </cell>
          <cell r="D1620">
            <v>25</v>
          </cell>
          <cell r="F1620" t="str">
            <v>大阪</v>
          </cell>
          <cell r="G1620" t="str">
            <v>Ｒ型自火報(外観)</v>
          </cell>
          <cell r="H1620" t="str">
            <v>ホーチキ</v>
          </cell>
          <cell r="I1620">
            <v>910000</v>
          </cell>
          <cell r="J1620">
            <v>928200</v>
          </cell>
          <cell r="K1620">
            <v>1</v>
          </cell>
          <cell r="L1620">
            <v>0</v>
          </cell>
          <cell r="M1620">
            <v>0</v>
          </cell>
          <cell r="N1620">
            <v>928200</v>
          </cell>
          <cell r="O1620">
            <v>0</v>
          </cell>
          <cell r="P1620">
            <v>0</v>
          </cell>
          <cell r="Q1620">
            <v>0</v>
          </cell>
          <cell r="R1620">
            <v>0</v>
          </cell>
          <cell r="S1620">
            <v>0</v>
          </cell>
          <cell r="T1620">
            <v>0</v>
          </cell>
          <cell r="U1620">
            <v>0</v>
          </cell>
          <cell r="V1620">
            <v>0</v>
          </cell>
          <cell r="W1620">
            <v>0</v>
          </cell>
          <cell r="X1620" t="str">
            <v/>
          </cell>
          <cell r="Y1620" t="str">
            <v/>
          </cell>
          <cell r="Z1620" t="str">
            <v>⑥</v>
          </cell>
          <cell r="AA1620" t="str">
            <v/>
          </cell>
          <cell r="AB1620" t="str">
            <v/>
          </cell>
          <cell r="AC1620" t="str">
            <v/>
          </cell>
          <cell r="AD1620" t="str">
            <v/>
          </cell>
          <cell r="AE1620" t="str">
            <v/>
          </cell>
          <cell r="AF1620" t="str">
            <v/>
          </cell>
          <cell r="AG1620" t="str">
            <v/>
          </cell>
          <cell r="AH1620" t="str">
            <v/>
          </cell>
          <cell r="AI1620" t="str">
            <v/>
          </cell>
        </row>
        <row r="1621">
          <cell r="B1621">
            <v>8526</v>
          </cell>
          <cell r="C1621">
            <v>85</v>
          </cell>
          <cell r="D1621">
            <v>26</v>
          </cell>
          <cell r="F1621" t="str">
            <v>大阪</v>
          </cell>
          <cell r="G1621" t="str">
            <v>Ｒ型自火報(総合)</v>
          </cell>
          <cell r="H1621" t="str">
            <v>ホーチキ</v>
          </cell>
          <cell r="I1621">
            <v>1166000</v>
          </cell>
          <cell r="J1621">
            <v>1189320</v>
          </cell>
          <cell r="K1621">
            <v>1</v>
          </cell>
          <cell r="L1621">
            <v>0</v>
          </cell>
          <cell r="M1621">
            <v>0</v>
          </cell>
          <cell r="N1621">
            <v>0</v>
          </cell>
          <cell r="O1621">
            <v>0</v>
          </cell>
          <cell r="P1621">
            <v>0</v>
          </cell>
          <cell r="Q1621">
            <v>0</v>
          </cell>
          <cell r="R1621">
            <v>0</v>
          </cell>
          <cell r="S1621">
            <v>0</v>
          </cell>
          <cell r="T1621">
            <v>1189320</v>
          </cell>
          <cell r="U1621">
            <v>0</v>
          </cell>
          <cell r="V1621">
            <v>0</v>
          </cell>
          <cell r="W1621">
            <v>0</v>
          </cell>
          <cell r="X1621" t="str">
            <v/>
          </cell>
          <cell r="Y1621" t="str">
            <v/>
          </cell>
          <cell r="Z1621" t="str">
            <v/>
          </cell>
          <cell r="AA1621" t="str">
            <v/>
          </cell>
          <cell r="AB1621" t="str">
            <v/>
          </cell>
          <cell r="AC1621" t="str">
            <v/>
          </cell>
          <cell r="AD1621" t="str">
            <v/>
          </cell>
          <cell r="AE1621" t="str">
            <v/>
          </cell>
          <cell r="AF1621" t="str">
            <v>⑫</v>
          </cell>
          <cell r="AG1621" t="str">
            <v/>
          </cell>
          <cell r="AH1621" t="str">
            <v/>
          </cell>
          <cell r="AI1621" t="str">
            <v/>
          </cell>
        </row>
        <row r="1622">
          <cell r="B1622">
            <v>8527</v>
          </cell>
          <cell r="C1622">
            <v>85</v>
          </cell>
          <cell r="D1622">
            <v>27</v>
          </cell>
          <cell r="F1622" t="str">
            <v>大阪</v>
          </cell>
          <cell r="G1622" t="str">
            <v>Ｒ型防排煙(外観)</v>
          </cell>
          <cell r="H1622" t="str">
            <v>ホーチキ</v>
          </cell>
          <cell r="I1622">
            <v>1330000</v>
          </cell>
          <cell r="J1622">
            <v>1356600</v>
          </cell>
          <cell r="K1622">
            <v>1</v>
          </cell>
          <cell r="L1622">
            <v>0</v>
          </cell>
          <cell r="M1622">
            <v>0</v>
          </cell>
          <cell r="N1622">
            <v>1356600</v>
          </cell>
          <cell r="O1622">
            <v>0</v>
          </cell>
          <cell r="P1622">
            <v>0</v>
          </cell>
          <cell r="Q1622">
            <v>0</v>
          </cell>
          <cell r="R1622">
            <v>0</v>
          </cell>
          <cell r="S1622">
            <v>0</v>
          </cell>
          <cell r="T1622">
            <v>0</v>
          </cell>
          <cell r="U1622">
            <v>0</v>
          </cell>
          <cell r="V1622">
            <v>0</v>
          </cell>
          <cell r="W1622">
            <v>0</v>
          </cell>
          <cell r="X1622" t="str">
            <v/>
          </cell>
          <cell r="Y1622" t="str">
            <v/>
          </cell>
          <cell r="Z1622" t="str">
            <v>⑥</v>
          </cell>
          <cell r="AA1622" t="str">
            <v/>
          </cell>
          <cell r="AB1622" t="str">
            <v/>
          </cell>
          <cell r="AC1622" t="str">
            <v/>
          </cell>
          <cell r="AD1622" t="str">
            <v/>
          </cell>
          <cell r="AE1622" t="str">
            <v/>
          </cell>
          <cell r="AF1622" t="str">
            <v/>
          </cell>
          <cell r="AG1622" t="str">
            <v/>
          </cell>
          <cell r="AH1622" t="str">
            <v/>
          </cell>
          <cell r="AI1622" t="str">
            <v/>
          </cell>
        </row>
        <row r="1623">
          <cell r="B1623">
            <v>8528</v>
          </cell>
          <cell r="C1623">
            <v>85</v>
          </cell>
          <cell r="D1623">
            <v>28</v>
          </cell>
          <cell r="F1623" t="str">
            <v>大阪</v>
          </cell>
          <cell r="G1623" t="str">
            <v>Ｒ型防排煙(総合)</v>
          </cell>
          <cell r="H1623" t="str">
            <v>ホーチキ</v>
          </cell>
          <cell r="I1623">
            <v>1398000</v>
          </cell>
          <cell r="J1623">
            <v>1425960</v>
          </cell>
          <cell r="K1623">
            <v>1</v>
          </cell>
          <cell r="L1623">
            <v>0</v>
          </cell>
          <cell r="M1623">
            <v>0</v>
          </cell>
          <cell r="N1623">
            <v>0</v>
          </cell>
          <cell r="O1623">
            <v>0</v>
          </cell>
          <cell r="P1623">
            <v>0</v>
          </cell>
          <cell r="Q1623">
            <v>0</v>
          </cell>
          <cell r="R1623">
            <v>0</v>
          </cell>
          <cell r="S1623">
            <v>0</v>
          </cell>
          <cell r="T1623">
            <v>1425960</v>
          </cell>
          <cell r="U1623">
            <v>0</v>
          </cell>
          <cell r="V1623">
            <v>0</v>
          </cell>
          <cell r="W1623">
            <v>0</v>
          </cell>
          <cell r="X1623" t="str">
            <v/>
          </cell>
          <cell r="Y1623" t="str">
            <v/>
          </cell>
          <cell r="Z1623" t="str">
            <v/>
          </cell>
          <cell r="AA1623" t="str">
            <v/>
          </cell>
          <cell r="AB1623" t="str">
            <v/>
          </cell>
          <cell r="AC1623" t="str">
            <v/>
          </cell>
          <cell r="AD1623" t="str">
            <v/>
          </cell>
          <cell r="AE1623" t="str">
            <v/>
          </cell>
          <cell r="AF1623" t="str">
            <v>⑫</v>
          </cell>
          <cell r="AG1623" t="str">
            <v/>
          </cell>
          <cell r="AH1623" t="str">
            <v/>
          </cell>
          <cell r="AI1623" t="str">
            <v/>
          </cell>
        </row>
        <row r="1624">
          <cell r="B1624">
            <v>8529</v>
          </cell>
          <cell r="C1624">
            <v>85</v>
          </cell>
          <cell r="D1624">
            <v>29</v>
          </cell>
          <cell r="F1624" t="str">
            <v>大阪</v>
          </cell>
          <cell r="G1624" t="str">
            <v>消火器設備保守</v>
          </cell>
          <cell r="H1624" t="str">
            <v>ヤマトプロテック</v>
          </cell>
          <cell r="I1624">
            <v>240000</v>
          </cell>
          <cell r="J1624">
            <v>244800</v>
          </cell>
          <cell r="K1624">
            <v>2</v>
          </cell>
          <cell r="L1624">
            <v>0</v>
          </cell>
          <cell r="M1624">
            <v>0</v>
          </cell>
          <cell r="N1624">
            <v>244800</v>
          </cell>
          <cell r="O1624">
            <v>0</v>
          </cell>
          <cell r="P1624">
            <v>0</v>
          </cell>
          <cell r="Q1624">
            <v>0</v>
          </cell>
          <cell r="R1624">
            <v>0</v>
          </cell>
          <cell r="S1624">
            <v>0</v>
          </cell>
          <cell r="T1624">
            <v>244800</v>
          </cell>
          <cell r="U1624">
            <v>0</v>
          </cell>
          <cell r="V1624">
            <v>0</v>
          </cell>
          <cell r="W1624">
            <v>0</v>
          </cell>
          <cell r="X1624" t="str">
            <v/>
          </cell>
          <cell r="Y1624" t="str">
            <v/>
          </cell>
          <cell r="Z1624" t="str">
            <v>⑥</v>
          </cell>
          <cell r="AA1624" t="str">
            <v/>
          </cell>
          <cell r="AB1624" t="str">
            <v/>
          </cell>
          <cell r="AC1624" t="str">
            <v/>
          </cell>
          <cell r="AD1624" t="str">
            <v/>
          </cell>
          <cell r="AE1624" t="str">
            <v/>
          </cell>
          <cell r="AF1624" t="str">
            <v>⑫</v>
          </cell>
          <cell r="AG1624" t="str">
            <v/>
          </cell>
          <cell r="AH1624" t="str">
            <v/>
          </cell>
          <cell r="AI1624" t="str">
            <v/>
          </cell>
        </row>
        <row r="1625">
          <cell r="B1625">
            <v>8530</v>
          </cell>
          <cell r="C1625">
            <v>85</v>
          </cell>
          <cell r="D1625">
            <v>30</v>
          </cell>
          <cell r="F1625" t="str">
            <v>大阪</v>
          </cell>
          <cell r="G1625" t="str">
            <v>泡消火設備保守(外観)</v>
          </cell>
          <cell r="H1625" t="str">
            <v>初田製作所</v>
          </cell>
          <cell r="I1625">
            <v>420000</v>
          </cell>
          <cell r="J1625">
            <v>428400</v>
          </cell>
          <cell r="K1625">
            <v>1</v>
          </cell>
          <cell r="L1625">
            <v>0</v>
          </cell>
          <cell r="M1625">
            <v>0</v>
          </cell>
          <cell r="N1625">
            <v>428400</v>
          </cell>
          <cell r="O1625">
            <v>0</v>
          </cell>
          <cell r="P1625">
            <v>0</v>
          </cell>
          <cell r="Q1625">
            <v>0</v>
          </cell>
          <cell r="R1625">
            <v>0</v>
          </cell>
          <cell r="S1625">
            <v>0</v>
          </cell>
          <cell r="T1625">
            <v>0</v>
          </cell>
          <cell r="U1625">
            <v>0</v>
          </cell>
          <cell r="V1625">
            <v>0</v>
          </cell>
          <cell r="W1625">
            <v>0</v>
          </cell>
          <cell r="X1625" t="str">
            <v/>
          </cell>
          <cell r="Y1625" t="str">
            <v/>
          </cell>
          <cell r="Z1625" t="str">
            <v>⑥</v>
          </cell>
          <cell r="AA1625" t="str">
            <v/>
          </cell>
          <cell r="AB1625" t="str">
            <v/>
          </cell>
          <cell r="AC1625" t="str">
            <v/>
          </cell>
          <cell r="AD1625" t="str">
            <v/>
          </cell>
          <cell r="AE1625" t="str">
            <v/>
          </cell>
          <cell r="AF1625" t="str">
            <v/>
          </cell>
          <cell r="AG1625" t="str">
            <v/>
          </cell>
          <cell r="AH1625" t="str">
            <v/>
          </cell>
          <cell r="AI1625" t="str">
            <v/>
          </cell>
        </row>
        <row r="1626">
          <cell r="B1626">
            <v>8531</v>
          </cell>
          <cell r="C1626">
            <v>85</v>
          </cell>
          <cell r="D1626">
            <v>31</v>
          </cell>
          <cell r="F1626" t="str">
            <v>大阪</v>
          </cell>
          <cell r="G1626" t="str">
            <v>泡消火設備保守(総合)</v>
          </cell>
          <cell r="H1626" t="str">
            <v>初田製作所</v>
          </cell>
          <cell r="I1626">
            <v>500000</v>
          </cell>
          <cell r="J1626">
            <v>510000</v>
          </cell>
          <cell r="K1626">
            <v>1</v>
          </cell>
          <cell r="L1626">
            <v>0</v>
          </cell>
          <cell r="M1626">
            <v>0</v>
          </cell>
          <cell r="N1626">
            <v>0</v>
          </cell>
          <cell r="O1626">
            <v>0</v>
          </cell>
          <cell r="P1626">
            <v>0</v>
          </cell>
          <cell r="Q1626">
            <v>0</v>
          </cell>
          <cell r="R1626">
            <v>0</v>
          </cell>
          <cell r="S1626">
            <v>0</v>
          </cell>
          <cell r="T1626">
            <v>510000</v>
          </cell>
          <cell r="U1626">
            <v>0</v>
          </cell>
          <cell r="V1626">
            <v>0</v>
          </cell>
          <cell r="W1626">
            <v>0</v>
          </cell>
          <cell r="X1626" t="str">
            <v/>
          </cell>
          <cell r="Y1626" t="str">
            <v/>
          </cell>
          <cell r="Z1626" t="str">
            <v/>
          </cell>
          <cell r="AA1626" t="str">
            <v/>
          </cell>
          <cell r="AB1626" t="str">
            <v/>
          </cell>
          <cell r="AC1626" t="str">
            <v/>
          </cell>
          <cell r="AD1626" t="str">
            <v/>
          </cell>
          <cell r="AE1626" t="str">
            <v/>
          </cell>
          <cell r="AF1626" t="str">
            <v>⑫</v>
          </cell>
          <cell r="AG1626" t="str">
            <v/>
          </cell>
          <cell r="AH1626" t="str">
            <v/>
          </cell>
          <cell r="AI1626" t="str">
            <v/>
          </cell>
        </row>
        <row r="1627">
          <cell r="B1627">
            <v>8532</v>
          </cell>
          <cell r="C1627">
            <v>85</v>
          </cell>
          <cell r="D1627">
            <v>32</v>
          </cell>
          <cell r="F1627" t="str">
            <v>大阪</v>
          </cell>
          <cell r="G1627" t="str">
            <v>シャッター設備(27～11F)</v>
          </cell>
          <cell r="H1627" t="str">
            <v>文化シャッターｻｰﾋﾞｽ</v>
          </cell>
          <cell r="I1627">
            <v>132000</v>
          </cell>
          <cell r="J1627">
            <v>134640</v>
          </cell>
          <cell r="K1627">
            <v>1</v>
          </cell>
          <cell r="L1627">
            <v>0</v>
          </cell>
          <cell r="M1627">
            <v>0</v>
          </cell>
          <cell r="N1627">
            <v>0</v>
          </cell>
          <cell r="O1627">
            <v>0</v>
          </cell>
          <cell r="P1627">
            <v>134640</v>
          </cell>
          <cell r="Q1627">
            <v>0</v>
          </cell>
          <cell r="R1627">
            <v>0</v>
          </cell>
          <cell r="S1627">
            <v>0</v>
          </cell>
          <cell r="T1627">
            <v>0</v>
          </cell>
          <cell r="U1627">
            <v>0</v>
          </cell>
          <cell r="V1627">
            <v>0</v>
          </cell>
          <cell r="W1627">
            <v>0</v>
          </cell>
          <cell r="X1627" t="str">
            <v/>
          </cell>
          <cell r="Y1627" t="str">
            <v/>
          </cell>
          <cell r="Z1627" t="str">
            <v/>
          </cell>
          <cell r="AA1627" t="str">
            <v/>
          </cell>
          <cell r="AB1627" t="str">
            <v>⑧</v>
          </cell>
          <cell r="AC1627" t="str">
            <v/>
          </cell>
          <cell r="AD1627" t="str">
            <v/>
          </cell>
          <cell r="AE1627" t="str">
            <v/>
          </cell>
          <cell r="AF1627" t="str">
            <v/>
          </cell>
          <cell r="AG1627" t="str">
            <v/>
          </cell>
          <cell r="AH1627" t="str">
            <v/>
          </cell>
          <cell r="AI1627" t="str">
            <v/>
          </cell>
        </row>
        <row r="1628">
          <cell r="B1628">
            <v>8533</v>
          </cell>
          <cell r="C1628">
            <v>85</v>
          </cell>
          <cell r="D1628">
            <v>33</v>
          </cell>
          <cell r="F1628" t="str">
            <v>大阪</v>
          </cell>
          <cell r="G1628" t="str">
            <v>シャッター設備(3F～ 1F)</v>
          </cell>
          <cell r="H1628" t="str">
            <v>三和シャッター工業</v>
          </cell>
          <cell r="I1628">
            <v>168000</v>
          </cell>
          <cell r="J1628">
            <v>171360</v>
          </cell>
          <cell r="K1628">
            <v>1</v>
          </cell>
          <cell r="L1628">
            <v>0</v>
          </cell>
          <cell r="M1628">
            <v>0</v>
          </cell>
          <cell r="N1628">
            <v>0</v>
          </cell>
          <cell r="O1628">
            <v>0</v>
          </cell>
          <cell r="P1628">
            <v>171360</v>
          </cell>
          <cell r="Q1628">
            <v>0</v>
          </cell>
          <cell r="R1628">
            <v>0</v>
          </cell>
          <cell r="S1628">
            <v>0</v>
          </cell>
          <cell r="T1628">
            <v>0</v>
          </cell>
          <cell r="U1628">
            <v>0</v>
          </cell>
          <cell r="V1628">
            <v>0</v>
          </cell>
          <cell r="W1628">
            <v>0</v>
          </cell>
          <cell r="X1628" t="str">
            <v/>
          </cell>
          <cell r="Y1628" t="str">
            <v/>
          </cell>
          <cell r="Z1628" t="str">
            <v/>
          </cell>
          <cell r="AA1628" t="str">
            <v/>
          </cell>
          <cell r="AB1628" t="str">
            <v>⑧</v>
          </cell>
          <cell r="AC1628" t="str">
            <v/>
          </cell>
          <cell r="AD1628" t="str">
            <v/>
          </cell>
          <cell r="AE1628" t="str">
            <v/>
          </cell>
          <cell r="AF1628" t="str">
            <v/>
          </cell>
          <cell r="AG1628" t="str">
            <v/>
          </cell>
          <cell r="AH1628" t="str">
            <v/>
          </cell>
          <cell r="AI1628" t="str">
            <v/>
          </cell>
        </row>
        <row r="1629">
          <cell r="B1629">
            <v>8534</v>
          </cell>
          <cell r="C1629">
            <v>85</v>
          </cell>
          <cell r="D1629">
            <v>34</v>
          </cell>
          <cell r="F1629" t="str">
            <v>大阪</v>
          </cell>
          <cell r="G1629" t="str">
            <v>シャッター設備(ＢＦ)</v>
          </cell>
          <cell r="H1629" t="str">
            <v>東洋シャッター</v>
          </cell>
          <cell r="I1629">
            <v>210000</v>
          </cell>
          <cell r="J1629">
            <v>214200</v>
          </cell>
          <cell r="K1629">
            <v>1</v>
          </cell>
          <cell r="L1629">
            <v>0</v>
          </cell>
          <cell r="M1629">
            <v>0</v>
          </cell>
          <cell r="N1629">
            <v>0</v>
          </cell>
          <cell r="O1629">
            <v>214200</v>
          </cell>
          <cell r="P1629">
            <v>0</v>
          </cell>
          <cell r="Q1629">
            <v>0</v>
          </cell>
          <cell r="R1629">
            <v>0</v>
          </cell>
          <cell r="S1629">
            <v>0</v>
          </cell>
          <cell r="T1629">
            <v>0</v>
          </cell>
          <cell r="U1629">
            <v>0</v>
          </cell>
          <cell r="V1629">
            <v>0</v>
          </cell>
          <cell r="W1629">
            <v>0</v>
          </cell>
          <cell r="X1629" t="str">
            <v/>
          </cell>
          <cell r="Y1629" t="str">
            <v/>
          </cell>
          <cell r="Z1629" t="str">
            <v/>
          </cell>
          <cell r="AA1629" t="str">
            <v>⑦</v>
          </cell>
          <cell r="AB1629" t="str">
            <v/>
          </cell>
          <cell r="AC1629" t="str">
            <v/>
          </cell>
          <cell r="AD1629" t="str">
            <v/>
          </cell>
          <cell r="AE1629" t="str">
            <v/>
          </cell>
          <cell r="AF1629" t="str">
            <v/>
          </cell>
          <cell r="AG1629" t="str">
            <v/>
          </cell>
          <cell r="AH1629" t="str">
            <v/>
          </cell>
          <cell r="AI1629" t="str">
            <v/>
          </cell>
        </row>
        <row r="1630">
          <cell r="B1630">
            <v>8535</v>
          </cell>
          <cell r="C1630">
            <v>85</v>
          </cell>
          <cell r="D1630">
            <v>35</v>
          </cell>
          <cell r="F1630" t="str">
            <v>大阪</v>
          </cell>
          <cell r="G1630" t="str">
            <v>ｼｬｯﾀｰ設備(BF･ｽﾛｰﾌﾟ)</v>
          </cell>
          <cell r="H1630" t="str">
            <v>東洋シャッター</v>
          </cell>
          <cell r="I1630">
            <v>40000</v>
          </cell>
          <cell r="J1630">
            <v>40800</v>
          </cell>
          <cell r="K1630">
            <v>1</v>
          </cell>
          <cell r="L1630">
            <v>0</v>
          </cell>
          <cell r="M1630">
            <v>0</v>
          </cell>
          <cell r="N1630">
            <v>0</v>
          </cell>
          <cell r="O1630">
            <v>0</v>
          </cell>
          <cell r="P1630">
            <v>0</v>
          </cell>
          <cell r="Q1630">
            <v>0</v>
          </cell>
          <cell r="R1630">
            <v>0</v>
          </cell>
          <cell r="S1630">
            <v>0</v>
          </cell>
          <cell r="T1630">
            <v>0</v>
          </cell>
          <cell r="U1630">
            <v>40800</v>
          </cell>
          <cell r="V1630">
            <v>0</v>
          </cell>
          <cell r="W1630">
            <v>0</v>
          </cell>
          <cell r="X1630" t="str">
            <v/>
          </cell>
          <cell r="Y1630" t="str">
            <v/>
          </cell>
          <cell r="Z1630" t="str">
            <v/>
          </cell>
          <cell r="AA1630" t="str">
            <v/>
          </cell>
          <cell r="AB1630" t="str">
            <v/>
          </cell>
          <cell r="AC1630" t="str">
            <v/>
          </cell>
          <cell r="AD1630" t="str">
            <v/>
          </cell>
          <cell r="AE1630" t="str">
            <v/>
          </cell>
          <cell r="AF1630" t="str">
            <v/>
          </cell>
          <cell r="AG1630" t="str">
            <v>①</v>
          </cell>
          <cell r="AH1630" t="str">
            <v/>
          </cell>
          <cell r="AI1630" t="str">
            <v/>
          </cell>
        </row>
        <row r="1631">
          <cell r="B1631">
            <v>8536</v>
          </cell>
          <cell r="C1631">
            <v>85</v>
          </cell>
          <cell r="D1631">
            <v>36</v>
          </cell>
          <cell r="F1631" t="str">
            <v>大阪</v>
          </cell>
          <cell r="G1631" t="str">
            <v>ボイラー設備保守</v>
          </cell>
          <cell r="H1631" t="str">
            <v>タクマ汎用機械</v>
          </cell>
          <cell r="I1631">
            <v>241300</v>
          </cell>
          <cell r="J1631">
            <v>246126</v>
          </cell>
          <cell r="K1631">
            <v>2</v>
          </cell>
          <cell r="L1631">
            <v>0</v>
          </cell>
          <cell r="M1631">
            <v>0</v>
          </cell>
          <cell r="N1631">
            <v>0</v>
          </cell>
          <cell r="O1631">
            <v>0</v>
          </cell>
          <cell r="P1631">
            <v>0</v>
          </cell>
          <cell r="Q1631">
            <v>246126</v>
          </cell>
          <cell r="R1631">
            <v>0</v>
          </cell>
          <cell r="S1631">
            <v>0</v>
          </cell>
          <cell r="T1631">
            <v>0</v>
          </cell>
          <cell r="U1631">
            <v>246126</v>
          </cell>
          <cell r="V1631">
            <v>0</v>
          </cell>
          <cell r="W1631">
            <v>0</v>
          </cell>
          <cell r="X1631" t="str">
            <v/>
          </cell>
          <cell r="Y1631" t="str">
            <v/>
          </cell>
          <cell r="Z1631" t="str">
            <v/>
          </cell>
          <cell r="AA1631" t="str">
            <v/>
          </cell>
          <cell r="AB1631" t="str">
            <v/>
          </cell>
          <cell r="AC1631" t="str">
            <v>⑨</v>
          </cell>
          <cell r="AD1631" t="str">
            <v/>
          </cell>
          <cell r="AE1631" t="str">
            <v/>
          </cell>
          <cell r="AF1631" t="str">
            <v/>
          </cell>
          <cell r="AG1631" t="str">
            <v>①</v>
          </cell>
          <cell r="AH1631" t="str">
            <v/>
          </cell>
          <cell r="AI1631" t="str">
            <v/>
          </cell>
        </row>
        <row r="1632">
          <cell r="B1632">
            <v>8537</v>
          </cell>
          <cell r="C1632">
            <v>85</v>
          </cell>
          <cell r="D1632">
            <v>37</v>
          </cell>
          <cell r="F1632" t="str">
            <v>大阪</v>
          </cell>
          <cell r="G1632" t="str">
            <v>駐車場設備保守</v>
          </cell>
          <cell r="H1632" t="str">
            <v>富士ダイナミクス</v>
          </cell>
          <cell r="I1632">
            <v>250000</v>
          </cell>
          <cell r="J1632">
            <v>255000</v>
          </cell>
          <cell r="K1632">
            <v>4</v>
          </cell>
          <cell r="L1632">
            <v>0</v>
          </cell>
          <cell r="M1632">
            <v>255000</v>
          </cell>
          <cell r="N1632">
            <v>0</v>
          </cell>
          <cell r="O1632">
            <v>0</v>
          </cell>
          <cell r="P1632">
            <v>255000</v>
          </cell>
          <cell r="Q1632">
            <v>0</v>
          </cell>
          <cell r="R1632">
            <v>0</v>
          </cell>
          <cell r="S1632">
            <v>255000</v>
          </cell>
          <cell r="T1632">
            <v>0</v>
          </cell>
          <cell r="U1632">
            <v>0</v>
          </cell>
          <cell r="V1632">
            <v>255000</v>
          </cell>
          <cell r="W1632">
            <v>0</v>
          </cell>
          <cell r="X1632" t="str">
            <v/>
          </cell>
          <cell r="Y1632" t="str">
            <v>⑤</v>
          </cell>
          <cell r="Z1632" t="str">
            <v/>
          </cell>
          <cell r="AA1632" t="str">
            <v/>
          </cell>
          <cell r="AB1632" t="str">
            <v>⑧</v>
          </cell>
          <cell r="AC1632" t="str">
            <v/>
          </cell>
          <cell r="AD1632" t="str">
            <v/>
          </cell>
          <cell r="AE1632" t="str">
            <v>⑪</v>
          </cell>
          <cell r="AF1632" t="str">
            <v/>
          </cell>
          <cell r="AG1632" t="str">
            <v/>
          </cell>
          <cell r="AH1632" t="str">
            <v>②</v>
          </cell>
          <cell r="AI1632" t="str">
            <v/>
          </cell>
        </row>
        <row r="1633">
          <cell r="B1633">
            <v>8538</v>
          </cell>
          <cell r="C1633">
            <v>85</v>
          </cell>
          <cell r="D1633">
            <v>38</v>
          </cell>
          <cell r="F1633" t="str">
            <v>大阪</v>
          </cell>
          <cell r="G1633" t="str">
            <v>加圧ポンプ保守</v>
          </cell>
          <cell r="H1633" t="str">
            <v>荏原テクノサーブ</v>
          </cell>
          <cell r="I1633">
            <v>90000</v>
          </cell>
          <cell r="J1633">
            <v>91800</v>
          </cell>
          <cell r="K1633">
            <v>2</v>
          </cell>
          <cell r="L1633">
            <v>0</v>
          </cell>
          <cell r="M1633">
            <v>0</v>
          </cell>
          <cell r="N1633">
            <v>0</v>
          </cell>
          <cell r="O1633">
            <v>0</v>
          </cell>
          <cell r="P1633">
            <v>0</v>
          </cell>
          <cell r="Q1633">
            <v>91800</v>
          </cell>
          <cell r="R1633">
            <v>0</v>
          </cell>
          <cell r="S1633">
            <v>0</v>
          </cell>
          <cell r="T1633">
            <v>0</v>
          </cell>
          <cell r="U1633">
            <v>0</v>
          </cell>
          <cell r="V1633">
            <v>0</v>
          </cell>
          <cell r="W1633">
            <v>91800</v>
          </cell>
          <cell r="X1633" t="str">
            <v/>
          </cell>
          <cell r="Y1633" t="str">
            <v/>
          </cell>
          <cell r="Z1633" t="str">
            <v/>
          </cell>
          <cell r="AA1633" t="str">
            <v/>
          </cell>
          <cell r="AC1633" t="str">
            <v>⑨</v>
          </cell>
          <cell r="AD1633" t="str">
            <v/>
          </cell>
          <cell r="AE1633" t="str">
            <v/>
          </cell>
          <cell r="AF1633" t="str">
            <v/>
          </cell>
          <cell r="AG1633" t="str">
            <v/>
          </cell>
          <cell r="AI1633" t="str">
            <v>③</v>
          </cell>
          <cell r="AJ1633" t="str">
            <v>変</v>
          </cell>
        </row>
        <row r="1634">
          <cell r="B1634">
            <v>8539</v>
          </cell>
          <cell r="C1634">
            <v>85</v>
          </cell>
          <cell r="D1634">
            <v>39</v>
          </cell>
          <cell r="F1634" t="str">
            <v>大阪</v>
          </cell>
          <cell r="G1634" t="str">
            <v>消防設備点検保守</v>
          </cell>
          <cell r="H1634" t="str">
            <v>大阪東管サービス</v>
          </cell>
          <cell r="I1634">
            <v>390000</v>
          </cell>
          <cell r="J1634">
            <v>397800</v>
          </cell>
          <cell r="K1634">
            <v>2</v>
          </cell>
          <cell r="L1634">
            <v>0</v>
          </cell>
          <cell r="M1634">
            <v>0</v>
          </cell>
          <cell r="N1634">
            <v>397800</v>
          </cell>
          <cell r="O1634">
            <v>0</v>
          </cell>
          <cell r="P1634">
            <v>0</v>
          </cell>
          <cell r="Q1634">
            <v>0</v>
          </cell>
          <cell r="R1634">
            <v>0</v>
          </cell>
          <cell r="S1634">
            <v>0</v>
          </cell>
          <cell r="T1634">
            <v>397800</v>
          </cell>
          <cell r="U1634">
            <v>0</v>
          </cell>
          <cell r="V1634">
            <v>0</v>
          </cell>
          <cell r="W1634">
            <v>0</v>
          </cell>
          <cell r="X1634" t="str">
            <v/>
          </cell>
          <cell r="Y1634" t="str">
            <v/>
          </cell>
          <cell r="Z1634" t="str">
            <v>⑥</v>
          </cell>
          <cell r="AA1634" t="str">
            <v/>
          </cell>
          <cell r="AB1634" t="str">
            <v/>
          </cell>
          <cell r="AC1634" t="str">
            <v/>
          </cell>
          <cell r="AD1634" t="str">
            <v/>
          </cell>
          <cell r="AE1634" t="str">
            <v/>
          </cell>
          <cell r="AF1634" t="str">
            <v>⑫</v>
          </cell>
          <cell r="AG1634" t="str">
            <v/>
          </cell>
          <cell r="AH1634" t="str">
            <v/>
          </cell>
          <cell r="AI1634" t="str">
            <v/>
          </cell>
        </row>
        <row r="1635">
          <cell r="B1635">
            <v>8540</v>
          </cell>
          <cell r="C1635">
            <v>85</v>
          </cell>
          <cell r="D1635">
            <v>40</v>
          </cell>
          <cell r="F1635" t="str">
            <v>大阪</v>
          </cell>
          <cell r="G1635" t="str">
            <v>害虫駆除</v>
          </cell>
          <cell r="H1635" t="str">
            <v>ｼｪﾙ商事・ｼｰｱｲｼｰ</v>
          </cell>
          <cell r="I1635">
            <v>1184700</v>
          </cell>
          <cell r="J1635">
            <v>1303170</v>
          </cell>
          <cell r="K1635">
            <v>2</v>
          </cell>
          <cell r="L1635">
            <v>0</v>
          </cell>
          <cell r="M1635">
            <v>0</v>
          </cell>
          <cell r="N1635">
            <v>1303170</v>
          </cell>
          <cell r="O1635">
            <v>0</v>
          </cell>
          <cell r="P1635">
            <v>0</v>
          </cell>
          <cell r="Q1635">
            <v>0</v>
          </cell>
          <cell r="R1635">
            <v>0</v>
          </cell>
          <cell r="S1635">
            <v>0</v>
          </cell>
          <cell r="T1635">
            <v>1303170</v>
          </cell>
          <cell r="U1635">
            <v>0</v>
          </cell>
          <cell r="V1635">
            <v>0</v>
          </cell>
          <cell r="W1635">
            <v>0</v>
          </cell>
          <cell r="X1635" t="str">
            <v/>
          </cell>
          <cell r="Y1635" t="str">
            <v/>
          </cell>
          <cell r="Z1635" t="str">
            <v>⑥</v>
          </cell>
          <cell r="AA1635" t="str">
            <v/>
          </cell>
          <cell r="AB1635" t="str">
            <v/>
          </cell>
          <cell r="AC1635" t="str">
            <v/>
          </cell>
          <cell r="AD1635" t="str">
            <v/>
          </cell>
          <cell r="AE1635" t="str">
            <v/>
          </cell>
          <cell r="AF1635" t="str">
            <v>⑫</v>
          </cell>
          <cell r="AG1635" t="str">
            <v/>
          </cell>
          <cell r="AH1635" t="str">
            <v/>
          </cell>
          <cell r="AI1635" t="str">
            <v/>
          </cell>
        </row>
        <row r="1636">
          <cell r="B1636">
            <v>8541</v>
          </cell>
          <cell r="C1636">
            <v>85</v>
          </cell>
          <cell r="D1636">
            <v>41</v>
          </cell>
          <cell r="F1636" t="str">
            <v>大阪</v>
          </cell>
          <cell r="G1636" t="str">
            <v>排ガス測定</v>
          </cell>
          <cell r="H1636" t="str">
            <v>日本水処理工業</v>
          </cell>
          <cell r="I1636">
            <v>50000</v>
          </cell>
          <cell r="J1636">
            <v>57500</v>
          </cell>
          <cell r="K1636">
            <v>2</v>
          </cell>
          <cell r="L1636">
            <v>0</v>
          </cell>
          <cell r="M1636">
            <v>0</v>
          </cell>
          <cell r="N1636">
            <v>0</v>
          </cell>
          <cell r="O1636">
            <v>57500</v>
          </cell>
          <cell r="P1636">
            <v>0</v>
          </cell>
          <cell r="Q1636">
            <v>0</v>
          </cell>
          <cell r="R1636">
            <v>0</v>
          </cell>
          <cell r="S1636">
            <v>0</v>
          </cell>
          <cell r="T1636">
            <v>0</v>
          </cell>
          <cell r="U1636">
            <v>57500</v>
          </cell>
          <cell r="V1636">
            <v>0</v>
          </cell>
          <cell r="W1636">
            <v>0</v>
          </cell>
          <cell r="X1636" t="str">
            <v/>
          </cell>
          <cell r="Y1636" t="str">
            <v/>
          </cell>
          <cell r="Z1636" t="str">
            <v/>
          </cell>
          <cell r="AA1636" t="str">
            <v>⑦</v>
          </cell>
          <cell r="AB1636" t="str">
            <v/>
          </cell>
          <cell r="AC1636" t="str">
            <v/>
          </cell>
          <cell r="AD1636" t="str">
            <v/>
          </cell>
          <cell r="AE1636" t="str">
            <v/>
          </cell>
          <cell r="AF1636" t="str">
            <v/>
          </cell>
          <cell r="AG1636" t="str">
            <v>①</v>
          </cell>
          <cell r="AH1636" t="str">
            <v/>
          </cell>
          <cell r="AI1636" t="str">
            <v/>
          </cell>
        </row>
        <row r="1637">
          <cell r="B1637">
            <v>8542</v>
          </cell>
          <cell r="C1637">
            <v>85</v>
          </cell>
          <cell r="D1637">
            <v>42</v>
          </cell>
          <cell r="F1637" t="str">
            <v>大阪</v>
          </cell>
          <cell r="G1637" t="str">
            <v>汚水･雑排水槽清掃</v>
          </cell>
          <cell r="H1637" t="str">
            <v>日本水処理工業</v>
          </cell>
          <cell r="I1637">
            <v>348000</v>
          </cell>
          <cell r="J1637">
            <v>389760</v>
          </cell>
          <cell r="K1637">
            <v>2</v>
          </cell>
          <cell r="L1637">
            <v>0</v>
          </cell>
          <cell r="M1637">
            <v>0</v>
          </cell>
          <cell r="N1637">
            <v>389760</v>
          </cell>
          <cell r="O1637">
            <v>0</v>
          </cell>
          <cell r="P1637">
            <v>0</v>
          </cell>
          <cell r="Q1637">
            <v>0</v>
          </cell>
          <cell r="R1637">
            <v>0</v>
          </cell>
          <cell r="S1637">
            <v>0</v>
          </cell>
          <cell r="T1637">
            <v>389760</v>
          </cell>
          <cell r="U1637">
            <v>0</v>
          </cell>
          <cell r="V1637">
            <v>0</v>
          </cell>
          <cell r="W1637">
            <v>0</v>
          </cell>
          <cell r="X1637" t="str">
            <v/>
          </cell>
          <cell r="Y1637" t="str">
            <v/>
          </cell>
          <cell r="Z1637" t="str">
            <v>⑥</v>
          </cell>
          <cell r="AA1637" t="str">
            <v/>
          </cell>
          <cell r="AB1637" t="str">
            <v/>
          </cell>
          <cell r="AC1637" t="str">
            <v/>
          </cell>
          <cell r="AD1637" t="str">
            <v/>
          </cell>
          <cell r="AE1637" t="str">
            <v/>
          </cell>
          <cell r="AF1637" t="str">
            <v>⑫</v>
          </cell>
          <cell r="AG1637" t="str">
            <v/>
          </cell>
          <cell r="AH1637" t="str">
            <v/>
          </cell>
          <cell r="AI1637" t="str">
            <v/>
          </cell>
        </row>
        <row r="1638">
          <cell r="B1638">
            <v>8543</v>
          </cell>
          <cell r="C1638">
            <v>85</v>
          </cell>
          <cell r="D1638">
            <v>43</v>
          </cell>
          <cell r="F1638" t="str">
            <v>大阪</v>
          </cell>
          <cell r="G1638" t="str">
            <v>貯水槽清掃(含む高架水槽)</v>
          </cell>
          <cell r="H1638" t="str">
            <v>大阪東管サービス</v>
          </cell>
          <cell r="I1638">
            <v>253000</v>
          </cell>
          <cell r="J1638">
            <v>285890</v>
          </cell>
          <cell r="K1638">
            <v>1</v>
          </cell>
          <cell r="L1638">
            <v>0</v>
          </cell>
          <cell r="M1638">
            <v>0</v>
          </cell>
          <cell r="N1638">
            <v>0</v>
          </cell>
          <cell r="O1638">
            <v>0</v>
          </cell>
          <cell r="P1638">
            <v>0</v>
          </cell>
          <cell r="Q1638">
            <v>0</v>
          </cell>
          <cell r="R1638">
            <v>285890</v>
          </cell>
          <cell r="S1638">
            <v>0</v>
          </cell>
          <cell r="T1638">
            <v>0</v>
          </cell>
          <cell r="U1638">
            <v>0</v>
          </cell>
          <cell r="V1638">
            <v>0</v>
          </cell>
          <cell r="W1638">
            <v>0</v>
          </cell>
          <cell r="X1638" t="str">
            <v/>
          </cell>
          <cell r="Y1638" t="str">
            <v/>
          </cell>
          <cell r="Z1638" t="str">
            <v/>
          </cell>
          <cell r="AA1638" t="str">
            <v/>
          </cell>
          <cell r="AB1638" t="str">
            <v/>
          </cell>
          <cell r="AC1638" t="str">
            <v/>
          </cell>
          <cell r="AD1638" t="str">
            <v>⑩</v>
          </cell>
          <cell r="AE1638" t="str">
            <v/>
          </cell>
          <cell r="AF1638" t="str">
            <v/>
          </cell>
          <cell r="AG1638" t="str">
            <v/>
          </cell>
          <cell r="AH1638" t="str">
            <v/>
          </cell>
          <cell r="AI1638" t="str">
            <v/>
          </cell>
        </row>
        <row r="1639">
          <cell r="B1639">
            <v>8544</v>
          </cell>
          <cell r="C1639">
            <v>85</v>
          </cell>
          <cell r="D1639">
            <v>44</v>
          </cell>
          <cell r="F1639" t="str">
            <v>大阪</v>
          </cell>
          <cell r="G1639" t="str">
            <v>自動ドアー保守</v>
          </cell>
          <cell r="H1639" t="str">
            <v>ナブコドア</v>
          </cell>
          <cell r="I1639">
            <v>114637</v>
          </cell>
          <cell r="J1639">
            <v>116929</v>
          </cell>
          <cell r="K1639">
            <v>3</v>
          </cell>
          <cell r="L1639">
            <v>0</v>
          </cell>
          <cell r="M1639">
            <v>116929</v>
          </cell>
          <cell r="N1639">
            <v>0</v>
          </cell>
          <cell r="O1639">
            <v>0</v>
          </cell>
          <cell r="P1639">
            <v>0</v>
          </cell>
          <cell r="Q1639">
            <v>116929</v>
          </cell>
          <cell r="R1639">
            <v>0</v>
          </cell>
          <cell r="S1639">
            <v>0</v>
          </cell>
          <cell r="T1639">
            <v>0</v>
          </cell>
          <cell r="U1639">
            <v>116929</v>
          </cell>
          <cell r="V1639">
            <v>0</v>
          </cell>
          <cell r="W1639">
            <v>0</v>
          </cell>
          <cell r="X1639" t="str">
            <v/>
          </cell>
          <cell r="Y1639" t="str">
            <v>⑤</v>
          </cell>
          <cell r="Z1639" t="str">
            <v/>
          </cell>
          <cell r="AA1639" t="str">
            <v/>
          </cell>
          <cell r="AB1639" t="str">
            <v/>
          </cell>
          <cell r="AC1639" t="str">
            <v>⑨</v>
          </cell>
          <cell r="AD1639" t="str">
            <v/>
          </cell>
          <cell r="AE1639" t="str">
            <v/>
          </cell>
          <cell r="AF1639" t="str">
            <v/>
          </cell>
          <cell r="AG1639" t="str">
            <v>①</v>
          </cell>
          <cell r="AH1639" t="str">
            <v/>
          </cell>
          <cell r="AI1639" t="str">
            <v/>
          </cell>
        </row>
        <row r="1640">
          <cell r="B1640">
            <v>8545</v>
          </cell>
          <cell r="C1640">
            <v>85</v>
          </cell>
          <cell r="D1640">
            <v>45</v>
          </cell>
          <cell r="F1640" t="str">
            <v>大阪</v>
          </cell>
          <cell r="G1640" t="str">
            <v>ｱｯﾌﾟﾗｲﾄﾘﾌﾄ点検保守</v>
          </cell>
          <cell r="H1640" t="str">
            <v>テセフ</v>
          </cell>
          <cell r="I1640">
            <v>100000</v>
          </cell>
          <cell r="J1640">
            <v>102000</v>
          </cell>
          <cell r="K1640">
            <v>1</v>
          </cell>
          <cell r="L1640">
            <v>0</v>
          </cell>
          <cell r="M1640">
            <v>0</v>
          </cell>
          <cell r="N1640">
            <v>0</v>
          </cell>
          <cell r="O1640">
            <v>0</v>
          </cell>
          <cell r="P1640">
            <v>0</v>
          </cell>
          <cell r="Q1640">
            <v>0</v>
          </cell>
          <cell r="R1640">
            <v>0</v>
          </cell>
          <cell r="S1640">
            <v>102000</v>
          </cell>
          <cell r="T1640">
            <v>0</v>
          </cell>
          <cell r="U1640">
            <v>0</v>
          </cell>
          <cell r="V1640">
            <v>0</v>
          </cell>
          <cell r="W1640">
            <v>0</v>
          </cell>
          <cell r="X1640" t="str">
            <v/>
          </cell>
          <cell r="Y1640" t="str">
            <v/>
          </cell>
          <cell r="Z1640" t="str">
            <v/>
          </cell>
          <cell r="AA1640" t="str">
            <v/>
          </cell>
          <cell r="AB1640" t="str">
            <v/>
          </cell>
          <cell r="AC1640" t="str">
            <v/>
          </cell>
          <cell r="AD1640" t="str">
            <v/>
          </cell>
          <cell r="AE1640" t="str">
            <v>⑪</v>
          </cell>
          <cell r="AF1640" t="str">
            <v/>
          </cell>
          <cell r="AG1640" t="str">
            <v/>
          </cell>
          <cell r="AH1640" t="str">
            <v/>
          </cell>
          <cell r="AI1640" t="str">
            <v/>
          </cell>
        </row>
        <row r="1641">
          <cell r="B1641">
            <v>8546</v>
          </cell>
          <cell r="C1641">
            <v>85</v>
          </cell>
          <cell r="D1641">
            <v>46</v>
          </cell>
          <cell r="F1641" t="str">
            <v>大阪</v>
          </cell>
          <cell r="G1641" t="str">
            <v>空調監視･制御保守</v>
          </cell>
          <cell r="H1641" t="str">
            <v>松下精工ｴﾝｼﾞﾆｱﾘﾝｸﾞ</v>
          </cell>
          <cell r="I1641">
            <v>2800000</v>
          </cell>
          <cell r="J1641">
            <v>2856000</v>
          </cell>
          <cell r="K1641">
            <v>1</v>
          </cell>
          <cell r="L1641">
            <v>0</v>
          </cell>
          <cell r="M1641">
            <v>0</v>
          </cell>
          <cell r="N1641">
            <v>0</v>
          </cell>
          <cell r="O1641">
            <v>2856000</v>
          </cell>
          <cell r="P1641">
            <v>0</v>
          </cell>
          <cell r="Q1641">
            <v>0</v>
          </cell>
          <cell r="R1641">
            <v>0</v>
          </cell>
          <cell r="S1641">
            <v>0</v>
          </cell>
          <cell r="T1641">
            <v>0</v>
          </cell>
          <cell r="U1641">
            <v>0</v>
          </cell>
          <cell r="V1641">
            <v>0</v>
          </cell>
          <cell r="W1641">
            <v>0</v>
          </cell>
          <cell r="X1641" t="str">
            <v/>
          </cell>
          <cell r="Y1641" t="str">
            <v/>
          </cell>
          <cell r="Z1641" t="str">
            <v/>
          </cell>
          <cell r="AA1641" t="str">
            <v>⑦</v>
          </cell>
          <cell r="AB1641" t="str">
            <v/>
          </cell>
          <cell r="AC1641" t="str">
            <v/>
          </cell>
          <cell r="AD1641" t="str">
            <v/>
          </cell>
          <cell r="AE1641" t="str">
            <v/>
          </cell>
          <cell r="AF1641" t="str">
            <v/>
          </cell>
          <cell r="AG1641" t="str">
            <v/>
          </cell>
          <cell r="AH1641" t="str">
            <v/>
          </cell>
          <cell r="AI1641" t="str">
            <v/>
          </cell>
        </row>
        <row r="1642">
          <cell r="B1642">
            <v>8547</v>
          </cell>
          <cell r="C1642">
            <v>85</v>
          </cell>
          <cell r="D1642">
            <v>47</v>
          </cell>
          <cell r="F1642" t="str">
            <v>大阪</v>
          </cell>
          <cell r="G1642" t="str">
            <v>ﾊﾟｯｹｰｼﾞｴｱｺﾝ( 4～12F)</v>
          </cell>
          <cell r="H1642" t="str">
            <v>松下精工ｴﾝｼﾞﾆｱﾘﾝｸﾞ</v>
          </cell>
          <cell r="I1642">
            <v>900000</v>
          </cell>
          <cell r="J1642">
            <v>918000</v>
          </cell>
          <cell r="K1642">
            <v>1</v>
          </cell>
          <cell r="L1642">
            <v>0</v>
          </cell>
          <cell r="M1642">
            <v>0</v>
          </cell>
          <cell r="N1642">
            <v>0</v>
          </cell>
          <cell r="O1642">
            <v>0</v>
          </cell>
          <cell r="P1642">
            <v>0</v>
          </cell>
          <cell r="Q1642">
            <v>0</v>
          </cell>
          <cell r="R1642">
            <v>0</v>
          </cell>
          <cell r="S1642">
            <v>0</v>
          </cell>
          <cell r="T1642">
            <v>918000</v>
          </cell>
          <cell r="U1642">
            <v>0</v>
          </cell>
          <cell r="V1642">
            <v>0</v>
          </cell>
          <cell r="W1642">
            <v>0</v>
          </cell>
          <cell r="X1642" t="str">
            <v/>
          </cell>
          <cell r="Y1642" t="str">
            <v/>
          </cell>
          <cell r="Z1642" t="str">
            <v/>
          </cell>
          <cell r="AA1642" t="str">
            <v/>
          </cell>
          <cell r="AB1642" t="str">
            <v/>
          </cell>
          <cell r="AC1642" t="str">
            <v/>
          </cell>
          <cell r="AD1642" t="str">
            <v/>
          </cell>
          <cell r="AE1642" t="str">
            <v/>
          </cell>
          <cell r="AF1642" t="str">
            <v>⑫</v>
          </cell>
          <cell r="AG1642" t="str">
            <v/>
          </cell>
          <cell r="AH1642" t="str">
            <v/>
          </cell>
          <cell r="AI1642" t="str">
            <v/>
          </cell>
        </row>
        <row r="1643">
          <cell r="B1643">
            <v>8548</v>
          </cell>
          <cell r="C1643">
            <v>85</v>
          </cell>
          <cell r="D1643">
            <v>48</v>
          </cell>
          <cell r="F1643" t="str">
            <v>大阪</v>
          </cell>
          <cell r="G1643" t="str">
            <v>ﾊﾟｯｹｰｼﾞｴｱｺﾝ(13～27F)</v>
          </cell>
          <cell r="H1643" t="str">
            <v>新菱冷熱工業</v>
          </cell>
          <cell r="I1643">
            <v>2257500</v>
          </cell>
          <cell r="J1643">
            <v>2302650</v>
          </cell>
          <cell r="K1643">
            <v>2</v>
          </cell>
          <cell r="L1643">
            <v>0</v>
          </cell>
          <cell r="M1643">
            <v>0</v>
          </cell>
          <cell r="N1643">
            <v>0</v>
          </cell>
          <cell r="O1643">
            <v>0</v>
          </cell>
          <cell r="P1643">
            <v>2302650</v>
          </cell>
          <cell r="Q1643">
            <v>0</v>
          </cell>
          <cell r="R1643">
            <v>0</v>
          </cell>
          <cell r="S1643">
            <v>0</v>
          </cell>
          <cell r="T1643">
            <v>0</v>
          </cell>
          <cell r="U1643">
            <v>2302650</v>
          </cell>
          <cell r="V1643">
            <v>0</v>
          </cell>
          <cell r="W1643">
            <v>0</v>
          </cell>
          <cell r="X1643" t="str">
            <v/>
          </cell>
          <cell r="Y1643" t="str">
            <v/>
          </cell>
          <cell r="Z1643" t="str">
            <v/>
          </cell>
          <cell r="AA1643" t="str">
            <v/>
          </cell>
          <cell r="AB1643" t="str">
            <v>⑧</v>
          </cell>
          <cell r="AC1643" t="str">
            <v/>
          </cell>
          <cell r="AD1643" t="str">
            <v/>
          </cell>
          <cell r="AE1643" t="str">
            <v/>
          </cell>
          <cell r="AF1643" t="str">
            <v/>
          </cell>
          <cell r="AG1643" t="str">
            <v>①</v>
          </cell>
          <cell r="AH1643" t="str">
            <v/>
          </cell>
          <cell r="AI1643" t="str">
            <v/>
          </cell>
        </row>
        <row r="1644">
          <cell r="B1644">
            <v>8549</v>
          </cell>
          <cell r="C1644">
            <v>85</v>
          </cell>
          <cell r="D1644">
            <v>49</v>
          </cell>
          <cell r="F1644" t="str">
            <v>大阪</v>
          </cell>
          <cell r="G1644" t="str">
            <v>空調監視設備保守</v>
          </cell>
          <cell r="H1644" t="str">
            <v>新菱冷熱工業</v>
          </cell>
          <cell r="I1644">
            <v>192500</v>
          </cell>
          <cell r="J1644">
            <v>196350</v>
          </cell>
          <cell r="K1644">
            <v>2</v>
          </cell>
          <cell r="L1644">
            <v>0</v>
          </cell>
          <cell r="M1644">
            <v>0</v>
          </cell>
          <cell r="N1644">
            <v>0</v>
          </cell>
          <cell r="O1644">
            <v>0</v>
          </cell>
          <cell r="P1644">
            <v>196350</v>
          </cell>
          <cell r="Q1644">
            <v>0</v>
          </cell>
          <cell r="R1644">
            <v>0</v>
          </cell>
          <cell r="S1644">
            <v>0</v>
          </cell>
          <cell r="T1644">
            <v>0</v>
          </cell>
          <cell r="U1644">
            <v>196350</v>
          </cell>
          <cell r="V1644">
            <v>0</v>
          </cell>
          <cell r="W1644">
            <v>0</v>
          </cell>
          <cell r="X1644" t="str">
            <v/>
          </cell>
          <cell r="Y1644" t="str">
            <v/>
          </cell>
          <cell r="Z1644" t="str">
            <v/>
          </cell>
          <cell r="AA1644" t="str">
            <v/>
          </cell>
          <cell r="AB1644" t="str">
            <v>⑧</v>
          </cell>
          <cell r="AC1644" t="str">
            <v/>
          </cell>
          <cell r="AD1644" t="str">
            <v/>
          </cell>
          <cell r="AE1644" t="str">
            <v/>
          </cell>
          <cell r="AF1644" t="str">
            <v/>
          </cell>
          <cell r="AG1644" t="str">
            <v>①</v>
          </cell>
          <cell r="AH1644" t="str">
            <v/>
          </cell>
          <cell r="AI1644" t="str">
            <v/>
          </cell>
        </row>
        <row r="1645">
          <cell r="B1645">
            <v>8550</v>
          </cell>
          <cell r="C1645">
            <v>85</v>
          </cell>
          <cell r="D1645">
            <v>50</v>
          </cell>
          <cell r="F1645" t="str">
            <v>大阪</v>
          </cell>
          <cell r="G1645" t="str">
            <v>空調自動制御機器保守</v>
          </cell>
          <cell r="H1645" t="str">
            <v>山武計装</v>
          </cell>
          <cell r="I1645">
            <v>1273000</v>
          </cell>
          <cell r="J1645">
            <v>1298460</v>
          </cell>
          <cell r="K1645">
            <v>2</v>
          </cell>
          <cell r="L1645">
            <v>0</v>
          </cell>
          <cell r="M1645">
            <v>1298460</v>
          </cell>
          <cell r="N1645">
            <v>0</v>
          </cell>
          <cell r="O1645">
            <v>0</v>
          </cell>
          <cell r="P1645">
            <v>0</v>
          </cell>
          <cell r="Q1645">
            <v>0</v>
          </cell>
          <cell r="R1645">
            <v>0</v>
          </cell>
          <cell r="S1645">
            <v>0</v>
          </cell>
          <cell r="T1645">
            <v>1298460</v>
          </cell>
          <cell r="U1645">
            <v>0</v>
          </cell>
          <cell r="V1645">
            <v>0</v>
          </cell>
          <cell r="W1645">
            <v>0</v>
          </cell>
          <cell r="X1645" t="str">
            <v/>
          </cell>
          <cell r="Y1645" t="str">
            <v>⑤</v>
          </cell>
          <cell r="Z1645" t="str">
            <v/>
          </cell>
          <cell r="AA1645" t="str">
            <v/>
          </cell>
          <cell r="AB1645" t="str">
            <v/>
          </cell>
          <cell r="AC1645" t="str">
            <v/>
          </cell>
          <cell r="AD1645" t="str">
            <v/>
          </cell>
          <cell r="AE1645" t="str">
            <v/>
          </cell>
          <cell r="AF1645" t="str">
            <v>⑫</v>
          </cell>
          <cell r="AG1645" t="str">
            <v/>
          </cell>
          <cell r="AH1645" t="str">
            <v/>
          </cell>
          <cell r="AI1645" t="str">
            <v/>
          </cell>
        </row>
        <row r="1646">
          <cell r="B1646">
            <v>8551</v>
          </cell>
          <cell r="C1646">
            <v>85</v>
          </cell>
          <cell r="D1646">
            <v>51</v>
          </cell>
          <cell r="F1646" t="str">
            <v>大阪</v>
          </cell>
          <cell r="G1646" t="str">
            <v>吸収式冷温水機設備保守</v>
          </cell>
          <cell r="H1646" t="str">
            <v>三洋空調ｼｽﾃﾑｻｰﾋﾞｽ</v>
          </cell>
          <cell r="I1646">
            <v>658000</v>
          </cell>
          <cell r="J1646">
            <v>671160</v>
          </cell>
          <cell r="K1646">
            <v>2</v>
          </cell>
          <cell r="L1646">
            <v>0</v>
          </cell>
          <cell r="M1646">
            <v>671160</v>
          </cell>
          <cell r="N1646">
            <v>0</v>
          </cell>
          <cell r="O1646">
            <v>0</v>
          </cell>
          <cell r="P1646">
            <v>0</v>
          </cell>
          <cell r="Q1646">
            <v>0</v>
          </cell>
          <cell r="R1646">
            <v>0</v>
          </cell>
          <cell r="S1646">
            <v>0</v>
          </cell>
          <cell r="T1646">
            <v>671160</v>
          </cell>
          <cell r="U1646">
            <v>0</v>
          </cell>
          <cell r="V1646">
            <v>0</v>
          </cell>
          <cell r="W1646">
            <v>0</v>
          </cell>
          <cell r="X1646" t="str">
            <v/>
          </cell>
          <cell r="Y1646" t="str">
            <v>⑤</v>
          </cell>
          <cell r="Z1646" t="str">
            <v/>
          </cell>
          <cell r="AA1646" t="str">
            <v/>
          </cell>
          <cell r="AB1646" t="str">
            <v/>
          </cell>
          <cell r="AC1646" t="str">
            <v/>
          </cell>
          <cell r="AD1646" t="str">
            <v/>
          </cell>
          <cell r="AE1646" t="str">
            <v/>
          </cell>
          <cell r="AF1646" t="str">
            <v>⑫</v>
          </cell>
          <cell r="AG1646" t="str">
            <v/>
          </cell>
          <cell r="AH1646" t="str">
            <v/>
          </cell>
          <cell r="AI1646" t="str">
            <v/>
          </cell>
        </row>
        <row r="1647">
          <cell r="B1647">
            <v>8552</v>
          </cell>
          <cell r="C1647">
            <v>85</v>
          </cell>
          <cell r="D1647">
            <v>52</v>
          </cell>
          <cell r="F1647" t="str">
            <v>大阪</v>
          </cell>
          <cell r="G1647" t="str">
            <v>ＢＧＭ放送保守</v>
          </cell>
          <cell r="H1647" t="str">
            <v>西日本音楽映像</v>
          </cell>
          <cell r="I1647">
            <v>9000</v>
          </cell>
          <cell r="J1647">
            <v>9180</v>
          </cell>
          <cell r="K1647">
            <v>12</v>
          </cell>
          <cell r="L1647">
            <v>9180</v>
          </cell>
          <cell r="M1647">
            <v>9180</v>
          </cell>
          <cell r="N1647">
            <v>9180</v>
          </cell>
          <cell r="O1647">
            <v>9180</v>
          </cell>
          <cell r="P1647">
            <v>9180</v>
          </cell>
          <cell r="Q1647">
            <v>9180</v>
          </cell>
          <cell r="R1647">
            <v>9180</v>
          </cell>
          <cell r="S1647">
            <v>9180</v>
          </cell>
          <cell r="T1647">
            <v>9180</v>
          </cell>
          <cell r="U1647">
            <v>9180</v>
          </cell>
          <cell r="V1647">
            <v>9180</v>
          </cell>
          <cell r="W1647">
            <v>9180</v>
          </cell>
          <cell r="X1647" t="str">
            <v>④</v>
          </cell>
          <cell r="Y1647" t="str">
            <v>⑤</v>
          </cell>
          <cell r="Z1647" t="str">
            <v>⑥</v>
          </cell>
          <cell r="AA1647" t="str">
            <v>⑦</v>
          </cell>
          <cell r="AB1647" t="str">
            <v>⑧</v>
          </cell>
          <cell r="AC1647" t="str">
            <v>⑨</v>
          </cell>
          <cell r="AD1647" t="str">
            <v>⑩</v>
          </cell>
          <cell r="AE1647" t="str">
            <v>⑪</v>
          </cell>
          <cell r="AF1647" t="str">
            <v>⑫</v>
          </cell>
          <cell r="AG1647" t="str">
            <v>①</v>
          </cell>
          <cell r="AH1647" t="str">
            <v>②</v>
          </cell>
          <cell r="AI1647" t="str">
            <v>③</v>
          </cell>
        </row>
        <row r="1648">
          <cell r="B1648">
            <v>8553</v>
          </cell>
          <cell r="C1648">
            <v>85</v>
          </cell>
          <cell r="D1648">
            <v>53</v>
          </cell>
          <cell r="F1648" t="str">
            <v>大阪</v>
          </cell>
          <cell r="G1648" t="str">
            <v>映像監視記録装置保守</v>
          </cell>
          <cell r="H1648" t="str">
            <v>シャープテクノス</v>
          </cell>
          <cell r="I1648">
            <v>226500</v>
          </cell>
          <cell r="J1648">
            <v>231030</v>
          </cell>
          <cell r="K1648">
            <v>1</v>
          </cell>
          <cell r="L1648">
            <v>0</v>
          </cell>
          <cell r="M1648">
            <v>0</v>
          </cell>
          <cell r="N1648">
            <v>231030</v>
          </cell>
          <cell r="O1648">
            <v>0</v>
          </cell>
          <cell r="P1648">
            <v>0</v>
          </cell>
          <cell r="Q1648">
            <v>0</v>
          </cell>
          <cell r="R1648">
            <v>0</v>
          </cell>
          <cell r="S1648">
            <v>0</v>
          </cell>
          <cell r="T1648">
            <v>0</v>
          </cell>
          <cell r="U1648">
            <v>0</v>
          </cell>
          <cell r="V1648">
            <v>0</v>
          </cell>
          <cell r="W1648">
            <v>0</v>
          </cell>
          <cell r="X1648" t="str">
            <v/>
          </cell>
          <cell r="Y1648" t="str">
            <v/>
          </cell>
          <cell r="Z1648" t="str">
            <v>⑥</v>
          </cell>
          <cell r="AA1648" t="str">
            <v/>
          </cell>
          <cell r="AB1648" t="str">
            <v/>
          </cell>
          <cell r="AC1648" t="str">
            <v/>
          </cell>
          <cell r="AD1648" t="str">
            <v/>
          </cell>
          <cell r="AE1648" t="str">
            <v/>
          </cell>
          <cell r="AF1648" t="str">
            <v/>
          </cell>
          <cell r="AG1648" t="str">
            <v/>
          </cell>
          <cell r="AH1648" t="str">
            <v/>
          </cell>
          <cell r="AI1648" t="str">
            <v/>
          </cell>
        </row>
        <row r="1649">
          <cell r="B1649">
            <v>8554</v>
          </cell>
          <cell r="C1649">
            <v>85</v>
          </cell>
          <cell r="D1649">
            <v>54</v>
          </cell>
          <cell r="F1649" t="str">
            <v>大阪</v>
          </cell>
          <cell r="G1649" t="str">
            <v>映像監視記録装置保守</v>
          </cell>
          <cell r="H1649" t="str">
            <v>シャープテクノス</v>
          </cell>
          <cell r="I1649">
            <v>528900</v>
          </cell>
          <cell r="J1649">
            <v>539478</v>
          </cell>
          <cell r="K1649">
            <v>1</v>
          </cell>
          <cell r="L1649">
            <v>0</v>
          </cell>
          <cell r="M1649">
            <v>0</v>
          </cell>
          <cell r="N1649">
            <v>0</v>
          </cell>
          <cell r="O1649">
            <v>0</v>
          </cell>
          <cell r="P1649">
            <v>0</v>
          </cell>
          <cell r="Q1649">
            <v>0</v>
          </cell>
          <cell r="R1649">
            <v>0</v>
          </cell>
          <cell r="S1649">
            <v>0</v>
          </cell>
          <cell r="T1649">
            <v>539478</v>
          </cell>
          <cell r="U1649">
            <v>0</v>
          </cell>
          <cell r="V1649">
            <v>0</v>
          </cell>
          <cell r="W1649">
            <v>0</v>
          </cell>
          <cell r="X1649" t="str">
            <v/>
          </cell>
          <cell r="Y1649" t="str">
            <v/>
          </cell>
          <cell r="Z1649" t="str">
            <v/>
          </cell>
          <cell r="AA1649" t="str">
            <v/>
          </cell>
          <cell r="AB1649" t="str">
            <v/>
          </cell>
          <cell r="AC1649" t="str">
            <v/>
          </cell>
          <cell r="AD1649" t="str">
            <v/>
          </cell>
          <cell r="AE1649" t="str">
            <v/>
          </cell>
          <cell r="AF1649" t="str">
            <v>⑫</v>
          </cell>
          <cell r="AG1649" t="str">
            <v/>
          </cell>
          <cell r="AH1649" t="str">
            <v/>
          </cell>
          <cell r="AI1649" t="str">
            <v/>
          </cell>
        </row>
        <row r="1650">
          <cell r="B1650">
            <v>8555</v>
          </cell>
          <cell r="C1650">
            <v>85</v>
          </cell>
          <cell r="D1650">
            <v>55</v>
          </cell>
          <cell r="F1650" t="str">
            <v>大阪</v>
          </cell>
          <cell r="G1650" t="str">
            <v>純粋装置点検保守</v>
          </cell>
          <cell r="H1650" t="str">
            <v>東西化学産業</v>
          </cell>
          <cell r="I1650">
            <v>193500</v>
          </cell>
          <cell r="J1650">
            <v>197370</v>
          </cell>
          <cell r="K1650">
            <v>2</v>
          </cell>
          <cell r="L1650">
            <v>0</v>
          </cell>
          <cell r="M1650">
            <v>0</v>
          </cell>
          <cell r="N1650">
            <v>197370</v>
          </cell>
          <cell r="O1650">
            <v>0</v>
          </cell>
          <cell r="P1650">
            <v>0</v>
          </cell>
          <cell r="Q1650">
            <v>0</v>
          </cell>
          <cell r="R1650">
            <v>0</v>
          </cell>
          <cell r="S1650">
            <v>0</v>
          </cell>
          <cell r="T1650">
            <v>0</v>
          </cell>
          <cell r="U1650">
            <v>0</v>
          </cell>
          <cell r="V1650">
            <v>197370</v>
          </cell>
          <cell r="W1650">
            <v>0</v>
          </cell>
          <cell r="X1650" t="str">
            <v/>
          </cell>
          <cell r="Y1650" t="str">
            <v/>
          </cell>
          <cell r="Z1650" t="str">
            <v>⑥</v>
          </cell>
          <cell r="AA1650" t="str">
            <v/>
          </cell>
          <cell r="AB1650" t="str">
            <v/>
          </cell>
          <cell r="AC1650" t="str">
            <v/>
          </cell>
          <cell r="AD1650" t="str">
            <v/>
          </cell>
          <cell r="AE1650" t="str">
            <v/>
          </cell>
          <cell r="AF1650" t="str">
            <v/>
          </cell>
          <cell r="AG1650" t="str">
            <v/>
          </cell>
          <cell r="AH1650" t="str">
            <v>②</v>
          </cell>
          <cell r="AI1650" t="str">
            <v/>
          </cell>
        </row>
        <row r="1651">
          <cell r="B1651">
            <v>8556</v>
          </cell>
          <cell r="C1651">
            <v>85</v>
          </cell>
          <cell r="D1651">
            <v>56</v>
          </cell>
          <cell r="F1651" t="str">
            <v>大阪</v>
          </cell>
          <cell r="G1651" t="str">
            <v>純粋装置点検保守</v>
          </cell>
          <cell r="H1651" t="str">
            <v>東西化学産業</v>
          </cell>
          <cell r="I1651">
            <v>98000</v>
          </cell>
          <cell r="J1651">
            <v>99960</v>
          </cell>
          <cell r="K1651">
            <v>1</v>
          </cell>
          <cell r="L1651">
            <v>0</v>
          </cell>
          <cell r="M1651">
            <v>0</v>
          </cell>
          <cell r="N1651">
            <v>0</v>
          </cell>
          <cell r="O1651">
            <v>0</v>
          </cell>
          <cell r="P1651">
            <v>0</v>
          </cell>
          <cell r="Q1651">
            <v>0</v>
          </cell>
          <cell r="R1651">
            <v>99960</v>
          </cell>
          <cell r="S1651">
            <v>0</v>
          </cell>
          <cell r="T1651">
            <v>0</v>
          </cell>
          <cell r="U1651">
            <v>0</v>
          </cell>
          <cell r="V1651">
            <v>0</v>
          </cell>
          <cell r="W1651">
            <v>0</v>
          </cell>
          <cell r="X1651" t="str">
            <v/>
          </cell>
          <cell r="Y1651" t="str">
            <v/>
          </cell>
          <cell r="Z1651" t="str">
            <v/>
          </cell>
          <cell r="AA1651" t="str">
            <v/>
          </cell>
          <cell r="AB1651" t="str">
            <v/>
          </cell>
          <cell r="AC1651" t="str">
            <v/>
          </cell>
          <cell r="AD1651" t="str">
            <v>⑩</v>
          </cell>
          <cell r="AE1651" t="str">
            <v/>
          </cell>
          <cell r="AF1651" t="str">
            <v/>
          </cell>
          <cell r="AG1651" t="str">
            <v/>
          </cell>
          <cell r="AH1651" t="str">
            <v/>
          </cell>
          <cell r="AI1651" t="str">
            <v/>
          </cell>
        </row>
        <row r="1652">
          <cell r="B1652">
            <v>8557</v>
          </cell>
          <cell r="C1652">
            <v>85</v>
          </cell>
          <cell r="D1652">
            <v>57</v>
          </cell>
          <cell r="F1652" t="str">
            <v>大阪</v>
          </cell>
          <cell r="G1652" t="str">
            <v>防犯装置保守点検</v>
          </cell>
          <cell r="H1652" t="str">
            <v>大阪ﾅｼｮﾅﾙ阪南電工機器</v>
          </cell>
          <cell r="I1652">
            <v>800000</v>
          </cell>
          <cell r="J1652">
            <v>816000</v>
          </cell>
          <cell r="K1652">
            <v>1</v>
          </cell>
          <cell r="L1652">
            <v>0</v>
          </cell>
          <cell r="M1652">
            <v>0</v>
          </cell>
          <cell r="N1652">
            <v>0</v>
          </cell>
          <cell r="O1652">
            <v>0</v>
          </cell>
          <cell r="P1652">
            <v>816000</v>
          </cell>
          <cell r="Q1652">
            <v>0</v>
          </cell>
          <cell r="R1652">
            <v>0</v>
          </cell>
          <cell r="S1652">
            <v>0</v>
          </cell>
          <cell r="T1652">
            <v>0</v>
          </cell>
          <cell r="U1652">
            <v>0</v>
          </cell>
          <cell r="V1652">
            <v>0</v>
          </cell>
          <cell r="W1652">
            <v>0</v>
          </cell>
          <cell r="X1652" t="str">
            <v/>
          </cell>
          <cell r="Y1652" t="str">
            <v/>
          </cell>
          <cell r="Z1652" t="str">
            <v/>
          </cell>
          <cell r="AA1652" t="str">
            <v/>
          </cell>
          <cell r="AB1652" t="str">
            <v>⑧</v>
          </cell>
          <cell r="AC1652" t="str">
            <v/>
          </cell>
          <cell r="AD1652" t="str">
            <v/>
          </cell>
          <cell r="AE1652" t="str">
            <v/>
          </cell>
          <cell r="AF1652" t="str">
            <v/>
          </cell>
          <cell r="AG1652" t="str">
            <v/>
          </cell>
          <cell r="AH1652" t="str">
            <v/>
          </cell>
          <cell r="AI1652" t="str">
            <v/>
          </cell>
        </row>
        <row r="1653">
          <cell r="B1653">
            <v>8558</v>
          </cell>
          <cell r="C1653">
            <v>85</v>
          </cell>
          <cell r="D1653">
            <v>58</v>
          </cell>
          <cell r="F1653" t="str">
            <v>大阪</v>
          </cell>
          <cell r="G1653" t="str">
            <v>ビル管理設備保守</v>
          </cell>
          <cell r="H1653" t="str">
            <v>富士テレコム</v>
          </cell>
          <cell r="I1653">
            <v>4400000</v>
          </cell>
          <cell r="J1653">
            <v>4488000</v>
          </cell>
          <cell r="K1653">
            <v>1</v>
          </cell>
          <cell r="L1653">
            <v>0</v>
          </cell>
          <cell r="M1653">
            <v>0</v>
          </cell>
          <cell r="N1653">
            <v>0</v>
          </cell>
          <cell r="O1653">
            <v>4488000</v>
          </cell>
          <cell r="P1653">
            <v>0</v>
          </cell>
          <cell r="Q1653">
            <v>0</v>
          </cell>
          <cell r="R1653">
            <v>0</v>
          </cell>
          <cell r="S1653">
            <v>0</v>
          </cell>
          <cell r="T1653">
            <v>0</v>
          </cell>
          <cell r="U1653">
            <v>0</v>
          </cell>
          <cell r="V1653">
            <v>0</v>
          </cell>
          <cell r="W1653">
            <v>0</v>
          </cell>
          <cell r="X1653" t="str">
            <v/>
          </cell>
          <cell r="Y1653" t="str">
            <v/>
          </cell>
          <cell r="Z1653" t="str">
            <v/>
          </cell>
          <cell r="AA1653" t="str">
            <v>⑦</v>
          </cell>
          <cell r="AB1653" t="str">
            <v/>
          </cell>
          <cell r="AC1653" t="str">
            <v/>
          </cell>
          <cell r="AD1653" t="str">
            <v/>
          </cell>
          <cell r="AE1653" t="str">
            <v/>
          </cell>
          <cell r="AF1653" t="str">
            <v/>
          </cell>
          <cell r="AG1653" t="str">
            <v/>
          </cell>
          <cell r="AH1653" t="str">
            <v/>
          </cell>
          <cell r="AI1653" t="str">
            <v/>
          </cell>
        </row>
        <row r="1654">
          <cell r="B1654">
            <v>8559</v>
          </cell>
          <cell r="C1654">
            <v>85</v>
          </cell>
          <cell r="D1654">
            <v>59</v>
          </cell>
          <cell r="F1654" t="str">
            <v>大阪</v>
          </cell>
          <cell r="G1654" t="str">
            <v>ＷＴＡ保守</v>
          </cell>
          <cell r="H1654" t="str">
            <v>鹿島建物総合管理</v>
          </cell>
          <cell r="I1654">
            <v>5574800</v>
          </cell>
          <cell r="J1654">
            <v>5686296</v>
          </cell>
          <cell r="K1654">
            <v>1</v>
          </cell>
          <cell r="L1654">
            <v>0</v>
          </cell>
          <cell r="M1654">
            <v>0</v>
          </cell>
          <cell r="N1654">
            <v>0</v>
          </cell>
          <cell r="O1654">
            <v>0</v>
          </cell>
          <cell r="P1654">
            <v>5686296</v>
          </cell>
          <cell r="Q1654">
            <v>0</v>
          </cell>
          <cell r="R1654">
            <v>0</v>
          </cell>
          <cell r="S1654">
            <v>0</v>
          </cell>
          <cell r="T1654">
            <v>0</v>
          </cell>
          <cell r="U1654">
            <v>0</v>
          </cell>
          <cell r="V1654">
            <v>0</v>
          </cell>
          <cell r="W1654">
            <v>0</v>
          </cell>
          <cell r="X1654" t="str">
            <v/>
          </cell>
          <cell r="Y1654" t="str">
            <v/>
          </cell>
          <cell r="Z1654" t="str">
            <v/>
          </cell>
          <cell r="AA1654" t="str">
            <v/>
          </cell>
          <cell r="AB1654" t="str">
            <v>⑧</v>
          </cell>
          <cell r="AC1654" t="str">
            <v/>
          </cell>
          <cell r="AD1654" t="str">
            <v/>
          </cell>
          <cell r="AE1654" t="str">
            <v/>
          </cell>
          <cell r="AF1654" t="str">
            <v/>
          </cell>
          <cell r="AG1654" t="str">
            <v/>
          </cell>
          <cell r="AH1654" t="str">
            <v/>
          </cell>
          <cell r="AI1654" t="str">
            <v/>
          </cell>
        </row>
        <row r="1655">
          <cell r="B1655">
            <v>8560</v>
          </cell>
          <cell r="C1655">
            <v>85</v>
          </cell>
          <cell r="D1655">
            <v>60</v>
          </cell>
          <cell r="F1655" t="str">
            <v>大阪</v>
          </cell>
          <cell r="G1655" t="str">
            <v>ＷＴＡ保守</v>
          </cell>
          <cell r="H1655" t="str">
            <v>鹿島建物総合管理</v>
          </cell>
          <cell r="I1655">
            <v>1010200</v>
          </cell>
          <cell r="J1655">
            <v>1030404</v>
          </cell>
          <cell r="K1655">
            <v>1</v>
          </cell>
          <cell r="L1655">
            <v>0</v>
          </cell>
          <cell r="M1655">
            <v>0</v>
          </cell>
          <cell r="N1655">
            <v>0</v>
          </cell>
          <cell r="O1655">
            <v>0</v>
          </cell>
          <cell r="P1655">
            <v>0</v>
          </cell>
          <cell r="Q1655">
            <v>0</v>
          </cell>
          <cell r="R1655">
            <v>0</v>
          </cell>
          <cell r="S1655">
            <v>0</v>
          </cell>
          <cell r="T1655">
            <v>1030404</v>
          </cell>
          <cell r="U1655">
            <v>0</v>
          </cell>
          <cell r="V1655">
            <v>0</v>
          </cell>
          <cell r="W1655">
            <v>0</v>
          </cell>
          <cell r="X1655" t="str">
            <v/>
          </cell>
          <cell r="Y1655" t="str">
            <v/>
          </cell>
          <cell r="Z1655" t="str">
            <v/>
          </cell>
          <cell r="AA1655" t="str">
            <v/>
          </cell>
          <cell r="AB1655" t="str">
            <v/>
          </cell>
          <cell r="AC1655" t="str">
            <v/>
          </cell>
          <cell r="AD1655" t="str">
            <v/>
          </cell>
          <cell r="AE1655" t="str">
            <v/>
          </cell>
          <cell r="AF1655" t="str">
            <v>⑫</v>
          </cell>
          <cell r="AG1655" t="str">
            <v/>
          </cell>
          <cell r="AH1655" t="str">
            <v/>
          </cell>
          <cell r="AI1655" t="str">
            <v/>
          </cell>
        </row>
        <row r="1656">
          <cell r="B1656">
            <v>8561</v>
          </cell>
          <cell r="C1656">
            <v>85</v>
          </cell>
          <cell r="D1656">
            <v>61</v>
          </cell>
          <cell r="F1656" t="str">
            <v>大阪</v>
          </cell>
          <cell r="G1656" t="str">
            <v>生ゴミ冷蔵室点検保守</v>
          </cell>
          <cell r="H1656" t="str">
            <v>アリガ</v>
          </cell>
          <cell r="I1656">
            <v>35000</v>
          </cell>
          <cell r="J1656">
            <v>35700</v>
          </cell>
          <cell r="K1656">
            <v>1</v>
          </cell>
          <cell r="L1656">
            <v>0</v>
          </cell>
          <cell r="M1656">
            <v>0</v>
          </cell>
          <cell r="N1656">
            <v>35700</v>
          </cell>
          <cell r="O1656">
            <v>0</v>
          </cell>
          <cell r="P1656">
            <v>0</v>
          </cell>
          <cell r="Q1656">
            <v>0</v>
          </cell>
          <cell r="R1656">
            <v>0</v>
          </cell>
          <cell r="S1656">
            <v>0</v>
          </cell>
          <cell r="T1656">
            <v>0</v>
          </cell>
          <cell r="U1656">
            <v>0</v>
          </cell>
          <cell r="V1656">
            <v>0</v>
          </cell>
          <cell r="W1656">
            <v>0</v>
          </cell>
          <cell r="X1656" t="str">
            <v/>
          </cell>
          <cell r="Y1656" t="str">
            <v/>
          </cell>
          <cell r="Z1656" t="str">
            <v>⑥</v>
          </cell>
          <cell r="AA1656" t="str">
            <v/>
          </cell>
          <cell r="AB1656" t="str">
            <v/>
          </cell>
          <cell r="AC1656" t="str">
            <v/>
          </cell>
          <cell r="AD1656" t="str">
            <v/>
          </cell>
          <cell r="AE1656" t="str">
            <v/>
          </cell>
          <cell r="AF1656" t="str">
            <v/>
          </cell>
          <cell r="AG1656" t="str">
            <v/>
          </cell>
          <cell r="AH1656" t="str">
            <v/>
          </cell>
          <cell r="AI1656" t="str">
            <v/>
          </cell>
        </row>
        <row r="1657">
          <cell r="B1657">
            <v>8562</v>
          </cell>
          <cell r="C1657">
            <v>85</v>
          </cell>
          <cell r="D1657">
            <v>62</v>
          </cell>
          <cell r="F1657" t="str">
            <v>大阪</v>
          </cell>
          <cell r="G1657" t="str">
            <v>ゴミ処理回転ドラム保守</v>
          </cell>
          <cell r="H1657" t="str">
            <v>東洋興業</v>
          </cell>
          <cell r="I1657">
            <v>91500</v>
          </cell>
          <cell r="J1657">
            <v>93330</v>
          </cell>
          <cell r="K1657">
            <v>4</v>
          </cell>
          <cell r="L1657">
            <v>0</v>
          </cell>
          <cell r="M1657">
            <v>0</v>
          </cell>
          <cell r="N1657">
            <v>93330</v>
          </cell>
          <cell r="O1657">
            <v>0</v>
          </cell>
          <cell r="P1657">
            <v>0</v>
          </cell>
          <cell r="Q1657">
            <v>93330</v>
          </cell>
          <cell r="R1657">
            <v>0</v>
          </cell>
          <cell r="S1657">
            <v>0</v>
          </cell>
          <cell r="T1657">
            <v>93330</v>
          </cell>
          <cell r="U1657">
            <v>0</v>
          </cell>
          <cell r="V1657">
            <v>0</v>
          </cell>
          <cell r="W1657">
            <v>93330</v>
          </cell>
          <cell r="X1657" t="str">
            <v/>
          </cell>
          <cell r="Y1657" t="str">
            <v/>
          </cell>
          <cell r="Z1657" t="str">
            <v>⑥</v>
          </cell>
          <cell r="AA1657" t="str">
            <v/>
          </cell>
          <cell r="AB1657" t="str">
            <v/>
          </cell>
          <cell r="AC1657" t="str">
            <v>⑨</v>
          </cell>
          <cell r="AD1657" t="str">
            <v/>
          </cell>
          <cell r="AE1657" t="str">
            <v/>
          </cell>
          <cell r="AF1657" t="str">
            <v>⑫</v>
          </cell>
          <cell r="AG1657" t="str">
            <v/>
          </cell>
          <cell r="AH1657" t="str">
            <v/>
          </cell>
          <cell r="AI1657" t="str">
            <v>③</v>
          </cell>
        </row>
        <row r="1658">
          <cell r="B1658">
            <v>8563</v>
          </cell>
          <cell r="C1658">
            <v>85</v>
          </cell>
          <cell r="D1658">
            <v>63</v>
          </cell>
          <cell r="F1658" t="str">
            <v>大阪</v>
          </cell>
          <cell r="G1658" t="str">
            <v>エアフレッシュナー保守</v>
          </cell>
          <cell r="H1658" t="str">
            <v>日本カルミック</v>
          </cell>
          <cell r="I1658">
            <v>72000</v>
          </cell>
          <cell r="J1658">
            <v>73440</v>
          </cell>
          <cell r="K1658">
            <v>1</v>
          </cell>
          <cell r="L1658">
            <v>0</v>
          </cell>
          <cell r="M1658">
            <v>0</v>
          </cell>
          <cell r="N1658">
            <v>0</v>
          </cell>
          <cell r="O1658">
            <v>0</v>
          </cell>
          <cell r="P1658">
            <v>0</v>
          </cell>
          <cell r="Q1658">
            <v>73440</v>
          </cell>
          <cell r="R1658">
            <v>0</v>
          </cell>
          <cell r="S1658">
            <v>0</v>
          </cell>
          <cell r="T1658">
            <v>0</v>
          </cell>
          <cell r="U1658">
            <v>0</v>
          </cell>
          <cell r="V1658">
            <v>0</v>
          </cell>
          <cell r="W1658">
            <v>0</v>
          </cell>
          <cell r="X1658" t="str">
            <v/>
          </cell>
          <cell r="Y1658" t="str">
            <v/>
          </cell>
          <cell r="Z1658" t="str">
            <v/>
          </cell>
          <cell r="AA1658" t="str">
            <v/>
          </cell>
          <cell r="AB1658" t="str">
            <v/>
          </cell>
          <cell r="AC1658" t="str">
            <v>⑨</v>
          </cell>
          <cell r="AD1658" t="str">
            <v/>
          </cell>
          <cell r="AE1658" t="str">
            <v/>
          </cell>
          <cell r="AF1658" t="str">
            <v/>
          </cell>
          <cell r="AG1658" t="str">
            <v/>
          </cell>
          <cell r="AH1658" t="str">
            <v/>
          </cell>
          <cell r="AI1658" t="str">
            <v/>
          </cell>
        </row>
        <row r="1659">
          <cell r="B1659">
            <v>8564</v>
          </cell>
          <cell r="C1659">
            <v>85</v>
          </cell>
          <cell r="D1659">
            <v>64</v>
          </cell>
          <cell r="F1659" t="str">
            <v>大阪</v>
          </cell>
          <cell r="G1659" t="str">
            <v>樹木管理</v>
          </cell>
          <cell r="H1659" t="str">
            <v>近鉄造園</v>
          </cell>
          <cell r="I1659">
            <v>548000</v>
          </cell>
          <cell r="J1659">
            <v>558960</v>
          </cell>
          <cell r="K1659">
            <v>4</v>
          </cell>
          <cell r="L1659">
            <v>0</v>
          </cell>
          <cell r="M1659">
            <v>558960</v>
          </cell>
          <cell r="N1659">
            <v>0</v>
          </cell>
          <cell r="O1659">
            <v>0</v>
          </cell>
          <cell r="P1659">
            <v>558960</v>
          </cell>
          <cell r="Q1659">
            <v>0</v>
          </cell>
          <cell r="R1659">
            <v>0</v>
          </cell>
          <cell r="S1659">
            <v>558960</v>
          </cell>
          <cell r="T1659">
            <v>0</v>
          </cell>
          <cell r="U1659">
            <v>0</v>
          </cell>
          <cell r="V1659">
            <v>558960</v>
          </cell>
          <cell r="W1659">
            <v>0</v>
          </cell>
          <cell r="X1659" t="str">
            <v/>
          </cell>
          <cell r="Y1659" t="str">
            <v>⑤</v>
          </cell>
          <cell r="Z1659" t="str">
            <v/>
          </cell>
          <cell r="AA1659" t="str">
            <v/>
          </cell>
          <cell r="AB1659" t="str">
            <v>⑧</v>
          </cell>
          <cell r="AC1659" t="str">
            <v/>
          </cell>
          <cell r="AD1659" t="str">
            <v/>
          </cell>
          <cell r="AE1659" t="str">
            <v>⑪</v>
          </cell>
          <cell r="AF1659" t="str">
            <v/>
          </cell>
          <cell r="AG1659" t="str">
            <v/>
          </cell>
          <cell r="AH1659" t="str">
            <v>②</v>
          </cell>
          <cell r="AI1659" t="str">
            <v/>
          </cell>
        </row>
        <row r="1660">
          <cell r="B1660">
            <v>8565</v>
          </cell>
          <cell r="C1660">
            <v>85</v>
          </cell>
          <cell r="D1660">
            <v>65</v>
          </cell>
          <cell r="F1660" t="str">
            <v>大阪</v>
          </cell>
          <cell r="G1660" t="str">
            <v>無線機リース金</v>
          </cell>
          <cell r="H1660" t="str">
            <v>三洋電機クレジット</v>
          </cell>
          <cell r="I1660">
            <v>5900</v>
          </cell>
          <cell r="J1660">
            <v>6018</v>
          </cell>
          <cell r="K1660">
            <v>12</v>
          </cell>
          <cell r="L1660">
            <v>6018</v>
          </cell>
          <cell r="M1660">
            <v>6018</v>
          </cell>
          <cell r="N1660">
            <v>6018</v>
          </cell>
          <cell r="O1660">
            <v>6018</v>
          </cell>
          <cell r="P1660">
            <v>6018</v>
          </cell>
          <cell r="Q1660">
            <v>6018</v>
          </cell>
          <cell r="R1660">
            <v>6018</v>
          </cell>
          <cell r="S1660">
            <v>6018</v>
          </cell>
          <cell r="T1660">
            <v>6018</v>
          </cell>
          <cell r="U1660">
            <v>6018</v>
          </cell>
          <cell r="V1660">
            <v>6018</v>
          </cell>
          <cell r="W1660">
            <v>6018</v>
          </cell>
          <cell r="X1660" t="str">
            <v>④</v>
          </cell>
          <cell r="Y1660" t="str">
            <v>⑤</v>
          </cell>
          <cell r="Z1660" t="str">
            <v>⑥</v>
          </cell>
          <cell r="AA1660" t="str">
            <v>⑦</v>
          </cell>
          <cell r="AB1660" t="str">
            <v>⑧</v>
          </cell>
          <cell r="AC1660" t="str">
            <v>⑨</v>
          </cell>
          <cell r="AD1660" t="str">
            <v>⑩</v>
          </cell>
          <cell r="AE1660" t="str">
            <v>⑪</v>
          </cell>
          <cell r="AF1660" t="str">
            <v>⑫</v>
          </cell>
          <cell r="AG1660" t="str">
            <v>①</v>
          </cell>
          <cell r="AH1660" t="str">
            <v>②</v>
          </cell>
          <cell r="AI1660" t="str">
            <v>③</v>
          </cell>
        </row>
        <row r="1661">
          <cell r="B1661">
            <v>8566</v>
          </cell>
          <cell r="C1661">
            <v>85</v>
          </cell>
          <cell r="D1661">
            <v>66</v>
          </cell>
          <cell r="F1661" t="str">
            <v>大阪</v>
          </cell>
          <cell r="G1661" t="str">
            <v>貸植木代</v>
          </cell>
          <cell r="H1661" t="str">
            <v>トウカイコーポレーション</v>
          </cell>
          <cell r="I1661">
            <v>107000</v>
          </cell>
          <cell r="J1661">
            <v>109140</v>
          </cell>
          <cell r="K1661">
            <v>12</v>
          </cell>
          <cell r="L1661">
            <v>109140</v>
          </cell>
          <cell r="M1661">
            <v>109140</v>
          </cell>
          <cell r="N1661">
            <v>109140</v>
          </cell>
          <cell r="O1661">
            <v>109140</v>
          </cell>
          <cell r="P1661">
            <v>109140</v>
          </cell>
          <cell r="Q1661">
            <v>109140</v>
          </cell>
          <cell r="R1661">
            <v>109140</v>
          </cell>
          <cell r="S1661">
            <v>109140</v>
          </cell>
          <cell r="T1661">
            <v>109140</v>
          </cell>
          <cell r="U1661">
            <v>109140</v>
          </cell>
          <cell r="V1661">
            <v>109140</v>
          </cell>
          <cell r="W1661">
            <v>109140</v>
          </cell>
          <cell r="X1661" t="str">
            <v>④</v>
          </cell>
          <cell r="Y1661" t="str">
            <v>⑤</v>
          </cell>
          <cell r="Z1661" t="str">
            <v>⑥</v>
          </cell>
          <cell r="AA1661" t="str">
            <v>⑦</v>
          </cell>
          <cell r="AB1661" t="str">
            <v>⑧</v>
          </cell>
          <cell r="AC1661" t="str">
            <v>⑨</v>
          </cell>
          <cell r="AD1661" t="str">
            <v>⑩</v>
          </cell>
          <cell r="AE1661" t="str">
            <v>⑪</v>
          </cell>
          <cell r="AF1661" t="str">
            <v>⑫</v>
          </cell>
          <cell r="AG1661" t="str">
            <v>①</v>
          </cell>
          <cell r="AH1661" t="str">
            <v>②</v>
          </cell>
          <cell r="AI1661" t="str">
            <v>③</v>
          </cell>
        </row>
        <row r="1662">
          <cell r="B1662">
            <v>8567</v>
          </cell>
          <cell r="C1662">
            <v>85</v>
          </cell>
          <cell r="D1662">
            <v>67</v>
          </cell>
          <cell r="F1662" t="str">
            <v>大阪</v>
          </cell>
          <cell r="G1662" t="str">
            <v>低層棟ﾋｰﾄﾎﾟﾝﾌﾟﾊﾟｯｹｰｼﾞ点検</v>
          </cell>
          <cell r="H1662" t="str">
            <v>三菱電機ﾋﾞﾙﾃｸﾉｻｰﾋﾞｽ㈱</v>
          </cell>
          <cell r="I1662">
            <v>560000</v>
          </cell>
          <cell r="J1662">
            <v>616000</v>
          </cell>
          <cell r="K1662">
            <v>2</v>
          </cell>
          <cell r="L1662">
            <v>0</v>
          </cell>
          <cell r="M1662">
            <v>0</v>
          </cell>
          <cell r="N1662">
            <v>616000</v>
          </cell>
          <cell r="O1662">
            <v>0</v>
          </cell>
          <cell r="P1662">
            <v>0</v>
          </cell>
          <cell r="Q1662">
            <v>0</v>
          </cell>
          <cell r="R1662">
            <v>0</v>
          </cell>
          <cell r="S1662">
            <v>0</v>
          </cell>
          <cell r="T1662">
            <v>616000</v>
          </cell>
          <cell r="U1662">
            <v>0</v>
          </cell>
          <cell r="V1662">
            <v>0</v>
          </cell>
          <cell r="W1662">
            <v>0</v>
          </cell>
          <cell r="X1662" t="str">
            <v/>
          </cell>
          <cell r="Z1662" t="str">
            <v>⑥</v>
          </cell>
          <cell r="AA1662" t="str">
            <v/>
          </cell>
          <cell r="AB1662" t="str">
            <v/>
          </cell>
          <cell r="AC1662" t="str">
            <v/>
          </cell>
          <cell r="AE1662" t="str">
            <v/>
          </cell>
          <cell r="AF1662" t="str">
            <v>⑫</v>
          </cell>
          <cell r="AG1662" t="str">
            <v/>
          </cell>
          <cell r="AH1662" t="str">
            <v/>
          </cell>
          <cell r="AI1662" t="str">
            <v/>
          </cell>
          <cell r="AJ1662" t="str">
            <v>追</v>
          </cell>
        </row>
        <row r="1663">
          <cell r="B1663">
            <v>8568</v>
          </cell>
          <cell r="C1663">
            <v>85</v>
          </cell>
          <cell r="D1663">
            <v>68</v>
          </cell>
          <cell r="F1663" t="str">
            <v>大阪</v>
          </cell>
          <cell r="G1663" t="str">
            <v>ﾊﾟｯｹｰｼﾞｴｱｺﾝ点検(山形屋)</v>
          </cell>
          <cell r="H1663" t="str">
            <v>松下環境空調ｴﾝｼﾞﾆｱﾘﾝｸﾞ㈱</v>
          </cell>
          <cell r="I1663">
            <v>90000</v>
          </cell>
          <cell r="J1663">
            <v>99000</v>
          </cell>
          <cell r="K1663">
            <v>1</v>
          </cell>
          <cell r="L1663">
            <v>0</v>
          </cell>
          <cell r="M1663">
            <v>99000</v>
          </cell>
          <cell r="N1663">
            <v>0</v>
          </cell>
          <cell r="O1663">
            <v>0</v>
          </cell>
          <cell r="P1663">
            <v>0</v>
          </cell>
          <cell r="Q1663">
            <v>0</v>
          </cell>
          <cell r="R1663">
            <v>0</v>
          </cell>
          <cell r="S1663">
            <v>0</v>
          </cell>
          <cell r="T1663">
            <v>0</v>
          </cell>
          <cell r="U1663">
            <v>0</v>
          </cell>
          <cell r="V1663">
            <v>0</v>
          </cell>
          <cell r="W1663">
            <v>0</v>
          </cell>
          <cell r="X1663" t="str">
            <v/>
          </cell>
          <cell r="Y1663" t="str">
            <v>⑤</v>
          </cell>
          <cell r="AA1663" t="str">
            <v/>
          </cell>
          <cell r="AB1663" t="str">
            <v/>
          </cell>
          <cell r="AC1663" t="str">
            <v/>
          </cell>
          <cell r="AD1663" t="str">
            <v/>
          </cell>
          <cell r="AE1663" t="str">
            <v/>
          </cell>
          <cell r="AF1663" t="str">
            <v/>
          </cell>
          <cell r="AG1663" t="str">
            <v/>
          </cell>
          <cell r="AH1663" t="str">
            <v/>
          </cell>
          <cell r="AI1663" t="str">
            <v/>
          </cell>
          <cell r="AJ1663" t="str">
            <v>追</v>
          </cell>
        </row>
        <row r="1664">
          <cell r="B1664">
            <v>8569</v>
          </cell>
          <cell r="C1664">
            <v>85</v>
          </cell>
          <cell r="D1664">
            <v>69</v>
          </cell>
          <cell r="F1664" t="str">
            <v>大阪</v>
          </cell>
          <cell r="G1664" t="str">
            <v>ﾊﾟｯｹｰｼﾞｴｱｺﾝ点検(山形屋)</v>
          </cell>
          <cell r="H1664" t="str">
            <v>松下環境空調ｴﾝｼﾞﾆｱﾘﾝｸﾞ㈱</v>
          </cell>
          <cell r="I1664">
            <v>160000</v>
          </cell>
          <cell r="J1664">
            <v>176000</v>
          </cell>
          <cell r="K1664">
            <v>1</v>
          </cell>
          <cell r="L1664">
            <v>0</v>
          </cell>
          <cell r="M1664">
            <v>0</v>
          </cell>
          <cell r="N1664">
            <v>0</v>
          </cell>
          <cell r="O1664">
            <v>0</v>
          </cell>
          <cell r="P1664">
            <v>0</v>
          </cell>
          <cell r="Q1664">
            <v>0</v>
          </cell>
          <cell r="R1664">
            <v>0</v>
          </cell>
          <cell r="S1664">
            <v>176000</v>
          </cell>
          <cell r="T1664">
            <v>0</v>
          </cell>
          <cell r="U1664">
            <v>0</v>
          </cell>
          <cell r="V1664">
            <v>0</v>
          </cell>
          <cell r="W1664">
            <v>0</v>
          </cell>
          <cell r="X1664" t="str">
            <v/>
          </cell>
          <cell r="Y1664" t="str">
            <v/>
          </cell>
          <cell r="Z1664" t="str">
            <v/>
          </cell>
          <cell r="AA1664" t="str">
            <v/>
          </cell>
          <cell r="AB1664" t="str">
            <v/>
          </cell>
          <cell r="AC1664" t="str">
            <v/>
          </cell>
          <cell r="AD1664" t="str">
            <v/>
          </cell>
          <cell r="AE1664" t="str">
            <v>⑪</v>
          </cell>
          <cell r="AG1664" t="str">
            <v/>
          </cell>
          <cell r="AH1664" t="str">
            <v/>
          </cell>
          <cell r="AI1664" t="str">
            <v/>
          </cell>
          <cell r="AJ1664" t="str">
            <v>追</v>
          </cell>
        </row>
        <row r="1665">
          <cell r="B1665">
            <v>8570</v>
          </cell>
          <cell r="C1665">
            <v>85</v>
          </cell>
          <cell r="D1665">
            <v>70</v>
          </cell>
          <cell r="F1665" t="str">
            <v>大阪</v>
          </cell>
          <cell r="G1665" t="str">
            <v>低層棟ﾋｰﾄﾎﾟﾝﾌﾟﾊﾟｯｹｰｼﾞ･ﾌｨﾙﾀｰ交換</v>
          </cell>
          <cell r="H1665" t="str">
            <v>三菱電機ﾋﾞﾙﾃｸﾉｻｰﾋﾞｽ㈱</v>
          </cell>
          <cell r="I1665">
            <v>580000</v>
          </cell>
          <cell r="J1665">
            <v>638000</v>
          </cell>
          <cell r="K1665">
            <v>1</v>
          </cell>
          <cell r="L1665">
            <v>0</v>
          </cell>
          <cell r="M1665">
            <v>0</v>
          </cell>
          <cell r="N1665">
            <v>0</v>
          </cell>
          <cell r="O1665">
            <v>0</v>
          </cell>
          <cell r="P1665">
            <v>0</v>
          </cell>
          <cell r="Q1665">
            <v>0</v>
          </cell>
          <cell r="R1665">
            <v>0</v>
          </cell>
          <cell r="S1665">
            <v>0</v>
          </cell>
          <cell r="T1665">
            <v>638000</v>
          </cell>
          <cell r="U1665">
            <v>0</v>
          </cell>
          <cell r="V1665">
            <v>0</v>
          </cell>
          <cell r="W1665">
            <v>0</v>
          </cell>
          <cell r="X1665" t="str">
            <v/>
          </cell>
          <cell r="Y1665" t="str">
            <v/>
          </cell>
          <cell r="Z1665" t="str">
            <v/>
          </cell>
          <cell r="AA1665" t="str">
            <v/>
          </cell>
          <cell r="AB1665" t="str">
            <v/>
          </cell>
          <cell r="AC1665" t="str">
            <v/>
          </cell>
          <cell r="AD1665" t="str">
            <v/>
          </cell>
          <cell r="AE1665" t="str">
            <v/>
          </cell>
          <cell r="AF1665" t="str">
            <v>⑫</v>
          </cell>
          <cell r="AG1665" t="str">
            <v/>
          </cell>
          <cell r="AH1665" t="str">
            <v/>
          </cell>
          <cell r="AI1665" t="str">
            <v/>
          </cell>
          <cell r="AJ1665" t="str">
            <v>追</v>
          </cell>
        </row>
        <row r="1666">
          <cell r="B1666">
            <v>8571</v>
          </cell>
          <cell r="C1666">
            <v>85</v>
          </cell>
          <cell r="D1666">
            <v>71</v>
          </cell>
          <cell r="F1666" t="str">
            <v>大阪</v>
          </cell>
          <cell r="G1666" t="str">
            <v>空調ファン点検整備</v>
          </cell>
          <cell r="H1666" t="str">
            <v>北九州空調</v>
          </cell>
          <cell r="I1666">
            <v>510000</v>
          </cell>
          <cell r="J1666">
            <v>561000</v>
          </cell>
          <cell r="K1666">
            <v>1</v>
          </cell>
          <cell r="L1666">
            <v>0</v>
          </cell>
          <cell r="M1666">
            <v>0</v>
          </cell>
          <cell r="N1666">
            <v>0</v>
          </cell>
          <cell r="O1666">
            <v>0</v>
          </cell>
          <cell r="P1666">
            <v>0</v>
          </cell>
          <cell r="Q1666">
            <v>0</v>
          </cell>
          <cell r="R1666">
            <v>561000</v>
          </cell>
          <cell r="S1666">
            <v>0</v>
          </cell>
          <cell r="T1666">
            <v>0</v>
          </cell>
          <cell r="U1666">
            <v>0</v>
          </cell>
          <cell r="V1666">
            <v>0</v>
          </cell>
          <cell r="W1666">
            <v>0</v>
          </cell>
          <cell r="X1666" t="str">
            <v/>
          </cell>
          <cell r="Y1666" t="str">
            <v/>
          </cell>
          <cell r="Z1666" t="str">
            <v/>
          </cell>
          <cell r="AA1666" t="str">
            <v/>
          </cell>
          <cell r="AB1666" t="str">
            <v/>
          </cell>
          <cell r="AC1666" t="str">
            <v/>
          </cell>
          <cell r="AD1666" t="str">
            <v>⑩</v>
          </cell>
          <cell r="AE1666" t="str">
            <v/>
          </cell>
          <cell r="AF1666" t="str">
            <v/>
          </cell>
          <cell r="AG1666" t="str">
            <v/>
          </cell>
          <cell r="AH1666" t="str">
            <v/>
          </cell>
          <cell r="AI1666" t="str">
            <v/>
          </cell>
          <cell r="AJ1666" t="str">
            <v>追</v>
          </cell>
        </row>
        <row r="1667">
          <cell r="B1667">
            <v>8572</v>
          </cell>
          <cell r="C1667">
            <v>85</v>
          </cell>
          <cell r="D1667">
            <v>72</v>
          </cell>
          <cell r="F1667" t="str">
            <v>大阪</v>
          </cell>
          <cell r="G1667" t="str">
            <v>ﾊﾟｯｹｰｼﾞｴｱｺﾝ室内機ﾄﾞﾚｲﾝ管洗浄(松下系)</v>
          </cell>
          <cell r="H1667" t="str">
            <v>大阪東管サービス</v>
          </cell>
          <cell r="I1667">
            <v>210000</v>
          </cell>
          <cell r="J1667">
            <v>231000</v>
          </cell>
          <cell r="K1667">
            <v>3</v>
          </cell>
          <cell r="L1667">
            <v>0</v>
          </cell>
          <cell r="M1667">
            <v>231000</v>
          </cell>
          <cell r="N1667">
            <v>0</v>
          </cell>
          <cell r="O1667">
            <v>0</v>
          </cell>
          <cell r="P1667">
            <v>0</v>
          </cell>
          <cell r="Q1667">
            <v>231000</v>
          </cell>
          <cell r="R1667">
            <v>0</v>
          </cell>
          <cell r="S1667">
            <v>0</v>
          </cell>
          <cell r="T1667">
            <v>0</v>
          </cell>
          <cell r="U1667">
            <v>231000</v>
          </cell>
          <cell r="V1667">
            <v>0</v>
          </cell>
          <cell r="W1667">
            <v>0</v>
          </cell>
          <cell r="X1667" t="str">
            <v/>
          </cell>
          <cell r="Y1667" t="str">
            <v>⑤</v>
          </cell>
          <cell r="Z1667" t="str">
            <v/>
          </cell>
          <cell r="AA1667" t="str">
            <v/>
          </cell>
          <cell r="AB1667" t="str">
            <v/>
          </cell>
          <cell r="AC1667" t="str">
            <v>⑨</v>
          </cell>
          <cell r="AD1667" t="str">
            <v/>
          </cell>
          <cell r="AE1667" t="str">
            <v/>
          </cell>
          <cell r="AF1667" t="str">
            <v/>
          </cell>
          <cell r="AG1667" t="str">
            <v>①</v>
          </cell>
          <cell r="AH1667" t="str">
            <v/>
          </cell>
          <cell r="AI1667" t="str">
            <v/>
          </cell>
          <cell r="AJ1667" t="str">
            <v>追</v>
          </cell>
        </row>
        <row r="1668">
          <cell r="B1668">
            <v>8573</v>
          </cell>
          <cell r="C1668">
            <v>85</v>
          </cell>
          <cell r="D1668">
            <v>73</v>
          </cell>
          <cell r="F1668" t="str">
            <v>大阪</v>
          </cell>
          <cell r="G1668" t="str">
            <v>ボイラー貯湯槽点検清掃</v>
          </cell>
          <cell r="H1668" t="str">
            <v>日本ヒーテングサービス</v>
          </cell>
          <cell r="I1668">
            <v>215000</v>
          </cell>
          <cell r="J1668">
            <v>236500</v>
          </cell>
          <cell r="K1668">
            <v>1</v>
          </cell>
          <cell r="L1668">
            <v>0</v>
          </cell>
          <cell r="M1668">
            <v>0</v>
          </cell>
          <cell r="N1668">
            <v>0</v>
          </cell>
          <cell r="O1668">
            <v>0</v>
          </cell>
          <cell r="P1668">
            <v>0</v>
          </cell>
          <cell r="Q1668">
            <v>0</v>
          </cell>
          <cell r="R1668">
            <v>0</v>
          </cell>
          <cell r="S1668">
            <v>0</v>
          </cell>
          <cell r="T1668">
            <v>0</v>
          </cell>
          <cell r="U1668">
            <v>236500</v>
          </cell>
          <cell r="V1668">
            <v>0</v>
          </cell>
          <cell r="W1668">
            <v>0</v>
          </cell>
          <cell r="X1668" t="str">
            <v/>
          </cell>
          <cell r="Y1668" t="str">
            <v/>
          </cell>
          <cell r="Z1668" t="str">
            <v/>
          </cell>
          <cell r="AA1668" t="str">
            <v/>
          </cell>
          <cell r="AB1668" t="str">
            <v/>
          </cell>
          <cell r="AC1668" t="str">
            <v/>
          </cell>
          <cell r="AD1668" t="str">
            <v/>
          </cell>
          <cell r="AE1668" t="str">
            <v/>
          </cell>
          <cell r="AF1668" t="str">
            <v/>
          </cell>
          <cell r="AG1668" t="str">
            <v>①</v>
          </cell>
          <cell r="AH1668" t="str">
            <v/>
          </cell>
          <cell r="AI1668" t="str">
            <v/>
          </cell>
          <cell r="AJ1668" t="str">
            <v>追</v>
          </cell>
        </row>
        <row r="1669">
          <cell r="B1669">
            <v>8574</v>
          </cell>
          <cell r="C1669">
            <v>85</v>
          </cell>
          <cell r="D1669">
            <v>74</v>
          </cell>
          <cell r="F1669" t="str">
            <v>大阪</v>
          </cell>
          <cell r="G1669" t="str">
            <v>電気湯沸器点検整備</v>
          </cell>
          <cell r="H1669" t="str">
            <v>日本ヒーテングサービス</v>
          </cell>
          <cell r="I1669">
            <v>450000</v>
          </cell>
          <cell r="J1669">
            <v>495000</v>
          </cell>
          <cell r="K1669">
            <v>1</v>
          </cell>
          <cell r="L1669">
            <v>0</v>
          </cell>
          <cell r="M1669">
            <v>0</v>
          </cell>
          <cell r="N1669">
            <v>0</v>
          </cell>
          <cell r="O1669">
            <v>495000</v>
          </cell>
          <cell r="P1669">
            <v>0</v>
          </cell>
          <cell r="Q1669">
            <v>0</v>
          </cell>
          <cell r="R1669">
            <v>0</v>
          </cell>
          <cell r="S1669">
            <v>0</v>
          </cell>
          <cell r="T1669">
            <v>0</v>
          </cell>
          <cell r="U1669">
            <v>0</v>
          </cell>
          <cell r="V1669">
            <v>0</v>
          </cell>
          <cell r="W1669">
            <v>0</v>
          </cell>
          <cell r="X1669" t="str">
            <v/>
          </cell>
          <cell r="Y1669" t="str">
            <v/>
          </cell>
          <cell r="Z1669" t="str">
            <v/>
          </cell>
          <cell r="AA1669" t="str">
            <v>⑦</v>
          </cell>
          <cell r="AB1669" t="str">
            <v/>
          </cell>
          <cell r="AC1669" t="str">
            <v/>
          </cell>
          <cell r="AD1669" t="str">
            <v/>
          </cell>
          <cell r="AE1669" t="str">
            <v/>
          </cell>
          <cell r="AF1669" t="str">
            <v/>
          </cell>
          <cell r="AG1669" t="str">
            <v/>
          </cell>
          <cell r="AH1669" t="str">
            <v/>
          </cell>
          <cell r="AI1669" t="str">
            <v/>
          </cell>
          <cell r="AJ1669" t="str">
            <v>追</v>
          </cell>
        </row>
        <row r="1670">
          <cell r="B1670">
            <v>8575</v>
          </cell>
          <cell r="C1670">
            <v>85</v>
          </cell>
          <cell r="D1670">
            <v>75</v>
          </cell>
          <cell r="F1670" t="str">
            <v>大阪</v>
          </cell>
          <cell r="G1670" t="str">
            <v>汚水･雑排用水中ﾎﾟﾝﾌﾟ点検整備</v>
          </cell>
          <cell r="H1670" t="str">
            <v>㈱西原衛生工業所</v>
          </cell>
          <cell r="I1670">
            <v>150000</v>
          </cell>
          <cell r="J1670">
            <v>165000</v>
          </cell>
          <cell r="K1670">
            <v>1</v>
          </cell>
          <cell r="L1670">
            <v>0</v>
          </cell>
          <cell r="M1670">
            <v>165000</v>
          </cell>
          <cell r="N1670">
            <v>0</v>
          </cell>
          <cell r="O1670">
            <v>0</v>
          </cell>
          <cell r="P1670">
            <v>0</v>
          </cell>
          <cell r="Q1670">
            <v>0</v>
          </cell>
          <cell r="R1670">
            <v>0</v>
          </cell>
          <cell r="S1670">
            <v>0</v>
          </cell>
          <cell r="T1670">
            <v>0</v>
          </cell>
          <cell r="U1670">
            <v>0</v>
          </cell>
          <cell r="V1670">
            <v>0</v>
          </cell>
          <cell r="W1670">
            <v>0</v>
          </cell>
          <cell r="X1670" t="str">
            <v/>
          </cell>
          <cell r="Y1670" t="str">
            <v>⑤</v>
          </cell>
          <cell r="Z1670" t="str">
            <v/>
          </cell>
          <cell r="AA1670" t="str">
            <v/>
          </cell>
          <cell r="AB1670" t="str">
            <v/>
          </cell>
          <cell r="AC1670" t="str">
            <v/>
          </cell>
          <cell r="AD1670" t="str">
            <v/>
          </cell>
          <cell r="AE1670" t="str">
            <v/>
          </cell>
          <cell r="AF1670" t="str">
            <v/>
          </cell>
          <cell r="AG1670" t="str">
            <v/>
          </cell>
          <cell r="AH1670" t="str">
            <v/>
          </cell>
          <cell r="AI1670" t="str">
            <v/>
          </cell>
          <cell r="AJ1670" t="str">
            <v>追</v>
          </cell>
        </row>
        <row r="1671">
          <cell r="B1671">
            <v>8576</v>
          </cell>
          <cell r="C1671">
            <v>85</v>
          </cell>
          <cell r="D1671">
            <v>76</v>
          </cell>
          <cell r="F1671" t="str">
            <v>大阪</v>
          </cell>
          <cell r="G1671" t="str">
            <v>汚水･雑排用水中ﾎﾟﾝﾌﾟ点検整備</v>
          </cell>
          <cell r="H1671" t="str">
            <v>㈱西原衛生工業所</v>
          </cell>
          <cell r="I1671">
            <v>330000</v>
          </cell>
          <cell r="J1671">
            <v>363000</v>
          </cell>
          <cell r="K1671">
            <v>1</v>
          </cell>
          <cell r="L1671">
            <v>0</v>
          </cell>
          <cell r="M1671">
            <v>0</v>
          </cell>
          <cell r="N1671">
            <v>0</v>
          </cell>
          <cell r="O1671">
            <v>0</v>
          </cell>
          <cell r="P1671">
            <v>0</v>
          </cell>
          <cell r="Q1671">
            <v>0</v>
          </cell>
          <cell r="R1671">
            <v>0</v>
          </cell>
          <cell r="S1671">
            <v>0</v>
          </cell>
          <cell r="T1671">
            <v>363000</v>
          </cell>
          <cell r="U1671">
            <v>0</v>
          </cell>
          <cell r="V1671">
            <v>0</v>
          </cell>
          <cell r="W1671">
            <v>0</v>
          </cell>
          <cell r="X1671" t="str">
            <v/>
          </cell>
          <cell r="Y1671" t="str">
            <v/>
          </cell>
          <cell r="Z1671" t="str">
            <v/>
          </cell>
          <cell r="AA1671" t="str">
            <v/>
          </cell>
          <cell r="AB1671" t="str">
            <v/>
          </cell>
          <cell r="AC1671" t="str">
            <v/>
          </cell>
          <cell r="AD1671" t="str">
            <v/>
          </cell>
          <cell r="AE1671" t="str">
            <v/>
          </cell>
          <cell r="AF1671" t="str">
            <v>⑫</v>
          </cell>
          <cell r="AG1671" t="str">
            <v/>
          </cell>
          <cell r="AH1671" t="str">
            <v/>
          </cell>
          <cell r="AI1671" t="str">
            <v/>
          </cell>
          <cell r="AJ1671" t="str">
            <v>追</v>
          </cell>
        </row>
        <row r="1672">
          <cell r="B1672">
            <v>8601</v>
          </cell>
          <cell r="C1672">
            <v>86</v>
          </cell>
          <cell r="D1672">
            <v>1</v>
          </cell>
          <cell r="F1672" t="str">
            <v>淀屋橋</v>
          </cell>
          <cell r="G1672" t="str">
            <v>エレベーター保守</v>
          </cell>
          <cell r="H1672" t="str">
            <v>三菱電機ﾋﾞﾙﾃｸﾉｻｰﾋﾞｽ</v>
          </cell>
          <cell r="I1672">
            <v>478700</v>
          </cell>
          <cell r="J1672">
            <v>488274</v>
          </cell>
          <cell r="K1672">
            <v>12</v>
          </cell>
          <cell r="L1672">
            <v>488274</v>
          </cell>
          <cell r="M1672">
            <v>488274</v>
          </cell>
          <cell r="N1672">
            <v>488274</v>
          </cell>
          <cell r="O1672">
            <v>488274</v>
          </cell>
          <cell r="P1672">
            <v>488274</v>
          </cell>
          <cell r="Q1672">
            <v>488274</v>
          </cell>
          <cell r="R1672">
            <v>488274</v>
          </cell>
          <cell r="S1672">
            <v>488274</v>
          </cell>
          <cell r="T1672">
            <v>488274</v>
          </cell>
          <cell r="U1672">
            <v>488274</v>
          </cell>
          <cell r="V1672">
            <v>488274</v>
          </cell>
          <cell r="W1672">
            <v>488274</v>
          </cell>
          <cell r="X1672" t="str">
            <v>④</v>
          </cell>
          <cell r="Y1672" t="str">
            <v>⑤</v>
          </cell>
          <cell r="Z1672" t="str">
            <v>⑥</v>
          </cell>
          <cell r="AA1672" t="str">
            <v>⑦</v>
          </cell>
          <cell r="AB1672" t="str">
            <v>⑧</v>
          </cell>
          <cell r="AC1672" t="str">
            <v>⑨</v>
          </cell>
          <cell r="AD1672" t="str">
            <v>⑩</v>
          </cell>
          <cell r="AE1672" t="str">
            <v>⑪</v>
          </cell>
          <cell r="AF1672" t="str">
            <v>⑫</v>
          </cell>
          <cell r="AG1672" t="str">
            <v>①</v>
          </cell>
          <cell r="AH1672" t="str">
            <v>②</v>
          </cell>
          <cell r="AI1672" t="str">
            <v>③</v>
          </cell>
        </row>
        <row r="1673">
          <cell r="B1673">
            <v>8602</v>
          </cell>
          <cell r="C1673">
            <v>86</v>
          </cell>
          <cell r="D1673">
            <v>2</v>
          </cell>
          <cell r="F1673" t="str">
            <v>淀屋橋</v>
          </cell>
          <cell r="G1673" t="str">
            <v>非常発電機設備保守</v>
          </cell>
          <cell r="H1673" t="str">
            <v>三菱電機</v>
          </cell>
          <cell r="I1673">
            <v>325000</v>
          </cell>
          <cell r="J1673">
            <v>331500</v>
          </cell>
          <cell r="K1673">
            <v>2</v>
          </cell>
          <cell r="L1673">
            <v>0</v>
          </cell>
          <cell r="M1673">
            <v>0</v>
          </cell>
          <cell r="N1673">
            <v>0</v>
          </cell>
          <cell r="O1673">
            <v>331500</v>
          </cell>
          <cell r="P1673">
            <v>0</v>
          </cell>
          <cell r="Q1673">
            <v>0</v>
          </cell>
          <cell r="R1673">
            <v>0</v>
          </cell>
          <cell r="S1673">
            <v>0</v>
          </cell>
          <cell r="T1673">
            <v>0</v>
          </cell>
          <cell r="U1673">
            <v>331500</v>
          </cell>
          <cell r="V1673">
            <v>0</v>
          </cell>
          <cell r="W1673">
            <v>0</v>
          </cell>
          <cell r="X1673" t="str">
            <v/>
          </cell>
          <cell r="Y1673" t="str">
            <v/>
          </cell>
          <cell r="Z1673" t="str">
            <v/>
          </cell>
          <cell r="AA1673" t="str">
            <v>⑦</v>
          </cell>
          <cell r="AB1673" t="str">
            <v/>
          </cell>
          <cell r="AC1673" t="str">
            <v/>
          </cell>
          <cell r="AD1673" t="str">
            <v/>
          </cell>
          <cell r="AE1673" t="str">
            <v/>
          </cell>
          <cell r="AF1673" t="str">
            <v/>
          </cell>
          <cell r="AG1673" t="str">
            <v>①</v>
          </cell>
          <cell r="AH1673" t="str">
            <v/>
          </cell>
          <cell r="AI1673" t="str">
            <v/>
          </cell>
        </row>
        <row r="1674">
          <cell r="B1674">
            <v>8603</v>
          </cell>
          <cell r="C1674">
            <v>86</v>
          </cell>
          <cell r="D1674">
            <v>3</v>
          </cell>
          <cell r="F1674" t="str">
            <v>淀屋橋</v>
          </cell>
          <cell r="G1674" t="str">
            <v>屋内消火栓(外観)</v>
          </cell>
          <cell r="H1674" t="str">
            <v>ホーチキ</v>
          </cell>
          <cell r="I1674">
            <v>122400</v>
          </cell>
          <cell r="J1674">
            <v>124848</v>
          </cell>
          <cell r="K1674">
            <v>1</v>
          </cell>
          <cell r="L1674">
            <v>0</v>
          </cell>
          <cell r="M1674">
            <v>0</v>
          </cell>
          <cell r="N1674">
            <v>0</v>
          </cell>
          <cell r="O1674">
            <v>0</v>
          </cell>
          <cell r="P1674">
            <v>0</v>
          </cell>
          <cell r="Q1674">
            <v>0</v>
          </cell>
          <cell r="R1674">
            <v>0</v>
          </cell>
          <cell r="S1674">
            <v>0</v>
          </cell>
          <cell r="T1674">
            <v>124848</v>
          </cell>
          <cell r="U1674">
            <v>0</v>
          </cell>
          <cell r="V1674">
            <v>0</v>
          </cell>
          <cell r="W1674">
            <v>0</v>
          </cell>
          <cell r="X1674" t="str">
            <v/>
          </cell>
          <cell r="Y1674" t="str">
            <v/>
          </cell>
          <cell r="Z1674" t="str">
            <v/>
          </cell>
          <cell r="AA1674" t="str">
            <v/>
          </cell>
          <cell r="AB1674" t="str">
            <v/>
          </cell>
          <cell r="AC1674" t="str">
            <v/>
          </cell>
          <cell r="AD1674" t="str">
            <v/>
          </cell>
          <cell r="AE1674" t="str">
            <v/>
          </cell>
          <cell r="AF1674" t="str">
            <v>⑫</v>
          </cell>
          <cell r="AG1674" t="str">
            <v/>
          </cell>
          <cell r="AH1674" t="str">
            <v/>
          </cell>
          <cell r="AI1674" t="str">
            <v/>
          </cell>
        </row>
        <row r="1675">
          <cell r="B1675">
            <v>8604</v>
          </cell>
          <cell r="C1675">
            <v>86</v>
          </cell>
          <cell r="D1675">
            <v>4</v>
          </cell>
          <cell r="F1675" t="str">
            <v>淀屋橋</v>
          </cell>
          <cell r="G1675" t="str">
            <v>屋内消火栓(総合)</v>
          </cell>
          <cell r="H1675" t="str">
            <v>ホーチキ</v>
          </cell>
          <cell r="I1675">
            <v>146700</v>
          </cell>
          <cell r="J1675">
            <v>149634</v>
          </cell>
          <cell r="K1675">
            <v>1</v>
          </cell>
          <cell r="L1675">
            <v>0</v>
          </cell>
          <cell r="M1675">
            <v>0</v>
          </cell>
          <cell r="N1675">
            <v>149634</v>
          </cell>
          <cell r="O1675">
            <v>0</v>
          </cell>
          <cell r="P1675">
            <v>0</v>
          </cell>
          <cell r="Q1675">
            <v>0</v>
          </cell>
          <cell r="R1675">
            <v>0</v>
          </cell>
          <cell r="S1675">
            <v>0</v>
          </cell>
          <cell r="T1675">
            <v>0</v>
          </cell>
          <cell r="U1675">
            <v>0</v>
          </cell>
          <cell r="V1675">
            <v>0</v>
          </cell>
          <cell r="W1675">
            <v>0</v>
          </cell>
          <cell r="X1675" t="str">
            <v/>
          </cell>
          <cell r="Y1675" t="str">
            <v/>
          </cell>
          <cell r="Z1675" t="str">
            <v>⑥</v>
          </cell>
          <cell r="AA1675" t="str">
            <v/>
          </cell>
          <cell r="AB1675" t="str">
            <v/>
          </cell>
          <cell r="AC1675" t="str">
            <v/>
          </cell>
          <cell r="AD1675" t="str">
            <v/>
          </cell>
          <cell r="AE1675" t="str">
            <v/>
          </cell>
          <cell r="AF1675" t="str">
            <v/>
          </cell>
          <cell r="AG1675" t="str">
            <v/>
          </cell>
          <cell r="AH1675" t="str">
            <v/>
          </cell>
          <cell r="AI1675" t="str">
            <v/>
          </cell>
        </row>
        <row r="1676">
          <cell r="B1676">
            <v>8605</v>
          </cell>
          <cell r="C1676">
            <v>86</v>
          </cell>
          <cell r="D1676">
            <v>5</v>
          </cell>
          <cell r="F1676" t="str">
            <v>淀屋橋</v>
          </cell>
          <cell r="G1676" t="str">
            <v>非常放送(外観)</v>
          </cell>
          <cell r="H1676" t="str">
            <v>ホーチキ</v>
          </cell>
          <cell r="I1676">
            <v>26100</v>
          </cell>
          <cell r="J1676">
            <v>26622</v>
          </cell>
          <cell r="K1676">
            <v>1</v>
          </cell>
          <cell r="L1676">
            <v>0</v>
          </cell>
          <cell r="M1676">
            <v>0</v>
          </cell>
          <cell r="N1676">
            <v>0</v>
          </cell>
          <cell r="O1676">
            <v>0</v>
          </cell>
          <cell r="P1676">
            <v>0</v>
          </cell>
          <cell r="Q1676">
            <v>0</v>
          </cell>
          <cell r="R1676">
            <v>0</v>
          </cell>
          <cell r="S1676">
            <v>0</v>
          </cell>
          <cell r="T1676">
            <v>26622</v>
          </cell>
          <cell r="U1676">
            <v>0</v>
          </cell>
          <cell r="V1676">
            <v>0</v>
          </cell>
          <cell r="W1676">
            <v>0</v>
          </cell>
          <cell r="X1676" t="str">
            <v/>
          </cell>
          <cell r="Y1676" t="str">
            <v/>
          </cell>
          <cell r="Z1676" t="str">
            <v/>
          </cell>
          <cell r="AA1676" t="str">
            <v/>
          </cell>
          <cell r="AB1676" t="str">
            <v/>
          </cell>
          <cell r="AC1676" t="str">
            <v/>
          </cell>
          <cell r="AD1676" t="str">
            <v/>
          </cell>
          <cell r="AE1676" t="str">
            <v/>
          </cell>
          <cell r="AF1676" t="str">
            <v>⑫</v>
          </cell>
          <cell r="AG1676" t="str">
            <v/>
          </cell>
          <cell r="AH1676" t="str">
            <v/>
          </cell>
          <cell r="AI1676" t="str">
            <v/>
          </cell>
        </row>
        <row r="1677">
          <cell r="B1677">
            <v>8606</v>
          </cell>
          <cell r="C1677">
            <v>86</v>
          </cell>
          <cell r="D1677">
            <v>6</v>
          </cell>
          <cell r="F1677" t="str">
            <v>淀屋橋</v>
          </cell>
          <cell r="G1677" t="str">
            <v>非常放送(総合)</v>
          </cell>
          <cell r="H1677" t="str">
            <v>ホーチキ</v>
          </cell>
          <cell r="I1677">
            <v>51300</v>
          </cell>
          <cell r="J1677">
            <v>52326</v>
          </cell>
          <cell r="K1677">
            <v>1</v>
          </cell>
          <cell r="L1677">
            <v>0</v>
          </cell>
          <cell r="M1677">
            <v>0</v>
          </cell>
          <cell r="N1677">
            <v>52326</v>
          </cell>
          <cell r="O1677">
            <v>0</v>
          </cell>
          <cell r="P1677">
            <v>0</v>
          </cell>
          <cell r="Q1677">
            <v>0</v>
          </cell>
          <cell r="R1677">
            <v>0</v>
          </cell>
          <cell r="S1677">
            <v>0</v>
          </cell>
          <cell r="T1677">
            <v>0</v>
          </cell>
          <cell r="U1677">
            <v>0</v>
          </cell>
          <cell r="V1677">
            <v>0</v>
          </cell>
          <cell r="W1677">
            <v>0</v>
          </cell>
          <cell r="X1677" t="str">
            <v/>
          </cell>
          <cell r="Y1677" t="str">
            <v/>
          </cell>
          <cell r="Z1677" t="str">
            <v>⑥</v>
          </cell>
          <cell r="AA1677" t="str">
            <v/>
          </cell>
          <cell r="AB1677" t="str">
            <v/>
          </cell>
          <cell r="AC1677" t="str">
            <v/>
          </cell>
          <cell r="AD1677" t="str">
            <v/>
          </cell>
          <cell r="AE1677" t="str">
            <v/>
          </cell>
          <cell r="AF1677" t="str">
            <v/>
          </cell>
          <cell r="AG1677" t="str">
            <v/>
          </cell>
          <cell r="AH1677" t="str">
            <v/>
          </cell>
          <cell r="AI1677" t="str">
            <v/>
          </cell>
        </row>
        <row r="1678">
          <cell r="B1678">
            <v>8607</v>
          </cell>
          <cell r="C1678">
            <v>86</v>
          </cell>
          <cell r="D1678">
            <v>7</v>
          </cell>
          <cell r="F1678" t="str">
            <v>淀屋橋</v>
          </cell>
          <cell r="G1678" t="str">
            <v>Ｐ型自火報(外観)</v>
          </cell>
          <cell r="H1678" t="str">
            <v>ホーチキ</v>
          </cell>
          <cell r="I1678">
            <v>98100</v>
          </cell>
          <cell r="J1678">
            <v>100062</v>
          </cell>
          <cell r="K1678">
            <v>1</v>
          </cell>
          <cell r="L1678">
            <v>0</v>
          </cell>
          <cell r="M1678">
            <v>0</v>
          </cell>
          <cell r="N1678">
            <v>0</v>
          </cell>
          <cell r="O1678">
            <v>0</v>
          </cell>
          <cell r="P1678">
            <v>0</v>
          </cell>
          <cell r="Q1678">
            <v>0</v>
          </cell>
          <cell r="R1678">
            <v>0</v>
          </cell>
          <cell r="S1678">
            <v>0</v>
          </cell>
          <cell r="T1678">
            <v>100062</v>
          </cell>
          <cell r="U1678">
            <v>0</v>
          </cell>
          <cell r="V1678">
            <v>0</v>
          </cell>
          <cell r="W1678">
            <v>0</v>
          </cell>
          <cell r="X1678" t="str">
            <v/>
          </cell>
          <cell r="Y1678" t="str">
            <v/>
          </cell>
          <cell r="Z1678" t="str">
            <v/>
          </cell>
          <cell r="AA1678" t="str">
            <v/>
          </cell>
          <cell r="AB1678" t="str">
            <v/>
          </cell>
          <cell r="AC1678" t="str">
            <v/>
          </cell>
          <cell r="AD1678" t="str">
            <v/>
          </cell>
          <cell r="AE1678" t="str">
            <v/>
          </cell>
          <cell r="AF1678" t="str">
            <v>⑫</v>
          </cell>
          <cell r="AG1678" t="str">
            <v/>
          </cell>
          <cell r="AH1678" t="str">
            <v/>
          </cell>
          <cell r="AI1678" t="str">
            <v/>
          </cell>
        </row>
        <row r="1679">
          <cell r="B1679">
            <v>8608</v>
          </cell>
          <cell r="C1679">
            <v>86</v>
          </cell>
          <cell r="D1679">
            <v>8</v>
          </cell>
          <cell r="F1679" t="str">
            <v>淀屋橋</v>
          </cell>
          <cell r="G1679" t="str">
            <v>Ｐ型自火報(総合)</v>
          </cell>
          <cell r="H1679" t="str">
            <v>ホーチキ</v>
          </cell>
          <cell r="I1679">
            <v>185400</v>
          </cell>
          <cell r="J1679">
            <v>189108</v>
          </cell>
          <cell r="K1679">
            <v>1</v>
          </cell>
          <cell r="L1679">
            <v>0</v>
          </cell>
          <cell r="M1679">
            <v>0</v>
          </cell>
          <cell r="N1679">
            <v>189108</v>
          </cell>
          <cell r="O1679">
            <v>0</v>
          </cell>
          <cell r="P1679">
            <v>0</v>
          </cell>
          <cell r="Q1679">
            <v>0</v>
          </cell>
          <cell r="R1679">
            <v>0</v>
          </cell>
          <cell r="S1679">
            <v>0</v>
          </cell>
          <cell r="T1679">
            <v>0</v>
          </cell>
          <cell r="U1679">
            <v>0</v>
          </cell>
          <cell r="V1679">
            <v>0</v>
          </cell>
          <cell r="W1679">
            <v>0</v>
          </cell>
          <cell r="X1679" t="str">
            <v/>
          </cell>
          <cell r="Y1679" t="str">
            <v/>
          </cell>
          <cell r="Z1679" t="str">
            <v>⑥</v>
          </cell>
          <cell r="AA1679" t="str">
            <v/>
          </cell>
          <cell r="AB1679" t="str">
            <v/>
          </cell>
          <cell r="AC1679" t="str">
            <v/>
          </cell>
          <cell r="AD1679" t="str">
            <v/>
          </cell>
          <cell r="AE1679" t="str">
            <v/>
          </cell>
          <cell r="AF1679" t="str">
            <v/>
          </cell>
          <cell r="AG1679" t="str">
            <v/>
          </cell>
          <cell r="AH1679" t="str">
            <v/>
          </cell>
          <cell r="AI1679" t="str">
            <v/>
          </cell>
        </row>
        <row r="1680">
          <cell r="B1680">
            <v>8609</v>
          </cell>
          <cell r="C1680">
            <v>86</v>
          </cell>
          <cell r="D1680">
            <v>9</v>
          </cell>
          <cell r="F1680" t="str">
            <v>淀屋橋</v>
          </cell>
          <cell r="G1680" t="str">
            <v>消防設備点検保守(総合)</v>
          </cell>
          <cell r="H1680" t="str">
            <v>大阪東管サービス</v>
          </cell>
          <cell r="I1680">
            <v>125000</v>
          </cell>
          <cell r="J1680">
            <v>127500</v>
          </cell>
          <cell r="K1680">
            <v>1</v>
          </cell>
          <cell r="L1680">
            <v>0</v>
          </cell>
          <cell r="M1680">
            <v>0</v>
          </cell>
          <cell r="N1680">
            <v>0</v>
          </cell>
          <cell r="O1680">
            <v>0</v>
          </cell>
          <cell r="P1680">
            <v>127500</v>
          </cell>
          <cell r="Q1680">
            <v>0</v>
          </cell>
          <cell r="R1680">
            <v>0</v>
          </cell>
          <cell r="S1680">
            <v>0</v>
          </cell>
          <cell r="T1680">
            <v>0</v>
          </cell>
          <cell r="U1680">
            <v>0</v>
          </cell>
          <cell r="V1680">
            <v>0</v>
          </cell>
          <cell r="W1680">
            <v>0</v>
          </cell>
          <cell r="X1680" t="str">
            <v/>
          </cell>
          <cell r="Y1680" t="str">
            <v/>
          </cell>
          <cell r="Z1680" t="str">
            <v/>
          </cell>
          <cell r="AA1680" t="str">
            <v/>
          </cell>
          <cell r="AB1680" t="str">
            <v>⑧</v>
          </cell>
          <cell r="AC1680" t="str">
            <v/>
          </cell>
          <cell r="AD1680" t="str">
            <v/>
          </cell>
          <cell r="AE1680" t="str">
            <v/>
          </cell>
          <cell r="AF1680" t="str">
            <v/>
          </cell>
          <cell r="AG1680" t="str">
            <v/>
          </cell>
          <cell r="AH1680" t="str">
            <v/>
          </cell>
          <cell r="AI1680" t="str">
            <v/>
          </cell>
        </row>
        <row r="1681">
          <cell r="B1681">
            <v>8610</v>
          </cell>
          <cell r="C1681">
            <v>86</v>
          </cell>
          <cell r="D1681">
            <v>10</v>
          </cell>
          <cell r="F1681" t="str">
            <v>淀屋橋</v>
          </cell>
          <cell r="G1681" t="str">
            <v>消防設備点検保守(外観)</v>
          </cell>
          <cell r="H1681" t="str">
            <v>大阪東管サービス</v>
          </cell>
          <cell r="I1681">
            <v>114000</v>
          </cell>
          <cell r="J1681">
            <v>116280</v>
          </cell>
          <cell r="K1681">
            <v>1</v>
          </cell>
          <cell r="L1681">
            <v>0</v>
          </cell>
          <cell r="M1681">
            <v>0</v>
          </cell>
          <cell r="N1681">
            <v>0</v>
          </cell>
          <cell r="O1681">
            <v>0</v>
          </cell>
          <cell r="P1681">
            <v>0</v>
          </cell>
          <cell r="Q1681">
            <v>0</v>
          </cell>
          <cell r="R1681">
            <v>0</v>
          </cell>
          <cell r="S1681">
            <v>0</v>
          </cell>
          <cell r="T1681">
            <v>0</v>
          </cell>
          <cell r="U1681">
            <v>116280</v>
          </cell>
          <cell r="V1681">
            <v>0</v>
          </cell>
          <cell r="W1681">
            <v>0</v>
          </cell>
          <cell r="X1681" t="str">
            <v/>
          </cell>
          <cell r="Y1681" t="str">
            <v/>
          </cell>
          <cell r="Z1681" t="str">
            <v/>
          </cell>
          <cell r="AA1681" t="str">
            <v/>
          </cell>
          <cell r="AB1681" t="str">
            <v/>
          </cell>
          <cell r="AC1681" t="str">
            <v/>
          </cell>
          <cell r="AD1681" t="str">
            <v/>
          </cell>
          <cell r="AE1681" t="str">
            <v/>
          </cell>
          <cell r="AF1681" t="str">
            <v/>
          </cell>
          <cell r="AG1681" t="str">
            <v>①</v>
          </cell>
          <cell r="AH1681" t="str">
            <v/>
          </cell>
          <cell r="AI1681" t="str">
            <v/>
          </cell>
        </row>
        <row r="1682">
          <cell r="B1682">
            <v>8611</v>
          </cell>
          <cell r="C1682">
            <v>86</v>
          </cell>
          <cell r="D1682">
            <v>11</v>
          </cell>
          <cell r="F1682" t="str">
            <v>淀屋橋</v>
          </cell>
          <cell r="G1682" t="str">
            <v>害虫駆除</v>
          </cell>
          <cell r="H1682" t="str">
            <v>シェル商事</v>
          </cell>
          <cell r="I1682">
            <v>400000</v>
          </cell>
          <cell r="J1682">
            <v>440000</v>
          </cell>
          <cell r="K1682">
            <v>2</v>
          </cell>
          <cell r="L1682">
            <v>0</v>
          </cell>
          <cell r="M1682">
            <v>0</v>
          </cell>
          <cell r="N1682">
            <v>0</v>
          </cell>
          <cell r="O1682">
            <v>0</v>
          </cell>
          <cell r="P1682">
            <v>440000</v>
          </cell>
          <cell r="Q1682">
            <v>0</v>
          </cell>
          <cell r="R1682">
            <v>0</v>
          </cell>
          <cell r="S1682">
            <v>0</v>
          </cell>
          <cell r="T1682">
            <v>0</v>
          </cell>
          <cell r="U1682">
            <v>0</v>
          </cell>
          <cell r="V1682">
            <v>440000</v>
          </cell>
          <cell r="W1682">
            <v>0</v>
          </cell>
          <cell r="X1682" t="str">
            <v/>
          </cell>
          <cell r="Y1682" t="str">
            <v/>
          </cell>
          <cell r="Z1682" t="str">
            <v/>
          </cell>
          <cell r="AA1682" t="str">
            <v/>
          </cell>
          <cell r="AB1682" t="str">
            <v>⑧</v>
          </cell>
          <cell r="AC1682" t="str">
            <v/>
          </cell>
          <cell r="AD1682" t="str">
            <v/>
          </cell>
          <cell r="AE1682" t="str">
            <v/>
          </cell>
          <cell r="AF1682" t="str">
            <v/>
          </cell>
          <cell r="AG1682" t="str">
            <v/>
          </cell>
          <cell r="AH1682" t="str">
            <v>②</v>
          </cell>
          <cell r="AI1682" t="str">
            <v/>
          </cell>
        </row>
        <row r="1683">
          <cell r="B1683">
            <v>8612</v>
          </cell>
          <cell r="C1683">
            <v>86</v>
          </cell>
          <cell r="D1683">
            <v>12</v>
          </cell>
          <cell r="F1683" t="str">
            <v>淀屋橋</v>
          </cell>
          <cell r="G1683" t="str">
            <v>汚水･雑排水槽清掃</v>
          </cell>
          <cell r="H1683" t="str">
            <v>メンテック</v>
          </cell>
          <cell r="I1683">
            <v>170000</v>
          </cell>
          <cell r="J1683">
            <v>190400</v>
          </cell>
          <cell r="K1683">
            <v>2</v>
          </cell>
          <cell r="L1683">
            <v>0</v>
          </cell>
          <cell r="M1683">
            <v>0</v>
          </cell>
          <cell r="N1683">
            <v>0</v>
          </cell>
          <cell r="O1683">
            <v>0</v>
          </cell>
          <cell r="P1683">
            <v>190400</v>
          </cell>
          <cell r="Q1683">
            <v>0</v>
          </cell>
          <cell r="R1683">
            <v>0</v>
          </cell>
          <cell r="S1683">
            <v>0</v>
          </cell>
          <cell r="T1683">
            <v>190400</v>
          </cell>
          <cell r="U1683">
            <v>0</v>
          </cell>
          <cell r="V1683">
            <v>0</v>
          </cell>
          <cell r="W1683">
            <v>0</v>
          </cell>
          <cell r="X1683" t="str">
            <v/>
          </cell>
          <cell r="Y1683" t="str">
            <v/>
          </cell>
          <cell r="Z1683" t="str">
            <v/>
          </cell>
          <cell r="AA1683" t="str">
            <v/>
          </cell>
          <cell r="AB1683" t="str">
            <v>⑧</v>
          </cell>
          <cell r="AC1683" t="str">
            <v/>
          </cell>
          <cell r="AD1683" t="str">
            <v/>
          </cell>
          <cell r="AE1683" t="str">
            <v/>
          </cell>
          <cell r="AF1683" t="str">
            <v>⑫</v>
          </cell>
          <cell r="AG1683" t="str">
            <v/>
          </cell>
          <cell r="AH1683" t="str">
            <v/>
          </cell>
          <cell r="AI1683" t="str">
            <v/>
          </cell>
        </row>
        <row r="1684">
          <cell r="B1684">
            <v>8613</v>
          </cell>
          <cell r="C1684">
            <v>86</v>
          </cell>
          <cell r="D1684">
            <v>13</v>
          </cell>
          <cell r="F1684" t="str">
            <v>淀屋橋</v>
          </cell>
          <cell r="G1684" t="str">
            <v>受水槽清掃(含む高架水槽)</v>
          </cell>
          <cell r="H1684" t="str">
            <v>斎久工業</v>
          </cell>
          <cell r="I1684">
            <v>280000</v>
          </cell>
          <cell r="J1684">
            <v>316400</v>
          </cell>
          <cell r="K1684">
            <v>1</v>
          </cell>
          <cell r="L1684">
            <v>0</v>
          </cell>
          <cell r="M1684">
            <v>0</v>
          </cell>
          <cell r="N1684">
            <v>0</v>
          </cell>
          <cell r="O1684">
            <v>0</v>
          </cell>
          <cell r="P1684">
            <v>0</v>
          </cell>
          <cell r="Q1684">
            <v>0</v>
          </cell>
          <cell r="R1684">
            <v>0</v>
          </cell>
          <cell r="S1684">
            <v>0</v>
          </cell>
          <cell r="T1684">
            <v>0</v>
          </cell>
          <cell r="U1684">
            <v>0</v>
          </cell>
          <cell r="V1684">
            <v>316400</v>
          </cell>
          <cell r="W1684">
            <v>0</v>
          </cell>
          <cell r="X1684" t="str">
            <v/>
          </cell>
          <cell r="Y1684" t="str">
            <v/>
          </cell>
          <cell r="Z1684" t="str">
            <v/>
          </cell>
          <cell r="AA1684" t="str">
            <v/>
          </cell>
          <cell r="AB1684" t="str">
            <v/>
          </cell>
          <cell r="AC1684" t="str">
            <v/>
          </cell>
          <cell r="AD1684" t="str">
            <v/>
          </cell>
          <cell r="AE1684" t="str">
            <v/>
          </cell>
          <cell r="AF1684" t="str">
            <v/>
          </cell>
          <cell r="AG1684" t="str">
            <v/>
          </cell>
          <cell r="AH1684" t="str">
            <v>②</v>
          </cell>
          <cell r="AI1684" t="str">
            <v/>
          </cell>
        </row>
        <row r="1685">
          <cell r="B1685">
            <v>8614</v>
          </cell>
          <cell r="C1685">
            <v>86</v>
          </cell>
          <cell r="D1685">
            <v>14</v>
          </cell>
          <cell r="F1685" t="str">
            <v>淀屋橋</v>
          </cell>
          <cell r="G1685" t="str">
            <v>煤煙測定</v>
          </cell>
          <cell r="H1685" t="str">
            <v>メンテック</v>
          </cell>
          <cell r="I1685">
            <v>150000</v>
          </cell>
          <cell r="J1685">
            <v>172500</v>
          </cell>
          <cell r="K1685">
            <v>2</v>
          </cell>
          <cell r="L1685">
            <v>0</v>
          </cell>
          <cell r="M1685">
            <v>0</v>
          </cell>
          <cell r="N1685">
            <v>0</v>
          </cell>
          <cell r="O1685">
            <v>0</v>
          </cell>
          <cell r="P1685">
            <v>0</v>
          </cell>
          <cell r="Q1685">
            <v>0</v>
          </cell>
          <cell r="R1685">
            <v>172500</v>
          </cell>
          <cell r="S1685">
            <v>0</v>
          </cell>
          <cell r="T1685">
            <v>0</v>
          </cell>
          <cell r="U1685">
            <v>0</v>
          </cell>
          <cell r="V1685">
            <v>0</v>
          </cell>
          <cell r="W1685">
            <v>172500</v>
          </cell>
          <cell r="X1685" t="str">
            <v/>
          </cell>
          <cell r="Y1685" t="str">
            <v/>
          </cell>
          <cell r="Z1685" t="str">
            <v/>
          </cell>
          <cell r="AA1685" t="str">
            <v/>
          </cell>
          <cell r="AB1685" t="str">
            <v/>
          </cell>
          <cell r="AC1685" t="str">
            <v/>
          </cell>
          <cell r="AD1685" t="str">
            <v>⑩</v>
          </cell>
          <cell r="AE1685" t="str">
            <v/>
          </cell>
          <cell r="AF1685" t="str">
            <v/>
          </cell>
          <cell r="AG1685" t="str">
            <v/>
          </cell>
          <cell r="AH1685" t="str">
            <v/>
          </cell>
          <cell r="AI1685" t="str">
            <v>③</v>
          </cell>
        </row>
        <row r="1686">
          <cell r="B1686">
            <v>8615</v>
          </cell>
          <cell r="C1686">
            <v>86</v>
          </cell>
          <cell r="D1686">
            <v>15</v>
          </cell>
          <cell r="F1686" t="str">
            <v>淀屋橋</v>
          </cell>
          <cell r="G1686" t="str">
            <v>自動ドアー保守</v>
          </cell>
          <cell r="H1686" t="str">
            <v>ナブコドア</v>
          </cell>
          <cell r="I1686">
            <v>70000</v>
          </cell>
          <cell r="J1686">
            <v>71400</v>
          </cell>
          <cell r="K1686">
            <v>2</v>
          </cell>
          <cell r="L1686">
            <v>71400</v>
          </cell>
          <cell r="M1686">
            <v>0</v>
          </cell>
          <cell r="N1686">
            <v>0</v>
          </cell>
          <cell r="O1686">
            <v>0</v>
          </cell>
          <cell r="P1686">
            <v>0</v>
          </cell>
          <cell r="Q1686">
            <v>0</v>
          </cell>
          <cell r="R1686">
            <v>71400</v>
          </cell>
          <cell r="S1686">
            <v>0</v>
          </cell>
          <cell r="T1686">
            <v>0</v>
          </cell>
          <cell r="U1686">
            <v>0</v>
          </cell>
          <cell r="V1686">
            <v>0</v>
          </cell>
          <cell r="W1686">
            <v>0</v>
          </cell>
          <cell r="X1686" t="str">
            <v>④</v>
          </cell>
          <cell r="Y1686" t="str">
            <v/>
          </cell>
          <cell r="Z1686" t="str">
            <v/>
          </cell>
          <cell r="AA1686" t="str">
            <v/>
          </cell>
          <cell r="AB1686" t="str">
            <v/>
          </cell>
          <cell r="AC1686" t="str">
            <v/>
          </cell>
          <cell r="AD1686" t="str">
            <v>⑩</v>
          </cell>
          <cell r="AE1686" t="str">
            <v/>
          </cell>
          <cell r="AF1686" t="str">
            <v/>
          </cell>
          <cell r="AG1686" t="str">
            <v/>
          </cell>
          <cell r="AH1686" t="str">
            <v/>
          </cell>
          <cell r="AI1686" t="str">
            <v/>
          </cell>
        </row>
        <row r="1687">
          <cell r="B1687">
            <v>8616</v>
          </cell>
          <cell r="C1687">
            <v>86</v>
          </cell>
          <cell r="D1687">
            <v>16</v>
          </cell>
          <cell r="F1687" t="str">
            <v>淀屋橋</v>
          </cell>
          <cell r="G1687" t="str">
            <v>自動制御機器設備保守</v>
          </cell>
          <cell r="H1687" t="str">
            <v>山武ビルシステム</v>
          </cell>
          <cell r="I1687">
            <v>640000</v>
          </cell>
          <cell r="J1687">
            <v>652800</v>
          </cell>
          <cell r="K1687">
            <v>2</v>
          </cell>
          <cell r="L1687">
            <v>0</v>
          </cell>
          <cell r="M1687">
            <v>0</v>
          </cell>
          <cell r="N1687">
            <v>0</v>
          </cell>
          <cell r="O1687">
            <v>0</v>
          </cell>
          <cell r="P1687">
            <v>652800</v>
          </cell>
          <cell r="Q1687">
            <v>0</v>
          </cell>
          <cell r="R1687">
            <v>0</v>
          </cell>
          <cell r="S1687">
            <v>0</v>
          </cell>
          <cell r="T1687">
            <v>0</v>
          </cell>
          <cell r="U1687">
            <v>0</v>
          </cell>
          <cell r="V1687">
            <v>652800</v>
          </cell>
          <cell r="W1687">
            <v>0</v>
          </cell>
          <cell r="X1687" t="str">
            <v/>
          </cell>
          <cell r="Y1687" t="str">
            <v/>
          </cell>
          <cell r="Z1687" t="str">
            <v/>
          </cell>
          <cell r="AA1687" t="str">
            <v/>
          </cell>
          <cell r="AB1687" t="str">
            <v>⑧</v>
          </cell>
          <cell r="AC1687" t="str">
            <v/>
          </cell>
          <cell r="AD1687" t="str">
            <v/>
          </cell>
          <cell r="AE1687" t="str">
            <v/>
          </cell>
          <cell r="AF1687" t="str">
            <v/>
          </cell>
          <cell r="AG1687" t="str">
            <v/>
          </cell>
          <cell r="AH1687" t="str">
            <v>②</v>
          </cell>
          <cell r="AI1687" t="str">
            <v/>
          </cell>
        </row>
        <row r="1688">
          <cell r="B1688">
            <v>8617</v>
          </cell>
          <cell r="C1688">
            <v>86</v>
          </cell>
          <cell r="D1688">
            <v>17</v>
          </cell>
          <cell r="F1688" t="str">
            <v>淀屋橋</v>
          </cell>
          <cell r="G1688" t="str">
            <v>ガス吸収式冷暖房機器保守</v>
          </cell>
          <cell r="H1688" t="str">
            <v>東洋製作所</v>
          </cell>
          <cell r="I1688">
            <v>836000</v>
          </cell>
          <cell r="J1688">
            <v>852720</v>
          </cell>
          <cell r="K1688">
            <v>2</v>
          </cell>
          <cell r="L1688">
            <v>0</v>
          </cell>
          <cell r="M1688">
            <v>0</v>
          </cell>
          <cell r="N1688">
            <v>0</v>
          </cell>
          <cell r="O1688">
            <v>0</v>
          </cell>
          <cell r="P1688">
            <v>852720</v>
          </cell>
          <cell r="Q1688">
            <v>0</v>
          </cell>
          <cell r="R1688">
            <v>0</v>
          </cell>
          <cell r="S1688">
            <v>0</v>
          </cell>
          <cell r="T1688">
            <v>0</v>
          </cell>
          <cell r="U1688">
            <v>0</v>
          </cell>
          <cell r="V1688">
            <v>852720</v>
          </cell>
          <cell r="W1688">
            <v>0</v>
          </cell>
          <cell r="X1688" t="str">
            <v/>
          </cell>
          <cell r="Y1688" t="str">
            <v/>
          </cell>
          <cell r="Z1688" t="str">
            <v/>
          </cell>
          <cell r="AA1688" t="str">
            <v/>
          </cell>
          <cell r="AB1688" t="str">
            <v>⑧</v>
          </cell>
          <cell r="AC1688" t="str">
            <v/>
          </cell>
          <cell r="AD1688" t="str">
            <v/>
          </cell>
          <cell r="AE1688" t="str">
            <v/>
          </cell>
          <cell r="AF1688" t="str">
            <v/>
          </cell>
          <cell r="AG1688" t="str">
            <v/>
          </cell>
          <cell r="AH1688" t="str">
            <v>②</v>
          </cell>
          <cell r="AI1688" t="str">
            <v/>
          </cell>
        </row>
        <row r="1689">
          <cell r="B1689">
            <v>8618</v>
          </cell>
          <cell r="C1689">
            <v>86</v>
          </cell>
          <cell r="D1689">
            <v>18</v>
          </cell>
          <cell r="F1689" t="str">
            <v>淀屋橋</v>
          </cell>
          <cell r="G1689" t="str">
            <v>ターボ式冷凍機設備保守</v>
          </cell>
          <cell r="H1689" t="str">
            <v>東洋製作所</v>
          </cell>
          <cell r="I1689">
            <v>737000</v>
          </cell>
          <cell r="J1689">
            <v>751740</v>
          </cell>
          <cell r="K1689">
            <v>1</v>
          </cell>
          <cell r="L1689">
            <v>0</v>
          </cell>
          <cell r="M1689">
            <v>751740</v>
          </cell>
          <cell r="N1689">
            <v>0</v>
          </cell>
          <cell r="O1689">
            <v>0</v>
          </cell>
          <cell r="P1689">
            <v>0</v>
          </cell>
          <cell r="Q1689">
            <v>0</v>
          </cell>
          <cell r="R1689">
            <v>0</v>
          </cell>
          <cell r="S1689">
            <v>0</v>
          </cell>
          <cell r="T1689">
            <v>0</v>
          </cell>
          <cell r="U1689">
            <v>0</v>
          </cell>
          <cell r="V1689">
            <v>0</v>
          </cell>
          <cell r="W1689">
            <v>0</v>
          </cell>
          <cell r="X1689" t="str">
            <v/>
          </cell>
          <cell r="Y1689" t="str">
            <v>⑤</v>
          </cell>
          <cell r="Z1689" t="str">
            <v/>
          </cell>
          <cell r="AA1689" t="str">
            <v/>
          </cell>
          <cell r="AB1689" t="str">
            <v/>
          </cell>
          <cell r="AC1689" t="str">
            <v/>
          </cell>
          <cell r="AD1689" t="str">
            <v/>
          </cell>
          <cell r="AE1689" t="str">
            <v/>
          </cell>
          <cell r="AF1689" t="str">
            <v/>
          </cell>
          <cell r="AG1689" t="str">
            <v/>
          </cell>
          <cell r="AH1689" t="str">
            <v/>
          </cell>
          <cell r="AI1689" t="str">
            <v/>
          </cell>
        </row>
        <row r="1690">
          <cell r="B1690">
            <v>8619</v>
          </cell>
          <cell r="C1690">
            <v>86</v>
          </cell>
          <cell r="D1690">
            <v>19</v>
          </cell>
          <cell r="F1690" t="str">
            <v>淀屋橋</v>
          </cell>
          <cell r="G1690" t="str">
            <v>ｶﾙﾐｯｸｴｱﾕﾆｯﾄ設備保守</v>
          </cell>
          <cell r="H1690" t="str">
            <v>日本カルミック</v>
          </cell>
          <cell r="I1690">
            <v>139150</v>
          </cell>
          <cell r="J1690">
            <v>141933</v>
          </cell>
          <cell r="K1690">
            <v>2</v>
          </cell>
          <cell r="L1690">
            <v>0</v>
          </cell>
          <cell r="M1690">
            <v>141933</v>
          </cell>
          <cell r="N1690">
            <v>0</v>
          </cell>
          <cell r="O1690">
            <v>0</v>
          </cell>
          <cell r="P1690">
            <v>0</v>
          </cell>
          <cell r="Q1690">
            <v>0</v>
          </cell>
          <cell r="R1690">
            <v>0</v>
          </cell>
          <cell r="S1690">
            <v>141933</v>
          </cell>
          <cell r="T1690">
            <v>0</v>
          </cell>
          <cell r="U1690">
            <v>0</v>
          </cell>
          <cell r="V1690">
            <v>0</v>
          </cell>
          <cell r="W1690">
            <v>0</v>
          </cell>
          <cell r="X1690" t="str">
            <v/>
          </cell>
          <cell r="Y1690" t="str">
            <v>⑤</v>
          </cell>
          <cell r="Z1690" t="str">
            <v/>
          </cell>
          <cell r="AA1690" t="str">
            <v/>
          </cell>
          <cell r="AB1690" t="str">
            <v/>
          </cell>
          <cell r="AC1690" t="str">
            <v/>
          </cell>
          <cell r="AD1690" t="str">
            <v/>
          </cell>
          <cell r="AE1690" t="str">
            <v>⑪</v>
          </cell>
          <cell r="AF1690" t="str">
            <v/>
          </cell>
          <cell r="AG1690" t="str">
            <v/>
          </cell>
          <cell r="AH1690" t="str">
            <v/>
          </cell>
          <cell r="AI1690" t="str">
            <v/>
          </cell>
        </row>
        <row r="1691">
          <cell r="B1691">
            <v>8620</v>
          </cell>
          <cell r="C1691">
            <v>86</v>
          </cell>
          <cell r="D1691">
            <v>20</v>
          </cell>
          <cell r="F1691" t="str">
            <v>淀屋橋</v>
          </cell>
          <cell r="G1691" t="str">
            <v>ファンコイルﾌｨﾙﾀｰ清掃</v>
          </cell>
          <cell r="H1691" t="str">
            <v>大阪東管サービス</v>
          </cell>
          <cell r="I1691">
            <v>67500</v>
          </cell>
          <cell r="J1691">
            <v>77625</v>
          </cell>
          <cell r="K1691">
            <v>3</v>
          </cell>
          <cell r="L1691">
            <v>0</v>
          </cell>
          <cell r="M1691">
            <v>0</v>
          </cell>
          <cell r="N1691">
            <v>0</v>
          </cell>
          <cell r="O1691">
            <v>77625</v>
          </cell>
          <cell r="P1691">
            <v>0</v>
          </cell>
          <cell r="Q1691">
            <v>0</v>
          </cell>
          <cell r="R1691">
            <v>0</v>
          </cell>
          <cell r="S1691">
            <v>77625</v>
          </cell>
          <cell r="T1691">
            <v>0</v>
          </cell>
          <cell r="U1691">
            <v>0</v>
          </cell>
          <cell r="V1691">
            <v>77625</v>
          </cell>
          <cell r="W1691">
            <v>0</v>
          </cell>
          <cell r="AA1691" t="str">
            <v>⑦</v>
          </cell>
          <cell r="AE1691" t="str">
            <v>⑪</v>
          </cell>
          <cell r="AH1691" t="str">
            <v>②</v>
          </cell>
          <cell r="AJ1691" t="str">
            <v>追</v>
          </cell>
        </row>
        <row r="1692">
          <cell r="B1692">
            <v>8621</v>
          </cell>
          <cell r="C1692">
            <v>86</v>
          </cell>
          <cell r="D1692">
            <v>21</v>
          </cell>
          <cell r="F1692" t="str">
            <v>淀屋橋</v>
          </cell>
          <cell r="G1692" t="str">
            <v>リターン吸気口清掃</v>
          </cell>
          <cell r="H1692" t="str">
            <v>大阪東管サービス</v>
          </cell>
          <cell r="I1692">
            <v>59000</v>
          </cell>
          <cell r="J1692">
            <v>67850</v>
          </cell>
          <cell r="K1692">
            <v>4</v>
          </cell>
          <cell r="L1692">
            <v>0</v>
          </cell>
          <cell r="M1692">
            <v>67850</v>
          </cell>
          <cell r="N1692">
            <v>0</v>
          </cell>
          <cell r="O1692">
            <v>0</v>
          </cell>
          <cell r="P1692">
            <v>67850</v>
          </cell>
          <cell r="Q1692">
            <v>0</v>
          </cell>
          <cell r="R1692">
            <v>0</v>
          </cell>
          <cell r="S1692">
            <v>67850</v>
          </cell>
          <cell r="T1692">
            <v>0</v>
          </cell>
          <cell r="U1692">
            <v>0</v>
          </cell>
          <cell r="V1692">
            <v>67850</v>
          </cell>
          <cell r="W1692">
            <v>0</v>
          </cell>
          <cell r="X1692" t="str">
            <v/>
          </cell>
          <cell r="Y1692" t="str">
            <v>⑤</v>
          </cell>
          <cell r="AB1692" t="str">
            <v>⑧</v>
          </cell>
          <cell r="AE1692" t="str">
            <v>⑪</v>
          </cell>
          <cell r="AH1692" t="str">
            <v>②</v>
          </cell>
          <cell r="AI1692" t="str">
            <v/>
          </cell>
          <cell r="AJ1692" t="str">
            <v>追</v>
          </cell>
        </row>
        <row r="1693">
          <cell r="B1693">
            <v>8701</v>
          </cell>
          <cell r="C1693">
            <v>87</v>
          </cell>
          <cell r="D1693">
            <v>1</v>
          </cell>
          <cell r="F1693" t="str">
            <v>堺</v>
          </cell>
          <cell r="G1693" t="str">
            <v>立体駐車場設備保守</v>
          </cell>
          <cell r="H1693" t="str">
            <v>三菱重工ﾊﾟｰｷﾝｸﾞ建設</v>
          </cell>
          <cell r="I1693">
            <v>126000</v>
          </cell>
          <cell r="J1693">
            <v>128520</v>
          </cell>
          <cell r="K1693">
            <v>12</v>
          </cell>
          <cell r="L1693">
            <v>128520</v>
          </cell>
          <cell r="M1693">
            <v>128520</v>
          </cell>
          <cell r="N1693">
            <v>128520</v>
          </cell>
          <cell r="O1693">
            <v>128520</v>
          </cell>
          <cell r="P1693">
            <v>128520</v>
          </cell>
          <cell r="Q1693">
            <v>128520</v>
          </cell>
          <cell r="R1693">
            <v>128520</v>
          </cell>
          <cell r="S1693">
            <v>128520</v>
          </cell>
          <cell r="T1693">
            <v>128520</v>
          </cell>
          <cell r="U1693">
            <v>128520</v>
          </cell>
          <cell r="V1693">
            <v>128520</v>
          </cell>
          <cell r="W1693">
            <v>128520</v>
          </cell>
          <cell r="X1693" t="str">
            <v>④</v>
          </cell>
          <cell r="Y1693" t="str">
            <v>⑤</v>
          </cell>
          <cell r="Z1693" t="str">
            <v>⑥</v>
          </cell>
          <cell r="AA1693" t="str">
            <v>⑦</v>
          </cell>
          <cell r="AB1693" t="str">
            <v>⑧</v>
          </cell>
          <cell r="AC1693" t="str">
            <v>⑨</v>
          </cell>
          <cell r="AD1693" t="str">
            <v>⑩</v>
          </cell>
          <cell r="AE1693" t="str">
            <v>⑪</v>
          </cell>
          <cell r="AF1693" t="str">
            <v>⑫</v>
          </cell>
          <cell r="AG1693" t="str">
            <v>①</v>
          </cell>
          <cell r="AH1693" t="str">
            <v>②</v>
          </cell>
          <cell r="AI1693" t="str">
            <v>③</v>
          </cell>
        </row>
        <row r="1694">
          <cell r="B1694">
            <v>8702</v>
          </cell>
          <cell r="C1694">
            <v>87</v>
          </cell>
          <cell r="D1694">
            <v>2</v>
          </cell>
          <cell r="F1694" t="str">
            <v>堺</v>
          </cell>
          <cell r="G1694" t="str">
            <v>二段式立体駐車場設備保守</v>
          </cell>
          <cell r="H1694" t="str">
            <v>古河機械金属</v>
          </cell>
          <cell r="I1694">
            <v>52500</v>
          </cell>
          <cell r="J1694">
            <v>53550</v>
          </cell>
          <cell r="K1694">
            <v>12</v>
          </cell>
          <cell r="L1694">
            <v>53550</v>
          </cell>
          <cell r="M1694">
            <v>53550</v>
          </cell>
          <cell r="N1694">
            <v>53550</v>
          </cell>
          <cell r="O1694">
            <v>53550</v>
          </cell>
          <cell r="P1694">
            <v>53550</v>
          </cell>
          <cell r="Q1694">
            <v>53550</v>
          </cell>
          <cell r="R1694">
            <v>53550</v>
          </cell>
          <cell r="S1694">
            <v>53550</v>
          </cell>
          <cell r="T1694">
            <v>53550</v>
          </cell>
          <cell r="U1694">
            <v>53550</v>
          </cell>
          <cell r="V1694">
            <v>53550</v>
          </cell>
          <cell r="W1694">
            <v>53550</v>
          </cell>
          <cell r="X1694" t="str">
            <v>④</v>
          </cell>
          <cell r="Y1694" t="str">
            <v>⑤</v>
          </cell>
          <cell r="Z1694" t="str">
            <v>⑥</v>
          </cell>
          <cell r="AA1694" t="str">
            <v>⑦</v>
          </cell>
          <cell r="AB1694" t="str">
            <v>⑧</v>
          </cell>
          <cell r="AC1694" t="str">
            <v>⑨</v>
          </cell>
          <cell r="AD1694" t="str">
            <v>⑩</v>
          </cell>
          <cell r="AE1694" t="str">
            <v>⑪</v>
          </cell>
          <cell r="AF1694" t="str">
            <v>⑫</v>
          </cell>
          <cell r="AG1694" t="str">
            <v>①</v>
          </cell>
          <cell r="AH1694" t="str">
            <v>②</v>
          </cell>
          <cell r="AI1694" t="str">
            <v>③</v>
          </cell>
        </row>
        <row r="1695">
          <cell r="B1695">
            <v>8703</v>
          </cell>
          <cell r="C1695">
            <v>87</v>
          </cell>
          <cell r="D1695">
            <v>3</v>
          </cell>
          <cell r="F1695" t="str">
            <v>堺</v>
          </cell>
          <cell r="G1695" t="str">
            <v>エレベーター保守</v>
          </cell>
          <cell r="H1695" t="str">
            <v>三菱電機ﾋﾞﾙﾃｸﾉｻｰﾋﾞｽ</v>
          </cell>
          <cell r="I1695">
            <v>133200</v>
          </cell>
          <cell r="J1695">
            <v>135864</v>
          </cell>
          <cell r="K1695">
            <v>12</v>
          </cell>
          <cell r="L1695">
            <v>135864</v>
          </cell>
          <cell r="M1695">
            <v>135864</v>
          </cell>
          <cell r="N1695">
            <v>135864</v>
          </cell>
          <cell r="O1695">
            <v>135864</v>
          </cell>
          <cell r="P1695">
            <v>135864</v>
          </cell>
          <cell r="Q1695">
            <v>135864</v>
          </cell>
          <cell r="R1695">
            <v>135864</v>
          </cell>
          <cell r="S1695">
            <v>135864</v>
          </cell>
          <cell r="T1695">
            <v>135864</v>
          </cell>
          <cell r="U1695">
            <v>135864</v>
          </cell>
          <cell r="V1695">
            <v>135864</v>
          </cell>
          <cell r="W1695">
            <v>135864</v>
          </cell>
          <cell r="X1695" t="str">
            <v>④</v>
          </cell>
          <cell r="Y1695" t="str">
            <v>⑤</v>
          </cell>
          <cell r="Z1695" t="str">
            <v>⑥</v>
          </cell>
          <cell r="AA1695" t="str">
            <v>⑦</v>
          </cell>
          <cell r="AB1695" t="str">
            <v>⑧</v>
          </cell>
          <cell r="AC1695" t="str">
            <v>⑨</v>
          </cell>
          <cell r="AD1695" t="str">
            <v>⑩</v>
          </cell>
          <cell r="AE1695" t="str">
            <v>⑪</v>
          </cell>
          <cell r="AF1695" t="str">
            <v>⑫</v>
          </cell>
          <cell r="AG1695" t="str">
            <v>①</v>
          </cell>
          <cell r="AH1695" t="str">
            <v>②</v>
          </cell>
          <cell r="AI1695" t="str">
            <v>③</v>
          </cell>
        </row>
        <row r="1696">
          <cell r="B1696">
            <v>8704</v>
          </cell>
          <cell r="C1696">
            <v>87</v>
          </cell>
          <cell r="D1696">
            <v>4</v>
          </cell>
          <cell r="F1696" t="str">
            <v>堺</v>
          </cell>
          <cell r="G1696" t="str">
            <v>消防設備点検保守(総合)</v>
          </cell>
          <cell r="H1696" t="str">
            <v>大阪東管サービス</v>
          </cell>
          <cell r="I1696">
            <v>300000</v>
          </cell>
          <cell r="J1696">
            <v>306000</v>
          </cell>
          <cell r="K1696">
            <v>1</v>
          </cell>
          <cell r="L1696">
            <v>0</v>
          </cell>
          <cell r="M1696">
            <v>0</v>
          </cell>
          <cell r="N1696">
            <v>306000</v>
          </cell>
          <cell r="O1696">
            <v>0</v>
          </cell>
          <cell r="P1696">
            <v>0</v>
          </cell>
          <cell r="Q1696">
            <v>0</v>
          </cell>
          <cell r="R1696">
            <v>0</v>
          </cell>
          <cell r="S1696">
            <v>0</v>
          </cell>
          <cell r="T1696">
            <v>0</v>
          </cell>
          <cell r="U1696">
            <v>0</v>
          </cell>
          <cell r="V1696">
            <v>0</v>
          </cell>
          <cell r="W1696">
            <v>0</v>
          </cell>
          <cell r="X1696" t="str">
            <v/>
          </cell>
          <cell r="Y1696" t="str">
            <v/>
          </cell>
          <cell r="Z1696" t="str">
            <v>⑥</v>
          </cell>
          <cell r="AA1696" t="str">
            <v/>
          </cell>
          <cell r="AB1696" t="str">
            <v/>
          </cell>
          <cell r="AC1696" t="str">
            <v/>
          </cell>
          <cell r="AD1696" t="str">
            <v/>
          </cell>
          <cell r="AE1696" t="str">
            <v/>
          </cell>
          <cell r="AF1696" t="str">
            <v/>
          </cell>
          <cell r="AG1696" t="str">
            <v/>
          </cell>
          <cell r="AH1696" t="str">
            <v/>
          </cell>
          <cell r="AI1696" t="str">
            <v/>
          </cell>
        </row>
        <row r="1697">
          <cell r="B1697">
            <v>8705</v>
          </cell>
          <cell r="C1697">
            <v>87</v>
          </cell>
          <cell r="D1697">
            <v>5</v>
          </cell>
          <cell r="F1697" t="str">
            <v>堺</v>
          </cell>
          <cell r="G1697" t="str">
            <v>消防設備点検保守(外観)</v>
          </cell>
          <cell r="H1697" t="str">
            <v>大阪東管サービス</v>
          </cell>
          <cell r="I1697">
            <v>260000</v>
          </cell>
          <cell r="J1697">
            <v>265200</v>
          </cell>
          <cell r="K1697">
            <v>1</v>
          </cell>
          <cell r="L1697">
            <v>0</v>
          </cell>
          <cell r="M1697">
            <v>0</v>
          </cell>
          <cell r="N1697">
            <v>0</v>
          </cell>
          <cell r="O1697">
            <v>0</v>
          </cell>
          <cell r="P1697">
            <v>0</v>
          </cell>
          <cell r="Q1697">
            <v>0</v>
          </cell>
          <cell r="R1697">
            <v>0</v>
          </cell>
          <cell r="S1697">
            <v>265200</v>
          </cell>
          <cell r="T1697">
            <v>0</v>
          </cell>
          <cell r="U1697">
            <v>0</v>
          </cell>
          <cell r="V1697">
            <v>0</v>
          </cell>
          <cell r="W1697">
            <v>0</v>
          </cell>
          <cell r="X1697" t="str">
            <v/>
          </cell>
          <cell r="Y1697" t="str">
            <v/>
          </cell>
          <cell r="Z1697" t="str">
            <v/>
          </cell>
          <cell r="AA1697" t="str">
            <v/>
          </cell>
          <cell r="AB1697" t="str">
            <v/>
          </cell>
          <cell r="AC1697" t="str">
            <v/>
          </cell>
          <cell r="AD1697" t="str">
            <v/>
          </cell>
          <cell r="AE1697" t="str">
            <v>⑪</v>
          </cell>
          <cell r="AF1697" t="str">
            <v/>
          </cell>
          <cell r="AG1697" t="str">
            <v/>
          </cell>
          <cell r="AH1697" t="str">
            <v/>
          </cell>
          <cell r="AI1697" t="str">
            <v/>
          </cell>
        </row>
        <row r="1698">
          <cell r="B1698">
            <v>8706</v>
          </cell>
          <cell r="C1698">
            <v>87</v>
          </cell>
          <cell r="D1698">
            <v>6</v>
          </cell>
          <cell r="F1698" t="str">
            <v>堺</v>
          </cell>
          <cell r="G1698" t="str">
            <v>害虫駆除</v>
          </cell>
          <cell r="H1698" t="str">
            <v>シーアイシー</v>
          </cell>
          <cell r="I1698">
            <v>93350</v>
          </cell>
          <cell r="J1698">
            <v>102685</v>
          </cell>
          <cell r="K1698">
            <v>2</v>
          </cell>
          <cell r="L1698">
            <v>0</v>
          </cell>
          <cell r="M1698">
            <v>0</v>
          </cell>
          <cell r="N1698">
            <v>102685</v>
          </cell>
          <cell r="O1698">
            <v>0</v>
          </cell>
          <cell r="P1698">
            <v>0</v>
          </cell>
          <cell r="Q1698">
            <v>0</v>
          </cell>
          <cell r="R1698">
            <v>0</v>
          </cell>
          <cell r="S1698">
            <v>0</v>
          </cell>
          <cell r="T1698">
            <v>102685</v>
          </cell>
          <cell r="U1698">
            <v>0</v>
          </cell>
          <cell r="V1698">
            <v>0</v>
          </cell>
          <cell r="W1698">
            <v>0</v>
          </cell>
          <cell r="X1698" t="str">
            <v/>
          </cell>
          <cell r="Y1698" t="str">
            <v/>
          </cell>
          <cell r="Z1698" t="str">
            <v>⑥</v>
          </cell>
          <cell r="AA1698" t="str">
            <v/>
          </cell>
          <cell r="AB1698" t="str">
            <v/>
          </cell>
          <cell r="AC1698" t="str">
            <v/>
          </cell>
          <cell r="AD1698" t="str">
            <v/>
          </cell>
          <cell r="AE1698" t="str">
            <v/>
          </cell>
          <cell r="AF1698" t="str">
            <v>⑫</v>
          </cell>
          <cell r="AG1698" t="str">
            <v/>
          </cell>
          <cell r="AH1698" t="str">
            <v/>
          </cell>
          <cell r="AI1698" t="str">
            <v/>
          </cell>
        </row>
        <row r="1699">
          <cell r="B1699">
            <v>8707</v>
          </cell>
          <cell r="C1699">
            <v>87</v>
          </cell>
          <cell r="D1699">
            <v>7</v>
          </cell>
          <cell r="F1699" t="str">
            <v>堺</v>
          </cell>
          <cell r="G1699" t="str">
            <v>受水槽清掃(含む高架水槽)</v>
          </cell>
          <cell r="H1699" t="str">
            <v>大阪東管サービス</v>
          </cell>
          <cell r="I1699">
            <v>130000</v>
          </cell>
          <cell r="J1699">
            <v>146900</v>
          </cell>
          <cell r="K1699">
            <v>1</v>
          </cell>
          <cell r="L1699">
            <v>0</v>
          </cell>
          <cell r="M1699">
            <v>0</v>
          </cell>
          <cell r="N1699">
            <v>0</v>
          </cell>
          <cell r="O1699">
            <v>0</v>
          </cell>
          <cell r="P1699">
            <v>0</v>
          </cell>
          <cell r="Q1699">
            <v>0</v>
          </cell>
          <cell r="R1699">
            <v>0</v>
          </cell>
          <cell r="S1699">
            <v>0</v>
          </cell>
          <cell r="T1699">
            <v>0</v>
          </cell>
          <cell r="U1699">
            <v>0</v>
          </cell>
          <cell r="V1699">
            <v>146900</v>
          </cell>
          <cell r="W1699">
            <v>0</v>
          </cell>
          <cell r="X1699" t="str">
            <v/>
          </cell>
          <cell r="Y1699" t="str">
            <v/>
          </cell>
          <cell r="Z1699" t="str">
            <v/>
          </cell>
          <cell r="AA1699" t="str">
            <v/>
          </cell>
          <cell r="AB1699" t="str">
            <v/>
          </cell>
          <cell r="AC1699" t="str">
            <v/>
          </cell>
          <cell r="AD1699" t="str">
            <v/>
          </cell>
          <cell r="AE1699" t="str">
            <v/>
          </cell>
          <cell r="AF1699" t="str">
            <v/>
          </cell>
          <cell r="AG1699" t="str">
            <v/>
          </cell>
          <cell r="AH1699" t="str">
            <v>②</v>
          </cell>
          <cell r="AI1699" t="str">
            <v/>
          </cell>
        </row>
        <row r="1700">
          <cell r="B1700">
            <v>8708</v>
          </cell>
          <cell r="C1700">
            <v>87</v>
          </cell>
          <cell r="D1700">
            <v>8</v>
          </cell>
          <cell r="F1700" t="str">
            <v>堺</v>
          </cell>
          <cell r="G1700" t="str">
            <v>全熱交換機点検保守</v>
          </cell>
          <cell r="H1700" t="str">
            <v>東洋製作所</v>
          </cell>
          <cell r="I1700">
            <v>289000</v>
          </cell>
          <cell r="J1700">
            <v>294780</v>
          </cell>
          <cell r="K1700">
            <v>1</v>
          </cell>
          <cell r="L1700">
            <v>0</v>
          </cell>
          <cell r="M1700">
            <v>0</v>
          </cell>
          <cell r="N1700">
            <v>0</v>
          </cell>
          <cell r="O1700">
            <v>0</v>
          </cell>
          <cell r="P1700">
            <v>0</v>
          </cell>
          <cell r="Q1700">
            <v>0</v>
          </cell>
          <cell r="R1700">
            <v>0</v>
          </cell>
          <cell r="S1700">
            <v>0</v>
          </cell>
          <cell r="T1700">
            <v>0</v>
          </cell>
          <cell r="U1700">
            <v>0</v>
          </cell>
          <cell r="V1700">
            <v>0</v>
          </cell>
          <cell r="W1700">
            <v>294780</v>
          </cell>
          <cell r="X1700" t="str">
            <v/>
          </cell>
          <cell r="Y1700" t="str">
            <v/>
          </cell>
          <cell r="Z1700" t="str">
            <v/>
          </cell>
          <cell r="AA1700" t="str">
            <v/>
          </cell>
          <cell r="AB1700" t="str">
            <v/>
          </cell>
          <cell r="AC1700" t="str">
            <v/>
          </cell>
          <cell r="AD1700" t="str">
            <v/>
          </cell>
          <cell r="AE1700" t="str">
            <v/>
          </cell>
          <cell r="AF1700" t="str">
            <v/>
          </cell>
          <cell r="AG1700" t="str">
            <v/>
          </cell>
          <cell r="AH1700" t="str">
            <v/>
          </cell>
          <cell r="AI1700" t="str">
            <v>③</v>
          </cell>
        </row>
        <row r="1701">
          <cell r="B1701">
            <v>8709</v>
          </cell>
          <cell r="C1701">
            <v>87</v>
          </cell>
          <cell r="D1701">
            <v>9</v>
          </cell>
          <cell r="F1701" t="str">
            <v>堺</v>
          </cell>
          <cell r="G1701" t="str">
            <v>植栽管理</v>
          </cell>
          <cell r="H1701" t="str">
            <v>富士技創</v>
          </cell>
          <cell r="I1701">
            <v>142000</v>
          </cell>
          <cell r="J1701">
            <v>144840</v>
          </cell>
          <cell r="K1701">
            <v>1</v>
          </cell>
          <cell r="L1701">
            <v>0</v>
          </cell>
          <cell r="M1701">
            <v>0</v>
          </cell>
          <cell r="N1701">
            <v>0</v>
          </cell>
          <cell r="O1701">
            <v>0</v>
          </cell>
          <cell r="P1701">
            <v>0</v>
          </cell>
          <cell r="Q1701">
            <v>144840</v>
          </cell>
          <cell r="R1701">
            <v>0</v>
          </cell>
          <cell r="S1701">
            <v>0</v>
          </cell>
          <cell r="T1701">
            <v>0</v>
          </cell>
          <cell r="U1701">
            <v>0</v>
          </cell>
          <cell r="V1701">
            <v>0</v>
          </cell>
          <cell r="W1701">
            <v>0</v>
          </cell>
          <cell r="X1701" t="str">
            <v/>
          </cell>
          <cell r="Y1701" t="str">
            <v/>
          </cell>
          <cell r="Z1701" t="str">
            <v/>
          </cell>
          <cell r="AA1701" t="str">
            <v/>
          </cell>
          <cell r="AB1701" t="str">
            <v/>
          </cell>
          <cell r="AC1701" t="str">
            <v>⑨</v>
          </cell>
          <cell r="AD1701" t="str">
            <v/>
          </cell>
          <cell r="AE1701" t="str">
            <v/>
          </cell>
          <cell r="AF1701" t="str">
            <v/>
          </cell>
          <cell r="AG1701" t="str">
            <v/>
          </cell>
          <cell r="AH1701" t="str">
            <v/>
          </cell>
          <cell r="AI1701" t="str">
            <v/>
          </cell>
        </row>
        <row r="1702">
          <cell r="B1702">
            <v>8710</v>
          </cell>
          <cell r="C1702">
            <v>87</v>
          </cell>
          <cell r="D1702">
            <v>10</v>
          </cell>
          <cell r="F1702" t="str">
            <v>堺</v>
          </cell>
          <cell r="G1702" t="str">
            <v>空調機ﾌｨﾙﾀｰ清掃</v>
          </cell>
          <cell r="H1702" t="str">
            <v>大阪東管サービス</v>
          </cell>
          <cell r="I1702">
            <v>67000</v>
          </cell>
          <cell r="J1702">
            <v>77050</v>
          </cell>
          <cell r="K1702">
            <v>3</v>
          </cell>
          <cell r="L1702">
            <v>0</v>
          </cell>
          <cell r="M1702">
            <v>77050</v>
          </cell>
          <cell r="N1702">
            <v>0</v>
          </cell>
          <cell r="O1702">
            <v>0</v>
          </cell>
          <cell r="P1702">
            <v>0</v>
          </cell>
          <cell r="Q1702">
            <v>77050</v>
          </cell>
          <cell r="R1702">
            <v>0</v>
          </cell>
          <cell r="S1702">
            <v>0</v>
          </cell>
          <cell r="T1702">
            <v>0</v>
          </cell>
          <cell r="U1702">
            <v>77050</v>
          </cell>
          <cell r="V1702">
            <v>0</v>
          </cell>
          <cell r="W1702">
            <v>0</v>
          </cell>
          <cell r="X1702" t="str">
            <v/>
          </cell>
          <cell r="Y1702" t="str">
            <v>⑤</v>
          </cell>
          <cell r="Z1702" t="str">
            <v/>
          </cell>
          <cell r="AA1702" t="str">
            <v/>
          </cell>
          <cell r="AB1702" t="str">
            <v/>
          </cell>
          <cell r="AC1702" t="str">
            <v>⑨</v>
          </cell>
          <cell r="AD1702" t="str">
            <v/>
          </cell>
          <cell r="AE1702" t="str">
            <v/>
          </cell>
          <cell r="AF1702" t="str">
            <v/>
          </cell>
          <cell r="AG1702" t="str">
            <v>①</v>
          </cell>
          <cell r="AH1702" t="str">
            <v/>
          </cell>
          <cell r="AI1702" t="str">
            <v/>
          </cell>
          <cell r="AJ1702" t="str">
            <v>追</v>
          </cell>
        </row>
        <row r="1703">
          <cell r="B1703">
            <v>8711</v>
          </cell>
          <cell r="C1703">
            <v>87</v>
          </cell>
          <cell r="D1703">
            <v>11</v>
          </cell>
          <cell r="F1703" t="str">
            <v>堺</v>
          </cell>
          <cell r="G1703" t="str">
            <v>全熱交換機ﾛｰﾙﾌｨﾙﾀｰ取替</v>
          </cell>
          <cell r="H1703" t="str">
            <v>大阪東管サービス</v>
          </cell>
          <cell r="I1703">
            <v>50000</v>
          </cell>
          <cell r="J1703">
            <v>57500</v>
          </cell>
          <cell r="K1703">
            <v>1</v>
          </cell>
          <cell r="L1703">
            <v>0</v>
          </cell>
          <cell r="M1703">
            <v>0</v>
          </cell>
          <cell r="N1703">
            <v>0</v>
          </cell>
          <cell r="O1703">
            <v>0</v>
          </cell>
          <cell r="P1703">
            <v>0</v>
          </cell>
          <cell r="Q1703">
            <v>0</v>
          </cell>
          <cell r="R1703">
            <v>0</v>
          </cell>
          <cell r="S1703">
            <v>57500</v>
          </cell>
          <cell r="T1703">
            <v>0</v>
          </cell>
          <cell r="U1703">
            <v>0</v>
          </cell>
          <cell r="V1703">
            <v>0</v>
          </cell>
          <cell r="W1703">
            <v>0</v>
          </cell>
          <cell r="X1703" t="str">
            <v/>
          </cell>
          <cell r="Y1703" t="str">
            <v/>
          </cell>
          <cell r="AA1703" t="str">
            <v/>
          </cell>
          <cell r="AB1703" t="str">
            <v/>
          </cell>
          <cell r="AC1703" t="str">
            <v/>
          </cell>
          <cell r="AD1703" t="str">
            <v/>
          </cell>
          <cell r="AE1703" t="str">
            <v>⑪</v>
          </cell>
          <cell r="AF1703" t="str">
            <v/>
          </cell>
          <cell r="AG1703" t="str">
            <v/>
          </cell>
          <cell r="AH1703" t="str">
            <v/>
          </cell>
          <cell r="AI1703" t="str">
            <v/>
          </cell>
          <cell r="AJ1703" t="str">
            <v>追</v>
          </cell>
        </row>
        <row r="1704">
          <cell r="B1704">
            <v>8801</v>
          </cell>
          <cell r="C1704">
            <v>88</v>
          </cell>
          <cell r="D1704">
            <v>1</v>
          </cell>
          <cell r="F1704" t="str">
            <v>明石</v>
          </cell>
          <cell r="G1704" t="str">
            <v>駐車場設備保守</v>
          </cell>
          <cell r="H1704" t="str">
            <v>三菱重工ﾊﾟｰｷﾝｸﾞ建設</v>
          </cell>
          <cell r="I1704">
            <v>109000</v>
          </cell>
          <cell r="J1704">
            <v>111180</v>
          </cell>
          <cell r="K1704">
            <v>12</v>
          </cell>
          <cell r="L1704">
            <v>111180</v>
          </cell>
          <cell r="M1704">
            <v>111180</v>
          </cell>
          <cell r="N1704">
            <v>111180</v>
          </cell>
          <cell r="O1704">
            <v>111180</v>
          </cell>
          <cell r="P1704">
            <v>111180</v>
          </cell>
          <cell r="Q1704">
            <v>111180</v>
          </cell>
          <cell r="R1704">
            <v>111180</v>
          </cell>
          <cell r="S1704">
            <v>111180</v>
          </cell>
          <cell r="T1704">
            <v>111180</v>
          </cell>
          <cell r="U1704">
            <v>111180</v>
          </cell>
          <cell r="V1704">
            <v>111180</v>
          </cell>
          <cell r="W1704">
            <v>111180</v>
          </cell>
          <cell r="X1704" t="str">
            <v>④</v>
          </cell>
          <cell r="Y1704" t="str">
            <v>⑤</v>
          </cell>
          <cell r="Z1704" t="str">
            <v>⑥</v>
          </cell>
          <cell r="AA1704" t="str">
            <v>⑦</v>
          </cell>
          <cell r="AB1704" t="str">
            <v>⑧</v>
          </cell>
          <cell r="AC1704" t="str">
            <v>⑨</v>
          </cell>
          <cell r="AD1704" t="str">
            <v>⑩</v>
          </cell>
          <cell r="AE1704" t="str">
            <v>⑪</v>
          </cell>
          <cell r="AF1704" t="str">
            <v>⑫</v>
          </cell>
          <cell r="AG1704" t="str">
            <v>①</v>
          </cell>
          <cell r="AH1704" t="str">
            <v>②</v>
          </cell>
          <cell r="AI1704" t="str">
            <v>③</v>
          </cell>
        </row>
        <row r="1705">
          <cell r="B1705">
            <v>8802</v>
          </cell>
          <cell r="C1705">
            <v>88</v>
          </cell>
          <cell r="D1705">
            <v>2</v>
          </cell>
          <cell r="F1705" t="str">
            <v>明石</v>
          </cell>
          <cell r="G1705" t="str">
            <v>エレベーター保守</v>
          </cell>
          <cell r="H1705" t="str">
            <v>三菱電機ﾋﾞﾙﾃｸﾉｻｰﾋﾞｽ</v>
          </cell>
          <cell r="I1705">
            <v>71900</v>
          </cell>
          <cell r="J1705">
            <v>73338</v>
          </cell>
          <cell r="K1705">
            <v>12</v>
          </cell>
          <cell r="L1705">
            <v>73338</v>
          </cell>
          <cell r="M1705">
            <v>73338</v>
          </cell>
          <cell r="N1705">
            <v>73338</v>
          </cell>
          <cell r="O1705">
            <v>73338</v>
          </cell>
          <cell r="P1705">
            <v>73338</v>
          </cell>
          <cell r="Q1705">
            <v>73338</v>
          </cell>
          <cell r="R1705">
            <v>73338</v>
          </cell>
          <cell r="S1705">
            <v>73338</v>
          </cell>
          <cell r="T1705">
            <v>73338</v>
          </cell>
          <cell r="U1705">
            <v>73338</v>
          </cell>
          <cell r="V1705">
            <v>73338</v>
          </cell>
          <cell r="W1705">
            <v>73338</v>
          </cell>
          <cell r="X1705" t="str">
            <v>④</v>
          </cell>
          <cell r="Y1705" t="str">
            <v>⑤</v>
          </cell>
          <cell r="Z1705" t="str">
            <v>⑥</v>
          </cell>
          <cell r="AA1705" t="str">
            <v>⑦</v>
          </cell>
          <cell r="AB1705" t="str">
            <v>⑧</v>
          </cell>
          <cell r="AC1705" t="str">
            <v>⑨</v>
          </cell>
          <cell r="AD1705" t="str">
            <v>⑩</v>
          </cell>
          <cell r="AE1705" t="str">
            <v>⑪</v>
          </cell>
          <cell r="AF1705" t="str">
            <v>⑫</v>
          </cell>
          <cell r="AG1705" t="str">
            <v>①</v>
          </cell>
          <cell r="AH1705" t="str">
            <v>②</v>
          </cell>
          <cell r="AI1705" t="str">
            <v>③</v>
          </cell>
        </row>
        <row r="1706">
          <cell r="B1706">
            <v>8803</v>
          </cell>
          <cell r="C1706">
            <v>88</v>
          </cell>
          <cell r="D1706">
            <v>3</v>
          </cell>
          <cell r="F1706" t="str">
            <v>明石</v>
          </cell>
          <cell r="G1706" t="str">
            <v>消防設備点検保守(外観)</v>
          </cell>
          <cell r="H1706" t="str">
            <v>シンキ</v>
          </cell>
          <cell r="I1706">
            <v>185000</v>
          </cell>
          <cell r="J1706">
            <v>188700</v>
          </cell>
          <cell r="K1706">
            <v>1</v>
          </cell>
          <cell r="L1706">
            <v>0</v>
          </cell>
          <cell r="M1706">
            <v>0</v>
          </cell>
          <cell r="N1706">
            <v>0</v>
          </cell>
          <cell r="O1706">
            <v>0</v>
          </cell>
          <cell r="P1706">
            <v>0</v>
          </cell>
          <cell r="Q1706">
            <v>0</v>
          </cell>
          <cell r="R1706">
            <v>0</v>
          </cell>
          <cell r="S1706">
            <v>0</v>
          </cell>
          <cell r="T1706">
            <v>0</v>
          </cell>
          <cell r="U1706">
            <v>0</v>
          </cell>
          <cell r="V1706">
            <v>0</v>
          </cell>
          <cell r="W1706">
            <v>188700</v>
          </cell>
          <cell r="X1706" t="str">
            <v/>
          </cell>
          <cell r="Y1706" t="str">
            <v/>
          </cell>
          <cell r="Z1706" t="str">
            <v/>
          </cell>
          <cell r="AA1706" t="str">
            <v/>
          </cell>
          <cell r="AB1706" t="str">
            <v/>
          </cell>
          <cell r="AC1706" t="str">
            <v/>
          </cell>
          <cell r="AD1706" t="str">
            <v/>
          </cell>
          <cell r="AE1706" t="str">
            <v/>
          </cell>
          <cell r="AF1706" t="str">
            <v/>
          </cell>
          <cell r="AG1706" t="str">
            <v/>
          </cell>
          <cell r="AH1706" t="str">
            <v/>
          </cell>
          <cell r="AI1706" t="str">
            <v>③</v>
          </cell>
        </row>
        <row r="1707">
          <cell r="B1707">
            <v>8804</v>
          </cell>
          <cell r="C1707">
            <v>88</v>
          </cell>
          <cell r="D1707">
            <v>4</v>
          </cell>
          <cell r="F1707" t="str">
            <v>明石</v>
          </cell>
          <cell r="G1707" t="str">
            <v>消防設備点検保守(総合)</v>
          </cell>
          <cell r="H1707" t="str">
            <v>シンキ</v>
          </cell>
          <cell r="I1707">
            <v>295000</v>
          </cell>
          <cell r="J1707">
            <v>300900</v>
          </cell>
          <cell r="K1707">
            <v>1</v>
          </cell>
          <cell r="L1707">
            <v>0</v>
          </cell>
          <cell r="M1707">
            <v>0</v>
          </cell>
          <cell r="N1707">
            <v>0</v>
          </cell>
          <cell r="O1707">
            <v>0</v>
          </cell>
          <cell r="P1707">
            <v>0</v>
          </cell>
          <cell r="Q1707">
            <v>0</v>
          </cell>
          <cell r="R1707">
            <v>300900</v>
          </cell>
          <cell r="S1707">
            <v>0</v>
          </cell>
          <cell r="T1707">
            <v>0</v>
          </cell>
          <cell r="U1707">
            <v>0</v>
          </cell>
          <cell r="V1707">
            <v>0</v>
          </cell>
          <cell r="W1707">
            <v>0</v>
          </cell>
          <cell r="X1707" t="str">
            <v/>
          </cell>
          <cell r="Y1707" t="str">
            <v/>
          </cell>
          <cell r="Z1707" t="str">
            <v/>
          </cell>
          <cell r="AA1707" t="str">
            <v/>
          </cell>
          <cell r="AB1707" t="str">
            <v/>
          </cell>
          <cell r="AC1707" t="str">
            <v/>
          </cell>
          <cell r="AD1707" t="str">
            <v>⑩</v>
          </cell>
          <cell r="AE1707" t="str">
            <v/>
          </cell>
          <cell r="AF1707" t="str">
            <v/>
          </cell>
          <cell r="AG1707" t="str">
            <v/>
          </cell>
          <cell r="AH1707" t="str">
            <v/>
          </cell>
          <cell r="AI1707" t="str">
            <v/>
          </cell>
        </row>
        <row r="1708">
          <cell r="B1708">
            <v>8805</v>
          </cell>
          <cell r="C1708">
            <v>88</v>
          </cell>
          <cell r="D1708">
            <v>5</v>
          </cell>
          <cell r="F1708" t="str">
            <v>明石</v>
          </cell>
          <cell r="G1708" t="str">
            <v>駐車場消防設備保守</v>
          </cell>
          <cell r="H1708" t="str">
            <v>川南ファシリティーズ</v>
          </cell>
          <cell r="I1708">
            <v>117000</v>
          </cell>
          <cell r="J1708">
            <v>119340</v>
          </cell>
          <cell r="K1708">
            <v>1</v>
          </cell>
          <cell r="L1708">
            <v>0</v>
          </cell>
          <cell r="M1708">
            <v>0</v>
          </cell>
          <cell r="N1708">
            <v>0</v>
          </cell>
          <cell r="O1708">
            <v>0</v>
          </cell>
          <cell r="P1708">
            <v>0</v>
          </cell>
          <cell r="Q1708">
            <v>0</v>
          </cell>
          <cell r="R1708">
            <v>119340</v>
          </cell>
          <cell r="S1708">
            <v>0</v>
          </cell>
          <cell r="T1708">
            <v>0</v>
          </cell>
          <cell r="U1708">
            <v>0</v>
          </cell>
          <cell r="V1708">
            <v>0</v>
          </cell>
          <cell r="W1708">
            <v>0</v>
          </cell>
          <cell r="X1708" t="str">
            <v/>
          </cell>
          <cell r="Y1708" t="str">
            <v/>
          </cell>
          <cell r="Z1708" t="str">
            <v/>
          </cell>
          <cell r="AA1708" t="str">
            <v/>
          </cell>
          <cell r="AB1708" t="str">
            <v/>
          </cell>
          <cell r="AC1708" t="str">
            <v/>
          </cell>
          <cell r="AD1708" t="str">
            <v>⑩</v>
          </cell>
          <cell r="AE1708" t="str">
            <v/>
          </cell>
          <cell r="AF1708" t="str">
            <v/>
          </cell>
          <cell r="AG1708" t="str">
            <v/>
          </cell>
          <cell r="AH1708" t="str">
            <v/>
          </cell>
          <cell r="AI1708" t="str">
            <v/>
          </cell>
        </row>
        <row r="1709">
          <cell r="B1709">
            <v>8806</v>
          </cell>
          <cell r="C1709">
            <v>88</v>
          </cell>
          <cell r="D1709">
            <v>6</v>
          </cell>
          <cell r="F1709" t="str">
            <v>明石</v>
          </cell>
          <cell r="G1709" t="str">
            <v>駐車場消防設備保守</v>
          </cell>
          <cell r="H1709" t="str">
            <v>川南ファシリティーズ</v>
          </cell>
          <cell r="I1709">
            <v>43000</v>
          </cell>
          <cell r="J1709">
            <v>43860</v>
          </cell>
          <cell r="K1709">
            <v>1</v>
          </cell>
          <cell r="L1709">
            <v>0</v>
          </cell>
          <cell r="M1709">
            <v>0</v>
          </cell>
          <cell r="N1709">
            <v>0</v>
          </cell>
          <cell r="O1709">
            <v>0</v>
          </cell>
          <cell r="P1709">
            <v>0</v>
          </cell>
          <cell r="Q1709">
            <v>0</v>
          </cell>
          <cell r="R1709">
            <v>0</v>
          </cell>
          <cell r="S1709">
            <v>0</v>
          </cell>
          <cell r="T1709">
            <v>0</v>
          </cell>
          <cell r="U1709">
            <v>0</v>
          </cell>
          <cell r="V1709">
            <v>0</v>
          </cell>
          <cell r="W1709">
            <v>43860</v>
          </cell>
          <cell r="X1709" t="str">
            <v/>
          </cell>
          <cell r="Y1709" t="str">
            <v/>
          </cell>
          <cell r="Z1709" t="str">
            <v/>
          </cell>
          <cell r="AA1709" t="str">
            <v/>
          </cell>
          <cell r="AB1709" t="str">
            <v/>
          </cell>
          <cell r="AC1709" t="str">
            <v/>
          </cell>
          <cell r="AD1709" t="str">
            <v/>
          </cell>
          <cell r="AE1709" t="str">
            <v/>
          </cell>
          <cell r="AF1709" t="str">
            <v/>
          </cell>
          <cell r="AG1709" t="str">
            <v/>
          </cell>
          <cell r="AH1709" t="str">
            <v/>
          </cell>
          <cell r="AI1709" t="str">
            <v>③</v>
          </cell>
        </row>
        <row r="1710">
          <cell r="B1710">
            <v>8807</v>
          </cell>
          <cell r="C1710">
            <v>88</v>
          </cell>
          <cell r="D1710">
            <v>7</v>
          </cell>
          <cell r="F1710" t="str">
            <v>明石</v>
          </cell>
          <cell r="G1710" t="str">
            <v>害虫駆除</v>
          </cell>
          <cell r="H1710" t="str">
            <v>シェル商事</v>
          </cell>
          <cell r="I1710">
            <v>119000</v>
          </cell>
          <cell r="J1710">
            <v>130900</v>
          </cell>
          <cell r="K1710">
            <v>2</v>
          </cell>
          <cell r="L1710">
            <v>0</v>
          </cell>
          <cell r="M1710">
            <v>0</v>
          </cell>
          <cell r="N1710">
            <v>0</v>
          </cell>
          <cell r="O1710">
            <v>0</v>
          </cell>
          <cell r="P1710">
            <v>130900</v>
          </cell>
          <cell r="Q1710">
            <v>0</v>
          </cell>
          <cell r="R1710">
            <v>0</v>
          </cell>
          <cell r="S1710">
            <v>0</v>
          </cell>
          <cell r="T1710">
            <v>0</v>
          </cell>
          <cell r="U1710">
            <v>0</v>
          </cell>
          <cell r="V1710">
            <v>130900</v>
          </cell>
          <cell r="W1710">
            <v>0</v>
          </cell>
          <cell r="X1710" t="str">
            <v/>
          </cell>
          <cell r="Y1710" t="str">
            <v/>
          </cell>
          <cell r="Z1710" t="str">
            <v/>
          </cell>
          <cell r="AA1710" t="str">
            <v/>
          </cell>
          <cell r="AB1710" t="str">
            <v>⑧</v>
          </cell>
          <cell r="AC1710" t="str">
            <v/>
          </cell>
          <cell r="AD1710" t="str">
            <v/>
          </cell>
          <cell r="AE1710" t="str">
            <v/>
          </cell>
          <cell r="AF1710" t="str">
            <v/>
          </cell>
          <cell r="AG1710" t="str">
            <v/>
          </cell>
          <cell r="AH1710" t="str">
            <v>②</v>
          </cell>
          <cell r="AI1710" t="str">
            <v/>
          </cell>
        </row>
        <row r="1711">
          <cell r="B1711">
            <v>8808</v>
          </cell>
          <cell r="C1711">
            <v>88</v>
          </cell>
          <cell r="D1711">
            <v>8</v>
          </cell>
          <cell r="F1711" t="str">
            <v>明石</v>
          </cell>
          <cell r="G1711" t="str">
            <v>汚水･雑排水槽清掃</v>
          </cell>
          <cell r="H1711" t="str">
            <v>北九州空調</v>
          </cell>
          <cell r="I1711">
            <v>59000</v>
          </cell>
          <cell r="J1711">
            <v>66080</v>
          </cell>
          <cell r="K1711">
            <v>2</v>
          </cell>
          <cell r="L1711">
            <v>0</v>
          </cell>
          <cell r="M1711">
            <v>0</v>
          </cell>
          <cell r="N1711">
            <v>66080</v>
          </cell>
          <cell r="O1711">
            <v>0</v>
          </cell>
          <cell r="P1711">
            <v>0</v>
          </cell>
          <cell r="Q1711">
            <v>0</v>
          </cell>
          <cell r="R1711">
            <v>0</v>
          </cell>
          <cell r="S1711">
            <v>0</v>
          </cell>
          <cell r="T1711">
            <v>66080</v>
          </cell>
          <cell r="U1711">
            <v>0</v>
          </cell>
          <cell r="V1711">
            <v>0</v>
          </cell>
          <cell r="W1711">
            <v>0</v>
          </cell>
          <cell r="X1711" t="str">
            <v/>
          </cell>
          <cell r="Y1711" t="str">
            <v/>
          </cell>
          <cell r="Z1711" t="str">
            <v>⑥</v>
          </cell>
          <cell r="AA1711" t="str">
            <v/>
          </cell>
          <cell r="AB1711" t="str">
            <v/>
          </cell>
          <cell r="AC1711" t="str">
            <v/>
          </cell>
          <cell r="AD1711" t="str">
            <v/>
          </cell>
          <cell r="AE1711" t="str">
            <v/>
          </cell>
          <cell r="AF1711" t="str">
            <v>⑫</v>
          </cell>
          <cell r="AG1711" t="str">
            <v/>
          </cell>
          <cell r="AH1711" t="str">
            <v/>
          </cell>
          <cell r="AI1711" t="str">
            <v/>
          </cell>
        </row>
        <row r="1712">
          <cell r="B1712">
            <v>8809</v>
          </cell>
          <cell r="C1712">
            <v>88</v>
          </cell>
          <cell r="D1712">
            <v>9</v>
          </cell>
          <cell r="F1712" t="str">
            <v>明石</v>
          </cell>
          <cell r="G1712" t="str">
            <v>受水槽清掃(含む高架水槽)</v>
          </cell>
          <cell r="H1712" t="str">
            <v>北九州空調</v>
          </cell>
          <cell r="I1712">
            <v>107300</v>
          </cell>
          <cell r="J1712">
            <v>121249</v>
          </cell>
          <cell r="K1712">
            <v>1</v>
          </cell>
          <cell r="L1712">
            <v>0</v>
          </cell>
          <cell r="M1712">
            <v>0</v>
          </cell>
          <cell r="N1712">
            <v>121249</v>
          </cell>
          <cell r="O1712">
            <v>0</v>
          </cell>
          <cell r="P1712">
            <v>0</v>
          </cell>
          <cell r="Q1712">
            <v>0</v>
          </cell>
          <cell r="R1712">
            <v>0</v>
          </cell>
          <cell r="S1712">
            <v>0</v>
          </cell>
          <cell r="T1712">
            <v>0</v>
          </cell>
          <cell r="U1712">
            <v>0</v>
          </cell>
          <cell r="V1712">
            <v>0</v>
          </cell>
          <cell r="W1712">
            <v>0</v>
          </cell>
          <cell r="X1712" t="str">
            <v/>
          </cell>
          <cell r="Y1712" t="str">
            <v/>
          </cell>
          <cell r="Z1712" t="str">
            <v>⑥</v>
          </cell>
          <cell r="AA1712" t="str">
            <v/>
          </cell>
          <cell r="AB1712" t="str">
            <v/>
          </cell>
          <cell r="AC1712" t="str">
            <v/>
          </cell>
          <cell r="AD1712" t="str">
            <v/>
          </cell>
          <cell r="AE1712" t="str">
            <v/>
          </cell>
          <cell r="AF1712" t="str">
            <v/>
          </cell>
          <cell r="AG1712" t="str">
            <v/>
          </cell>
          <cell r="AH1712" t="str">
            <v/>
          </cell>
          <cell r="AI1712" t="str">
            <v/>
          </cell>
        </row>
        <row r="1713">
          <cell r="B1713">
            <v>8810</v>
          </cell>
          <cell r="C1713">
            <v>88</v>
          </cell>
          <cell r="D1713">
            <v>10</v>
          </cell>
          <cell r="F1713" t="str">
            <v>明石</v>
          </cell>
          <cell r="G1713" t="str">
            <v>チラー冷凍機設備保守</v>
          </cell>
          <cell r="H1713" t="str">
            <v>三菱電機ﾋﾞﾙﾃｸﾉｻｰﾋﾞｽ</v>
          </cell>
          <cell r="I1713">
            <v>115000</v>
          </cell>
          <cell r="J1713">
            <v>117300</v>
          </cell>
          <cell r="K1713">
            <v>4</v>
          </cell>
          <cell r="L1713">
            <v>0</v>
          </cell>
          <cell r="M1713">
            <v>0</v>
          </cell>
          <cell r="N1713">
            <v>117300</v>
          </cell>
          <cell r="O1713">
            <v>0</v>
          </cell>
          <cell r="P1713">
            <v>117300</v>
          </cell>
          <cell r="Q1713">
            <v>0</v>
          </cell>
          <cell r="R1713">
            <v>0</v>
          </cell>
          <cell r="S1713">
            <v>0</v>
          </cell>
          <cell r="T1713">
            <v>117300</v>
          </cell>
          <cell r="U1713">
            <v>0</v>
          </cell>
          <cell r="V1713">
            <v>117300</v>
          </cell>
          <cell r="W1713">
            <v>0</v>
          </cell>
          <cell r="X1713" t="str">
            <v/>
          </cell>
          <cell r="Y1713" t="str">
            <v/>
          </cell>
          <cell r="Z1713" t="str">
            <v>⑥</v>
          </cell>
          <cell r="AA1713" t="str">
            <v/>
          </cell>
          <cell r="AB1713" t="str">
            <v>⑧</v>
          </cell>
          <cell r="AC1713" t="str">
            <v/>
          </cell>
          <cell r="AD1713" t="str">
            <v/>
          </cell>
          <cell r="AE1713" t="str">
            <v/>
          </cell>
          <cell r="AF1713" t="str">
            <v>⑫</v>
          </cell>
          <cell r="AG1713" t="str">
            <v/>
          </cell>
          <cell r="AH1713" t="str">
            <v>②</v>
          </cell>
          <cell r="AI1713" t="str">
            <v/>
          </cell>
        </row>
        <row r="1714">
          <cell r="B1714">
            <v>8811</v>
          </cell>
          <cell r="C1714">
            <v>88</v>
          </cell>
          <cell r="D1714">
            <v>11</v>
          </cell>
          <cell r="F1714" t="str">
            <v>明石</v>
          </cell>
          <cell r="G1714" t="str">
            <v>空調機能点検整備</v>
          </cell>
          <cell r="H1714" t="str">
            <v>北九州空調</v>
          </cell>
          <cell r="I1714">
            <v>160000</v>
          </cell>
          <cell r="J1714">
            <v>184000</v>
          </cell>
          <cell r="K1714">
            <v>2</v>
          </cell>
          <cell r="L1714">
            <v>0</v>
          </cell>
          <cell r="M1714">
            <v>184000</v>
          </cell>
          <cell r="N1714">
            <v>0</v>
          </cell>
          <cell r="O1714">
            <v>0</v>
          </cell>
          <cell r="P1714">
            <v>0</v>
          </cell>
          <cell r="Q1714">
            <v>0</v>
          </cell>
          <cell r="R1714">
            <v>0</v>
          </cell>
          <cell r="S1714">
            <v>184000</v>
          </cell>
          <cell r="T1714">
            <v>0</v>
          </cell>
          <cell r="U1714">
            <v>0</v>
          </cell>
          <cell r="V1714">
            <v>0</v>
          </cell>
          <cell r="W1714">
            <v>0</v>
          </cell>
          <cell r="X1714" t="str">
            <v/>
          </cell>
          <cell r="Y1714" t="str">
            <v>⑤</v>
          </cell>
          <cell r="AA1714" t="str">
            <v/>
          </cell>
          <cell r="AB1714" t="str">
            <v/>
          </cell>
          <cell r="AC1714" t="str">
            <v/>
          </cell>
          <cell r="AD1714" t="str">
            <v/>
          </cell>
          <cell r="AE1714" t="str">
            <v>⑪</v>
          </cell>
          <cell r="AF1714" t="str">
            <v/>
          </cell>
          <cell r="AG1714" t="str">
            <v/>
          </cell>
          <cell r="AH1714" t="str">
            <v/>
          </cell>
          <cell r="AI1714" t="str">
            <v/>
          </cell>
          <cell r="AJ1714" t="str">
            <v>追</v>
          </cell>
        </row>
        <row r="1715">
          <cell r="B1715">
            <v>8812</v>
          </cell>
          <cell r="C1715">
            <v>88</v>
          </cell>
          <cell r="D1715">
            <v>12</v>
          </cell>
          <cell r="F1715" t="str">
            <v>明石</v>
          </cell>
          <cell r="G1715" t="str">
            <v>全熱交換機ﾛｰﾙﾌｨﾙﾀｰ取替</v>
          </cell>
          <cell r="H1715" t="str">
            <v>北九州空調</v>
          </cell>
          <cell r="I1715">
            <v>100000</v>
          </cell>
          <cell r="J1715">
            <v>115000</v>
          </cell>
          <cell r="K1715">
            <v>1</v>
          </cell>
          <cell r="L1715">
            <v>0</v>
          </cell>
          <cell r="M1715">
            <v>0</v>
          </cell>
          <cell r="N1715">
            <v>115000</v>
          </cell>
          <cell r="O1715">
            <v>0</v>
          </cell>
          <cell r="P1715">
            <v>0</v>
          </cell>
          <cell r="Q1715">
            <v>0</v>
          </cell>
          <cell r="R1715">
            <v>0</v>
          </cell>
          <cell r="S1715">
            <v>0</v>
          </cell>
          <cell r="T1715">
            <v>0</v>
          </cell>
          <cell r="U1715">
            <v>0</v>
          </cell>
          <cell r="V1715">
            <v>0</v>
          </cell>
          <cell r="W1715">
            <v>0</v>
          </cell>
          <cell r="X1715" t="str">
            <v/>
          </cell>
          <cell r="Y1715" t="str">
            <v/>
          </cell>
          <cell r="Z1715" t="str">
            <v>⑥</v>
          </cell>
          <cell r="AA1715" t="str">
            <v/>
          </cell>
          <cell r="AC1715" t="str">
            <v/>
          </cell>
          <cell r="AD1715" t="str">
            <v/>
          </cell>
          <cell r="AE1715" t="str">
            <v/>
          </cell>
          <cell r="AF1715" t="str">
            <v/>
          </cell>
          <cell r="AG1715" t="str">
            <v/>
          </cell>
          <cell r="AH1715" t="str">
            <v/>
          </cell>
          <cell r="AI1715" t="str">
            <v/>
          </cell>
          <cell r="AJ1715" t="str">
            <v>追</v>
          </cell>
        </row>
        <row r="1716">
          <cell r="B1716">
            <v>8813</v>
          </cell>
          <cell r="C1716">
            <v>88</v>
          </cell>
          <cell r="D1716">
            <v>13</v>
          </cell>
          <cell r="F1716" t="str">
            <v>明石</v>
          </cell>
          <cell r="G1716" t="str">
            <v>空調機ﾛｰﾙﾌｨﾙﾀｰ取替</v>
          </cell>
          <cell r="H1716" t="str">
            <v>北九州空調</v>
          </cell>
          <cell r="I1716">
            <v>300000</v>
          </cell>
          <cell r="J1716">
            <v>345000</v>
          </cell>
          <cell r="K1716">
            <v>2</v>
          </cell>
          <cell r="L1716">
            <v>0</v>
          </cell>
          <cell r="M1716">
            <v>0</v>
          </cell>
          <cell r="N1716">
            <v>0</v>
          </cell>
          <cell r="O1716">
            <v>0</v>
          </cell>
          <cell r="P1716">
            <v>345000</v>
          </cell>
          <cell r="Q1716">
            <v>0</v>
          </cell>
          <cell r="R1716">
            <v>0</v>
          </cell>
          <cell r="S1716">
            <v>0</v>
          </cell>
          <cell r="T1716">
            <v>0</v>
          </cell>
          <cell r="U1716">
            <v>0</v>
          </cell>
          <cell r="V1716">
            <v>345000</v>
          </cell>
          <cell r="W1716">
            <v>0</v>
          </cell>
          <cell r="X1716" t="str">
            <v/>
          </cell>
          <cell r="Y1716" t="str">
            <v/>
          </cell>
          <cell r="AA1716" t="str">
            <v/>
          </cell>
          <cell r="AB1716" t="str">
            <v>⑧</v>
          </cell>
          <cell r="AD1716" t="str">
            <v/>
          </cell>
          <cell r="AE1716" t="str">
            <v/>
          </cell>
          <cell r="AG1716" t="str">
            <v/>
          </cell>
          <cell r="AH1716" t="str">
            <v>②</v>
          </cell>
          <cell r="AI1716" t="str">
            <v/>
          </cell>
          <cell r="AJ1716" t="str">
            <v>追</v>
          </cell>
        </row>
        <row r="1717">
          <cell r="B1717">
            <v>8814</v>
          </cell>
          <cell r="C1717">
            <v>88</v>
          </cell>
          <cell r="D1717">
            <v>14</v>
          </cell>
          <cell r="F1717" t="str">
            <v>明石</v>
          </cell>
          <cell r="G1717" t="str">
            <v>ファンコイルﾌｨﾙﾀｰ洗浄</v>
          </cell>
          <cell r="H1717" t="str">
            <v>北九州空調</v>
          </cell>
          <cell r="I1717">
            <v>80000</v>
          </cell>
          <cell r="J1717">
            <v>92000</v>
          </cell>
          <cell r="K1717">
            <v>2</v>
          </cell>
          <cell r="L1717">
            <v>92000</v>
          </cell>
          <cell r="M1717">
            <v>0</v>
          </cell>
          <cell r="N1717">
            <v>0</v>
          </cell>
          <cell r="O1717">
            <v>0</v>
          </cell>
          <cell r="P1717">
            <v>0</v>
          </cell>
          <cell r="Q1717">
            <v>0</v>
          </cell>
          <cell r="R1717">
            <v>92000</v>
          </cell>
          <cell r="S1717">
            <v>0</v>
          </cell>
          <cell r="T1717">
            <v>0</v>
          </cell>
          <cell r="U1717">
            <v>0</v>
          </cell>
          <cell r="V1717">
            <v>0</v>
          </cell>
          <cell r="W1717">
            <v>0</v>
          </cell>
          <cell r="X1717" t="str">
            <v>④</v>
          </cell>
          <cell r="Y1717" t="str">
            <v/>
          </cell>
          <cell r="AA1717" t="str">
            <v/>
          </cell>
          <cell r="AB1717" t="str">
            <v/>
          </cell>
          <cell r="AC1717" t="str">
            <v/>
          </cell>
          <cell r="AD1717" t="str">
            <v>⑩</v>
          </cell>
          <cell r="AE1717" t="str">
            <v/>
          </cell>
          <cell r="AF1717" t="str">
            <v/>
          </cell>
          <cell r="AG1717" t="str">
            <v/>
          </cell>
          <cell r="AH1717" t="str">
            <v/>
          </cell>
          <cell r="AI1717" t="str">
            <v/>
          </cell>
          <cell r="AJ1717" t="str">
            <v>追</v>
          </cell>
        </row>
        <row r="1718">
          <cell r="B1718">
            <v>8815</v>
          </cell>
          <cell r="C1718">
            <v>88</v>
          </cell>
          <cell r="D1718">
            <v>15</v>
          </cell>
          <cell r="F1718" t="str">
            <v>明石</v>
          </cell>
          <cell r="G1718" t="str">
            <v>電気湯沸器点検整備</v>
          </cell>
          <cell r="H1718" t="str">
            <v>日本ビルコン関西㈱</v>
          </cell>
          <cell r="I1718">
            <v>100000</v>
          </cell>
          <cell r="J1718">
            <v>115000</v>
          </cell>
          <cell r="K1718">
            <v>1</v>
          </cell>
          <cell r="L1718">
            <v>0</v>
          </cell>
          <cell r="M1718">
            <v>115000</v>
          </cell>
          <cell r="N1718">
            <v>0</v>
          </cell>
          <cell r="O1718">
            <v>0</v>
          </cell>
          <cell r="P1718">
            <v>0</v>
          </cell>
          <cell r="Q1718">
            <v>0</v>
          </cell>
          <cell r="R1718">
            <v>0</v>
          </cell>
          <cell r="S1718">
            <v>0</v>
          </cell>
          <cell r="T1718">
            <v>0</v>
          </cell>
          <cell r="U1718">
            <v>0</v>
          </cell>
          <cell r="V1718">
            <v>0</v>
          </cell>
          <cell r="W1718">
            <v>0</v>
          </cell>
          <cell r="X1718" t="str">
            <v/>
          </cell>
          <cell r="Y1718" t="str">
            <v>⑤</v>
          </cell>
          <cell r="Z1718" t="str">
            <v/>
          </cell>
          <cell r="AA1718" t="str">
            <v/>
          </cell>
          <cell r="AB1718" t="str">
            <v/>
          </cell>
          <cell r="AC1718" t="str">
            <v/>
          </cell>
          <cell r="AD1718" t="str">
            <v/>
          </cell>
          <cell r="AE1718" t="str">
            <v/>
          </cell>
          <cell r="AF1718" t="str">
            <v/>
          </cell>
          <cell r="AG1718" t="str">
            <v/>
          </cell>
          <cell r="AH1718" t="str">
            <v/>
          </cell>
          <cell r="AI1718" t="str">
            <v/>
          </cell>
          <cell r="AJ1718" t="str">
            <v>追</v>
          </cell>
        </row>
        <row r="1719">
          <cell r="B1719">
            <v>8816</v>
          </cell>
          <cell r="C1719">
            <v>88</v>
          </cell>
          <cell r="D1719">
            <v>16</v>
          </cell>
          <cell r="F1719" t="str">
            <v>明石</v>
          </cell>
          <cell r="G1719" t="str">
            <v>植栽管理</v>
          </cell>
          <cell r="H1719" t="str">
            <v>㈱シンエイ</v>
          </cell>
          <cell r="I1719">
            <v>50000</v>
          </cell>
          <cell r="J1719">
            <v>57500</v>
          </cell>
          <cell r="K1719">
            <v>1</v>
          </cell>
          <cell r="L1719">
            <v>0</v>
          </cell>
          <cell r="M1719">
            <v>0</v>
          </cell>
          <cell r="N1719">
            <v>0</v>
          </cell>
          <cell r="O1719">
            <v>0</v>
          </cell>
          <cell r="P1719">
            <v>0</v>
          </cell>
          <cell r="Q1719">
            <v>0</v>
          </cell>
          <cell r="R1719">
            <v>57500</v>
          </cell>
          <cell r="S1719">
            <v>0</v>
          </cell>
          <cell r="T1719">
            <v>0</v>
          </cell>
          <cell r="U1719">
            <v>0</v>
          </cell>
          <cell r="V1719">
            <v>0</v>
          </cell>
          <cell r="W1719">
            <v>0</v>
          </cell>
          <cell r="X1719" t="str">
            <v/>
          </cell>
          <cell r="Y1719" t="str">
            <v/>
          </cell>
          <cell r="Z1719" t="str">
            <v/>
          </cell>
          <cell r="AA1719" t="str">
            <v/>
          </cell>
          <cell r="AB1719" t="str">
            <v/>
          </cell>
          <cell r="AC1719" t="str">
            <v/>
          </cell>
          <cell r="AD1719" t="str">
            <v>⑩</v>
          </cell>
          <cell r="AE1719" t="str">
            <v/>
          </cell>
          <cell r="AF1719" t="str">
            <v/>
          </cell>
          <cell r="AG1719" t="str">
            <v/>
          </cell>
          <cell r="AH1719" t="str">
            <v/>
          </cell>
          <cell r="AI1719" t="str">
            <v/>
          </cell>
          <cell r="AJ1719" t="str">
            <v>追</v>
          </cell>
        </row>
        <row r="1720">
          <cell r="B1720">
            <v>8901</v>
          </cell>
          <cell r="C1720">
            <v>89</v>
          </cell>
          <cell r="D1720">
            <v>1</v>
          </cell>
          <cell r="F1720" t="str">
            <v>奈良</v>
          </cell>
          <cell r="G1720" t="str">
            <v>駐車場設備保守</v>
          </cell>
          <cell r="H1720" t="str">
            <v>三菱重工ﾊﾟｰｷﾝｸﾞ建設</v>
          </cell>
          <cell r="I1720">
            <v>195000</v>
          </cell>
          <cell r="J1720">
            <v>198900</v>
          </cell>
          <cell r="K1720">
            <v>12</v>
          </cell>
          <cell r="L1720">
            <v>198900</v>
          </cell>
          <cell r="M1720">
            <v>198900</v>
          </cell>
          <cell r="N1720">
            <v>198900</v>
          </cell>
          <cell r="O1720">
            <v>198900</v>
          </cell>
          <cell r="P1720">
            <v>198900</v>
          </cell>
          <cell r="Q1720">
            <v>198900</v>
          </cell>
          <cell r="R1720">
            <v>198900</v>
          </cell>
          <cell r="S1720">
            <v>198900</v>
          </cell>
          <cell r="T1720">
            <v>198900</v>
          </cell>
          <cell r="U1720">
            <v>198900</v>
          </cell>
          <cell r="V1720">
            <v>198900</v>
          </cell>
          <cell r="W1720">
            <v>198900</v>
          </cell>
          <cell r="X1720" t="str">
            <v>④</v>
          </cell>
          <cell r="Y1720" t="str">
            <v>⑤</v>
          </cell>
          <cell r="Z1720" t="str">
            <v>⑥</v>
          </cell>
          <cell r="AA1720" t="str">
            <v>⑦</v>
          </cell>
          <cell r="AB1720" t="str">
            <v>⑧</v>
          </cell>
          <cell r="AC1720" t="str">
            <v>⑨</v>
          </cell>
          <cell r="AD1720" t="str">
            <v>⑩</v>
          </cell>
          <cell r="AE1720" t="str">
            <v>⑪</v>
          </cell>
          <cell r="AF1720" t="str">
            <v>⑫</v>
          </cell>
          <cell r="AG1720" t="str">
            <v>①</v>
          </cell>
          <cell r="AH1720" t="str">
            <v>②</v>
          </cell>
          <cell r="AI1720" t="str">
            <v>③</v>
          </cell>
        </row>
        <row r="1721">
          <cell r="B1721">
            <v>8902</v>
          </cell>
          <cell r="C1721">
            <v>89</v>
          </cell>
          <cell r="D1721">
            <v>2</v>
          </cell>
          <cell r="F1721" t="str">
            <v>奈良</v>
          </cell>
          <cell r="G1721" t="str">
            <v>エレベーター保守</v>
          </cell>
          <cell r="H1721" t="str">
            <v>三菱電機ﾋﾞﾙﾃｸﾉｻｰﾋﾞｽ</v>
          </cell>
          <cell r="I1721">
            <v>147900</v>
          </cell>
          <cell r="J1721">
            <v>150858</v>
          </cell>
          <cell r="K1721">
            <v>12</v>
          </cell>
          <cell r="L1721">
            <v>150858</v>
          </cell>
          <cell r="M1721">
            <v>150858</v>
          </cell>
          <cell r="N1721">
            <v>150858</v>
          </cell>
          <cell r="O1721">
            <v>150858</v>
          </cell>
          <cell r="P1721">
            <v>150858</v>
          </cell>
          <cell r="Q1721">
            <v>150858</v>
          </cell>
          <cell r="R1721">
            <v>150858</v>
          </cell>
          <cell r="S1721">
            <v>150858</v>
          </cell>
          <cell r="T1721">
            <v>150858</v>
          </cell>
          <cell r="U1721">
            <v>150858</v>
          </cell>
          <cell r="V1721">
            <v>150858</v>
          </cell>
          <cell r="W1721">
            <v>150858</v>
          </cell>
          <cell r="X1721" t="str">
            <v>④</v>
          </cell>
          <cell r="Y1721" t="str">
            <v>⑤</v>
          </cell>
          <cell r="Z1721" t="str">
            <v>⑥</v>
          </cell>
          <cell r="AA1721" t="str">
            <v>⑦</v>
          </cell>
          <cell r="AB1721" t="str">
            <v>⑧</v>
          </cell>
          <cell r="AC1721" t="str">
            <v>⑨</v>
          </cell>
          <cell r="AD1721" t="str">
            <v>⑩</v>
          </cell>
          <cell r="AE1721" t="str">
            <v>⑪</v>
          </cell>
          <cell r="AF1721" t="str">
            <v>⑫</v>
          </cell>
          <cell r="AG1721" t="str">
            <v>①</v>
          </cell>
          <cell r="AH1721" t="str">
            <v>②</v>
          </cell>
          <cell r="AI1721" t="str">
            <v>③</v>
          </cell>
        </row>
        <row r="1722">
          <cell r="B1722">
            <v>8903</v>
          </cell>
          <cell r="C1722">
            <v>89</v>
          </cell>
          <cell r="D1722">
            <v>3</v>
          </cell>
          <cell r="F1722" t="str">
            <v>奈良</v>
          </cell>
          <cell r="G1722" t="str">
            <v>消防設備点検保守(外観)</v>
          </cell>
          <cell r="H1722" t="str">
            <v>大阪東管サービス</v>
          </cell>
          <cell r="I1722">
            <v>225000</v>
          </cell>
          <cell r="J1722">
            <v>229500</v>
          </cell>
          <cell r="K1722">
            <v>1</v>
          </cell>
          <cell r="L1722">
            <v>0</v>
          </cell>
          <cell r="M1722">
            <v>229500</v>
          </cell>
          <cell r="N1722">
            <v>0</v>
          </cell>
          <cell r="O1722">
            <v>0</v>
          </cell>
          <cell r="P1722">
            <v>0</v>
          </cell>
          <cell r="Q1722">
            <v>0</v>
          </cell>
          <cell r="R1722">
            <v>0</v>
          </cell>
          <cell r="S1722">
            <v>0</v>
          </cell>
          <cell r="T1722">
            <v>0</v>
          </cell>
          <cell r="U1722">
            <v>0</v>
          </cell>
          <cell r="V1722">
            <v>0</v>
          </cell>
          <cell r="W1722">
            <v>0</v>
          </cell>
          <cell r="X1722" t="str">
            <v/>
          </cell>
          <cell r="Y1722" t="str">
            <v>⑤</v>
          </cell>
          <cell r="Z1722" t="str">
            <v/>
          </cell>
          <cell r="AA1722" t="str">
            <v/>
          </cell>
          <cell r="AB1722" t="str">
            <v/>
          </cell>
          <cell r="AC1722" t="str">
            <v/>
          </cell>
          <cell r="AD1722" t="str">
            <v/>
          </cell>
          <cell r="AE1722" t="str">
            <v/>
          </cell>
          <cell r="AF1722" t="str">
            <v/>
          </cell>
          <cell r="AG1722" t="str">
            <v/>
          </cell>
          <cell r="AH1722" t="str">
            <v/>
          </cell>
          <cell r="AI1722" t="str">
            <v/>
          </cell>
        </row>
        <row r="1723">
          <cell r="B1723">
            <v>8904</v>
          </cell>
          <cell r="C1723">
            <v>89</v>
          </cell>
          <cell r="D1723">
            <v>4</v>
          </cell>
          <cell r="F1723" t="str">
            <v>奈良</v>
          </cell>
          <cell r="G1723" t="str">
            <v>消防設備点検保守(総合)</v>
          </cell>
          <cell r="H1723" t="str">
            <v>大阪東管サービス</v>
          </cell>
          <cell r="I1723">
            <v>325000</v>
          </cell>
          <cell r="J1723">
            <v>331500</v>
          </cell>
          <cell r="K1723">
            <v>1</v>
          </cell>
          <cell r="L1723">
            <v>0</v>
          </cell>
          <cell r="M1723">
            <v>0</v>
          </cell>
          <cell r="N1723">
            <v>0</v>
          </cell>
          <cell r="O1723">
            <v>0</v>
          </cell>
          <cell r="P1723">
            <v>0</v>
          </cell>
          <cell r="Q1723">
            <v>0</v>
          </cell>
          <cell r="R1723">
            <v>0</v>
          </cell>
          <cell r="S1723">
            <v>331500</v>
          </cell>
          <cell r="T1723">
            <v>0</v>
          </cell>
          <cell r="U1723">
            <v>0</v>
          </cell>
          <cell r="V1723">
            <v>0</v>
          </cell>
          <cell r="W1723">
            <v>0</v>
          </cell>
          <cell r="X1723" t="str">
            <v/>
          </cell>
          <cell r="Y1723" t="str">
            <v/>
          </cell>
          <cell r="Z1723" t="str">
            <v/>
          </cell>
          <cell r="AA1723" t="str">
            <v/>
          </cell>
          <cell r="AB1723" t="str">
            <v/>
          </cell>
          <cell r="AC1723" t="str">
            <v/>
          </cell>
          <cell r="AD1723" t="str">
            <v/>
          </cell>
          <cell r="AE1723" t="str">
            <v>⑪</v>
          </cell>
          <cell r="AF1723" t="str">
            <v/>
          </cell>
          <cell r="AG1723" t="str">
            <v/>
          </cell>
          <cell r="AH1723" t="str">
            <v/>
          </cell>
          <cell r="AI1723" t="str">
            <v/>
          </cell>
        </row>
        <row r="1724">
          <cell r="B1724">
            <v>8905</v>
          </cell>
          <cell r="C1724">
            <v>89</v>
          </cell>
          <cell r="D1724">
            <v>5</v>
          </cell>
          <cell r="F1724" t="str">
            <v>奈良</v>
          </cell>
          <cell r="G1724" t="str">
            <v>害虫駆除</v>
          </cell>
          <cell r="H1724" t="str">
            <v>シェル商事</v>
          </cell>
          <cell r="I1724">
            <v>120000</v>
          </cell>
          <cell r="J1724">
            <v>132000</v>
          </cell>
          <cell r="K1724">
            <v>2</v>
          </cell>
          <cell r="L1724">
            <v>0</v>
          </cell>
          <cell r="M1724">
            <v>0</v>
          </cell>
          <cell r="N1724">
            <v>0</v>
          </cell>
          <cell r="O1724">
            <v>132000</v>
          </cell>
          <cell r="P1724">
            <v>0</v>
          </cell>
          <cell r="Q1724">
            <v>0</v>
          </cell>
          <cell r="R1724">
            <v>0</v>
          </cell>
          <cell r="S1724">
            <v>0</v>
          </cell>
          <cell r="T1724">
            <v>0</v>
          </cell>
          <cell r="U1724">
            <v>132000</v>
          </cell>
          <cell r="V1724">
            <v>0</v>
          </cell>
          <cell r="W1724">
            <v>0</v>
          </cell>
          <cell r="X1724" t="str">
            <v/>
          </cell>
          <cell r="Y1724" t="str">
            <v/>
          </cell>
          <cell r="Z1724" t="str">
            <v/>
          </cell>
          <cell r="AA1724" t="str">
            <v>⑦</v>
          </cell>
          <cell r="AB1724" t="str">
            <v/>
          </cell>
          <cell r="AC1724" t="str">
            <v/>
          </cell>
          <cell r="AD1724" t="str">
            <v/>
          </cell>
          <cell r="AE1724" t="str">
            <v/>
          </cell>
          <cell r="AF1724" t="str">
            <v/>
          </cell>
          <cell r="AG1724" t="str">
            <v>①</v>
          </cell>
          <cell r="AH1724" t="str">
            <v/>
          </cell>
          <cell r="AI1724" t="str">
            <v/>
          </cell>
        </row>
        <row r="1725">
          <cell r="B1725">
            <v>8906</v>
          </cell>
          <cell r="C1725">
            <v>89</v>
          </cell>
          <cell r="D1725">
            <v>6</v>
          </cell>
          <cell r="F1725" t="str">
            <v>奈良</v>
          </cell>
          <cell r="G1725" t="str">
            <v>汚水･雑排水槽清掃</v>
          </cell>
          <cell r="H1725" t="str">
            <v>北九州空調</v>
          </cell>
          <cell r="I1725">
            <v>99000</v>
          </cell>
          <cell r="J1725">
            <v>110880</v>
          </cell>
          <cell r="K1725">
            <v>2</v>
          </cell>
          <cell r="L1725">
            <v>0</v>
          </cell>
          <cell r="M1725">
            <v>0</v>
          </cell>
          <cell r="N1725">
            <v>0</v>
          </cell>
          <cell r="O1725">
            <v>0</v>
          </cell>
          <cell r="P1725">
            <v>0</v>
          </cell>
          <cell r="Q1725">
            <v>110880</v>
          </cell>
          <cell r="R1725">
            <v>0</v>
          </cell>
          <cell r="S1725">
            <v>0</v>
          </cell>
          <cell r="T1725">
            <v>0</v>
          </cell>
          <cell r="U1725">
            <v>0</v>
          </cell>
          <cell r="V1725">
            <v>0</v>
          </cell>
          <cell r="W1725">
            <v>110880</v>
          </cell>
          <cell r="X1725" t="str">
            <v/>
          </cell>
          <cell r="Y1725" t="str">
            <v/>
          </cell>
          <cell r="Z1725" t="str">
            <v/>
          </cell>
          <cell r="AA1725" t="str">
            <v/>
          </cell>
          <cell r="AB1725" t="str">
            <v/>
          </cell>
          <cell r="AC1725" t="str">
            <v>⑨</v>
          </cell>
          <cell r="AD1725" t="str">
            <v/>
          </cell>
          <cell r="AE1725" t="str">
            <v/>
          </cell>
          <cell r="AF1725" t="str">
            <v/>
          </cell>
          <cell r="AG1725" t="str">
            <v/>
          </cell>
          <cell r="AH1725" t="str">
            <v/>
          </cell>
          <cell r="AI1725" t="str">
            <v>③</v>
          </cell>
        </row>
        <row r="1726">
          <cell r="B1726">
            <v>8907</v>
          </cell>
          <cell r="C1726">
            <v>89</v>
          </cell>
          <cell r="D1726">
            <v>7</v>
          </cell>
          <cell r="F1726" t="str">
            <v>奈良</v>
          </cell>
          <cell r="G1726" t="str">
            <v>受水槽清掃(含む高架水槽)</v>
          </cell>
          <cell r="H1726" t="str">
            <v>近鉄ビルサービス</v>
          </cell>
          <cell r="I1726">
            <v>90000</v>
          </cell>
          <cell r="J1726">
            <v>101700</v>
          </cell>
          <cell r="K1726">
            <v>1</v>
          </cell>
          <cell r="L1726">
            <v>0</v>
          </cell>
          <cell r="M1726">
            <v>0</v>
          </cell>
          <cell r="N1726">
            <v>0</v>
          </cell>
          <cell r="O1726">
            <v>0</v>
          </cell>
          <cell r="P1726">
            <v>0</v>
          </cell>
          <cell r="Q1726">
            <v>0</v>
          </cell>
          <cell r="R1726">
            <v>0</v>
          </cell>
          <cell r="S1726">
            <v>0</v>
          </cell>
          <cell r="T1726">
            <v>0</v>
          </cell>
          <cell r="U1726">
            <v>0</v>
          </cell>
          <cell r="V1726">
            <v>101700</v>
          </cell>
          <cell r="W1726">
            <v>0</v>
          </cell>
          <cell r="X1726" t="str">
            <v/>
          </cell>
          <cell r="Y1726" t="str">
            <v/>
          </cell>
          <cell r="Z1726" t="str">
            <v/>
          </cell>
          <cell r="AA1726" t="str">
            <v/>
          </cell>
          <cell r="AB1726" t="str">
            <v/>
          </cell>
          <cell r="AC1726" t="str">
            <v/>
          </cell>
          <cell r="AD1726" t="str">
            <v/>
          </cell>
          <cell r="AE1726" t="str">
            <v/>
          </cell>
          <cell r="AF1726" t="str">
            <v/>
          </cell>
          <cell r="AG1726" t="str">
            <v/>
          </cell>
          <cell r="AH1726" t="str">
            <v>②</v>
          </cell>
          <cell r="AI1726" t="str">
            <v/>
          </cell>
        </row>
        <row r="1727">
          <cell r="B1727">
            <v>8908</v>
          </cell>
          <cell r="C1727">
            <v>89</v>
          </cell>
          <cell r="D1727">
            <v>8</v>
          </cell>
          <cell r="F1727" t="str">
            <v>奈良</v>
          </cell>
          <cell r="G1727" t="str">
            <v>全熱交換機点検保守</v>
          </cell>
          <cell r="H1727" t="str">
            <v>東洋製作所</v>
          </cell>
          <cell r="I1727">
            <v>88000</v>
          </cell>
          <cell r="J1727">
            <v>89760</v>
          </cell>
          <cell r="K1727">
            <v>1</v>
          </cell>
          <cell r="L1727">
            <v>0</v>
          </cell>
          <cell r="M1727">
            <v>0</v>
          </cell>
          <cell r="N1727">
            <v>89760</v>
          </cell>
          <cell r="O1727">
            <v>0</v>
          </cell>
          <cell r="P1727">
            <v>0</v>
          </cell>
          <cell r="Q1727">
            <v>0</v>
          </cell>
          <cell r="R1727">
            <v>0</v>
          </cell>
          <cell r="S1727">
            <v>0</v>
          </cell>
          <cell r="T1727">
            <v>0</v>
          </cell>
          <cell r="U1727">
            <v>0</v>
          </cell>
          <cell r="V1727">
            <v>0</v>
          </cell>
          <cell r="W1727">
            <v>0</v>
          </cell>
          <cell r="X1727" t="str">
            <v/>
          </cell>
          <cell r="Y1727" t="str">
            <v/>
          </cell>
          <cell r="Z1727" t="str">
            <v>⑥</v>
          </cell>
          <cell r="AA1727" t="str">
            <v/>
          </cell>
          <cell r="AB1727" t="str">
            <v/>
          </cell>
          <cell r="AC1727" t="str">
            <v/>
          </cell>
          <cell r="AD1727" t="str">
            <v/>
          </cell>
          <cell r="AE1727" t="str">
            <v/>
          </cell>
          <cell r="AF1727" t="str">
            <v/>
          </cell>
          <cell r="AG1727" t="str">
            <v/>
          </cell>
          <cell r="AH1727" t="str">
            <v/>
          </cell>
          <cell r="AI1727" t="str">
            <v/>
          </cell>
        </row>
        <row r="1728">
          <cell r="B1728">
            <v>8909</v>
          </cell>
          <cell r="C1728">
            <v>89</v>
          </cell>
          <cell r="D1728">
            <v>9</v>
          </cell>
          <cell r="F1728" t="str">
            <v>奈良</v>
          </cell>
          <cell r="G1728" t="str">
            <v>全熱交換機点検保守</v>
          </cell>
          <cell r="H1728" t="str">
            <v>東洋製作所</v>
          </cell>
          <cell r="I1728">
            <v>212000</v>
          </cell>
          <cell r="J1728">
            <v>216240</v>
          </cell>
          <cell r="K1728">
            <v>1</v>
          </cell>
          <cell r="L1728">
            <v>0</v>
          </cell>
          <cell r="M1728">
            <v>0</v>
          </cell>
          <cell r="N1728">
            <v>0</v>
          </cell>
          <cell r="O1728">
            <v>0</v>
          </cell>
          <cell r="P1728">
            <v>0</v>
          </cell>
          <cell r="Q1728">
            <v>0</v>
          </cell>
          <cell r="R1728">
            <v>0</v>
          </cell>
          <cell r="S1728">
            <v>0</v>
          </cell>
          <cell r="T1728">
            <v>0</v>
          </cell>
          <cell r="U1728">
            <v>216240</v>
          </cell>
          <cell r="V1728">
            <v>0</v>
          </cell>
          <cell r="W1728">
            <v>0</v>
          </cell>
          <cell r="X1728" t="str">
            <v/>
          </cell>
          <cell r="Y1728" t="str">
            <v/>
          </cell>
          <cell r="Z1728" t="str">
            <v/>
          </cell>
          <cell r="AA1728" t="str">
            <v/>
          </cell>
          <cell r="AB1728" t="str">
            <v/>
          </cell>
          <cell r="AC1728" t="str">
            <v/>
          </cell>
          <cell r="AD1728" t="str">
            <v/>
          </cell>
          <cell r="AE1728" t="str">
            <v/>
          </cell>
          <cell r="AF1728" t="str">
            <v/>
          </cell>
          <cell r="AG1728" t="str">
            <v>①</v>
          </cell>
          <cell r="AH1728" t="str">
            <v/>
          </cell>
          <cell r="AI1728" t="str">
            <v/>
          </cell>
        </row>
        <row r="1729">
          <cell r="B1729">
            <v>8910</v>
          </cell>
          <cell r="C1729">
            <v>89</v>
          </cell>
          <cell r="D1729">
            <v>10</v>
          </cell>
          <cell r="F1729" t="str">
            <v>奈良</v>
          </cell>
          <cell r="G1729" t="str">
            <v>空調機ﾌｨﾙﾀｰ洗浄</v>
          </cell>
          <cell r="H1729" t="str">
            <v>北九州空調</v>
          </cell>
          <cell r="I1729">
            <v>105000</v>
          </cell>
          <cell r="J1729">
            <v>120750</v>
          </cell>
          <cell r="K1729">
            <v>3</v>
          </cell>
          <cell r="L1729">
            <v>0</v>
          </cell>
          <cell r="M1729">
            <v>120750</v>
          </cell>
          <cell r="N1729">
            <v>0</v>
          </cell>
          <cell r="O1729">
            <v>0</v>
          </cell>
          <cell r="P1729">
            <v>0</v>
          </cell>
          <cell r="Q1729">
            <v>120750</v>
          </cell>
          <cell r="R1729">
            <v>0</v>
          </cell>
          <cell r="S1729">
            <v>0</v>
          </cell>
          <cell r="T1729">
            <v>0</v>
          </cell>
          <cell r="U1729">
            <v>120750</v>
          </cell>
          <cell r="V1729">
            <v>0</v>
          </cell>
          <cell r="W1729">
            <v>0</v>
          </cell>
          <cell r="X1729" t="str">
            <v/>
          </cell>
          <cell r="Y1729" t="str">
            <v>⑤</v>
          </cell>
          <cell r="Z1729" t="str">
            <v/>
          </cell>
          <cell r="AA1729" t="str">
            <v/>
          </cell>
          <cell r="AB1729" t="str">
            <v/>
          </cell>
          <cell r="AC1729" t="str">
            <v>⑨</v>
          </cell>
          <cell r="AD1729" t="str">
            <v/>
          </cell>
          <cell r="AE1729" t="str">
            <v/>
          </cell>
          <cell r="AF1729" t="str">
            <v/>
          </cell>
          <cell r="AG1729" t="str">
            <v>①</v>
          </cell>
          <cell r="AH1729" t="str">
            <v/>
          </cell>
          <cell r="AI1729" t="str">
            <v/>
          </cell>
          <cell r="AJ1729" t="str">
            <v>追</v>
          </cell>
        </row>
        <row r="1730">
          <cell r="B1730">
            <v>8911</v>
          </cell>
          <cell r="C1730">
            <v>89</v>
          </cell>
          <cell r="D1730">
            <v>11</v>
          </cell>
          <cell r="F1730" t="str">
            <v>奈良</v>
          </cell>
          <cell r="G1730" t="str">
            <v>電気湯沸器点検整備</v>
          </cell>
          <cell r="H1730" t="str">
            <v>大阪東管サービス</v>
          </cell>
          <cell r="I1730">
            <v>88000</v>
          </cell>
          <cell r="J1730">
            <v>101200</v>
          </cell>
          <cell r="K1730">
            <v>1</v>
          </cell>
          <cell r="L1730">
            <v>0</v>
          </cell>
          <cell r="M1730">
            <v>0</v>
          </cell>
          <cell r="N1730">
            <v>0</v>
          </cell>
          <cell r="O1730">
            <v>0</v>
          </cell>
          <cell r="P1730">
            <v>0</v>
          </cell>
          <cell r="Q1730">
            <v>0</v>
          </cell>
          <cell r="R1730">
            <v>0</v>
          </cell>
          <cell r="S1730">
            <v>101200</v>
          </cell>
          <cell r="T1730">
            <v>0</v>
          </cell>
          <cell r="U1730">
            <v>0</v>
          </cell>
          <cell r="V1730">
            <v>0</v>
          </cell>
          <cell r="W1730">
            <v>0</v>
          </cell>
          <cell r="X1730" t="str">
            <v/>
          </cell>
          <cell r="Y1730" t="str">
            <v/>
          </cell>
          <cell r="Z1730" t="str">
            <v/>
          </cell>
          <cell r="AA1730" t="str">
            <v/>
          </cell>
          <cell r="AB1730" t="str">
            <v/>
          </cell>
          <cell r="AC1730" t="str">
            <v/>
          </cell>
          <cell r="AD1730" t="str">
            <v/>
          </cell>
          <cell r="AE1730" t="str">
            <v>⑪</v>
          </cell>
          <cell r="AG1730" t="str">
            <v/>
          </cell>
          <cell r="AH1730" t="str">
            <v/>
          </cell>
          <cell r="AI1730" t="str">
            <v/>
          </cell>
          <cell r="AJ1730" t="str">
            <v>追</v>
          </cell>
        </row>
        <row r="1731">
          <cell r="B1731">
            <v>9001</v>
          </cell>
          <cell r="C1731">
            <v>90</v>
          </cell>
          <cell r="D1731">
            <v>1</v>
          </cell>
          <cell r="F1731" t="str">
            <v>和歌山</v>
          </cell>
          <cell r="G1731" t="str">
            <v>駐車場設備保守</v>
          </cell>
          <cell r="H1731" t="str">
            <v>古河機械金属</v>
          </cell>
          <cell r="I1731">
            <v>65000</v>
          </cell>
          <cell r="J1731">
            <v>66300</v>
          </cell>
          <cell r="K1731">
            <v>12</v>
          </cell>
          <cell r="L1731">
            <v>66300</v>
          </cell>
          <cell r="M1731">
            <v>66300</v>
          </cell>
          <cell r="N1731">
            <v>66300</v>
          </cell>
          <cell r="O1731">
            <v>66300</v>
          </cell>
          <cell r="P1731">
            <v>66300</v>
          </cell>
          <cell r="Q1731">
            <v>66300</v>
          </cell>
          <cell r="R1731">
            <v>66300</v>
          </cell>
          <cell r="S1731">
            <v>66300</v>
          </cell>
          <cell r="T1731">
            <v>66300</v>
          </cell>
          <cell r="U1731">
            <v>66300</v>
          </cell>
          <cell r="V1731">
            <v>66300</v>
          </cell>
          <cell r="W1731">
            <v>66300</v>
          </cell>
          <cell r="X1731" t="str">
            <v>④</v>
          </cell>
          <cell r="Y1731" t="str">
            <v>⑤</v>
          </cell>
          <cell r="Z1731" t="str">
            <v>⑥</v>
          </cell>
          <cell r="AA1731" t="str">
            <v>⑦</v>
          </cell>
          <cell r="AB1731" t="str">
            <v>⑧</v>
          </cell>
          <cell r="AC1731" t="str">
            <v>⑨</v>
          </cell>
          <cell r="AD1731" t="str">
            <v>⑩</v>
          </cell>
          <cell r="AE1731" t="str">
            <v>⑪</v>
          </cell>
          <cell r="AF1731" t="str">
            <v>⑫</v>
          </cell>
          <cell r="AG1731" t="str">
            <v>①</v>
          </cell>
          <cell r="AH1731" t="str">
            <v>②</v>
          </cell>
          <cell r="AI1731" t="str">
            <v>③</v>
          </cell>
        </row>
        <row r="1732">
          <cell r="B1732">
            <v>9002</v>
          </cell>
          <cell r="C1732">
            <v>90</v>
          </cell>
          <cell r="D1732">
            <v>2</v>
          </cell>
          <cell r="F1732" t="str">
            <v>和歌山</v>
          </cell>
          <cell r="G1732" t="str">
            <v>エレベーター保守</v>
          </cell>
          <cell r="H1732" t="str">
            <v>三菱電機ﾋﾞﾙﾃｸﾉｻｰﾋﾞｽ</v>
          </cell>
          <cell r="I1732">
            <v>78100</v>
          </cell>
          <cell r="J1732">
            <v>79662</v>
          </cell>
          <cell r="K1732">
            <v>12</v>
          </cell>
          <cell r="L1732">
            <v>79662</v>
          </cell>
          <cell r="M1732">
            <v>79662</v>
          </cell>
          <cell r="N1732">
            <v>79662</v>
          </cell>
          <cell r="O1732">
            <v>79662</v>
          </cell>
          <cell r="P1732">
            <v>79662</v>
          </cell>
          <cell r="Q1732">
            <v>79662</v>
          </cell>
          <cell r="R1732">
            <v>79662</v>
          </cell>
          <cell r="S1732">
            <v>79662</v>
          </cell>
          <cell r="T1732">
            <v>79662</v>
          </cell>
          <cell r="U1732">
            <v>79662</v>
          </cell>
          <cell r="V1732">
            <v>79662</v>
          </cell>
          <cell r="W1732">
            <v>79662</v>
          </cell>
          <cell r="X1732" t="str">
            <v>④</v>
          </cell>
          <cell r="Y1732" t="str">
            <v>⑤</v>
          </cell>
          <cell r="Z1732" t="str">
            <v>⑥</v>
          </cell>
          <cell r="AA1732" t="str">
            <v>⑦</v>
          </cell>
          <cell r="AB1732" t="str">
            <v>⑧</v>
          </cell>
          <cell r="AC1732" t="str">
            <v>⑨</v>
          </cell>
          <cell r="AD1732" t="str">
            <v>⑩</v>
          </cell>
          <cell r="AE1732" t="str">
            <v>⑪</v>
          </cell>
          <cell r="AF1732" t="str">
            <v>⑫</v>
          </cell>
          <cell r="AG1732" t="str">
            <v>①</v>
          </cell>
          <cell r="AH1732" t="str">
            <v>②</v>
          </cell>
          <cell r="AI1732" t="str">
            <v>③</v>
          </cell>
        </row>
        <row r="1733">
          <cell r="B1733">
            <v>9003</v>
          </cell>
          <cell r="C1733">
            <v>90</v>
          </cell>
          <cell r="D1733">
            <v>3</v>
          </cell>
          <cell r="F1733" t="str">
            <v>和歌山</v>
          </cell>
          <cell r="G1733" t="str">
            <v>消防設備点検保守(総合)</v>
          </cell>
          <cell r="H1733" t="str">
            <v>大阪東管サービス</v>
          </cell>
          <cell r="I1733">
            <v>240000</v>
          </cell>
          <cell r="J1733">
            <v>244800</v>
          </cell>
          <cell r="K1733">
            <v>1</v>
          </cell>
          <cell r="L1733">
            <v>0</v>
          </cell>
          <cell r="M1733">
            <v>0</v>
          </cell>
          <cell r="N1733">
            <v>0</v>
          </cell>
          <cell r="O1733">
            <v>244800</v>
          </cell>
          <cell r="P1733">
            <v>0</v>
          </cell>
          <cell r="Q1733">
            <v>0</v>
          </cell>
          <cell r="R1733">
            <v>0</v>
          </cell>
          <cell r="S1733">
            <v>0</v>
          </cell>
          <cell r="T1733">
            <v>0</v>
          </cell>
          <cell r="U1733">
            <v>0</v>
          </cell>
          <cell r="V1733">
            <v>0</v>
          </cell>
          <cell r="W1733">
            <v>0</v>
          </cell>
          <cell r="X1733" t="str">
            <v/>
          </cell>
          <cell r="Y1733" t="str">
            <v/>
          </cell>
          <cell r="Z1733" t="str">
            <v/>
          </cell>
          <cell r="AA1733" t="str">
            <v>⑦</v>
          </cell>
          <cell r="AB1733" t="str">
            <v/>
          </cell>
          <cell r="AC1733" t="str">
            <v/>
          </cell>
          <cell r="AD1733" t="str">
            <v/>
          </cell>
          <cell r="AE1733" t="str">
            <v/>
          </cell>
          <cell r="AF1733" t="str">
            <v/>
          </cell>
          <cell r="AG1733" t="str">
            <v/>
          </cell>
          <cell r="AH1733" t="str">
            <v/>
          </cell>
          <cell r="AI1733" t="str">
            <v/>
          </cell>
        </row>
        <row r="1734">
          <cell r="B1734">
            <v>9004</v>
          </cell>
          <cell r="C1734">
            <v>90</v>
          </cell>
          <cell r="D1734">
            <v>4</v>
          </cell>
          <cell r="F1734" t="str">
            <v>和歌山</v>
          </cell>
          <cell r="G1734" t="str">
            <v>消防設備点検保守(外観)</v>
          </cell>
          <cell r="H1734" t="str">
            <v>大阪東管サービス</v>
          </cell>
          <cell r="I1734">
            <v>150000</v>
          </cell>
          <cell r="J1734">
            <v>153000</v>
          </cell>
          <cell r="K1734">
            <v>1</v>
          </cell>
          <cell r="L1734">
            <v>0</v>
          </cell>
          <cell r="M1734">
            <v>0</v>
          </cell>
          <cell r="N1734">
            <v>0</v>
          </cell>
          <cell r="O1734">
            <v>0</v>
          </cell>
          <cell r="P1734">
            <v>0</v>
          </cell>
          <cell r="Q1734">
            <v>0</v>
          </cell>
          <cell r="R1734">
            <v>0</v>
          </cell>
          <cell r="S1734">
            <v>0</v>
          </cell>
          <cell r="T1734">
            <v>0</v>
          </cell>
          <cell r="U1734">
            <v>153000</v>
          </cell>
          <cell r="V1734">
            <v>0</v>
          </cell>
          <cell r="W1734">
            <v>0</v>
          </cell>
          <cell r="X1734" t="str">
            <v/>
          </cell>
          <cell r="Y1734" t="str">
            <v/>
          </cell>
          <cell r="Z1734" t="str">
            <v/>
          </cell>
          <cell r="AA1734" t="str">
            <v/>
          </cell>
          <cell r="AB1734" t="str">
            <v/>
          </cell>
          <cell r="AC1734" t="str">
            <v/>
          </cell>
          <cell r="AD1734" t="str">
            <v/>
          </cell>
          <cell r="AE1734" t="str">
            <v/>
          </cell>
          <cell r="AF1734" t="str">
            <v/>
          </cell>
          <cell r="AG1734" t="str">
            <v>①</v>
          </cell>
          <cell r="AH1734" t="str">
            <v/>
          </cell>
          <cell r="AI1734" t="str">
            <v/>
          </cell>
        </row>
        <row r="1735">
          <cell r="B1735">
            <v>9005</v>
          </cell>
          <cell r="C1735">
            <v>90</v>
          </cell>
          <cell r="D1735">
            <v>5</v>
          </cell>
          <cell r="F1735" t="str">
            <v>和歌山</v>
          </cell>
          <cell r="G1735" t="str">
            <v>受水槽清掃(含む高架水槽)</v>
          </cell>
          <cell r="H1735" t="str">
            <v>大阪東管サービス</v>
          </cell>
          <cell r="I1735">
            <v>98000</v>
          </cell>
          <cell r="J1735">
            <v>110740</v>
          </cell>
          <cell r="K1735">
            <v>1</v>
          </cell>
          <cell r="L1735">
            <v>0</v>
          </cell>
          <cell r="M1735">
            <v>0</v>
          </cell>
          <cell r="N1735">
            <v>0</v>
          </cell>
          <cell r="O1735">
            <v>0</v>
          </cell>
          <cell r="P1735">
            <v>0</v>
          </cell>
          <cell r="Q1735">
            <v>0</v>
          </cell>
          <cell r="R1735">
            <v>0</v>
          </cell>
          <cell r="S1735">
            <v>0</v>
          </cell>
          <cell r="T1735">
            <v>110740</v>
          </cell>
          <cell r="U1735">
            <v>0</v>
          </cell>
          <cell r="V1735">
            <v>0</v>
          </cell>
          <cell r="W1735">
            <v>0</v>
          </cell>
          <cell r="X1735" t="str">
            <v/>
          </cell>
          <cell r="Y1735" t="str">
            <v/>
          </cell>
          <cell r="Z1735" t="str">
            <v/>
          </cell>
          <cell r="AA1735" t="str">
            <v/>
          </cell>
          <cell r="AB1735" t="str">
            <v/>
          </cell>
          <cell r="AC1735" t="str">
            <v/>
          </cell>
          <cell r="AD1735" t="str">
            <v/>
          </cell>
          <cell r="AE1735" t="str">
            <v/>
          </cell>
          <cell r="AF1735" t="str">
            <v>⑫</v>
          </cell>
          <cell r="AG1735" t="str">
            <v/>
          </cell>
          <cell r="AH1735" t="str">
            <v/>
          </cell>
          <cell r="AI1735" t="str">
            <v/>
          </cell>
        </row>
        <row r="1736">
          <cell r="B1736">
            <v>9006</v>
          </cell>
          <cell r="C1736">
            <v>90</v>
          </cell>
          <cell r="D1736">
            <v>6</v>
          </cell>
          <cell r="F1736" t="str">
            <v>和歌山</v>
          </cell>
          <cell r="G1736" t="str">
            <v>空調機ﾌｨﾙﾀｰ清掃</v>
          </cell>
          <cell r="H1736" t="str">
            <v>大阪東管サービス</v>
          </cell>
          <cell r="I1736">
            <v>22500</v>
          </cell>
          <cell r="J1736">
            <v>25875</v>
          </cell>
          <cell r="K1736">
            <v>2</v>
          </cell>
          <cell r="L1736">
            <v>0</v>
          </cell>
          <cell r="M1736">
            <v>0</v>
          </cell>
          <cell r="N1736">
            <v>25875</v>
          </cell>
          <cell r="O1736">
            <v>0</v>
          </cell>
          <cell r="P1736">
            <v>0</v>
          </cell>
          <cell r="Q1736">
            <v>0</v>
          </cell>
          <cell r="R1736">
            <v>0</v>
          </cell>
          <cell r="S1736">
            <v>0</v>
          </cell>
          <cell r="T1736">
            <v>25875</v>
          </cell>
          <cell r="U1736">
            <v>0</v>
          </cell>
          <cell r="V1736">
            <v>0</v>
          </cell>
          <cell r="W1736">
            <v>0</v>
          </cell>
          <cell r="X1736" t="str">
            <v/>
          </cell>
          <cell r="Y1736" t="str">
            <v/>
          </cell>
          <cell r="Z1736" t="str">
            <v>⑥</v>
          </cell>
          <cell r="AA1736" t="str">
            <v/>
          </cell>
          <cell r="AB1736" t="str">
            <v/>
          </cell>
          <cell r="AC1736" t="str">
            <v/>
          </cell>
          <cell r="AD1736" t="str">
            <v/>
          </cell>
          <cell r="AE1736" t="str">
            <v/>
          </cell>
          <cell r="AF1736" t="str">
            <v>⑫</v>
          </cell>
          <cell r="AG1736" t="str">
            <v/>
          </cell>
          <cell r="AH1736" t="str">
            <v/>
          </cell>
          <cell r="AI1736" t="str">
            <v/>
          </cell>
        </row>
        <row r="1737">
          <cell r="B1737">
            <v>9101</v>
          </cell>
          <cell r="C1737">
            <v>91</v>
          </cell>
          <cell r="D1737">
            <v>1</v>
          </cell>
          <cell r="F1737" t="str">
            <v>枚方</v>
          </cell>
          <cell r="G1737" t="str">
            <v>エレベーター保守</v>
          </cell>
          <cell r="H1737" t="str">
            <v>三菱電機ﾋﾞﾙﾃｸﾉｻｰﾋﾞｽ</v>
          </cell>
          <cell r="I1737">
            <v>61700</v>
          </cell>
          <cell r="J1737">
            <v>62934</v>
          </cell>
          <cell r="K1737">
            <v>12</v>
          </cell>
          <cell r="L1737">
            <v>62934</v>
          </cell>
          <cell r="M1737">
            <v>62934</v>
          </cell>
          <cell r="N1737">
            <v>62934</v>
          </cell>
          <cell r="O1737">
            <v>62934</v>
          </cell>
          <cell r="P1737">
            <v>62934</v>
          </cell>
          <cell r="Q1737">
            <v>62934</v>
          </cell>
          <cell r="R1737">
            <v>62934</v>
          </cell>
          <cell r="S1737">
            <v>62934</v>
          </cell>
          <cell r="T1737">
            <v>62934</v>
          </cell>
          <cell r="U1737">
            <v>62934</v>
          </cell>
          <cell r="V1737">
            <v>62934</v>
          </cell>
          <cell r="W1737">
            <v>62934</v>
          </cell>
          <cell r="X1737" t="str">
            <v>④</v>
          </cell>
          <cell r="Y1737" t="str">
            <v>⑤</v>
          </cell>
          <cell r="Z1737" t="str">
            <v>⑥</v>
          </cell>
          <cell r="AA1737" t="str">
            <v>⑦</v>
          </cell>
          <cell r="AB1737" t="str">
            <v>⑧</v>
          </cell>
          <cell r="AC1737" t="str">
            <v>⑨</v>
          </cell>
          <cell r="AD1737" t="str">
            <v>⑩</v>
          </cell>
          <cell r="AE1737" t="str">
            <v>⑪</v>
          </cell>
          <cell r="AF1737" t="str">
            <v>⑫</v>
          </cell>
          <cell r="AG1737" t="str">
            <v>①</v>
          </cell>
          <cell r="AH1737" t="str">
            <v>②</v>
          </cell>
          <cell r="AI1737" t="str">
            <v>③</v>
          </cell>
        </row>
        <row r="1738">
          <cell r="B1738">
            <v>9201</v>
          </cell>
          <cell r="C1738">
            <v>92</v>
          </cell>
          <cell r="D1738">
            <v>1</v>
          </cell>
          <cell r="F1738" t="str">
            <v>藤井寺</v>
          </cell>
          <cell r="G1738" t="str">
            <v>機械式駐車場設備保守</v>
          </cell>
          <cell r="H1738" t="str">
            <v>石川島運搬機械</v>
          </cell>
          <cell r="I1738">
            <v>68824</v>
          </cell>
          <cell r="J1738">
            <v>70200</v>
          </cell>
          <cell r="K1738">
            <v>12</v>
          </cell>
          <cell r="L1738">
            <v>70200</v>
          </cell>
          <cell r="M1738">
            <v>70200</v>
          </cell>
          <cell r="N1738">
            <v>70200</v>
          </cell>
          <cell r="O1738">
            <v>70200</v>
          </cell>
          <cell r="P1738">
            <v>70200</v>
          </cell>
          <cell r="Q1738">
            <v>70200</v>
          </cell>
          <cell r="R1738">
            <v>70200</v>
          </cell>
          <cell r="S1738">
            <v>70200</v>
          </cell>
          <cell r="T1738">
            <v>70200</v>
          </cell>
          <cell r="U1738">
            <v>70200</v>
          </cell>
          <cell r="V1738">
            <v>70200</v>
          </cell>
          <cell r="W1738">
            <v>70200</v>
          </cell>
          <cell r="X1738" t="str">
            <v>④</v>
          </cell>
          <cell r="Y1738" t="str">
            <v>⑤</v>
          </cell>
          <cell r="Z1738" t="str">
            <v>⑥</v>
          </cell>
          <cell r="AA1738" t="str">
            <v>⑦</v>
          </cell>
          <cell r="AB1738" t="str">
            <v>⑧</v>
          </cell>
          <cell r="AC1738" t="str">
            <v>⑨</v>
          </cell>
          <cell r="AD1738" t="str">
            <v>⑩</v>
          </cell>
          <cell r="AE1738" t="str">
            <v>⑪</v>
          </cell>
          <cell r="AF1738" t="str">
            <v>⑫</v>
          </cell>
          <cell r="AG1738" t="str">
            <v>①</v>
          </cell>
          <cell r="AH1738" t="str">
            <v>②</v>
          </cell>
          <cell r="AI1738" t="str">
            <v>③</v>
          </cell>
        </row>
        <row r="1739">
          <cell r="B1739">
            <v>9301</v>
          </cell>
          <cell r="C1739">
            <v>93</v>
          </cell>
          <cell r="D1739">
            <v>1</v>
          </cell>
          <cell r="F1739" t="str">
            <v>橿原</v>
          </cell>
          <cell r="G1739" t="str">
            <v>機械式駐車場設備保守</v>
          </cell>
          <cell r="H1739" t="str">
            <v>石川島運搬機械</v>
          </cell>
          <cell r="I1739">
            <v>38236</v>
          </cell>
          <cell r="J1739">
            <v>39000</v>
          </cell>
          <cell r="K1739">
            <v>12</v>
          </cell>
          <cell r="L1739">
            <v>39000</v>
          </cell>
          <cell r="M1739">
            <v>39000</v>
          </cell>
          <cell r="N1739">
            <v>39000</v>
          </cell>
          <cell r="O1739">
            <v>39000</v>
          </cell>
          <cell r="P1739">
            <v>39000</v>
          </cell>
          <cell r="Q1739">
            <v>39000</v>
          </cell>
          <cell r="R1739">
            <v>39000</v>
          </cell>
          <cell r="S1739">
            <v>39000</v>
          </cell>
          <cell r="T1739">
            <v>39000</v>
          </cell>
          <cell r="U1739">
            <v>39000</v>
          </cell>
          <cell r="V1739">
            <v>39000</v>
          </cell>
          <cell r="W1739">
            <v>39000</v>
          </cell>
          <cell r="X1739" t="str">
            <v>④</v>
          </cell>
          <cell r="Y1739" t="str">
            <v>⑤</v>
          </cell>
          <cell r="Z1739" t="str">
            <v>⑥</v>
          </cell>
          <cell r="AA1739" t="str">
            <v>⑦</v>
          </cell>
          <cell r="AB1739" t="str">
            <v>⑧</v>
          </cell>
          <cell r="AC1739" t="str">
            <v>⑨</v>
          </cell>
          <cell r="AD1739" t="str">
            <v>⑩</v>
          </cell>
          <cell r="AE1739" t="str">
            <v>⑪</v>
          </cell>
          <cell r="AF1739" t="str">
            <v>⑫</v>
          </cell>
          <cell r="AG1739" t="str">
            <v>①</v>
          </cell>
          <cell r="AH1739" t="str">
            <v>②</v>
          </cell>
          <cell r="AI1739" t="str">
            <v>③</v>
          </cell>
        </row>
        <row r="1740">
          <cell r="B1740">
            <v>9302</v>
          </cell>
          <cell r="C1740">
            <v>93</v>
          </cell>
          <cell r="D1740">
            <v>2</v>
          </cell>
          <cell r="F1740" t="str">
            <v>橿原</v>
          </cell>
          <cell r="G1740" t="str">
            <v>エレベーター保守</v>
          </cell>
          <cell r="H1740" t="str">
            <v>三菱電機ﾋﾞﾙﾃｸﾉｻｰﾋﾞｽ</v>
          </cell>
          <cell r="I1740">
            <v>67300</v>
          </cell>
          <cell r="J1740">
            <v>68646</v>
          </cell>
          <cell r="K1740">
            <v>12</v>
          </cell>
          <cell r="L1740">
            <v>68646</v>
          </cell>
          <cell r="M1740">
            <v>68646</v>
          </cell>
          <cell r="N1740">
            <v>68646</v>
          </cell>
          <cell r="O1740">
            <v>68646</v>
          </cell>
          <cell r="P1740">
            <v>68646</v>
          </cell>
          <cell r="Q1740">
            <v>68646</v>
          </cell>
          <cell r="R1740">
            <v>68646</v>
          </cell>
          <cell r="S1740">
            <v>68646</v>
          </cell>
          <cell r="T1740">
            <v>68646</v>
          </cell>
          <cell r="U1740">
            <v>68646</v>
          </cell>
          <cell r="V1740">
            <v>68646</v>
          </cell>
          <cell r="W1740">
            <v>68646</v>
          </cell>
          <cell r="X1740" t="str">
            <v>④</v>
          </cell>
          <cell r="Y1740" t="str">
            <v>⑤</v>
          </cell>
          <cell r="Z1740" t="str">
            <v>⑥</v>
          </cell>
          <cell r="AA1740" t="str">
            <v>⑦</v>
          </cell>
          <cell r="AB1740" t="str">
            <v>⑧</v>
          </cell>
          <cell r="AC1740" t="str">
            <v>⑨</v>
          </cell>
          <cell r="AD1740" t="str">
            <v>⑩</v>
          </cell>
          <cell r="AE1740" t="str">
            <v>⑪</v>
          </cell>
          <cell r="AF1740" t="str">
            <v>⑫</v>
          </cell>
          <cell r="AG1740" t="str">
            <v>①</v>
          </cell>
          <cell r="AH1740" t="str">
            <v>②</v>
          </cell>
          <cell r="AI1740" t="str">
            <v>③</v>
          </cell>
        </row>
        <row r="1741">
          <cell r="B1741">
            <v>9401</v>
          </cell>
          <cell r="C1741">
            <v>94</v>
          </cell>
          <cell r="D1741">
            <v>1</v>
          </cell>
          <cell r="F1741" t="str">
            <v>茨木</v>
          </cell>
          <cell r="G1741" t="str">
            <v>エレベーター保守</v>
          </cell>
          <cell r="H1741" t="str">
            <v>三菱電機ﾋﾞﾙﾃｸﾉｻｰﾋﾞｽ</v>
          </cell>
          <cell r="I1741">
            <v>67300</v>
          </cell>
          <cell r="J1741">
            <v>68646</v>
          </cell>
          <cell r="K1741">
            <v>12</v>
          </cell>
          <cell r="L1741">
            <v>68646</v>
          </cell>
          <cell r="M1741">
            <v>68646</v>
          </cell>
          <cell r="N1741">
            <v>68646</v>
          </cell>
          <cell r="O1741">
            <v>68646</v>
          </cell>
          <cell r="P1741">
            <v>68646</v>
          </cell>
          <cell r="Q1741">
            <v>68646</v>
          </cell>
          <cell r="R1741">
            <v>68646</v>
          </cell>
          <cell r="S1741">
            <v>68646</v>
          </cell>
          <cell r="T1741">
            <v>68646</v>
          </cell>
          <cell r="U1741">
            <v>68646</v>
          </cell>
          <cell r="V1741">
            <v>68646</v>
          </cell>
          <cell r="W1741">
            <v>68646</v>
          </cell>
          <cell r="X1741" t="str">
            <v>④</v>
          </cell>
          <cell r="Y1741" t="str">
            <v>⑤</v>
          </cell>
          <cell r="Z1741" t="str">
            <v>⑥</v>
          </cell>
          <cell r="AA1741" t="str">
            <v>⑦</v>
          </cell>
          <cell r="AB1741" t="str">
            <v>⑧</v>
          </cell>
          <cell r="AC1741" t="str">
            <v>⑨</v>
          </cell>
          <cell r="AD1741" t="str">
            <v>⑩</v>
          </cell>
          <cell r="AE1741" t="str">
            <v>⑪</v>
          </cell>
          <cell r="AF1741" t="str">
            <v>⑫</v>
          </cell>
          <cell r="AG1741" t="str">
            <v>①</v>
          </cell>
          <cell r="AH1741" t="str">
            <v>②</v>
          </cell>
          <cell r="AI1741" t="str">
            <v>③</v>
          </cell>
        </row>
        <row r="1742">
          <cell r="B1742">
            <v>9402</v>
          </cell>
          <cell r="C1742">
            <v>94</v>
          </cell>
          <cell r="D1742">
            <v>2</v>
          </cell>
          <cell r="F1742" t="str">
            <v>茨木</v>
          </cell>
          <cell r="G1742" t="str">
            <v>空調機保守</v>
          </cell>
          <cell r="H1742" t="str">
            <v>メンテック</v>
          </cell>
          <cell r="I1742">
            <v>200000</v>
          </cell>
          <cell r="J1742">
            <v>220000</v>
          </cell>
          <cell r="K1742">
            <v>2</v>
          </cell>
          <cell r="L1742">
            <v>0</v>
          </cell>
          <cell r="M1742">
            <v>220000</v>
          </cell>
          <cell r="N1742">
            <v>0</v>
          </cell>
          <cell r="O1742">
            <v>0</v>
          </cell>
          <cell r="P1742">
            <v>0</v>
          </cell>
          <cell r="Q1742">
            <v>0</v>
          </cell>
          <cell r="R1742">
            <v>0</v>
          </cell>
          <cell r="S1742">
            <v>220000</v>
          </cell>
          <cell r="T1742">
            <v>0</v>
          </cell>
          <cell r="U1742">
            <v>0</v>
          </cell>
          <cell r="V1742">
            <v>0</v>
          </cell>
          <cell r="W1742">
            <v>0</v>
          </cell>
          <cell r="Y1742" t="str">
            <v>⑤</v>
          </cell>
          <cell r="AE1742" t="str">
            <v>⑪</v>
          </cell>
        </row>
        <row r="1743">
          <cell r="B1743">
            <v>9403</v>
          </cell>
          <cell r="C1743">
            <v>94</v>
          </cell>
          <cell r="D1743">
            <v>3</v>
          </cell>
          <cell r="F1743" t="str">
            <v>茨木</v>
          </cell>
          <cell r="G1743" t="str">
            <v>受水槽清掃</v>
          </cell>
          <cell r="H1743" t="str">
            <v>水光社</v>
          </cell>
          <cell r="I1743">
            <v>74000</v>
          </cell>
          <cell r="J1743">
            <v>81400</v>
          </cell>
          <cell r="K1743">
            <v>1</v>
          </cell>
          <cell r="L1743">
            <v>0</v>
          </cell>
          <cell r="M1743">
            <v>81400</v>
          </cell>
          <cell r="N1743">
            <v>0</v>
          </cell>
          <cell r="O1743">
            <v>0</v>
          </cell>
          <cell r="P1743">
            <v>0</v>
          </cell>
          <cell r="Q1743">
            <v>0</v>
          </cell>
          <cell r="R1743">
            <v>0</v>
          </cell>
          <cell r="S1743">
            <v>0</v>
          </cell>
          <cell r="T1743">
            <v>0</v>
          </cell>
          <cell r="U1743">
            <v>0</v>
          </cell>
          <cell r="V1743">
            <v>0</v>
          </cell>
          <cell r="W1743">
            <v>0</v>
          </cell>
          <cell r="Y1743" t="str">
            <v>⑤</v>
          </cell>
        </row>
        <row r="1744">
          <cell r="B1744">
            <v>9404</v>
          </cell>
          <cell r="C1744">
            <v>94</v>
          </cell>
          <cell r="D1744">
            <v>4</v>
          </cell>
          <cell r="F1744" t="str">
            <v>茨木</v>
          </cell>
          <cell r="G1744" t="str">
            <v>植栽管理</v>
          </cell>
          <cell r="H1744" t="str">
            <v>富士技創</v>
          </cell>
          <cell r="I1744">
            <v>62000</v>
          </cell>
          <cell r="J1744">
            <v>68200</v>
          </cell>
          <cell r="K1744">
            <v>1</v>
          </cell>
          <cell r="L1744">
            <v>0</v>
          </cell>
          <cell r="M1744">
            <v>0</v>
          </cell>
          <cell r="N1744">
            <v>0</v>
          </cell>
          <cell r="O1744">
            <v>68200</v>
          </cell>
          <cell r="P1744">
            <v>0</v>
          </cell>
          <cell r="Q1744">
            <v>0</v>
          </cell>
          <cell r="R1744">
            <v>0</v>
          </cell>
          <cell r="S1744">
            <v>0</v>
          </cell>
          <cell r="T1744">
            <v>0</v>
          </cell>
          <cell r="U1744">
            <v>0</v>
          </cell>
          <cell r="V1744">
            <v>0</v>
          </cell>
          <cell r="W1744">
            <v>0</v>
          </cell>
          <cell r="AA1744" t="str">
            <v>⑦</v>
          </cell>
        </row>
        <row r="1745">
          <cell r="B1745">
            <v>9405</v>
          </cell>
          <cell r="C1745">
            <v>94</v>
          </cell>
          <cell r="D1745">
            <v>5</v>
          </cell>
          <cell r="F1745" t="str">
            <v>茨木</v>
          </cell>
          <cell r="G1745" t="str">
            <v>消火器(外観)</v>
          </cell>
          <cell r="H1745" t="str">
            <v>ホーチキ</v>
          </cell>
          <cell r="I1745">
            <v>34000</v>
          </cell>
          <cell r="J1745">
            <v>37400</v>
          </cell>
          <cell r="K1745">
            <v>2</v>
          </cell>
          <cell r="L1745">
            <v>0</v>
          </cell>
          <cell r="M1745">
            <v>0</v>
          </cell>
          <cell r="N1745">
            <v>0</v>
          </cell>
          <cell r="O1745">
            <v>37400</v>
          </cell>
          <cell r="P1745">
            <v>0</v>
          </cell>
          <cell r="Q1745">
            <v>0</v>
          </cell>
          <cell r="R1745">
            <v>0</v>
          </cell>
          <cell r="S1745">
            <v>0</v>
          </cell>
          <cell r="T1745">
            <v>0</v>
          </cell>
          <cell r="U1745">
            <v>37400</v>
          </cell>
          <cell r="V1745">
            <v>0</v>
          </cell>
          <cell r="W1745">
            <v>0</v>
          </cell>
          <cell r="AA1745" t="str">
            <v>⑦</v>
          </cell>
          <cell r="AG1745" t="str">
            <v>①</v>
          </cell>
        </row>
        <row r="1746">
          <cell r="B1746">
            <v>9406</v>
          </cell>
          <cell r="C1746">
            <v>94</v>
          </cell>
          <cell r="D1746">
            <v>6</v>
          </cell>
          <cell r="F1746" t="str">
            <v>茨木</v>
          </cell>
          <cell r="G1746" t="str">
            <v>自動火災報知設備(外観)</v>
          </cell>
          <cell r="H1746" t="str">
            <v>ホーチキ</v>
          </cell>
          <cell r="I1746">
            <v>20400</v>
          </cell>
          <cell r="J1746">
            <v>22440</v>
          </cell>
          <cell r="K1746">
            <v>1</v>
          </cell>
          <cell r="L1746">
            <v>0</v>
          </cell>
          <cell r="M1746">
            <v>0</v>
          </cell>
          <cell r="N1746">
            <v>0</v>
          </cell>
          <cell r="O1746">
            <v>22440</v>
          </cell>
          <cell r="P1746">
            <v>0</v>
          </cell>
          <cell r="Q1746">
            <v>0</v>
          </cell>
          <cell r="R1746">
            <v>0</v>
          </cell>
          <cell r="S1746">
            <v>0</v>
          </cell>
          <cell r="T1746">
            <v>0</v>
          </cell>
          <cell r="U1746">
            <v>0</v>
          </cell>
          <cell r="V1746">
            <v>0</v>
          </cell>
          <cell r="W1746">
            <v>0</v>
          </cell>
          <cell r="AA1746" t="str">
            <v>⑦</v>
          </cell>
        </row>
        <row r="1747">
          <cell r="B1747">
            <v>9407</v>
          </cell>
          <cell r="C1747">
            <v>94</v>
          </cell>
          <cell r="D1747">
            <v>7</v>
          </cell>
          <cell r="F1747" t="str">
            <v>茨木</v>
          </cell>
          <cell r="G1747" t="str">
            <v>自動火災報知設備(総合)</v>
          </cell>
          <cell r="H1747" t="str">
            <v>ホーチキ</v>
          </cell>
          <cell r="I1747">
            <v>28200</v>
          </cell>
          <cell r="J1747">
            <v>31020</v>
          </cell>
          <cell r="K1747">
            <v>1</v>
          </cell>
          <cell r="L1747">
            <v>0</v>
          </cell>
          <cell r="M1747">
            <v>0</v>
          </cell>
          <cell r="N1747">
            <v>0</v>
          </cell>
          <cell r="O1747">
            <v>0</v>
          </cell>
          <cell r="P1747">
            <v>0</v>
          </cell>
          <cell r="Q1747">
            <v>0</v>
          </cell>
          <cell r="R1747">
            <v>0</v>
          </cell>
          <cell r="S1747">
            <v>0</v>
          </cell>
          <cell r="T1747">
            <v>0</v>
          </cell>
          <cell r="U1747">
            <v>31020</v>
          </cell>
          <cell r="V1747">
            <v>0</v>
          </cell>
          <cell r="W1747">
            <v>0</v>
          </cell>
          <cell r="AG1747" t="str">
            <v>①</v>
          </cell>
        </row>
        <row r="1748">
          <cell r="B1748">
            <v>9408</v>
          </cell>
          <cell r="C1748">
            <v>94</v>
          </cell>
          <cell r="D1748">
            <v>8</v>
          </cell>
          <cell r="F1748" t="str">
            <v>茨木</v>
          </cell>
          <cell r="G1748" t="str">
            <v>誘導灯および誘導標識(外観)</v>
          </cell>
          <cell r="H1748" t="str">
            <v>ホーチキ</v>
          </cell>
          <cell r="I1748">
            <v>11600</v>
          </cell>
          <cell r="J1748">
            <v>12760</v>
          </cell>
          <cell r="K1748">
            <v>2</v>
          </cell>
          <cell r="L1748">
            <v>0</v>
          </cell>
          <cell r="M1748">
            <v>0</v>
          </cell>
          <cell r="N1748">
            <v>0</v>
          </cell>
          <cell r="O1748">
            <v>12760</v>
          </cell>
          <cell r="P1748">
            <v>0</v>
          </cell>
          <cell r="Q1748">
            <v>0</v>
          </cell>
          <cell r="R1748">
            <v>0</v>
          </cell>
          <cell r="S1748">
            <v>0</v>
          </cell>
          <cell r="T1748">
            <v>0</v>
          </cell>
          <cell r="U1748">
            <v>12760</v>
          </cell>
          <cell r="V1748">
            <v>0</v>
          </cell>
          <cell r="W1748">
            <v>0</v>
          </cell>
          <cell r="AA1748" t="str">
            <v>⑦</v>
          </cell>
          <cell r="AG1748" t="str">
            <v>①</v>
          </cell>
        </row>
        <row r="1749">
          <cell r="B1749">
            <v>9409</v>
          </cell>
          <cell r="C1749">
            <v>94</v>
          </cell>
          <cell r="D1749">
            <v>9</v>
          </cell>
          <cell r="F1749" t="str">
            <v>茨木</v>
          </cell>
          <cell r="G1749" t="str">
            <v>防排煙設備(外観)</v>
          </cell>
          <cell r="H1749" t="str">
            <v>ホーチキ</v>
          </cell>
          <cell r="I1749">
            <v>42400</v>
          </cell>
          <cell r="J1749">
            <v>46640</v>
          </cell>
          <cell r="K1749">
            <v>1</v>
          </cell>
          <cell r="L1749">
            <v>0</v>
          </cell>
          <cell r="M1749">
            <v>0</v>
          </cell>
          <cell r="N1749">
            <v>0</v>
          </cell>
          <cell r="O1749">
            <v>46640</v>
          </cell>
          <cell r="P1749">
            <v>0</v>
          </cell>
          <cell r="Q1749">
            <v>0</v>
          </cell>
          <cell r="R1749">
            <v>0</v>
          </cell>
          <cell r="S1749">
            <v>0</v>
          </cell>
          <cell r="T1749">
            <v>0</v>
          </cell>
          <cell r="U1749">
            <v>0</v>
          </cell>
          <cell r="V1749">
            <v>0</v>
          </cell>
          <cell r="W1749">
            <v>0</v>
          </cell>
          <cell r="AA1749" t="str">
            <v>⑦</v>
          </cell>
        </row>
        <row r="1750">
          <cell r="B1750">
            <v>9410</v>
          </cell>
          <cell r="C1750">
            <v>94</v>
          </cell>
          <cell r="D1750">
            <v>10</v>
          </cell>
          <cell r="F1750" t="str">
            <v>茨木</v>
          </cell>
          <cell r="G1750" t="str">
            <v>防排煙設備(総合)</v>
          </cell>
          <cell r="H1750" t="str">
            <v>ホーチキ</v>
          </cell>
          <cell r="I1750">
            <v>63400</v>
          </cell>
          <cell r="J1750">
            <v>69740</v>
          </cell>
          <cell r="K1750">
            <v>1</v>
          </cell>
          <cell r="L1750">
            <v>0</v>
          </cell>
          <cell r="M1750">
            <v>0</v>
          </cell>
          <cell r="N1750">
            <v>0</v>
          </cell>
          <cell r="O1750">
            <v>0</v>
          </cell>
          <cell r="P1750">
            <v>0</v>
          </cell>
          <cell r="Q1750">
            <v>0</v>
          </cell>
          <cell r="R1750">
            <v>0</v>
          </cell>
          <cell r="S1750">
            <v>0</v>
          </cell>
          <cell r="T1750">
            <v>0</v>
          </cell>
          <cell r="U1750">
            <v>69740</v>
          </cell>
          <cell r="V1750">
            <v>0</v>
          </cell>
          <cell r="W1750">
            <v>0</v>
          </cell>
          <cell r="AG1750" t="str">
            <v>①</v>
          </cell>
        </row>
        <row r="1751">
          <cell r="B1751">
            <v>9501</v>
          </cell>
          <cell r="C1751">
            <v>95</v>
          </cell>
          <cell r="D1751">
            <v>1</v>
          </cell>
          <cell r="F1751" t="str">
            <v>加古川</v>
          </cell>
          <cell r="G1751" t="str">
            <v>エレベーター保守</v>
          </cell>
          <cell r="H1751" t="str">
            <v>三菱電機ﾋﾞﾙﾃｸﾉｻｰﾋﾞｽ</v>
          </cell>
          <cell r="I1751">
            <v>62300</v>
          </cell>
          <cell r="J1751">
            <v>63546</v>
          </cell>
          <cell r="K1751">
            <v>12</v>
          </cell>
          <cell r="L1751">
            <v>63546</v>
          </cell>
          <cell r="M1751">
            <v>63546</v>
          </cell>
          <cell r="N1751">
            <v>63546</v>
          </cell>
          <cell r="O1751">
            <v>63546</v>
          </cell>
          <cell r="P1751">
            <v>63546</v>
          </cell>
          <cell r="Q1751">
            <v>63546</v>
          </cell>
          <cell r="R1751">
            <v>63546</v>
          </cell>
          <cell r="S1751">
            <v>63546</v>
          </cell>
          <cell r="T1751">
            <v>63546</v>
          </cell>
          <cell r="U1751">
            <v>63546</v>
          </cell>
          <cell r="V1751">
            <v>63546</v>
          </cell>
          <cell r="W1751">
            <v>63546</v>
          </cell>
          <cell r="X1751" t="str">
            <v>④</v>
          </cell>
          <cell r="Y1751" t="str">
            <v>⑤</v>
          </cell>
          <cell r="Z1751" t="str">
            <v>⑥</v>
          </cell>
          <cell r="AA1751" t="str">
            <v>⑦</v>
          </cell>
          <cell r="AB1751" t="str">
            <v>⑧</v>
          </cell>
          <cell r="AC1751" t="str">
            <v>⑨</v>
          </cell>
          <cell r="AD1751" t="str">
            <v>⑩</v>
          </cell>
          <cell r="AE1751" t="str">
            <v>⑪</v>
          </cell>
          <cell r="AF1751" t="str">
            <v>⑫</v>
          </cell>
          <cell r="AG1751" t="str">
            <v>①</v>
          </cell>
          <cell r="AH1751" t="str">
            <v>②</v>
          </cell>
          <cell r="AI1751" t="str">
            <v>③</v>
          </cell>
        </row>
        <row r="1752">
          <cell r="B1752">
            <v>9601</v>
          </cell>
          <cell r="C1752">
            <v>96</v>
          </cell>
          <cell r="D1752">
            <v>1</v>
          </cell>
          <cell r="F1752" t="str">
            <v>松江</v>
          </cell>
          <cell r="G1752" t="str">
            <v>駐車場設備保守</v>
          </cell>
          <cell r="H1752" t="str">
            <v>三菱重工ﾊﾟｰｷﾝｸﾞ建設</v>
          </cell>
          <cell r="I1752">
            <v>107000</v>
          </cell>
          <cell r="J1752">
            <v>109140</v>
          </cell>
          <cell r="K1752">
            <v>12</v>
          </cell>
          <cell r="L1752">
            <v>109140</v>
          </cell>
          <cell r="M1752">
            <v>109140</v>
          </cell>
          <cell r="N1752">
            <v>109140</v>
          </cell>
          <cell r="O1752">
            <v>109140</v>
          </cell>
          <cell r="P1752">
            <v>109140</v>
          </cell>
          <cell r="Q1752">
            <v>109140</v>
          </cell>
          <cell r="R1752">
            <v>109140</v>
          </cell>
          <cell r="S1752">
            <v>109140</v>
          </cell>
          <cell r="T1752">
            <v>109140</v>
          </cell>
          <cell r="U1752">
            <v>109140</v>
          </cell>
          <cell r="V1752">
            <v>109140</v>
          </cell>
          <cell r="W1752">
            <v>109140</v>
          </cell>
          <cell r="X1752" t="str">
            <v>④</v>
          </cell>
          <cell r="Y1752" t="str">
            <v>⑤</v>
          </cell>
          <cell r="Z1752" t="str">
            <v>⑥</v>
          </cell>
          <cell r="AA1752" t="str">
            <v>⑦</v>
          </cell>
          <cell r="AB1752" t="str">
            <v>⑧</v>
          </cell>
          <cell r="AC1752" t="str">
            <v>⑨</v>
          </cell>
          <cell r="AD1752" t="str">
            <v>⑩</v>
          </cell>
          <cell r="AE1752" t="str">
            <v>⑪</v>
          </cell>
          <cell r="AF1752" t="str">
            <v>⑫</v>
          </cell>
          <cell r="AG1752" t="str">
            <v>①</v>
          </cell>
          <cell r="AH1752" t="str">
            <v>②</v>
          </cell>
          <cell r="AI1752" t="str">
            <v>③</v>
          </cell>
        </row>
        <row r="1753">
          <cell r="B1753">
            <v>9602</v>
          </cell>
          <cell r="C1753">
            <v>96</v>
          </cell>
          <cell r="D1753">
            <v>2</v>
          </cell>
          <cell r="F1753" t="str">
            <v>松江</v>
          </cell>
          <cell r="G1753" t="str">
            <v>エレベーター保守</v>
          </cell>
          <cell r="H1753" t="str">
            <v>三菱電機ﾋﾞﾙﾃｸﾉｻｰﾋﾞｽ</v>
          </cell>
          <cell r="I1753">
            <v>66600</v>
          </cell>
          <cell r="J1753">
            <v>67932</v>
          </cell>
          <cell r="K1753">
            <v>12</v>
          </cell>
          <cell r="L1753">
            <v>67932</v>
          </cell>
          <cell r="M1753">
            <v>67932</v>
          </cell>
          <cell r="N1753">
            <v>67932</v>
          </cell>
          <cell r="O1753">
            <v>67932</v>
          </cell>
          <cell r="P1753">
            <v>67932</v>
          </cell>
          <cell r="Q1753">
            <v>67932</v>
          </cell>
          <cell r="R1753">
            <v>67932</v>
          </cell>
          <cell r="S1753">
            <v>67932</v>
          </cell>
          <cell r="T1753">
            <v>67932</v>
          </cell>
          <cell r="U1753">
            <v>67932</v>
          </cell>
          <cell r="V1753">
            <v>67932</v>
          </cell>
          <cell r="W1753">
            <v>67932</v>
          </cell>
          <cell r="X1753" t="str">
            <v>④</v>
          </cell>
          <cell r="Y1753" t="str">
            <v>⑤</v>
          </cell>
          <cell r="Z1753" t="str">
            <v>⑥</v>
          </cell>
          <cell r="AA1753" t="str">
            <v>⑦</v>
          </cell>
          <cell r="AB1753" t="str">
            <v>⑧</v>
          </cell>
          <cell r="AC1753" t="str">
            <v>⑨</v>
          </cell>
          <cell r="AD1753" t="str">
            <v>⑩</v>
          </cell>
          <cell r="AE1753" t="str">
            <v>⑪</v>
          </cell>
          <cell r="AF1753" t="str">
            <v>⑫</v>
          </cell>
          <cell r="AG1753" t="str">
            <v>①</v>
          </cell>
          <cell r="AH1753" t="str">
            <v>②</v>
          </cell>
          <cell r="AI1753" t="str">
            <v>③</v>
          </cell>
        </row>
        <row r="1754">
          <cell r="B1754">
            <v>9603</v>
          </cell>
          <cell r="C1754">
            <v>96</v>
          </cell>
          <cell r="D1754">
            <v>3</v>
          </cell>
          <cell r="F1754" t="str">
            <v>松江</v>
          </cell>
          <cell r="G1754" t="str">
            <v>消火器(外観)</v>
          </cell>
          <cell r="H1754" t="str">
            <v>ホーチキ</v>
          </cell>
          <cell r="I1754">
            <v>15000</v>
          </cell>
          <cell r="J1754">
            <v>15300</v>
          </cell>
          <cell r="K1754">
            <v>2</v>
          </cell>
          <cell r="L1754">
            <v>15300</v>
          </cell>
          <cell r="M1754">
            <v>0</v>
          </cell>
          <cell r="N1754">
            <v>0</v>
          </cell>
          <cell r="O1754">
            <v>0</v>
          </cell>
          <cell r="P1754">
            <v>0</v>
          </cell>
          <cell r="Q1754">
            <v>0</v>
          </cell>
          <cell r="R1754">
            <v>15300</v>
          </cell>
          <cell r="S1754">
            <v>0</v>
          </cell>
          <cell r="T1754">
            <v>0</v>
          </cell>
          <cell r="U1754">
            <v>0</v>
          </cell>
          <cell r="V1754">
            <v>0</v>
          </cell>
          <cell r="W1754">
            <v>0</v>
          </cell>
          <cell r="X1754" t="str">
            <v>④</v>
          </cell>
          <cell r="Y1754" t="str">
            <v/>
          </cell>
          <cell r="Z1754" t="str">
            <v/>
          </cell>
          <cell r="AA1754" t="str">
            <v/>
          </cell>
          <cell r="AB1754" t="str">
            <v/>
          </cell>
          <cell r="AC1754" t="str">
            <v/>
          </cell>
          <cell r="AD1754" t="str">
            <v>⑩</v>
          </cell>
          <cell r="AE1754" t="str">
            <v/>
          </cell>
          <cell r="AF1754" t="str">
            <v/>
          </cell>
          <cell r="AG1754" t="str">
            <v/>
          </cell>
          <cell r="AH1754" t="str">
            <v/>
          </cell>
          <cell r="AI1754" t="str">
            <v/>
          </cell>
        </row>
        <row r="1755">
          <cell r="B1755">
            <v>9604</v>
          </cell>
          <cell r="C1755">
            <v>96</v>
          </cell>
          <cell r="D1755">
            <v>4</v>
          </cell>
          <cell r="F1755" t="str">
            <v>松江</v>
          </cell>
          <cell r="G1755" t="str">
            <v>屋内消火栓(外観)</v>
          </cell>
          <cell r="H1755" t="str">
            <v>ホーチキ</v>
          </cell>
          <cell r="I1755">
            <v>35000</v>
          </cell>
          <cell r="J1755">
            <v>35700</v>
          </cell>
          <cell r="K1755">
            <v>1</v>
          </cell>
          <cell r="L1755">
            <v>0</v>
          </cell>
          <cell r="M1755">
            <v>0</v>
          </cell>
          <cell r="N1755">
            <v>0</v>
          </cell>
          <cell r="O1755">
            <v>0</v>
          </cell>
          <cell r="P1755">
            <v>0</v>
          </cell>
          <cell r="Q1755">
            <v>0</v>
          </cell>
          <cell r="R1755">
            <v>35700</v>
          </cell>
          <cell r="S1755">
            <v>0</v>
          </cell>
          <cell r="T1755">
            <v>0</v>
          </cell>
          <cell r="U1755">
            <v>0</v>
          </cell>
          <cell r="V1755">
            <v>0</v>
          </cell>
          <cell r="W1755">
            <v>0</v>
          </cell>
          <cell r="X1755" t="str">
            <v/>
          </cell>
          <cell r="Y1755" t="str">
            <v/>
          </cell>
          <cell r="Z1755" t="str">
            <v/>
          </cell>
          <cell r="AA1755" t="str">
            <v/>
          </cell>
          <cell r="AB1755" t="str">
            <v/>
          </cell>
          <cell r="AC1755" t="str">
            <v/>
          </cell>
          <cell r="AD1755" t="str">
            <v>⑩</v>
          </cell>
          <cell r="AE1755" t="str">
            <v/>
          </cell>
          <cell r="AF1755" t="str">
            <v/>
          </cell>
          <cell r="AG1755" t="str">
            <v/>
          </cell>
          <cell r="AH1755" t="str">
            <v/>
          </cell>
          <cell r="AI1755" t="str">
            <v/>
          </cell>
        </row>
        <row r="1756">
          <cell r="B1756">
            <v>9605</v>
          </cell>
          <cell r="C1756">
            <v>96</v>
          </cell>
          <cell r="D1756">
            <v>5</v>
          </cell>
          <cell r="F1756" t="str">
            <v>松江</v>
          </cell>
          <cell r="G1756" t="str">
            <v>屋内消火栓(総合)</v>
          </cell>
          <cell r="H1756" t="str">
            <v>ホーチキ</v>
          </cell>
          <cell r="I1756">
            <v>56000</v>
          </cell>
          <cell r="J1756">
            <v>57120</v>
          </cell>
          <cell r="K1756">
            <v>1</v>
          </cell>
          <cell r="L1756">
            <v>57120</v>
          </cell>
          <cell r="M1756">
            <v>0</v>
          </cell>
          <cell r="N1756">
            <v>0</v>
          </cell>
          <cell r="O1756">
            <v>0</v>
          </cell>
          <cell r="P1756">
            <v>0</v>
          </cell>
          <cell r="Q1756">
            <v>0</v>
          </cell>
          <cell r="R1756">
            <v>0</v>
          </cell>
          <cell r="S1756">
            <v>0</v>
          </cell>
          <cell r="T1756">
            <v>0</v>
          </cell>
          <cell r="U1756">
            <v>0</v>
          </cell>
          <cell r="V1756">
            <v>0</v>
          </cell>
          <cell r="W1756">
            <v>0</v>
          </cell>
          <cell r="X1756" t="str">
            <v>④</v>
          </cell>
          <cell r="Y1756" t="str">
            <v/>
          </cell>
          <cell r="Z1756" t="str">
            <v/>
          </cell>
          <cell r="AA1756" t="str">
            <v/>
          </cell>
          <cell r="AB1756" t="str">
            <v/>
          </cell>
          <cell r="AC1756" t="str">
            <v/>
          </cell>
          <cell r="AD1756" t="str">
            <v/>
          </cell>
          <cell r="AE1756" t="str">
            <v/>
          </cell>
          <cell r="AF1756" t="str">
            <v/>
          </cell>
          <cell r="AG1756" t="str">
            <v/>
          </cell>
          <cell r="AH1756" t="str">
            <v/>
          </cell>
          <cell r="AI1756" t="str">
            <v/>
          </cell>
        </row>
        <row r="1757">
          <cell r="B1757">
            <v>9606</v>
          </cell>
          <cell r="C1757">
            <v>96</v>
          </cell>
          <cell r="D1757">
            <v>6</v>
          </cell>
          <cell r="F1757" t="str">
            <v>松江</v>
          </cell>
          <cell r="G1757" t="str">
            <v>ハロゲン消火(外観)</v>
          </cell>
          <cell r="H1757" t="str">
            <v>ホーチキ</v>
          </cell>
          <cell r="I1757">
            <v>33000</v>
          </cell>
          <cell r="J1757">
            <v>33660</v>
          </cell>
          <cell r="K1757">
            <v>1</v>
          </cell>
          <cell r="L1757">
            <v>0</v>
          </cell>
          <cell r="M1757">
            <v>0</v>
          </cell>
          <cell r="N1757">
            <v>0</v>
          </cell>
          <cell r="O1757">
            <v>0</v>
          </cell>
          <cell r="P1757">
            <v>0</v>
          </cell>
          <cell r="Q1757">
            <v>0</v>
          </cell>
          <cell r="R1757">
            <v>33660</v>
          </cell>
          <cell r="S1757">
            <v>0</v>
          </cell>
          <cell r="T1757">
            <v>0</v>
          </cell>
          <cell r="U1757">
            <v>0</v>
          </cell>
          <cell r="V1757">
            <v>0</v>
          </cell>
          <cell r="W1757">
            <v>0</v>
          </cell>
          <cell r="X1757" t="str">
            <v/>
          </cell>
          <cell r="Y1757" t="str">
            <v/>
          </cell>
          <cell r="Z1757" t="str">
            <v/>
          </cell>
          <cell r="AA1757" t="str">
            <v/>
          </cell>
          <cell r="AB1757" t="str">
            <v/>
          </cell>
          <cell r="AC1757" t="str">
            <v/>
          </cell>
          <cell r="AD1757" t="str">
            <v>⑩</v>
          </cell>
          <cell r="AE1757" t="str">
            <v/>
          </cell>
          <cell r="AF1757" t="str">
            <v/>
          </cell>
          <cell r="AG1757" t="str">
            <v/>
          </cell>
          <cell r="AH1757" t="str">
            <v/>
          </cell>
          <cell r="AI1757" t="str">
            <v/>
          </cell>
        </row>
        <row r="1758">
          <cell r="B1758">
            <v>9607</v>
          </cell>
          <cell r="C1758">
            <v>96</v>
          </cell>
          <cell r="D1758">
            <v>7</v>
          </cell>
          <cell r="F1758" t="str">
            <v>松江</v>
          </cell>
          <cell r="G1758" t="str">
            <v>ハロゲン消火(総合)</v>
          </cell>
          <cell r="H1758" t="str">
            <v>ホーチキ</v>
          </cell>
          <cell r="I1758">
            <v>97000</v>
          </cell>
          <cell r="J1758">
            <v>98940</v>
          </cell>
          <cell r="K1758">
            <v>1</v>
          </cell>
          <cell r="L1758">
            <v>98940</v>
          </cell>
          <cell r="M1758">
            <v>0</v>
          </cell>
          <cell r="N1758">
            <v>0</v>
          </cell>
          <cell r="O1758">
            <v>0</v>
          </cell>
          <cell r="P1758">
            <v>0</v>
          </cell>
          <cell r="Q1758">
            <v>0</v>
          </cell>
          <cell r="R1758">
            <v>0</v>
          </cell>
          <cell r="S1758">
            <v>0</v>
          </cell>
          <cell r="T1758">
            <v>0</v>
          </cell>
          <cell r="U1758">
            <v>0</v>
          </cell>
          <cell r="V1758">
            <v>0</v>
          </cell>
          <cell r="W1758">
            <v>0</v>
          </cell>
          <cell r="X1758" t="str">
            <v>④</v>
          </cell>
          <cell r="Y1758" t="str">
            <v/>
          </cell>
          <cell r="Z1758" t="str">
            <v/>
          </cell>
          <cell r="AA1758" t="str">
            <v/>
          </cell>
          <cell r="AB1758" t="str">
            <v/>
          </cell>
          <cell r="AC1758" t="str">
            <v/>
          </cell>
          <cell r="AD1758" t="str">
            <v/>
          </cell>
          <cell r="AE1758" t="str">
            <v/>
          </cell>
          <cell r="AF1758" t="str">
            <v/>
          </cell>
          <cell r="AG1758" t="str">
            <v/>
          </cell>
          <cell r="AH1758" t="str">
            <v/>
          </cell>
          <cell r="AI1758" t="str">
            <v/>
          </cell>
        </row>
        <row r="1759">
          <cell r="B1759">
            <v>9608</v>
          </cell>
          <cell r="C1759">
            <v>96</v>
          </cell>
          <cell r="D1759">
            <v>8</v>
          </cell>
          <cell r="F1759" t="str">
            <v>松江</v>
          </cell>
          <cell r="G1759" t="str">
            <v>非常放送(外観)</v>
          </cell>
          <cell r="H1759" t="str">
            <v>ホーチキ</v>
          </cell>
          <cell r="I1759">
            <v>25000</v>
          </cell>
          <cell r="J1759">
            <v>25500</v>
          </cell>
          <cell r="K1759">
            <v>1</v>
          </cell>
          <cell r="L1759">
            <v>0</v>
          </cell>
          <cell r="M1759">
            <v>0</v>
          </cell>
          <cell r="N1759">
            <v>0</v>
          </cell>
          <cell r="O1759">
            <v>0</v>
          </cell>
          <cell r="P1759">
            <v>0</v>
          </cell>
          <cell r="Q1759">
            <v>0</v>
          </cell>
          <cell r="R1759">
            <v>25500</v>
          </cell>
          <cell r="S1759">
            <v>0</v>
          </cell>
          <cell r="T1759">
            <v>0</v>
          </cell>
          <cell r="U1759">
            <v>0</v>
          </cell>
          <cell r="V1759">
            <v>0</v>
          </cell>
          <cell r="W1759">
            <v>0</v>
          </cell>
          <cell r="X1759" t="str">
            <v/>
          </cell>
          <cell r="Y1759" t="str">
            <v/>
          </cell>
          <cell r="Z1759" t="str">
            <v/>
          </cell>
          <cell r="AA1759" t="str">
            <v/>
          </cell>
          <cell r="AB1759" t="str">
            <v/>
          </cell>
          <cell r="AC1759" t="str">
            <v/>
          </cell>
          <cell r="AD1759" t="str">
            <v>⑩</v>
          </cell>
          <cell r="AE1759" t="str">
            <v/>
          </cell>
          <cell r="AF1759" t="str">
            <v/>
          </cell>
          <cell r="AG1759" t="str">
            <v/>
          </cell>
          <cell r="AH1759" t="str">
            <v/>
          </cell>
          <cell r="AI1759" t="str">
            <v/>
          </cell>
        </row>
        <row r="1760">
          <cell r="B1760">
            <v>9609</v>
          </cell>
          <cell r="C1760">
            <v>96</v>
          </cell>
          <cell r="D1760">
            <v>9</v>
          </cell>
          <cell r="F1760" t="str">
            <v>松江</v>
          </cell>
          <cell r="G1760" t="str">
            <v>非常放送(総合)</v>
          </cell>
          <cell r="H1760" t="str">
            <v>ホーチキ</v>
          </cell>
          <cell r="I1760">
            <v>50000</v>
          </cell>
          <cell r="J1760">
            <v>51000</v>
          </cell>
          <cell r="K1760">
            <v>1</v>
          </cell>
          <cell r="L1760">
            <v>51000</v>
          </cell>
          <cell r="M1760">
            <v>0</v>
          </cell>
          <cell r="N1760">
            <v>0</v>
          </cell>
          <cell r="O1760">
            <v>0</v>
          </cell>
          <cell r="P1760">
            <v>0</v>
          </cell>
          <cell r="Q1760">
            <v>0</v>
          </cell>
          <cell r="R1760">
            <v>0</v>
          </cell>
          <cell r="S1760">
            <v>0</v>
          </cell>
          <cell r="T1760">
            <v>0</v>
          </cell>
          <cell r="U1760">
            <v>0</v>
          </cell>
          <cell r="V1760">
            <v>0</v>
          </cell>
          <cell r="W1760">
            <v>0</v>
          </cell>
          <cell r="X1760" t="str">
            <v>④</v>
          </cell>
          <cell r="Y1760" t="str">
            <v/>
          </cell>
          <cell r="Z1760" t="str">
            <v/>
          </cell>
          <cell r="AA1760" t="str">
            <v/>
          </cell>
          <cell r="AB1760" t="str">
            <v/>
          </cell>
          <cell r="AC1760" t="str">
            <v/>
          </cell>
          <cell r="AD1760" t="str">
            <v/>
          </cell>
          <cell r="AE1760" t="str">
            <v/>
          </cell>
          <cell r="AF1760" t="str">
            <v/>
          </cell>
          <cell r="AG1760" t="str">
            <v/>
          </cell>
          <cell r="AH1760" t="str">
            <v/>
          </cell>
          <cell r="AI1760" t="str">
            <v/>
          </cell>
        </row>
        <row r="1761">
          <cell r="B1761">
            <v>9610</v>
          </cell>
          <cell r="C1761">
            <v>96</v>
          </cell>
          <cell r="D1761">
            <v>10</v>
          </cell>
          <cell r="F1761" t="str">
            <v>松江</v>
          </cell>
          <cell r="G1761" t="str">
            <v>誘導灯(外観)</v>
          </cell>
          <cell r="H1761" t="str">
            <v>ホーチキ</v>
          </cell>
          <cell r="I1761">
            <v>26000</v>
          </cell>
          <cell r="J1761">
            <v>26520</v>
          </cell>
          <cell r="K1761">
            <v>1</v>
          </cell>
          <cell r="L1761">
            <v>0</v>
          </cell>
          <cell r="M1761">
            <v>0</v>
          </cell>
          <cell r="N1761">
            <v>0</v>
          </cell>
          <cell r="O1761">
            <v>0</v>
          </cell>
          <cell r="P1761">
            <v>0</v>
          </cell>
          <cell r="Q1761">
            <v>0</v>
          </cell>
          <cell r="R1761">
            <v>26520</v>
          </cell>
          <cell r="S1761">
            <v>0</v>
          </cell>
          <cell r="T1761">
            <v>0</v>
          </cell>
          <cell r="U1761">
            <v>0</v>
          </cell>
          <cell r="V1761">
            <v>0</v>
          </cell>
          <cell r="W1761">
            <v>0</v>
          </cell>
          <cell r="X1761" t="str">
            <v/>
          </cell>
          <cell r="Y1761" t="str">
            <v/>
          </cell>
          <cell r="Z1761" t="str">
            <v/>
          </cell>
          <cell r="AA1761" t="str">
            <v/>
          </cell>
          <cell r="AB1761" t="str">
            <v/>
          </cell>
          <cell r="AC1761" t="str">
            <v/>
          </cell>
          <cell r="AD1761" t="str">
            <v>⑩</v>
          </cell>
          <cell r="AE1761" t="str">
            <v/>
          </cell>
          <cell r="AF1761" t="str">
            <v/>
          </cell>
          <cell r="AG1761" t="str">
            <v/>
          </cell>
          <cell r="AH1761" t="str">
            <v/>
          </cell>
          <cell r="AI1761" t="str">
            <v/>
          </cell>
        </row>
        <row r="1762">
          <cell r="B1762">
            <v>9611</v>
          </cell>
          <cell r="C1762">
            <v>96</v>
          </cell>
          <cell r="D1762">
            <v>11</v>
          </cell>
          <cell r="F1762" t="str">
            <v>松江</v>
          </cell>
          <cell r="G1762" t="str">
            <v>誘導灯(総合)</v>
          </cell>
          <cell r="H1762" t="str">
            <v>ホーチキ</v>
          </cell>
          <cell r="I1762">
            <v>31000</v>
          </cell>
          <cell r="J1762">
            <v>31620</v>
          </cell>
          <cell r="K1762">
            <v>1</v>
          </cell>
          <cell r="L1762">
            <v>31620</v>
          </cell>
          <cell r="M1762">
            <v>0</v>
          </cell>
          <cell r="N1762">
            <v>0</v>
          </cell>
          <cell r="O1762">
            <v>0</v>
          </cell>
          <cell r="P1762">
            <v>0</v>
          </cell>
          <cell r="Q1762">
            <v>0</v>
          </cell>
          <cell r="R1762">
            <v>0</v>
          </cell>
          <cell r="S1762">
            <v>0</v>
          </cell>
          <cell r="T1762">
            <v>0</v>
          </cell>
          <cell r="U1762">
            <v>0</v>
          </cell>
          <cell r="V1762">
            <v>0</v>
          </cell>
          <cell r="W1762">
            <v>0</v>
          </cell>
          <cell r="X1762" t="str">
            <v>④</v>
          </cell>
          <cell r="Y1762" t="str">
            <v/>
          </cell>
          <cell r="Z1762" t="str">
            <v/>
          </cell>
          <cell r="AA1762" t="str">
            <v/>
          </cell>
          <cell r="AB1762" t="str">
            <v/>
          </cell>
          <cell r="AC1762" t="str">
            <v/>
          </cell>
          <cell r="AD1762" t="str">
            <v/>
          </cell>
          <cell r="AE1762" t="str">
            <v/>
          </cell>
          <cell r="AF1762" t="str">
            <v/>
          </cell>
          <cell r="AG1762" t="str">
            <v/>
          </cell>
          <cell r="AH1762" t="str">
            <v/>
          </cell>
          <cell r="AI1762" t="str">
            <v/>
          </cell>
        </row>
        <row r="1763">
          <cell r="B1763">
            <v>9612</v>
          </cell>
          <cell r="C1763">
            <v>96</v>
          </cell>
          <cell r="D1763">
            <v>12</v>
          </cell>
          <cell r="F1763" t="str">
            <v>松江</v>
          </cell>
          <cell r="G1763" t="str">
            <v>Ｐ型防排煙制御(外観)</v>
          </cell>
          <cell r="H1763" t="str">
            <v>ホーチキ</v>
          </cell>
          <cell r="I1763">
            <v>44000</v>
          </cell>
          <cell r="J1763">
            <v>44880</v>
          </cell>
          <cell r="K1763">
            <v>1</v>
          </cell>
          <cell r="L1763">
            <v>0</v>
          </cell>
          <cell r="M1763">
            <v>0</v>
          </cell>
          <cell r="N1763">
            <v>0</v>
          </cell>
          <cell r="O1763">
            <v>0</v>
          </cell>
          <cell r="P1763">
            <v>0</v>
          </cell>
          <cell r="Q1763">
            <v>0</v>
          </cell>
          <cell r="R1763">
            <v>44880</v>
          </cell>
          <cell r="S1763">
            <v>0</v>
          </cell>
          <cell r="T1763">
            <v>0</v>
          </cell>
          <cell r="U1763">
            <v>0</v>
          </cell>
          <cell r="V1763">
            <v>0</v>
          </cell>
          <cell r="W1763">
            <v>0</v>
          </cell>
          <cell r="X1763" t="str">
            <v/>
          </cell>
          <cell r="Y1763" t="str">
            <v/>
          </cell>
          <cell r="Z1763" t="str">
            <v/>
          </cell>
          <cell r="AA1763" t="str">
            <v/>
          </cell>
          <cell r="AB1763" t="str">
            <v/>
          </cell>
          <cell r="AC1763" t="str">
            <v/>
          </cell>
          <cell r="AD1763" t="str">
            <v>⑩</v>
          </cell>
          <cell r="AE1763" t="str">
            <v/>
          </cell>
          <cell r="AF1763" t="str">
            <v/>
          </cell>
          <cell r="AG1763" t="str">
            <v/>
          </cell>
          <cell r="AH1763" t="str">
            <v/>
          </cell>
          <cell r="AI1763" t="str">
            <v/>
          </cell>
        </row>
        <row r="1764">
          <cell r="B1764">
            <v>9613</v>
          </cell>
          <cell r="C1764">
            <v>96</v>
          </cell>
          <cell r="D1764">
            <v>13</v>
          </cell>
          <cell r="F1764" t="str">
            <v>松江</v>
          </cell>
          <cell r="G1764" t="str">
            <v>Ｐ型防排煙制御(総合)</v>
          </cell>
          <cell r="H1764" t="str">
            <v>ホーチキ</v>
          </cell>
          <cell r="I1764">
            <v>59000</v>
          </cell>
          <cell r="J1764">
            <v>60180</v>
          </cell>
          <cell r="K1764">
            <v>1</v>
          </cell>
          <cell r="L1764">
            <v>60180</v>
          </cell>
          <cell r="M1764">
            <v>0</v>
          </cell>
          <cell r="N1764">
            <v>0</v>
          </cell>
          <cell r="O1764">
            <v>0</v>
          </cell>
          <cell r="P1764">
            <v>0</v>
          </cell>
          <cell r="Q1764">
            <v>0</v>
          </cell>
          <cell r="R1764">
            <v>0</v>
          </cell>
          <cell r="S1764">
            <v>0</v>
          </cell>
          <cell r="T1764">
            <v>0</v>
          </cell>
          <cell r="U1764">
            <v>0</v>
          </cell>
          <cell r="V1764">
            <v>0</v>
          </cell>
          <cell r="W1764">
            <v>0</v>
          </cell>
          <cell r="X1764" t="str">
            <v>④</v>
          </cell>
          <cell r="Y1764" t="str">
            <v/>
          </cell>
          <cell r="Z1764" t="str">
            <v/>
          </cell>
          <cell r="AA1764" t="str">
            <v/>
          </cell>
          <cell r="AB1764" t="str">
            <v/>
          </cell>
          <cell r="AC1764" t="str">
            <v/>
          </cell>
          <cell r="AD1764" t="str">
            <v/>
          </cell>
          <cell r="AE1764" t="str">
            <v/>
          </cell>
          <cell r="AF1764" t="str">
            <v/>
          </cell>
          <cell r="AG1764" t="str">
            <v/>
          </cell>
          <cell r="AH1764" t="str">
            <v/>
          </cell>
          <cell r="AI1764" t="str">
            <v/>
          </cell>
        </row>
        <row r="1765">
          <cell r="B1765">
            <v>9614</v>
          </cell>
          <cell r="C1765">
            <v>96</v>
          </cell>
          <cell r="D1765">
            <v>14</v>
          </cell>
          <cell r="F1765" t="str">
            <v>松江</v>
          </cell>
          <cell r="G1765" t="str">
            <v>Ｐ型ｶﾞｽ漏火災警報(外観)</v>
          </cell>
          <cell r="H1765" t="str">
            <v>ホーチキ</v>
          </cell>
          <cell r="I1765">
            <v>11000</v>
          </cell>
          <cell r="J1765">
            <v>11220</v>
          </cell>
          <cell r="K1765">
            <v>1</v>
          </cell>
          <cell r="L1765">
            <v>0</v>
          </cell>
          <cell r="M1765">
            <v>0</v>
          </cell>
          <cell r="N1765">
            <v>0</v>
          </cell>
          <cell r="O1765">
            <v>0</v>
          </cell>
          <cell r="P1765">
            <v>0</v>
          </cell>
          <cell r="Q1765">
            <v>0</v>
          </cell>
          <cell r="R1765">
            <v>11220</v>
          </cell>
          <cell r="S1765">
            <v>0</v>
          </cell>
          <cell r="T1765">
            <v>0</v>
          </cell>
          <cell r="U1765">
            <v>0</v>
          </cell>
          <cell r="V1765">
            <v>0</v>
          </cell>
          <cell r="W1765">
            <v>0</v>
          </cell>
          <cell r="X1765" t="str">
            <v/>
          </cell>
          <cell r="Y1765" t="str">
            <v/>
          </cell>
          <cell r="Z1765" t="str">
            <v/>
          </cell>
          <cell r="AA1765" t="str">
            <v/>
          </cell>
          <cell r="AB1765" t="str">
            <v/>
          </cell>
          <cell r="AC1765" t="str">
            <v/>
          </cell>
          <cell r="AD1765" t="str">
            <v>⑩</v>
          </cell>
          <cell r="AE1765" t="str">
            <v/>
          </cell>
          <cell r="AF1765" t="str">
            <v/>
          </cell>
          <cell r="AG1765" t="str">
            <v/>
          </cell>
          <cell r="AH1765" t="str">
            <v/>
          </cell>
          <cell r="AI1765" t="str">
            <v/>
          </cell>
        </row>
        <row r="1766">
          <cell r="B1766">
            <v>9615</v>
          </cell>
          <cell r="C1766">
            <v>96</v>
          </cell>
          <cell r="D1766">
            <v>15</v>
          </cell>
          <cell r="F1766" t="str">
            <v>松江</v>
          </cell>
          <cell r="G1766" t="str">
            <v>Ｐ型ｶﾞｽ漏火災警報(総合)</v>
          </cell>
          <cell r="H1766" t="str">
            <v>ホーチキ</v>
          </cell>
          <cell r="I1766">
            <v>25000</v>
          </cell>
          <cell r="J1766">
            <v>25500</v>
          </cell>
          <cell r="K1766">
            <v>1</v>
          </cell>
          <cell r="L1766">
            <v>25500</v>
          </cell>
          <cell r="M1766">
            <v>0</v>
          </cell>
          <cell r="N1766">
            <v>0</v>
          </cell>
          <cell r="O1766">
            <v>0</v>
          </cell>
          <cell r="P1766">
            <v>0</v>
          </cell>
          <cell r="Q1766">
            <v>0</v>
          </cell>
          <cell r="R1766">
            <v>0</v>
          </cell>
          <cell r="S1766">
            <v>0</v>
          </cell>
          <cell r="T1766">
            <v>0</v>
          </cell>
          <cell r="U1766">
            <v>0</v>
          </cell>
          <cell r="V1766">
            <v>0</v>
          </cell>
          <cell r="W1766">
            <v>0</v>
          </cell>
          <cell r="X1766" t="str">
            <v>④</v>
          </cell>
          <cell r="Y1766" t="str">
            <v/>
          </cell>
          <cell r="Z1766" t="str">
            <v/>
          </cell>
          <cell r="AA1766" t="str">
            <v/>
          </cell>
          <cell r="AB1766" t="str">
            <v/>
          </cell>
          <cell r="AC1766" t="str">
            <v/>
          </cell>
          <cell r="AD1766" t="str">
            <v/>
          </cell>
          <cell r="AE1766" t="str">
            <v/>
          </cell>
          <cell r="AF1766" t="str">
            <v/>
          </cell>
          <cell r="AG1766" t="str">
            <v/>
          </cell>
          <cell r="AH1766" t="str">
            <v/>
          </cell>
          <cell r="AI1766" t="str">
            <v/>
          </cell>
        </row>
        <row r="1767">
          <cell r="B1767">
            <v>9616</v>
          </cell>
          <cell r="C1767">
            <v>96</v>
          </cell>
          <cell r="D1767">
            <v>16</v>
          </cell>
          <cell r="F1767" t="str">
            <v>松江</v>
          </cell>
          <cell r="G1767" t="str">
            <v>Ｐ型自火報(外観)</v>
          </cell>
          <cell r="H1767" t="str">
            <v>ホーチキ</v>
          </cell>
          <cell r="I1767">
            <v>42000</v>
          </cell>
          <cell r="J1767">
            <v>42840</v>
          </cell>
          <cell r="K1767">
            <v>1</v>
          </cell>
          <cell r="L1767">
            <v>0</v>
          </cell>
          <cell r="M1767">
            <v>0</v>
          </cell>
          <cell r="N1767">
            <v>0</v>
          </cell>
          <cell r="O1767">
            <v>0</v>
          </cell>
          <cell r="P1767">
            <v>0</v>
          </cell>
          <cell r="Q1767">
            <v>0</v>
          </cell>
          <cell r="R1767">
            <v>42840</v>
          </cell>
          <cell r="S1767">
            <v>0</v>
          </cell>
          <cell r="T1767">
            <v>0</v>
          </cell>
          <cell r="U1767">
            <v>0</v>
          </cell>
          <cell r="V1767">
            <v>0</v>
          </cell>
          <cell r="W1767">
            <v>0</v>
          </cell>
          <cell r="X1767" t="str">
            <v/>
          </cell>
          <cell r="Y1767" t="str">
            <v/>
          </cell>
          <cell r="Z1767" t="str">
            <v/>
          </cell>
          <cell r="AA1767" t="str">
            <v/>
          </cell>
          <cell r="AB1767" t="str">
            <v/>
          </cell>
          <cell r="AC1767" t="str">
            <v/>
          </cell>
          <cell r="AD1767" t="str">
            <v>⑩</v>
          </cell>
          <cell r="AE1767" t="str">
            <v/>
          </cell>
          <cell r="AF1767" t="str">
            <v/>
          </cell>
          <cell r="AG1767" t="str">
            <v/>
          </cell>
          <cell r="AH1767" t="str">
            <v/>
          </cell>
          <cell r="AI1767" t="str">
            <v/>
          </cell>
        </row>
        <row r="1768">
          <cell r="B1768">
            <v>9617</v>
          </cell>
          <cell r="C1768">
            <v>96</v>
          </cell>
          <cell r="D1768">
            <v>17</v>
          </cell>
          <cell r="F1768" t="str">
            <v>松江</v>
          </cell>
          <cell r="G1768" t="str">
            <v>Ｐ型自火報(総合)</v>
          </cell>
          <cell r="H1768" t="str">
            <v>ホーチキ</v>
          </cell>
          <cell r="I1768">
            <v>104000</v>
          </cell>
          <cell r="J1768">
            <v>106080</v>
          </cell>
          <cell r="K1768">
            <v>1</v>
          </cell>
          <cell r="L1768">
            <v>106080</v>
          </cell>
          <cell r="M1768">
            <v>0</v>
          </cell>
          <cell r="N1768">
            <v>0</v>
          </cell>
          <cell r="O1768">
            <v>0</v>
          </cell>
          <cell r="P1768">
            <v>0</v>
          </cell>
          <cell r="Q1768">
            <v>0</v>
          </cell>
          <cell r="R1768">
            <v>0</v>
          </cell>
          <cell r="S1768">
            <v>0</v>
          </cell>
          <cell r="T1768">
            <v>0</v>
          </cell>
          <cell r="U1768">
            <v>0</v>
          </cell>
          <cell r="V1768">
            <v>0</v>
          </cell>
          <cell r="W1768">
            <v>0</v>
          </cell>
          <cell r="X1768" t="str">
            <v>④</v>
          </cell>
          <cell r="Y1768" t="str">
            <v/>
          </cell>
          <cell r="Z1768" t="str">
            <v/>
          </cell>
          <cell r="AA1768" t="str">
            <v/>
          </cell>
          <cell r="AB1768" t="str">
            <v/>
          </cell>
          <cell r="AC1768" t="str">
            <v/>
          </cell>
          <cell r="AD1768" t="str">
            <v/>
          </cell>
          <cell r="AE1768" t="str">
            <v/>
          </cell>
          <cell r="AF1768" t="str">
            <v/>
          </cell>
          <cell r="AG1768" t="str">
            <v/>
          </cell>
          <cell r="AH1768" t="str">
            <v/>
          </cell>
          <cell r="AI1768" t="str">
            <v/>
          </cell>
        </row>
        <row r="1769">
          <cell r="B1769">
            <v>9618</v>
          </cell>
          <cell r="C1769">
            <v>96</v>
          </cell>
          <cell r="D1769">
            <v>18</v>
          </cell>
          <cell r="F1769" t="str">
            <v>松江</v>
          </cell>
          <cell r="G1769" t="str">
            <v>害虫駆除</v>
          </cell>
          <cell r="H1769" t="str">
            <v>島根東亜建物管理</v>
          </cell>
          <cell r="I1769">
            <v>74700</v>
          </cell>
          <cell r="J1769">
            <v>88730</v>
          </cell>
          <cell r="K1769">
            <v>2</v>
          </cell>
          <cell r="L1769">
            <v>88730</v>
          </cell>
          <cell r="M1769">
            <v>0</v>
          </cell>
          <cell r="N1769">
            <v>0</v>
          </cell>
          <cell r="O1769">
            <v>0</v>
          </cell>
          <cell r="P1769">
            <v>0</v>
          </cell>
          <cell r="Q1769">
            <v>0</v>
          </cell>
          <cell r="R1769">
            <v>88730</v>
          </cell>
          <cell r="S1769">
            <v>0</v>
          </cell>
          <cell r="T1769">
            <v>0</v>
          </cell>
          <cell r="U1769">
            <v>0</v>
          </cell>
          <cell r="V1769">
            <v>0</v>
          </cell>
          <cell r="W1769">
            <v>0</v>
          </cell>
          <cell r="X1769" t="str">
            <v>④</v>
          </cell>
          <cell r="Y1769" t="str">
            <v/>
          </cell>
          <cell r="Z1769" t="str">
            <v/>
          </cell>
          <cell r="AA1769" t="str">
            <v/>
          </cell>
          <cell r="AB1769" t="str">
            <v/>
          </cell>
          <cell r="AC1769" t="str">
            <v/>
          </cell>
          <cell r="AD1769" t="str">
            <v>⑩</v>
          </cell>
          <cell r="AE1769" t="str">
            <v/>
          </cell>
          <cell r="AF1769" t="str">
            <v/>
          </cell>
          <cell r="AG1769" t="str">
            <v/>
          </cell>
          <cell r="AH1769" t="str">
            <v/>
          </cell>
          <cell r="AI1769" t="str">
            <v/>
          </cell>
          <cell r="AJ1769" t="str">
            <v>変</v>
          </cell>
        </row>
        <row r="1770">
          <cell r="B1770">
            <v>9619</v>
          </cell>
          <cell r="C1770">
            <v>96</v>
          </cell>
          <cell r="D1770">
            <v>19</v>
          </cell>
          <cell r="F1770" t="str">
            <v>松江</v>
          </cell>
          <cell r="G1770" t="str">
            <v>汚水槽清掃</v>
          </cell>
          <cell r="H1770" t="str">
            <v>島根東亜建物管理</v>
          </cell>
          <cell r="I1770">
            <v>55000</v>
          </cell>
          <cell r="J1770">
            <v>61600</v>
          </cell>
          <cell r="K1770">
            <v>2</v>
          </cell>
          <cell r="L1770">
            <v>61600</v>
          </cell>
          <cell r="M1770">
            <v>0</v>
          </cell>
          <cell r="N1770">
            <v>0</v>
          </cell>
          <cell r="O1770">
            <v>0</v>
          </cell>
          <cell r="P1770">
            <v>0</v>
          </cell>
          <cell r="Q1770">
            <v>0</v>
          </cell>
          <cell r="R1770">
            <v>61600</v>
          </cell>
          <cell r="S1770">
            <v>0</v>
          </cell>
          <cell r="T1770">
            <v>0</v>
          </cell>
          <cell r="U1770">
            <v>0</v>
          </cell>
          <cell r="V1770">
            <v>0</v>
          </cell>
          <cell r="W1770">
            <v>0</v>
          </cell>
          <cell r="X1770" t="str">
            <v>④</v>
          </cell>
          <cell r="Y1770" t="str">
            <v/>
          </cell>
          <cell r="Z1770" t="str">
            <v/>
          </cell>
          <cell r="AA1770" t="str">
            <v/>
          </cell>
          <cell r="AB1770" t="str">
            <v/>
          </cell>
          <cell r="AC1770" t="str">
            <v/>
          </cell>
          <cell r="AD1770" t="str">
            <v>⑩</v>
          </cell>
          <cell r="AE1770" t="str">
            <v/>
          </cell>
          <cell r="AF1770" t="str">
            <v/>
          </cell>
          <cell r="AG1770" t="str">
            <v/>
          </cell>
          <cell r="AH1770" t="str">
            <v/>
          </cell>
          <cell r="AI1770" t="str">
            <v/>
          </cell>
        </row>
        <row r="1771">
          <cell r="B1771">
            <v>9620</v>
          </cell>
          <cell r="C1771">
            <v>96</v>
          </cell>
          <cell r="D1771">
            <v>20</v>
          </cell>
          <cell r="F1771" t="str">
            <v>松江</v>
          </cell>
          <cell r="G1771" t="str">
            <v>貯水槽清掃</v>
          </cell>
          <cell r="H1771" t="str">
            <v>島根東亜建物管理</v>
          </cell>
          <cell r="I1771">
            <v>78000</v>
          </cell>
          <cell r="J1771">
            <v>88140</v>
          </cell>
          <cell r="K1771">
            <v>1</v>
          </cell>
          <cell r="L1771">
            <v>0</v>
          </cell>
          <cell r="M1771">
            <v>0</v>
          </cell>
          <cell r="N1771">
            <v>0</v>
          </cell>
          <cell r="O1771">
            <v>0</v>
          </cell>
          <cell r="P1771">
            <v>0</v>
          </cell>
          <cell r="Q1771">
            <v>88140</v>
          </cell>
          <cell r="R1771">
            <v>0</v>
          </cell>
          <cell r="S1771">
            <v>0</v>
          </cell>
          <cell r="T1771">
            <v>0</v>
          </cell>
          <cell r="U1771">
            <v>0</v>
          </cell>
          <cell r="V1771">
            <v>0</v>
          </cell>
          <cell r="W1771">
            <v>0</v>
          </cell>
          <cell r="X1771" t="str">
            <v/>
          </cell>
          <cell r="Y1771" t="str">
            <v/>
          </cell>
          <cell r="Z1771" t="str">
            <v/>
          </cell>
          <cell r="AA1771" t="str">
            <v/>
          </cell>
          <cell r="AB1771" t="str">
            <v/>
          </cell>
          <cell r="AC1771" t="str">
            <v>⑨</v>
          </cell>
          <cell r="AD1771" t="str">
            <v/>
          </cell>
          <cell r="AE1771" t="str">
            <v/>
          </cell>
          <cell r="AF1771" t="str">
            <v/>
          </cell>
          <cell r="AG1771" t="str">
            <v/>
          </cell>
          <cell r="AH1771" t="str">
            <v/>
          </cell>
          <cell r="AI1771" t="str">
            <v/>
          </cell>
        </row>
        <row r="1772">
          <cell r="B1772">
            <v>9621</v>
          </cell>
          <cell r="C1772">
            <v>96</v>
          </cell>
          <cell r="D1772">
            <v>21</v>
          </cell>
          <cell r="F1772" t="str">
            <v>松江</v>
          </cell>
          <cell r="G1772" t="str">
            <v>空調機設備保守</v>
          </cell>
          <cell r="H1772" t="str">
            <v>三菱電機ﾋﾞﾙﾃｸﾉｻｰﾋﾞｽ</v>
          </cell>
          <cell r="I1772">
            <v>180000</v>
          </cell>
          <cell r="J1772">
            <v>183600</v>
          </cell>
          <cell r="K1772">
            <v>4</v>
          </cell>
          <cell r="L1772">
            <v>0</v>
          </cell>
          <cell r="M1772">
            <v>0</v>
          </cell>
          <cell r="N1772">
            <v>183600</v>
          </cell>
          <cell r="O1772">
            <v>0</v>
          </cell>
          <cell r="P1772">
            <v>0</v>
          </cell>
          <cell r="Q1772">
            <v>183600</v>
          </cell>
          <cell r="R1772">
            <v>0</v>
          </cell>
          <cell r="S1772">
            <v>183600</v>
          </cell>
          <cell r="T1772">
            <v>0</v>
          </cell>
          <cell r="U1772">
            <v>0</v>
          </cell>
          <cell r="V1772">
            <v>0</v>
          </cell>
          <cell r="W1772">
            <v>183600</v>
          </cell>
          <cell r="X1772" t="str">
            <v/>
          </cell>
          <cell r="Y1772" t="str">
            <v/>
          </cell>
          <cell r="Z1772" t="str">
            <v>⑥</v>
          </cell>
          <cell r="AA1772" t="str">
            <v/>
          </cell>
          <cell r="AB1772" t="str">
            <v/>
          </cell>
          <cell r="AC1772" t="str">
            <v>⑨</v>
          </cell>
          <cell r="AD1772" t="str">
            <v/>
          </cell>
          <cell r="AE1772" t="str">
            <v>⑪</v>
          </cell>
          <cell r="AF1772" t="str">
            <v/>
          </cell>
          <cell r="AG1772" t="str">
            <v/>
          </cell>
          <cell r="AH1772" t="str">
            <v/>
          </cell>
          <cell r="AI1772" t="str">
            <v>③</v>
          </cell>
        </row>
        <row r="1773">
          <cell r="B1773">
            <v>9622</v>
          </cell>
          <cell r="C1773">
            <v>96</v>
          </cell>
          <cell r="D1773">
            <v>22</v>
          </cell>
          <cell r="F1773" t="str">
            <v>松江</v>
          </cell>
          <cell r="G1773" t="str">
            <v>植栽管理</v>
          </cell>
          <cell r="H1773" t="str">
            <v>足立農園</v>
          </cell>
          <cell r="I1773">
            <v>71000</v>
          </cell>
          <cell r="J1773">
            <v>72420</v>
          </cell>
          <cell r="K1773">
            <v>1</v>
          </cell>
          <cell r="L1773">
            <v>0</v>
          </cell>
          <cell r="M1773">
            <v>0</v>
          </cell>
          <cell r="N1773">
            <v>0</v>
          </cell>
          <cell r="O1773">
            <v>0</v>
          </cell>
          <cell r="P1773">
            <v>0</v>
          </cell>
          <cell r="Q1773">
            <v>0</v>
          </cell>
          <cell r="R1773">
            <v>0</v>
          </cell>
          <cell r="S1773">
            <v>0</v>
          </cell>
          <cell r="T1773">
            <v>0</v>
          </cell>
          <cell r="U1773">
            <v>0</v>
          </cell>
          <cell r="V1773">
            <v>0</v>
          </cell>
          <cell r="W1773">
            <v>72420</v>
          </cell>
          <cell r="X1773" t="str">
            <v/>
          </cell>
          <cell r="Y1773" t="str">
            <v/>
          </cell>
          <cell r="Z1773" t="str">
            <v/>
          </cell>
          <cell r="AA1773" t="str">
            <v/>
          </cell>
          <cell r="AB1773" t="str">
            <v/>
          </cell>
          <cell r="AC1773" t="str">
            <v/>
          </cell>
          <cell r="AD1773" t="str">
            <v/>
          </cell>
          <cell r="AE1773" t="str">
            <v/>
          </cell>
          <cell r="AF1773" t="str">
            <v/>
          </cell>
          <cell r="AG1773" t="str">
            <v/>
          </cell>
          <cell r="AH1773" t="str">
            <v/>
          </cell>
          <cell r="AI1773" t="str">
            <v>③</v>
          </cell>
        </row>
        <row r="1774">
          <cell r="B1774">
            <v>9701</v>
          </cell>
          <cell r="C1774">
            <v>97</v>
          </cell>
          <cell r="D1774">
            <v>1</v>
          </cell>
          <cell r="F1774" t="str">
            <v>岡山</v>
          </cell>
          <cell r="G1774" t="str">
            <v>駐車場設備保守</v>
          </cell>
          <cell r="H1774" t="str">
            <v>三菱重工ﾊﾟｰｷﾝｸﾞ建設</v>
          </cell>
          <cell r="I1774">
            <v>172000</v>
          </cell>
          <cell r="J1774">
            <v>175440</v>
          </cell>
          <cell r="K1774">
            <v>12</v>
          </cell>
          <cell r="L1774">
            <v>175440</v>
          </cell>
          <cell r="M1774">
            <v>175440</v>
          </cell>
          <cell r="N1774">
            <v>175440</v>
          </cell>
          <cell r="O1774">
            <v>175440</v>
          </cell>
          <cell r="P1774">
            <v>175440</v>
          </cell>
          <cell r="Q1774">
            <v>175440</v>
          </cell>
          <cell r="R1774">
            <v>175440</v>
          </cell>
          <cell r="S1774">
            <v>175440</v>
          </cell>
          <cell r="T1774">
            <v>175440</v>
          </cell>
          <cell r="U1774">
            <v>175440</v>
          </cell>
          <cell r="V1774">
            <v>175440</v>
          </cell>
          <cell r="W1774">
            <v>175440</v>
          </cell>
          <cell r="X1774" t="str">
            <v>④</v>
          </cell>
          <cell r="Y1774" t="str">
            <v>⑤</v>
          </cell>
          <cell r="Z1774" t="str">
            <v>⑥</v>
          </cell>
          <cell r="AA1774" t="str">
            <v>⑦</v>
          </cell>
          <cell r="AB1774" t="str">
            <v>⑧</v>
          </cell>
          <cell r="AC1774" t="str">
            <v>⑨</v>
          </cell>
          <cell r="AD1774" t="str">
            <v>⑩</v>
          </cell>
          <cell r="AE1774" t="str">
            <v>⑪</v>
          </cell>
          <cell r="AF1774" t="str">
            <v>⑫</v>
          </cell>
          <cell r="AG1774" t="str">
            <v>①</v>
          </cell>
          <cell r="AH1774" t="str">
            <v>②</v>
          </cell>
          <cell r="AI1774" t="str">
            <v>③</v>
          </cell>
        </row>
        <row r="1775">
          <cell r="B1775">
            <v>9702</v>
          </cell>
          <cell r="C1775">
            <v>97</v>
          </cell>
          <cell r="D1775">
            <v>2</v>
          </cell>
          <cell r="F1775" t="str">
            <v>岡山</v>
          </cell>
          <cell r="G1775" t="str">
            <v>エレベーター保守</v>
          </cell>
          <cell r="H1775" t="str">
            <v>三菱電機ﾋﾞﾙﾃｸﾉｻｰﾋﾞｽ</v>
          </cell>
          <cell r="I1775">
            <v>141400</v>
          </cell>
          <cell r="J1775">
            <v>144228</v>
          </cell>
          <cell r="K1775">
            <v>12</v>
          </cell>
          <cell r="L1775">
            <v>144228</v>
          </cell>
          <cell r="M1775">
            <v>144228</v>
          </cell>
          <cell r="N1775">
            <v>144228</v>
          </cell>
          <cell r="O1775">
            <v>144228</v>
          </cell>
          <cell r="P1775">
            <v>144228</v>
          </cell>
          <cell r="Q1775">
            <v>144228</v>
          </cell>
          <cell r="R1775">
            <v>144228</v>
          </cell>
          <cell r="S1775">
            <v>144228</v>
          </cell>
          <cell r="T1775">
            <v>144228</v>
          </cell>
          <cell r="U1775">
            <v>144228</v>
          </cell>
          <cell r="V1775">
            <v>144228</v>
          </cell>
          <cell r="W1775">
            <v>144228</v>
          </cell>
          <cell r="X1775" t="str">
            <v>④</v>
          </cell>
          <cell r="Y1775" t="str">
            <v>⑤</v>
          </cell>
          <cell r="Z1775" t="str">
            <v>⑥</v>
          </cell>
          <cell r="AA1775" t="str">
            <v>⑦</v>
          </cell>
          <cell r="AB1775" t="str">
            <v>⑧</v>
          </cell>
          <cell r="AC1775" t="str">
            <v>⑨</v>
          </cell>
          <cell r="AD1775" t="str">
            <v>⑩</v>
          </cell>
          <cell r="AE1775" t="str">
            <v>⑪</v>
          </cell>
          <cell r="AF1775" t="str">
            <v>⑫</v>
          </cell>
          <cell r="AG1775" t="str">
            <v>①</v>
          </cell>
          <cell r="AH1775" t="str">
            <v>②</v>
          </cell>
          <cell r="AI1775" t="str">
            <v>③</v>
          </cell>
        </row>
        <row r="1776">
          <cell r="B1776">
            <v>9703</v>
          </cell>
          <cell r="C1776">
            <v>97</v>
          </cell>
          <cell r="D1776">
            <v>3</v>
          </cell>
          <cell r="F1776" t="str">
            <v>岡山</v>
          </cell>
          <cell r="G1776" t="str">
            <v>消防設備点検保守(外観機能)</v>
          </cell>
          <cell r="H1776" t="str">
            <v>ホーチキ</v>
          </cell>
          <cell r="I1776">
            <v>240400</v>
          </cell>
          <cell r="J1776">
            <v>245208</v>
          </cell>
          <cell r="K1776">
            <v>1</v>
          </cell>
          <cell r="L1776">
            <v>0</v>
          </cell>
          <cell r="M1776">
            <v>0</v>
          </cell>
          <cell r="N1776">
            <v>0</v>
          </cell>
          <cell r="O1776">
            <v>0</v>
          </cell>
          <cell r="P1776">
            <v>0</v>
          </cell>
          <cell r="Q1776">
            <v>0</v>
          </cell>
          <cell r="R1776">
            <v>245208</v>
          </cell>
          <cell r="S1776">
            <v>0</v>
          </cell>
          <cell r="T1776">
            <v>0</v>
          </cell>
          <cell r="U1776">
            <v>0</v>
          </cell>
          <cell r="V1776">
            <v>0</v>
          </cell>
          <cell r="W1776">
            <v>0</v>
          </cell>
          <cell r="X1776" t="str">
            <v/>
          </cell>
          <cell r="Y1776" t="str">
            <v/>
          </cell>
          <cell r="Z1776" t="str">
            <v/>
          </cell>
          <cell r="AA1776" t="str">
            <v/>
          </cell>
          <cell r="AB1776" t="str">
            <v/>
          </cell>
          <cell r="AC1776" t="str">
            <v/>
          </cell>
          <cell r="AD1776" t="str">
            <v>⑩</v>
          </cell>
          <cell r="AE1776" t="str">
            <v/>
          </cell>
          <cell r="AF1776" t="str">
            <v/>
          </cell>
          <cell r="AG1776" t="str">
            <v/>
          </cell>
          <cell r="AH1776" t="str">
            <v/>
          </cell>
          <cell r="AI1776" t="str">
            <v/>
          </cell>
        </row>
        <row r="1777">
          <cell r="B1777">
            <v>9704</v>
          </cell>
          <cell r="C1777">
            <v>97</v>
          </cell>
          <cell r="D1777">
            <v>4</v>
          </cell>
          <cell r="F1777" t="str">
            <v>岡山</v>
          </cell>
          <cell r="G1777" t="str">
            <v>消防設備点検保守(総合)</v>
          </cell>
          <cell r="H1777" t="str">
            <v>ホーチキ</v>
          </cell>
          <cell r="I1777">
            <v>394400</v>
          </cell>
          <cell r="J1777">
            <v>402288</v>
          </cell>
          <cell r="K1777">
            <v>1</v>
          </cell>
          <cell r="L1777">
            <v>402288</v>
          </cell>
          <cell r="M1777">
            <v>0</v>
          </cell>
          <cell r="N1777">
            <v>0</v>
          </cell>
          <cell r="O1777">
            <v>0</v>
          </cell>
          <cell r="P1777">
            <v>0</v>
          </cell>
          <cell r="Q1777">
            <v>0</v>
          </cell>
          <cell r="R1777">
            <v>0</v>
          </cell>
          <cell r="S1777">
            <v>0</v>
          </cell>
          <cell r="T1777">
            <v>0</v>
          </cell>
          <cell r="U1777">
            <v>0</v>
          </cell>
          <cell r="V1777">
            <v>0</v>
          </cell>
          <cell r="W1777">
            <v>0</v>
          </cell>
          <cell r="X1777" t="str">
            <v>④</v>
          </cell>
          <cell r="Y1777" t="str">
            <v/>
          </cell>
          <cell r="Z1777" t="str">
            <v/>
          </cell>
          <cell r="AA1777" t="str">
            <v/>
          </cell>
          <cell r="AB1777" t="str">
            <v/>
          </cell>
          <cell r="AC1777" t="str">
            <v/>
          </cell>
          <cell r="AD1777" t="str">
            <v/>
          </cell>
          <cell r="AE1777" t="str">
            <v/>
          </cell>
          <cell r="AF1777" t="str">
            <v/>
          </cell>
          <cell r="AG1777" t="str">
            <v/>
          </cell>
          <cell r="AH1777" t="str">
            <v/>
          </cell>
          <cell r="AI1777" t="str">
            <v/>
          </cell>
        </row>
        <row r="1778">
          <cell r="B1778">
            <v>9705</v>
          </cell>
          <cell r="C1778">
            <v>97</v>
          </cell>
          <cell r="D1778">
            <v>5</v>
          </cell>
          <cell r="F1778" t="str">
            <v>岡山</v>
          </cell>
          <cell r="G1778" t="str">
            <v>空調機設備保守</v>
          </cell>
          <cell r="H1778" t="str">
            <v>三菱電機ﾋﾞﾙﾃｸﾉｻｰﾋﾞｽ</v>
          </cell>
          <cell r="I1778">
            <v>125000</v>
          </cell>
          <cell r="J1778">
            <v>127500</v>
          </cell>
          <cell r="K1778">
            <v>4</v>
          </cell>
          <cell r="L1778">
            <v>0</v>
          </cell>
          <cell r="M1778">
            <v>0</v>
          </cell>
          <cell r="N1778">
            <v>0</v>
          </cell>
          <cell r="O1778">
            <v>127500</v>
          </cell>
          <cell r="P1778">
            <v>0</v>
          </cell>
          <cell r="Q1778">
            <v>0</v>
          </cell>
          <cell r="R1778">
            <v>127500</v>
          </cell>
          <cell r="S1778">
            <v>0</v>
          </cell>
          <cell r="T1778">
            <v>0</v>
          </cell>
          <cell r="U1778">
            <v>127500</v>
          </cell>
          <cell r="V1778">
            <v>0</v>
          </cell>
          <cell r="W1778">
            <v>127500</v>
          </cell>
          <cell r="X1778" t="str">
            <v/>
          </cell>
          <cell r="Y1778" t="str">
            <v/>
          </cell>
          <cell r="Z1778" t="str">
            <v/>
          </cell>
          <cell r="AA1778" t="str">
            <v>⑦</v>
          </cell>
          <cell r="AB1778" t="str">
            <v/>
          </cell>
          <cell r="AC1778" t="str">
            <v/>
          </cell>
          <cell r="AD1778" t="str">
            <v>⑩</v>
          </cell>
          <cell r="AE1778" t="str">
            <v/>
          </cell>
          <cell r="AF1778" t="str">
            <v/>
          </cell>
          <cell r="AG1778" t="str">
            <v>①</v>
          </cell>
          <cell r="AH1778" t="str">
            <v/>
          </cell>
          <cell r="AI1778" t="str">
            <v>③</v>
          </cell>
        </row>
        <row r="1779">
          <cell r="B1779">
            <v>9706</v>
          </cell>
          <cell r="C1779">
            <v>97</v>
          </cell>
          <cell r="D1779">
            <v>6</v>
          </cell>
          <cell r="F1779" t="str">
            <v>岡山</v>
          </cell>
          <cell r="G1779" t="str">
            <v>貯水槽清掃</v>
          </cell>
          <cell r="H1779" t="str">
            <v>山陽セフティ</v>
          </cell>
          <cell r="I1779">
            <v>79100</v>
          </cell>
          <cell r="J1779">
            <v>79100</v>
          </cell>
          <cell r="K1779">
            <v>1</v>
          </cell>
          <cell r="L1779">
            <v>0</v>
          </cell>
          <cell r="M1779">
            <v>0</v>
          </cell>
          <cell r="N1779">
            <v>79100</v>
          </cell>
          <cell r="O1779">
            <v>0</v>
          </cell>
          <cell r="P1779">
            <v>0</v>
          </cell>
          <cell r="Q1779">
            <v>0</v>
          </cell>
          <cell r="R1779">
            <v>0</v>
          </cell>
          <cell r="S1779">
            <v>0</v>
          </cell>
          <cell r="T1779">
            <v>0</v>
          </cell>
          <cell r="U1779">
            <v>0</v>
          </cell>
          <cell r="V1779">
            <v>0</v>
          </cell>
          <cell r="W1779">
            <v>0</v>
          </cell>
          <cell r="X1779" t="str">
            <v/>
          </cell>
          <cell r="Y1779" t="str">
            <v/>
          </cell>
          <cell r="Z1779" t="str">
            <v>⑥</v>
          </cell>
          <cell r="AA1779" t="str">
            <v/>
          </cell>
          <cell r="AB1779" t="str">
            <v/>
          </cell>
          <cell r="AC1779" t="str">
            <v/>
          </cell>
          <cell r="AD1779" t="str">
            <v/>
          </cell>
          <cell r="AE1779" t="str">
            <v/>
          </cell>
          <cell r="AF1779" t="str">
            <v/>
          </cell>
          <cell r="AG1779" t="str">
            <v/>
          </cell>
          <cell r="AH1779" t="str">
            <v/>
          </cell>
          <cell r="AI1779" t="str">
            <v/>
          </cell>
        </row>
        <row r="1780">
          <cell r="B1780">
            <v>9707</v>
          </cell>
          <cell r="C1780">
            <v>97</v>
          </cell>
          <cell r="D1780">
            <v>7</v>
          </cell>
          <cell r="F1780" t="str">
            <v>岡山</v>
          </cell>
          <cell r="G1780" t="str">
            <v>害虫駆除</v>
          </cell>
          <cell r="H1780" t="str">
            <v>山陽セフティ</v>
          </cell>
          <cell r="I1780">
            <v>80000</v>
          </cell>
          <cell r="J1780">
            <v>94000</v>
          </cell>
          <cell r="K1780">
            <v>2</v>
          </cell>
          <cell r="L1780">
            <v>0</v>
          </cell>
          <cell r="M1780">
            <v>0</v>
          </cell>
          <cell r="N1780">
            <v>0</v>
          </cell>
          <cell r="O1780">
            <v>94000</v>
          </cell>
          <cell r="P1780">
            <v>0</v>
          </cell>
          <cell r="Q1780">
            <v>0</v>
          </cell>
          <cell r="R1780">
            <v>0</v>
          </cell>
          <cell r="S1780">
            <v>0</v>
          </cell>
          <cell r="T1780">
            <v>0</v>
          </cell>
          <cell r="U1780">
            <v>94000</v>
          </cell>
          <cell r="V1780">
            <v>0</v>
          </cell>
          <cell r="W1780">
            <v>0</v>
          </cell>
          <cell r="X1780" t="str">
            <v/>
          </cell>
          <cell r="Y1780" t="str">
            <v/>
          </cell>
          <cell r="Z1780" t="str">
            <v/>
          </cell>
          <cell r="AA1780" t="str">
            <v>⑦</v>
          </cell>
          <cell r="AB1780" t="str">
            <v/>
          </cell>
          <cell r="AC1780" t="str">
            <v/>
          </cell>
          <cell r="AD1780" t="str">
            <v/>
          </cell>
          <cell r="AE1780" t="str">
            <v/>
          </cell>
          <cell r="AF1780" t="str">
            <v/>
          </cell>
          <cell r="AG1780" t="str">
            <v>①</v>
          </cell>
          <cell r="AH1780" t="str">
            <v/>
          </cell>
          <cell r="AI1780" t="str">
            <v/>
          </cell>
          <cell r="AJ1780" t="str">
            <v>変</v>
          </cell>
        </row>
        <row r="1781">
          <cell r="B1781">
            <v>9708</v>
          </cell>
          <cell r="C1781">
            <v>97</v>
          </cell>
          <cell r="D1781">
            <v>8</v>
          </cell>
          <cell r="F1781" t="str">
            <v>岡山</v>
          </cell>
          <cell r="G1781" t="str">
            <v>植栽管理</v>
          </cell>
          <cell r="H1781" t="str">
            <v>丸中</v>
          </cell>
          <cell r="I1781">
            <v>30000</v>
          </cell>
          <cell r="J1781">
            <v>34500</v>
          </cell>
          <cell r="K1781">
            <v>1</v>
          </cell>
          <cell r="L1781">
            <v>0</v>
          </cell>
          <cell r="M1781">
            <v>0</v>
          </cell>
          <cell r="N1781">
            <v>0</v>
          </cell>
          <cell r="O1781">
            <v>0</v>
          </cell>
          <cell r="P1781">
            <v>34500</v>
          </cell>
          <cell r="Q1781">
            <v>0</v>
          </cell>
          <cell r="R1781">
            <v>0</v>
          </cell>
          <cell r="S1781">
            <v>0</v>
          </cell>
          <cell r="T1781">
            <v>0</v>
          </cell>
          <cell r="U1781">
            <v>0</v>
          </cell>
          <cell r="V1781">
            <v>0</v>
          </cell>
          <cell r="W1781">
            <v>0</v>
          </cell>
          <cell r="X1781" t="str">
            <v/>
          </cell>
          <cell r="Y1781" t="str">
            <v/>
          </cell>
          <cell r="Z1781" t="str">
            <v/>
          </cell>
          <cell r="AA1781" t="str">
            <v/>
          </cell>
          <cell r="AB1781" t="str">
            <v>⑧</v>
          </cell>
          <cell r="AC1781" t="str">
            <v/>
          </cell>
          <cell r="AD1781" t="str">
            <v/>
          </cell>
          <cell r="AE1781" t="str">
            <v/>
          </cell>
          <cell r="AF1781" t="str">
            <v/>
          </cell>
          <cell r="AG1781" t="str">
            <v/>
          </cell>
          <cell r="AH1781" t="str">
            <v/>
          </cell>
          <cell r="AI1781" t="str">
            <v/>
          </cell>
          <cell r="AJ1781" t="str">
            <v>追</v>
          </cell>
        </row>
        <row r="1782">
          <cell r="B1782">
            <v>9801</v>
          </cell>
          <cell r="C1782">
            <v>98</v>
          </cell>
          <cell r="D1782">
            <v>1</v>
          </cell>
          <cell r="F1782" t="str">
            <v>広島</v>
          </cell>
          <cell r="G1782" t="str">
            <v>駐車場設備保守</v>
          </cell>
          <cell r="H1782" t="str">
            <v>三菱重工ﾊﾟｰｷﾝｸﾞ建設</v>
          </cell>
          <cell r="I1782">
            <v>204000</v>
          </cell>
          <cell r="J1782">
            <v>208080</v>
          </cell>
          <cell r="K1782">
            <v>12</v>
          </cell>
          <cell r="L1782">
            <v>208080</v>
          </cell>
          <cell r="M1782">
            <v>208080</v>
          </cell>
          <cell r="N1782">
            <v>208080</v>
          </cell>
          <cell r="O1782">
            <v>208080</v>
          </cell>
          <cell r="P1782">
            <v>208080</v>
          </cell>
          <cell r="Q1782">
            <v>208080</v>
          </cell>
          <cell r="R1782">
            <v>208080</v>
          </cell>
          <cell r="S1782">
            <v>208080</v>
          </cell>
          <cell r="T1782">
            <v>208080</v>
          </cell>
          <cell r="U1782">
            <v>208080</v>
          </cell>
          <cell r="V1782">
            <v>208080</v>
          </cell>
          <cell r="W1782">
            <v>208080</v>
          </cell>
          <cell r="X1782" t="str">
            <v>④</v>
          </cell>
          <cell r="Y1782" t="str">
            <v>⑤</v>
          </cell>
          <cell r="Z1782" t="str">
            <v>⑥</v>
          </cell>
          <cell r="AA1782" t="str">
            <v>⑦</v>
          </cell>
          <cell r="AB1782" t="str">
            <v>⑧</v>
          </cell>
          <cell r="AC1782" t="str">
            <v>⑨</v>
          </cell>
          <cell r="AD1782" t="str">
            <v>⑩</v>
          </cell>
          <cell r="AE1782" t="str">
            <v>⑪</v>
          </cell>
          <cell r="AF1782" t="str">
            <v>⑫</v>
          </cell>
          <cell r="AG1782" t="str">
            <v>①</v>
          </cell>
          <cell r="AH1782" t="str">
            <v>②</v>
          </cell>
          <cell r="AI1782" t="str">
            <v>③</v>
          </cell>
        </row>
        <row r="1783">
          <cell r="B1783">
            <v>9802</v>
          </cell>
          <cell r="C1783">
            <v>98</v>
          </cell>
          <cell r="D1783">
            <v>2</v>
          </cell>
          <cell r="F1783" t="str">
            <v>広島</v>
          </cell>
          <cell r="G1783" t="str">
            <v>エレベーター保守</v>
          </cell>
          <cell r="H1783" t="str">
            <v>三菱電機ﾋﾞﾙﾃｸﾉｻｰﾋﾞｽ</v>
          </cell>
          <cell r="I1783">
            <v>266800</v>
          </cell>
          <cell r="J1783">
            <v>272136</v>
          </cell>
          <cell r="K1783">
            <v>12</v>
          </cell>
          <cell r="L1783">
            <v>272136</v>
          </cell>
          <cell r="M1783">
            <v>272136</v>
          </cell>
          <cell r="N1783">
            <v>272136</v>
          </cell>
          <cell r="O1783">
            <v>272136</v>
          </cell>
          <cell r="P1783">
            <v>272136</v>
          </cell>
          <cell r="Q1783">
            <v>272136</v>
          </cell>
          <cell r="R1783">
            <v>272136</v>
          </cell>
          <cell r="S1783">
            <v>272136</v>
          </cell>
          <cell r="T1783">
            <v>272136</v>
          </cell>
          <cell r="U1783">
            <v>272136</v>
          </cell>
          <cell r="V1783">
            <v>272136</v>
          </cell>
          <cell r="W1783">
            <v>272136</v>
          </cell>
          <cell r="X1783" t="str">
            <v>④</v>
          </cell>
          <cell r="Y1783" t="str">
            <v>⑤</v>
          </cell>
          <cell r="Z1783" t="str">
            <v>⑥</v>
          </cell>
          <cell r="AA1783" t="str">
            <v>⑦</v>
          </cell>
          <cell r="AB1783" t="str">
            <v>⑧</v>
          </cell>
          <cell r="AC1783" t="str">
            <v>⑨</v>
          </cell>
          <cell r="AD1783" t="str">
            <v>⑩</v>
          </cell>
          <cell r="AE1783" t="str">
            <v>⑪</v>
          </cell>
          <cell r="AF1783" t="str">
            <v>⑫</v>
          </cell>
          <cell r="AG1783" t="str">
            <v>①</v>
          </cell>
          <cell r="AH1783" t="str">
            <v>②</v>
          </cell>
          <cell r="AI1783" t="str">
            <v>③</v>
          </cell>
        </row>
        <row r="1784">
          <cell r="B1784">
            <v>9803</v>
          </cell>
          <cell r="C1784">
            <v>98</v>
          </cell>
          <cell r="D1784">
            <v>3</v>
          </cell>
          <cell r="F1784" t="str">
            <v>広島</v>
          </cell>
          <cell r="G1784" t="str">
            <v>ｽﾌﾟﾘﾝｸﾗｰ設備(外観)</v>
          </cell>
          <cell r="H1784" t="str">
            <v>ホーチキ</v>
          </cell>
          <cell r="I1784">
            <v>72000</v>
          </cell>
          <cell r="J1784">
            <v>73440</v>
          </cell>
          <cell r="K1784">
            <v>1</v>
          </cell>
          <cell r="L1784">
            <v>0</v>
          </cell>
          <cell r="M1784">
            <v>0</v>
          </cell>
          <cell r="N1784">
            <v>0</v>
          </cell>
          <cell r="O1784">
            <v>0</v>
          </cell>
          <cell r="P1784">
            <v>0</v>
          </cell>
          <cell r="Q1784">
            <v>73440</v>
          </cell>
          <cell r="R1784">
            <v>0</v>
          </cell>
          <cell r="S1784">
            <v>0</v>
          </cell>
          <cell r="T1784">
            <v>0</v>
          </cell>
          <cell r="U1784">
            <v>0</v>
          </cell>
          <cell r="V1784">
            <v>0</v>
          </cell>
          <cell r="W1784">
            <v>0</v>
          </cell>
          <cell r="X1784" t="str">
            <v/>
          </cell>
          <cell r="Y1784" t="str">
            <v/>
          </cell>
          <cell r="Z1784" t="str">
            <v/>
          </cell>
          <cell r="AA1784" t="str">
            <v/>
          </cell>
          <cell r="AB1784" t="str">
            <v/>
          </cell>
          <cell r="AC1784" t="str">
            <v>⑨</v>
          </cell>
          <cell r="AD1784" t="str">
            <v/>
          </cell>
          <cell r="AE1784" t="str">
            <v/>
          </cell>
          <cell r="AF1784" t="str">
            <v/>
          </cell>
          <cell r="AG1784" t="str">
            <v/>
          </cell>
          <cell r="AH1784" t="str">
            <v/>
          </cell>
          <cell r="AI1784" t="str">
            <v/>
          </cell>
        </row>
        <row r="1785">
          <cell r="B1785">
            <v>9804</v>
          </cell>
          <cell r="C1785">
            <v>98</v>
          </cell>
          <cell r="D1785">
            <v>4</v>
          </cell>
          <cell r="F1785" t="str">
            <v>広島</v>
          </cell>
          <cell r="G1785" t="str">
            <v>ｽﾌﾟﾘﾝｸﾗｰ設備(総合)</v>
          </cell>
          <cell r="H1785" t="str">
            <v>ホーチキ</v>
          </cell>
          <cell r="I1785">
            <v>80000</v>
          </cell>
          <cell r="J1785">
            <v>81600</v>
          </cell>
          <cell r="K1785">
            <v>1</v>
          </cell>
          <cell r="L1785">
            <v>0</v>
          </cell>
          <cell r="M1785">
            <v>0</v>
          </cell>
          <cell r="N1785">
            <v>0</v>
          </cell>
          <cell r="O1785">
            <v>0</v>
          </cell>
          <cell r="P1785">
            <v>0</v>
          </cell>
          <cell r="Q1785">
            <v>0</v>
          </cell>
          <cell r="R1785">
            <v>0</v>
          </cell>
          <cell r="S1785">
            <v>0</v>
          </cell>
          <cell r="T1785">
            <v>0</v>
          </cell>
          <cell r="U1785">
            <v>0</v>
          </cell>
          <cell r="V1785">
            <v>0</v>
          </cell>
          <cell r="W1785">
            <v>81600</v>
          </cell>
          <cell r="X1785" t="str">
            <v/>
          </cell>
          <cell r="Y1785" t="str">
            <v/>
          </cell>
          <cell r="Z1785" t="str">
            <v/>
          </cell>
          <cell r="AA1785" t="str">
            <v/>
          </cell>
          <cell r="AB1785" t="str">
            <v/>
          </cell>
          <cell r="AC1785" t="str">
            <v/>
          </cell>
          <cell r="AD1785" t="str">
            <v/>
          </cell>
          <cell r="AE1785" t="str">
            <v/>
          </cell>
          <cell r="AF1785" t="str">
            <v/>
          </cell>
          <cell r="AG1785" t="str">
            <v/>
          </cell>
          <cell r="AH1785" t="str">
            <v/>
          </cell>
          <cell r="AI1785" t="str">
            <v>③</v>
          </cell>
        </row>
        <row r="1786">
          <cell r="B1786">
            <v>9805</v>
          </cell>
          <cell r="C1786">
            <v>98</v>
          </cell>
          <cell r="D1786">
            <v>5</v>
          </cell>
          <cell r="F1786" t="str">
            <v>広島</v>
          </cell>
          <cell r="G1786" t="str">
            <v>ハロゲン消火(外観)</v>
          </cell>
          <cell r="H1786" t="str">
            <v>ホーチキ</v>
          </cell>
          <cell r="I1786">
            <v>68000</v>
          </cell>
          <cell r="J1786">
            <v>69360</v>
          </cell>
          <cell r="K1786">
            <v>1</v>
          </cell>
          <cell r="L1786">
            <v>0</v>
          </cell>
          <cell r="M1786">
            <v>0</v>
          </cell>
          <cell r="N1786">
            <v>0</v>
          </cell>
          <cell r="O1786">
            <v>0</v>
          </cell>
          <cell r="P1786">
            <v>0</v>
          </cell>
          <cell r="Q1786">
            <v>69360</v>
          </cell>
          <cell r="R1786">
            <v>0</v>
          </cell>
          <cell r="S1786">
            <v>0</v>
          </cell>
          <cell r="T1786">
            <v>0</v>
          </cell>
          <cell r="U1786">
            <v>0</v>
          </cell>
          <cell r="V1786">
            <v>0</v>
          </cell>
          <cell r="W1786">
            <v>0</v>
          </cell>
          <cell r="X1786" t="str">
            <v/>
          </cell>
          <cell r="Y1786" t="str">
            <v/>
          </cell>
          <cell r="Z1786" t="str">
            <v/>
          </cell>
          <cell r="AA1786" t="str">
            <v/>
          </cell>
          <cell r="AB1786" t="str">
            <v/>
          </cell>
          <cell r="AC1786" t="str">
            <v>⑨</v>
          </cell>
          <cell r="AD1786" t="str">
            <v/>
          </cell>
          <cell r="AE1786" t="str">
            <v/>
          </cell>
          <cell r="AF1786" t="str">
            <v/>
          </cell>
          <cell r="AG1786" t="str">
            <v/>
          </cell>
          <cell r="AH1786" t="str">
            <v/>
          </cell>
          <cell r="AI1786" t="str">
            <v/>
          </cell>
        </row>
        <row r="1787">
          <cell r="B1787">
            <v>9806</v>
          </cell>
          <cell r="C1787">
            <v>98</v>
          </cell>
          <cell r="D1787">
            <v>6</v>
          </cell>
          <cell r="F1787" t="str">
            <v>広島</v>
          </cell>
          <cell r="G1787" t="str">
            <v>ハロゲン消火(総合)</v>
          </cell>
          <cell r="H1787" t="str">
            <v>ホーチキ</v>
          </cell>
          <cell r="I1787">
            <v>106000</v>
          </cell>
          <cell r="J1787">
            <v>108120</v>
          </cell>
          <cell r="K1787">
            <v>1</v>
          </cell>
          <cell r="L1787">
            <v>0</v>
          </cell>
          <cell r="M1787">
            <v>0</v>
          </cell>
          <cell r="N1787">
            <v>0</v>
          </cell>
          <cell r="O1787">
            <v>0</v>
          </cell>
          <cell r="P1787">
            <v>0</v>
          </cell>
          <cell r="Q1787">
            <v>0</v>
          </cell>
          <cell r="R1787">
            <v>0</v>
          </cell>
          <cell r="S1787">
            <v>0</v>
          </cell>
          <cell r="T1787">
            <v>0</v>
          </cell>
          <cell r="U1787">
            <v>0</v>
          </cell>
          <cell r="V1787">
            <v>0</v>
          </cell>
          <cell r="W1787">
            <v>108120</v>
          </cell>
          <cell r="X1787" t="str">
            <v/>
          </cell>
          <cell r="Y1787" t="str">
            <v/>
          </cell>
          <cell r="Z1787" t="str">
            <v/>
          </cell>
          <cell r="AA1787" t="str">
            <v/>
          </cell>
          <cell r="AB1787" t="str">
            <v/>
          </cell>
          <cell r="AC1787" t="str">
            <v/>
          </cell>
          <cell r="AD1787" t="str">
            <v/>
          </cell>
          <cell r="AE1787" t="str">
            <v/>
          </cell>
          <cell r="AF1787" t="str">
            <v/>
          </cell>
          <cell r="AG1787" t="str">
            <v/>
          </cell>
          <cell r="AH1787" t="str">
            <v/>
          </cell>
          <cell r="AI1787" t="str">
            <v>③</v>
          </cell>
        </row>
        <row r="1788">
          <cell r="B1788">
            <v>9807</v>
          </cell>
          <cell r="C1788">
            <v>98</v>
          </cell>
          <cell r="D1788">
            <v>7</v>
          </cell>
          <cell r="F1788" t="str">
            <v>広島</v>
          </cell>
          <cell r="G1788" t="str">
            <v>非常放送(外観)</v>
          </cell>
          <cell r="H1788" t="str">
            <v>ホーチキ</v>
          </cell>
          <cell r="I1788">
            <v>34000</v>
          </cell>
          <cell r="J1788">
            <v>34680</v>
          </cell>
          <cell r="K1788">
            <v>1</v>
          </cell>
          <cell r="L1788">
            <v>0</v>
          </cell>
          <cell r="M1788">
            <v>0</v>
          </cell>
          <cell r="N1788">
            <v>0</v>
          </cell>
          <cell r="O1788">
            <v>0</v>
          </cell>
          <cell r="P1788">
            <v>0</v>
          </cell>
          <cell r="Q1788">
            <v>34680</v>
          </cell>
          <cell r="R1788">
            <v>0</v>
          </cell>
          <cell r="S1788">
            <v>0</v>
          </cell>
          <cell r="T1788">
            <v>0</v>
          </cell>
          <cell r="U1788">
            <v>0</v>
          </cell>
          <cell r="V1788">
            <v>0</v>
          </cell>
          <cell r="W1788">
            <v>0</v>
          </cell>
          <cell r="X1788" t="str">
            <v/>
          </cell>
          <cell r="Y1788" t="str">
            <v/>
          </cell>
          <cell r="Z1788" t="str">
            <v/>
          </cell>
          <cell r="AA1788" t="str">
            <v/>
          </cell>
          <cell r="AB1788" t="str">
            <v/>
          </cell>
          <cell r="AC1788" t="str">
            <v>⑨</v>
          </cell>
          <cell r="AD1788" t="str">
            <v/>
          </cell>
          <cell r="AE1788" t="str">
            <v/>
          </cell>
          <cell r="AF1788" t="str">
            <v/>
          </cell>
          <cell r="AG1788" t="str">
            <v/>
          </cell>
          <cell r="AH1788" t="str">
            <v/>
          </cell>
          <cell r="AI1788" t="str">
            <v/>
          </cell>
        </row>
        <row r="1789">
          <cell r="B1789">
            <v>9808</v>
          </cell>
          <cell r="C1789">
            <v>98</v>
          </cell>
          <cell r="D1789">
            <v>8</v>
          </cell>
          <cell r="F1789" t="str">
            <v>広島</v>
          </cell>
          <cell r="G1789" t="str">
            <v>非常放送(総合)</v>
          </cell>
          <cell r="H1789" t="str">
            <v>ホーチキ</v>
          </cell>
          <cell r="I1789">
            <v>50000</v>
          </cell>
          <cell r="J1789">
            <v>51000</v>
          </cell>
          <cell r="K1789">
            <v>1</v>
          </cell>
          <cell r="L1789">
            <v>0</v>
          </cell>
          <cell r="M1789">
            <v>0</v>
          </cell>
          <cell r="N1789">
            <v>0</v>
          </cell>
          <cell r="O1789">
            <v>0</v>
          </cell>
          <cell r="P1789">
            <v>0</v>
          </cell>
          <cell r="Q1789">
            <v>0</v>
          </cell>
          <cell r="R1789">
            <v>0</v>
          </cell>
          <cell r="S1789">
            <v>0</v>
          </cell>
          <cell r="T1789">
            <v>0</v>
          </cell>
          <cell r="U1789">
            <v>0</v>
          </cell>
          <cell r="V1789">
            <v>0</v>
          </cell>
          <cell r="W1789">
            <v>51000</v>
          </cell>
          <cell r="X1789" t="str">
            <v/>
          </cell>
          <cell r="Y1789" t="str">
            <v/>
          </cell>
          <cell r="Z1789" t="str">
            <v/>
          </cell>
          <cell r="AA1789" t="str">
            <v/>
          </cell>
          <cell r="AB1789" t="str">
            <v/>
          </cell>
          <cell r="AC1789" t="str">
            <v/>
          </cell>
          <cell r="AD1789" t="str">
            <v/>
          </cell>
          <cell r="AE1789" t="str">
            <v/>
          </cell>
          <cell r="AF1789" t="str">
            <v/>
          </cell>
          <cell r="AG1789" t="str">
            <v/>
          </cell>
          <cell r="AH1789" t="str">
            <v/>
          </cell>
          <cell r="AI1789" t="str">
            <v>③</v>
          </cell>
        </row>
        <row r="1790">
          <cell r="B1790">
            <v>9809</v>
          </cell>
          <cell r="C1790">
            <v>98</v>
          </cell>
          <cell r="D1790">
            <v>9</v>
          </cell>
          <cell r="F1790" t="str">
            <v>広島</v>
          </cell>
          <cell r="G1790" t="str">
            <v>Ｐ型防排煙制御(外観)</v>
          </cell>
          <cell r="H1790" t="str">
            <v>ホーチキ</v>
          </cell>
          <cell r="I1790">
            <v>170000</v>
          </cell>
          <cell r="J1790">
            <v>173400</v>
          </cell>
          <cell r="K1790">
            <v>1</v>
          </cell>
          <cell r="L1790">
            <v>0</v>
          </cell>
          <cell r="M1790">
            <v>0</v>
          </cell>
          <cell r="N1790">
            <v>0</v>
          </cell>
          <cell r="O1790">
            <v>0</v>
          </cell>
          <cell r="P1790">
            <v>0</v>
          </cell>
          <cell r="Q1790">
            <v>173400</v>
          </cell>
          <cell r="R1790">
            <v>0</v>
          </cell>
          <cell r="S1790">
            <v>0</v>
          </cell>
          <cell r="T1790">
            <v>0</v>
          </cell>
          <cell r="U1790">
            <v>0</v>
          </cell>
          <cell r="V1790">
            <v>0</v>
          </cell>
          <cell r="W1790">
            <v>0</v>
          </cell>
          <cell r="X1790" t="str">
            <v/>
          </cell>
          <cell r="Y1790" t="str">
            <v/>
          </cell>
          <cell r="Z1790" t="str">
            <v/>
          </cell>
          <cell r="AA1790" t="str">
            <v/>
          </cell>
          <cell r="AB1790" t="str">
            <v/>
          </cell>
          <cell r="AC1790" t="str">
            <v>⑨</v>
          </cell>
          <cell r="AD1790" t="str">
            <v/>
          </cell>
          <cell r="AE1790" t="str">
            <v/>
          </cell>
          <cell r="AF1790" t="str">
            <v/>
          </cell>
          <cell r="AG1790" t="str">
            <v/>
          </cell>
          <cell r="AH1790" t="str">
            <v/>
          </cell>
          <cell r="AI1790" t="str">
            <v/>
          </cell>
        </row>
        <row r="1791">
          <cell r="B1791">
            <v>9810</v>
          </cell>
          <cell r="C1791">
            <v>98</v>
          </cell>
          <cell r="D1791">
            <v>10</v>
          </cell>
          <cell r="F1791" t="str">
            <v>広島</v>
          </cell>
          <cell r="G1791" t="str">
            <v>Ｐ型防排煙制御(総合)</v>
          </cell>
          <cell r="H1791" t="str">
            <v>ホーチキ</v>
          </cell>
          <cell r="I1791">
            <v>203000</v>
          </cell>
          <cell r="J1791">
            <v>207060</v>
          </cell>
          <cell r="K1791">
            <v>1</v>
          </cell>
          <cell r="L1791">
            <v>0</v>
          </cell>
          <cell r="M1791">
            <v>0</v>
          </cell>
          <cell r="N1791">
            <v>0</v>
          </cell>
          <cell r="O1791">
            <v>0</v>
          </cell>
          <cell r="P1791">
            <v>0</v>
          </cell>
          <cell r="Q1791">
            <v>0</v>
          </cell>
          <cell r="R1791">
            <v>0</v>
          </cell>
          <cell r="S1791">
            <v>0</v>
          </cell>
          <cell r="T1791">
            <v>0</v>
          </cell>
          <cell r="U1791">
            <v>0</v>
          </cell>
          <cell r="V1791">
            <v>0</v>
          </cell>
          <cell r="W1791">
            <v>207060</v>
          </cell>
          <cell r="X1791" t="str">
            <v/>
          </cell>
          <cell r="Y1791" t="str">
            <v/>
          </cell>
          <cell r="Z1791" t="str">
            <v/>
          </cell>
          <cell r="AA1791" t="str">
            <v/>
          </cell>
          <cell r="AB1791" t="str">
            <v/>
          </cell>
          <cell r="AC1791" t="str">
            <v/>
          </cell>
          <cell r="AD1791" t="str">
            <v/>
          </cell>
          <cell r="AE1791" t="str">
            <v/>
          </cell>
          <cell r="AF1791" t="str">
            <v/>
          </cell>
          <cell r="AG1791" t="str">
            <v/>
          </cell>
          <cell r="AH1791" t="str">
            <v/>
          </cell>
          <cell r="AI1791" t="str">
            <v>③</v>
          </cell>
        </row>
        <row r="1792">
          <cell r="B1792">
            <v>9811</v>
          </cell>
          <cell r="C1792">
            <v>98</v>
          </cell>
          <cell r="D1792">
            <v>11</v>
          </cell>
          <cell r="F1792" t="str">
            <v>広島</v>
          </cell>
          <cell r="G1792" t="str">
            <v>Ｐ型自火報(外観)</v>
          </cell>
          <cell r="H1792" t="str">
            <v>ホーチキ</v>
          </cell>
          <cell r="I1792">
            <v>85000</v>
          </cell>
          <cell r="J1792">
            <v>86700</v>
          </cell>
          <cell r="K1792">
            <v>1</v>
          </cell>
          <cell r="L1792">
            <v>0</v>
          </cell>
          <cell r="M1792">
            <v>0</v>
          </cell>
          <cell r="N1792">
            <v>0</v>
          </cell>
          <cell r="O1792">
            <v>0</v>
          </cell>
          <cell r="P1792">
            <v>0</v>
          </cell>
          <cell r="Q1792">
            <v>86700</v>
          </cell>
          <cell r="R1792">
            <v>0</v>
          </cell>
          <cell r="S1792">
            <v>0</v>
          </cell>
          <cell r="T1792">
            <v>0</v>
          </cell>
          <cell r="U1792">
            <v>0</v>
          </cell>
          <cell r="V1792">
            <v>0</v>
          </cell>
          <cell r="W1792">
            <v>0</v>
          </cell>
          <cell r="X1792" t="str">
            <v/>
          </cell>
          <cell r="Y1792" t="str">
            <v/>
          </cell>
          <cell r="Z1792" t="str">
            <v/>
          </cell>
          <cell r="AA1792" t="str">
            <v/>
          </cell>
          <cell r="AB1792" t="str">
            <v/>
          </cell>
          <cell r="AC1792" t="str">
            <v>⑨</v>
          </cell>
          <cell r="AD1792" t="str">
            <v/>
          </cell>
          <cell r="AE1792" t="str">
            <v/>
          </cell>
          <cell r="AF1792" t="str">
            <v/>
          </cell>
          <cell r="AG1792" t="str">
            <v/>
          </cell>
          <cell r="AH1792" t="str">
            <v/>
          </cell>
          <cell r="AI1792" t="str">
            <v/>
          </cell>
        </row>
        <row r="1793">
          <cell r="B1793">
            <v>9812</v>
          </cell>
          <cell r="C1793">
            <v>98</v>
          </cell>
          <cell r="D1793">
            <v>12</v>
          </cell>
          <cell r="F1793" t="str">
            <v>広島</v>
          </cell>
          <cell r="G1793" t="str">
            <v>Ｐ型自火報(総合)</v>
          </cell>
          <cell r="H1793" t="str">
            <v>ホーチキ</v>
          </cell>
          <cell r="I1793">
            <v>202000</v>
          </cell>
          <cell r="J1793">
            <v>206040</v>
          </cell>
          <cell r="K1793">
            <v>1</v>
          </cell>
          <cell r="L1793">
            <v>0</v>
          </cell>
          <cell r="M1793">
            <v>0</v>
          </cell>
          <cell r="N1793">
            <v>0</v>
          </cell>
          <cell r="O1793">
            <v>0</v>
          </cell>
          <cell r="P1793">
            <v>0</v>
          </cell>
          <cell r="Q1793">
            <v>0</v>
          </cell>
          <cell r="R1793">
            <v>0</v>
          </cell>
          <cell r="S1793">
            <v>0</v>
          </cell>
          <cell r="T1793">
            <v>0</v>
          </cell>
          <cell r="U1793">
            <v>0</v>
          </cell>
          <cell r="V1793">
            <v>0</v>
          </cell>
          <cell r="W1793">
            <v>206040</v>
          </cell>
          <cell r="X1793" t="str">
            <v/>
          </cell>
          <cell r="Y1793" t="str">
            <v/>
          </cell>
          <cell r="Z1793" t="str">
            <v/>
          </cell>
          <cell r="AA1793" t="str">
            <v/>
          </cell>
          <cell r="AB1793" t="str">
            <v/>
          </cell>
          <cell r="AC1793" t="str">
            <v/>
          </cell>
          <cell r="AD1793" t="str">
            <v/>
          </cell>
          <cell r="AE1793" t="str">
            <v/>
          </cell>
          <cell r="AF1793" t="str">
            <v/>
          </cell>
          <cell r="AG1793" t="str">
            <v/>
          </cell>
          <cell r="AH1793" t="str">
            <v/>
          </cell>
          <cell r="AI1793" t="str">
            <v>③</v>
          </cell>
        </row>
        <row r="1794">
          <cell r="B1794">
            <v>9813</v>
          </cell>
          <cell r="C1794">
            <v>98</v>
          </cell>
          <cell r="D1794">
            <v>13</v>
          </cell>
          <cell r="F1794" t="str">
            <v>広島</v>
          </cell>
          <cell r="G1794" t="str">
            <v>消防設備点検保守(総合)</v>
          </cell>
          <cell r="H1794" t="str">
            <v>三栄産業</v>
          </cell>
          <cell r="I1794">
            <v>136100</v>
          </cell>
          <cell r="J1794">
            <v>138822</v>
          </cell>
          <cell r="K1794">
            <v>1</v>
          </cell>
          <cell r="L1794">
            <v>0</v>
          </cell>
          <cell r="M1794">
            <v>0</v>
          </cell>
          <cell r="N1794">
            <v>0</v>
          </cell>
          <cell r="O1794">
            <v>0</v>
          </cell>
          <cell r="P1794">
            <v>0</v>
          </cell>
          <cell r="Q1794">
            <v>0</v>
          </cell>
          <cell r="R1794">
            <v>0</v>
          </cell>
          <cell r="S1794">
            <v>0</v>
          </cell>
          <cell r="T1794">
            <v>0</v>
          </cell>
          <cell r="U1794">
            <v>0</v>
          </cell>
          <cell r="V1794">
            <v>0</v>
          </cell>
          <cell r="W1794">
            <v>138822</v>
          </cell>
          <cell r="X1794" t="str">
            <v/>
          </cell>
          <cell r="Y1794" t="str">
            <v/>
          </cell>
          <cell r="Z1794" t="str">
            <v/>
          </cell>
          <cell r="AA1794" t="str">
            <v/>
          </cell>
          <cell r="AB1794" t="str">
            <v/>
          </cell>
          <cell r="AC1794" t="str">
            <v/>
          </cell>
          <cell r="AD1794" t="str">
            <v/>
          </cell>
          <cell r="AE1794" t="str">
            <v/>
          </cell>
          <cell r="AF1794" t="str">
            <v/>
          </cell>
          <cell r="AG1794" t="str">
            <v/>
          </cell>
          <cell r="AH1794" t="str">
            <v/>
          </cell>
          <cell r="AI1794" t="str">
            <v>③</v>
          </cell>
        </row>
        <row r="1795">
          <cell r="B1795">
            <v>9814</v>
          </cell>
          <cell r="C1795">
            <v>98</v>
          </cell>
          <cell r="D1795">
            <v>14</v>
          </cell>
          <cell r="F1795" t="str">
            <v>広島</v>
          </cell>
          <cell r="G1795" t="str">
            <v>消防設備点検保守(外観)</v>
          </cell>
          <cell r="H1795" t="str">
            <v>三栄産業</v>
          </cell>
          <cell r="I1795">
            <v>119800</v>
          </cell>
          <cell r="J1795">
            <v>122196</v>
          </cell>
          <cell r="K1795">
            <v>1</v>
          </cell>
          <cell r="L1795">
            <v>0</v>
          </cell>
          <cell r="M1795">
            <v>0</v>
          </cell>
          <cell r="N1795">
            <v>0</v>
          </cell>
          <cell r="O1795">
            <v>0</v>
          </cell>
          <cell r="P1795">
            <v>0</v>
          </cell>
          <cell r="Q1795">
            <v>0</v>
          </cell>
          <cell r="R1795">
            <v>122196</v>
          </cell>
          <cell r="S1795">
            <v>0</v>
          </cell>
          <cell r="T1795">
            <v>0</v>
          </cell>
          <cell r="U1795">
            <v>0</v>
          </cell>
          <cell r="V1795">
            <v>0</v>
          </cell>
          <cell r="W1795">
            <v>0</v>
          </cell>
          <cell r="X1795" t="str">
            <v/>
          </cell>
          <cell r="Y1795" t="str">
            <v/>
          </cell>
          <cell r="Z1795" t="str">
            <v/>
          </cell>
          <cell r="AA1795" t="str">
            <v/>
          </cell>
          <cell r="AB1795" t="str">
            <v/>
          </cell>
          <cell r="AC1795" t="str">
            <v/>
          </cell>
          <cell r="AD1795" t="str">
            <v>⑩</v>
          </cell>
          <cell r="AE1795" t="str">
            <v/>
          </cell>
          <cell r="AF1795" t="str">
            <v/>
          </cell>
          <cell r="AG1795" t="str">
            <v/>
          </cell>
          <cell r="AH1795" t="str">
            <v/>
          </cell>
          <cell r="AI1795" t="str">
            <v/>
          </cell>
        </row>
        <row r="1796">
          <cell r="B1796">
            <v>9815</v>
          </cell>
          <cell r="C1796">
            <v>98</v>
          </cell>
          <cell r="D1796">
            <v>15</v>
          </cell>
          <cell r="F1796" t="str">
            <v>広島</v>
          </cell>
          <cell r="G1796" t="str">
            <v>害虫駆除</v>
          </cell>
          <cell r="H1796" t="str">
            <v>日本環境整備</v>
          </cell>
          <cell r="I1796">
            <v>172000</v>
          </cell>
          <cell r="J1796">
            <v>189200</v>
          </cell>
          <cell r="K1796">
            <v>2</v>
          </cell>
          <cell r="L1796">
            <v>0</v>
          </cell>
          <cell r="M1796">
            <v>0</v>
          </cell>
          <cell r="N1796">
            <v>189200</v>
          </cell>
          <cell r="O1796">
            <v>0</v>
          </cell>
          <cell r="P1796">
            <v>0</v>
          </cell>
          <cell r="Q1796">
            <v>0</v>
          </cell>
          <cell r="R1796">
            <v>0</v>
          </cell>
          <cell r="S1796">
            <v>0</v>
          </cell>
          <cell r="T1796">
            <v>189200</v>
          </cell>
          <cell r="U1796">
            <v>0</v>
          </cell>
          <cell r="V1796">
            <v>0</v>
          </cell>
          <cell r="W1796">
            <v>0</v>
          </cell>
          <cell r="X1796" t="str">
            <v/>
          </cell>
          <cell r="Y1796" t="str">
            <v/>
          </cell>
          <cell r="Z1796" t="str">
            <v>⑥</v>
          </cell>
          <cell r="AA1796" t="str">
            <v/>
          </cell>
          <cell r="AB1796" t="str">
            <v/>
          </cell>
          <cell r="AC1796" t="str">
            <v/>
          </cell>
          <cell r="AD1796" t="str">
            <v/>
          </cell>
          <cell r="AE1796" t="str">
            <v/>
          </cell>
          <cell r="AF1796" t="str">
            <v>⑫</v>
          </cell>
          <cell r="AG1796" t="str">
            <v/>
          </cell>
          <cell r="AH1796" t="str">
            <v/>
          </cell>
          <cell r="AI1796" t="str">
            <v/>
          </cell>
        </row>
        <row r="1797">
          <cell r="B1797">
            <v>9816</v>
          </cell>
          <cell r="C1797">
            <v>98</v>
          </cell>
          <cell r="D1797">
            <v>16</v>
          </cell>
          <cell r="F1797" t="str">
            <v>広島</v>
          </cell>
          <cell r="G1797" t="str">
            <v>汚水槽清掃</v>
          </cell>
          <cell r="H1797" t="str">
            <v>西日本環境工業</v>
          </cell>
          <cell r="I1797">
            <v>65000</v>
          </cell>
          <cell r="J1797">
            <v>72800</v>
          </cell>
          <cell r="K1797">
            <v>2</v>
          </cell>
          <cell r="L1797">
            <v>0</v>
          </cell>
          <cell r="M1797">
            <v>0</v>
          </cell>
          <cell r="N1797">
            <v>0</v>
          </cell>
          <cell r="O1797">
            <v>0</v>
          </cell>
          <cell r="P1797">
            <v>0</v>
          </cell>
          <cell r="Q1797">
            <v>72800</v>
          </cell>
          <cell r="R1797">
            <v>0</v>
          </cell>
          <cell r="S1797">
            <v>0</v>
          </cell>
          <cell r="T1797">
            <v>0</v>
          </cell>
          <cell r="U1797">
            <v>0</v>
          </cell>
          <cell r="V1797">
            <v>0</v>
          </cell>
          <cell r="W1797">
            <v>72800</v>
          </cell>
          <cell r="X1797" t="str">
            <v/>
          </cell>
          <cell r="Y1797" t="str">
            <v/>
          </cell>
          <cell r="Z1797" t="str">
            <v/>
          </cell>
          <cell r="AA1797" t="str">
            <v/>
          </cell>
          <cell r="AB1797" t="str">
            <v/>
          </cell>
          <cell r="AC1797" t="str">
            <v>⑨</v>
          </cell>
          <cell r="AD1797" t="str">
            <v/>
          </cell>
          <cell r="AE1797" t="str">
            <v/>
          </cell>
          <cell r="AF1797" t="str">
            <v/>
          </cell>
          <cell r="AG1797" t="str">
            <v/>
          </cell>
          <cell r="AH1797" t="str">
            <v/>
          </cell>
          <cell r="AI1797" t="str">
            <v>③</v>
          </cell>
        </row>
        <row r="1798">
          <cell r="B1798">
            <v>9817</v>
          </cell>
          <cell r="C1798">
            <v>98</v>
          </cell>
          <cell r="D1798">
            <v>17</v>
          </cell>
          <cell r="F1798" t="str">
            <v>広島</v>
          </cell>
          <cell r="G1798" t="str">
            <v>高架水槽清掃</v>
          </cell>
          <cell r="H1798" t="str">
            <v>西日本環境工業</v>
          </cell>
          <cell r="I1798">
            <v>45000</v>
          </cell>
          <cell r="J1798">
            <v>50850</v>
          </cell>
          <cell r="K1798">
            <v>1</v>
          </cell>
          <cell r="L1798">
            <v>0</v>
          </cell>
          <cell r="M1798">
            <v>0</v>
          </cell>
          <cell r="N1798">
            <v>0</v>
          </cell>
          <cell r="O1798">
            <v>0</v>
          </cell>
          <cell r="P1798">
            <v>0</v>
          </cell>
          <cell r="Q1798">
            <v>0</v>
          </cell>
          <cell r="R1798">
            <v>0</v>
          </cell>
          <cell r="S1798">
            <v>0</v>
          </cell>
          <cell r="T1798">
            <v>0</v>
          </cell>
          <cell r="U1798">
            <v>0</v>
          </cell>
          <cell r="V1798">
            <v>50850</v>
          </cell>
          <cell r="W1798">
            <v>0</v>
          </cell>
          <cell r="X1798" t="str">
            <v/>
          </cell>
          <cell r="Y1798" t="str">
            <v/>
          </cell>
          <cell r="Z1798" t="str">
            <v/>
          </cell>
          <cell r="AA1798" t="str">
            <v/>
          </cell>
          <cell r="AB1798" t="str">
            <v/>
          </cell>
          <cell r="AC1798" t="str">
            <v/>
          </cell>
          <cell r="AD1798" t="str">
            <v/>
          </cell>
          <cell r="AE1798" t="str">
            <v/>
          </cell>
          <cell r="AF1798" t="str">
            <v/>
          </cell>
          <cell r="AG1798" t="str">
            <v/>
          </cell>
          <cell r="AH1798" t="str">
            <v>②</v>
          </cell>
          <cell r="AI1798" t="str">
            <v/>
          </cell>
        </row>
        <row r="1799">
          <cell r="B1799">
            <v>9818</v>
          </cell>
          <cell r="C1799">
            <v>98</v>
          </cell>
          <cell r="D1799">
            <v>18</v>
          </cell>
          <cell r="F1799" t="str">
            <v>広島</v>
          </cell>
          <cell r="G1799" t="str">
            <v>受水槽清掃</v>
          </cell>
          <cell r="H1799" t="str">
            <v>西日本環境工業</v>
          </cell>
          <cell r="I1799">
            <v>85000</v>
          </cell>
          <cell r="J1799">
            <v>96050</v>
          </cell>
          <cell r="K1799">
            <v>1</v>
          </cell>
          <cell r="L1799">
            <v>0</v>
          </cell>
          <cell r="M1799">
            <v>0</v>
          </cell>
          <cell r="N1799">
            <v>0</v>
          </cell>
          <cell r="O1799">
            <v>0</v>
          </cell>
          <cell r="P1799">
            <v>0</v>
          </cell>
          <cell r="Q1799">
            <v>0</v>
          </cell>
          <cell r="R1799">
            <v>0</v>
          </cell>
          <cell r="S1799">
            <v>0</v>
          </cell>
          <cell r="T1799">
            <v>0</v>
          </cell>
          <cell r="U1799">
            <v>0</v>
          </cell>
          <cell r="V1799">
            <v>96050</v>
          </cell>
          <cell r="W1799">
            <v>0</v>
          </cell>
          <cell r="X1799" t="str">
            <v/>
          </cell>
          <cell r="Y1799" t="str">
            <v/>
          </cell>
          <cell r="Z1799" t="str">
            <v/>
          </cell>
          <cell r="AA1799" t="str">
            <v/>
          </cell>
          <cell r="AB1799" t="str">
            <v/>
          </cell>
          <cell r="AC1799" t="str">
            <v/>
          </cell>
          <cell r="AD1799" t="str">
            <v/>
          </cell>
          <cell r="AE1799" t="str">
            <v/>
          </cell>
          <cell r="AF1799" t="str">
            <v/>
          </cell>
          <cell r="AG1799" t="str">
            <v/>
          </cell>
          <cell r="AH1799" t="str">
            <v>②</v>
          </cell>
          <cell r="AI1799" t="str">
            <v/>
          </cell>
        </row>
        <row r="1800">
          <cell r="B1800">
            <v>9819</v>
          </cell>
          <cell r="C1800">
            <v>98</v>
          </cell>
          <cell r="D1800">
            <v>19</v>
          </cell>
          <cell r="F1800" t="str">
            <v>広島</v>
          </cell>
          <cell r="G1800" t="str">
            <v>ヒートポンプチラー設備保守</v>
          </cell>
          <cell r="H1800" t="str">
            <v>三菱電機ﾋﾞﾙﾃｸﾉｻｰﾋﾞｽ</v>
          </cell>
          <cell r="I1800">
            <v>195000</v>
          </cell>
          <cell r="J1800">
            <v>198900</v>
          </cell>
          <cell r="K1800">
            <v>4</v>
          </cell>
          <cell r="L1800">
            <v>0</v>
          </cell>
          <cell r="M1800">
            <v>0</v>
          </cell>
          <cell r="N1800">
            <v>198900</v>
          </cell>
          <cell r="O1800">
            <v>0</v>
          </cell>
          <cell r="P1800">
            <v>0</v>
          </cell>
          <cell r="Q1800">
            <v>198900</v>
          </cell>
          <cell r="R1800">
            <v>0</v>
          </cell>
          <cell r="S1800">
            <v>0</v>
          </cell>
          <cell r="T1800">
            <v>198900</v>
          </cell>
          <cell r="U1800">
            <v>0</v>
          </cell>
          <cell r="V1800">
            <v>0</v>
          </cell>
          <cell r="W1800">
            <v>198900</v>
          </cell>
          <cell r="X1800" t="str">
            <v/>
          </cell>
          <cell r="Y1800" t="str">
            <v/>
          </cell>
          <cell r="Z1800" t="str">
            <v>⑥</v>
          </cell>
          <cell r="AA1800" t="str">
            <v/>
          </cell>
          <cell r="AB1800" t="str">
            <v/>
          </cell>
          <cell r="AC1800" t="str">
            <v>⑨</v>
          </cell>
          <cell r="AD1800" t="str">
            <v/>
          </cell>
          <cell r="AE1800" t="str">
            <v/>
          </cell>
          <cell r="AF1800" t="str">
            <v>⑫</v>
          </cell>
          <cell r="AG1800" t="str">
            <v/>
          </cell>
          <cell r="AH1800" t="str">
            <v/>
          </cell>
          <cell r="AI1800" t="str">
            <v>③</v>
          </cell>
        </row>
        <row r="1801">
          <cell r="B1801">
            <v>9820</v>
          </cell>
          <cell r="C1801">
            <v>98</v>
          </cell>
          <cell r="D1801">
            <v>20</v>
          </cell>
          <cell r="F1801" t="str">
            <v>広島</v>
          </cell>
          <cell r="G1801" t="str">
            <v>外調機ﾛｰﾙﾌｨﾙﾀｰ取替</v>
          </cell>
          <cell r="H1801" t="str">
            <v>進和テック</v>
          </cell>
          <cell r="I1801">
            <v>120000</v>
          </cell>
          <cell r="J1801">
            <v>138000</v>
          </cell>
          <cell r="K1801">
            <v>1</v>
          </cell>
          <cell r="L1801">
            <v>0</v>
          </cell>
          <cell r="M1801">
            <v>0</v>
          </cell>
          <cell r="N1801">
            <v>0</v>
          </cell>
          <cell r="O1801">
            <v>0</v>
          </cell>
          <cell r="P1801">
            <v>0</v>
          </cell>
          <cell r="Q1801">
            <v>0</v>
          </cell>
          <cell r="R1801">
            <v>0</v>
          </cell>
          <cell r="S1801">
            <v>0</v>
          </cell>
          <cell r="T1801">
            <v>0</v>
          </cell>
          <cell r="U1801">
            <v>138000</v>
          </cell>
          <cell r="V1801">
            <v>0</v>
          </cell>
          <cell r="W1801">
            <v>0</v>
          </cell>
          <cell r="X1801" t="str">
            <v/>
          </cell>
          <cell r="Y1801" t="str">
            <v/>
          </cell>
          <cell r="Z1801" t="str">
            <v/>
          </cell>
          <cell r="AA1801" t="str">
            <v/>
          </cell>
          <cell r="AB1801" t="str">
            <v/>
          </cell>
          <cell r="AC1801" t="str">
            <v/>
          </cell>
          <cell r="AD1801" t="str">
            <v/>
          </cell>
          <cell r="AE1801" t="str">
            <v/>
          </cell>
          <cell r="AF1801" t="str">
            <v/>
          </cell>
          <cell r="AG1801" t="str">
            <v>①</v>
          </cell>
          <cell r="AH1801" t="str">
            <v/>
          </cell>
          <cell r="AI1801" t="str">
            <v/>
          </cell>
          <cell r="AJ1801" t="str">
            <v>追</v>
          </cell>
        </row>
        <row r="1802">
          <cell r="B1802">
            <v>9821</v>
          </cell>
          <cell r="C1802">
            <v>98</v>
          </cell>
          <cell r="D1802">
            <v>21</v>
          </cell>
          <cell r="F1802" t="str">
            <v>広島</v>
          </cell>
          <cell r="G1802" t="str">
            <v>空調機ﾌｨﾙﾀｰ清掃</v>
          </cell>
          <cell r="H1802" t="str">
            <v>広島東管サービス</v>
          </cell>
          <cell r="I1802">
            <v>40000</v>
          </cell>
          <cell r="J1802">
            <v>46000</v>
          </cell>
          <cell r="K1802">
            <v>3</v>
          </cell>
          <cell r="L1802">
            <v>0</v>
          </cell>
          <cell r="M1802">
            <v>46000</v>
          </cell>
          <cell r="N1802">
            <v>0</v>
          </cell>
          <cell r="O1802">
            <v>0</v>
          </cell>
          <cell r="P1802">
            <v>0</v>
          </cell>
          <cell r="Q1802">
            <v>46000</v>
          </cell>
          <cell r="R1802">
            <v>0</v>
          </cell>
          <cell r="S1802">
            <v>0</v>
          </cell>
          <cell r="T1802">
            <v>0</v>
          </cell>
          <cell r="U1802">
            <v>46000</v>
          </cell>
          <cell r="V1802">
            <v>0</v>
          </cell>
          <cell r="W1802">
            <v>0</v>
          </cell>
          <cell r="X1802" t="str">
            <v/>
          </cell>
          <cell r="Y1802" t="str">
            <v>⑤</v>
          </cell>
          <cell r="Z1802" t="str">
            <v/>
          </cell>
          <cell r="AA1802" t="str">
            <v/>
          </cell>
          <cell r="AB1802" t="str">
            <v/>
          </cell>
          <cell r="AC1802" t="str">
            <v>⑨</v>
          </cell>
          <cell r="AD1802" t="str">
            <v/>
          </cell>
          <cell r="AE1802" t="str">
            <v/>
          </cell>
          <cell r="AF1802" t="str">
            <v/>
          </cell>
          <cell r="AG1802" t="str">
            <v>①</v>
          </cell>
          <cell r="AH1802" t="str">
            <v/>
          </cell>
          <cell r="AI1802" t="str">
            <v/>
          </cell>
          <cell r="AJ1802" t="str">
            <v>追</v>
          </cell>
        </row>
        <row r="1803">
          <cell r="B1803">
            <v>9822</v>
          </cell>
          <cell r="C1803">
            <v>98</v>
          </cell>
          <cell r="D1803">
            <v>22</v>
          </cell>
          <cell r="F1803" t="str">
            <v>広島</v>
          </cell>
          <cell r="G1803" t="str">
            <v>ファンコイルﾌｨﾙﾀｰ清掃</v>
          </cell>
          <cell r="H1803" t="str">
            <v>広島東管サービス</v>
          </cell>
          <cell r="I1803">
            <v>130000</v>
          </cell>
          <cell r="J1803">
            <v>149500</v>
          </cell>
          <cell r="K1803">
            <v>3</v>
          </cell>
          <cell r="L1803">
            <v>0</v>
          </cell>
          <cell r="M1803">
            <v>149500</v>
          </cell>
          <cell r="N1803">
            <v>0</v>
          </cell>
          <cell r="O1803">
            <v>0</v>
          </cell>
          <cell r="P1803">
            <v>0</v>
          </cell>
          <cell r="Q1803">
            <v>149500</v>
          </cell>
          <cell r="R1803">
            <v>0</v>
          </cell>
          <cell r="S1803">
            <v>0</v>
          </cell>
          <cell r="T1803">
            <v>0</v>
          </cell>
          <cell r="U1803">
            <v>149500</v>
          </cell>
          <cell r="V1803">
            <v>0</v>
          </cell>
          <cell r="W1803">
            <v>0</v>
          </cell>
          <cell r="X1803" t="str">
            <v/>
          </cell>
          <cell r="Y1803" t="str">
            <v>⑤</v>
          </cell>
          <cell r="Z1803" t="str">
            <v/>
          </cell>
          <cell r="AA1803" t="str">
            <v/>
          </cell>
          <cell r="AB1803" t="str">
            <v/>
          </cell>
          <cell r="AC1803" t="str">
            <v>⑨</v>
          </cell>
          <cell r="AD1803" t="str">
            <v/>
          </cell>
          <cell r="AE1803" t="str">
            <v/>
          </cell>
          <cell r="AF1803" t="str">
            <v/>
          </cell>
          <cell r="AG1803" t="str">
            <v>①</v>
          </cell>
          <cell r="AH1803" t="str">
            <v/>
          </cell>
          <cell r="AI1803" t="str">
            <v/>
          </cell>
          <cell r="AJ1803" t="str">
            <v>追</v>
          </cell>
        </row>
        <row r="1804">
          <cell r="B1804">
            <v>9901</v>
          </cell>
          <cell r="C1804">
            <v>99</v>
          </cell>
          <cell r="D1804">
            <v>1</v>
          </cell>
          <cell r="F1804" t="str">
            <v>呉</v>
          </cell>
          <cell r="G1804" t="str">
            <v>駐車場設備保守</v>
          </cell>
          <cell r="H1804" t="str">
            <v>石川島運搬機械</v>
          </cell>
          <cell r="I1804">
            <v>55000</v>
          </cell>
          <cell r="J1804">
            <v>58620</v>
          </cell>
          <cell r="K1804">
            <v>12</v>
          </cell>
          <cell r="L1804">
            <v>58620</v>
          </cell>
          <cell r="M1804">
            <v>58620</v>
          </cell>
          <cell r="N1804">
            <v>58620</v>
          </cell>
          <cell r="O1804">
            <v>58620</v>
          </cell>
          <cell r="P1804">
            <v>58620</v>
          </cell>
          <cell r="Q1804">
            <v>58620</v>
          </cell>
          <cell r="R1804">
            <v>58620</v>
          </cell>
          <cell r="S1804">
            <v>58620</v>
          </cell>
          <cell r="T1804">
            <v>58620</v>
          </cell>
          <cell r="U1804">
            <v>58620</v>
          </cell>
          <cell r="V1804">
            <v>58620</v>
          </cell>
          <cell r="W1804">
            <v>58620</v>
          </cell>
          <cell r="X1804" t="str">
            <v>④</v>
          </cell>
          <cell r="Y1804" t="str">
            <v>⑤</v>
          </cell>
          <cell r="Z1804" t="str">
            <v>⑥</v>
          </cell>
          <cell r="AA1804" t="str">
            <v>⑦</v>
          </cell>
          <cell r="AB1804" t="str">
            <v>⑧</v>
          </cell>
          <cell r="AC1804" t="str">
            <v>⑨</v>
          </cell>
          <cell r="AD1804" t="str">
            <v>⑩</v>
          </cell>
          <cell r="AE1804" t="str">
            <v>⑪</v>
          </cell>
          <cell r="AF1804" t="str">
            <v>⑫</v>
          </cell>
          <cell r="AG1804" t="str">
            <v>①</v>
          </cell>
          <cell r="AH1804" t="str">
            <v>②</v>
          </cell>
          <cell r="AI1804" t="str">
            <v>③</v>
          </cell>
        </row>
        <row r="1805">
          <cell r="B1805">
            <v>9902</v>
          </cell>
          <cell r="C1805">
            <v>99</v>
          </cell>
          <cell r="D1805">
            <v>2</v>
          </cell>
          <cell r="F1805" t="str">
            <v>呉</v>
          </cell>
          <cell r="G1805" t="str">
            <v>エレベーター保守</v>
          </cell>
          <cell r="H1805" t="str">
            <v>三菱電機ﾋﾞﾙﾃｸﾉｻｰﾋﾞｽ</v>
          </cell>
          <cell r="I1805">
            <v>67500</v>
          </cell>
          <cell r="J1805">
            <v>68850</v>
          </cell>
          <cell r="K1805">
            <v>12</v>
          </cell>
          <cell r="L1805">
            <v>68850</v>
          </cell>
          <cell r="M1805">
            <v>68850</v>
          </cell>
          <cell r="N1805">
            <v>68850</v>
          </cell>
          <cell r="O1805">
            <v>68850</v>
          </cell>
          <cell r="P1805">
            <v>68850</v>
          </cell>
          <cell r="Q1805">
            <v>68850</v>
          </cell>
          <cell r="R1805">
            <v>68850</v>
          </cell>
          <cell r="S1805">
            <v>68850</v>
          </cell>
          <cell r="T1805">
            <v>68850</v>
          </cell>
          <cell r="U1805">
            <v>68850</v>
          </cell>
          <cell r="V1805">
            <v>68850</v>
          </cell>
          <cell r="W1805">
            <v>68850</v>
          </cell>
          <cell r="X1805" t="str">
            <v>④</v>
          </cell>
          <cell r="Y1805" t="str">
            <v>⑤</v>
          </cell>
          <cell r="Z1805" t="str">
            <v>⑥</v>
          </cell>
          <cell r="AA1805" t="str">
            <v>⑦</v>
          </cell>
          <cell r="AB1805" t="str">
            <v>⑧</v>
          </cell>
          <cell r="AC1805" t="str">
            <v>⑨</v>
          </cell>
          <cell r="AD1805" t="str">
            <v>⑩</v>
          </cell>
          <cell r="AE1805" t="str">
            <v>⑪</v>
          </cell>
          <cell r="AF1805" t="str">
            <v>⑫</v>
          </cell>
          <cell r="AG1805" t="str">
            <v>①</v>
          </cell>
          <cell r="AH1805" t="str">
            <v>②</v>
          </cell>
          <cell r="AI1805" t="str">
            <v>③</v>
          </cell>
        </row>
        <row r="1806">
          <cell r="B1806">
            <v>10001</v>
          </cell>
          <cell r="C1806">
            <v>100</v>
          </cell>
          <cell r="D1806">
            <v>1</v>
          </cell>
          <cell r="F1806" t="str">
            <v>福山</v>
          </cell>
          <cell r="G1806" t="str">
            <v>駐車場設備保守</v>
          </cell>
          <cell r="H1806" t="str">
            <v>三菱重工ﾊﾟｰｷﾝｸﾞ建設</v>
          </cell>
          <cell r="I1806">
            <v>204000</v>
          </cell>
          <cell r="J1806">
            <v>208080</v>
          </cell>
          <cell r="K1806">
            <v>12</v>
          </cell>
          <cell r="L1806">
            <v>208080</v>
          </cell>
          <cell r="M1806">
            <v>208080</v>
          </cell>
          <cell r="N1806">
            <v>208080</v>
          </cell>
          <cell r="O1806">
            <v>208080</v>
          </cell>
          <cell r="P1806">
            <v>208080</v>
          </cell>
          <cell r="Q1806">
            <v>208080</v>
          </cell>
          <cell r="R1806">
            <v>208080</v>
          </cell>
          <cell r="S1806">
            <v>208080</v>
          </cell>
          <cell r="T1806">
            <v>208080</v>
          </cell>
          <cell r="U1806">
            <v>208080</v>
          </cell>
          <cell r="V1806">
            <v>208080</v>
          </cell>
          <cell r="W1806">
            <v>208080</v>
          </cell>
          <cell r="X1806" t="str">
            <v>④</v>
          </cell>
          <cell r="Y1806" t="str">
            <v>⑤</v>
          </cell>
          <cell r="Z1806" t="str">
            <v>⑥</v>
          </cell>
          <cell r="AA1806" t="str">
            <v>⑦</v>
          </cell>
          <cell r="AB1806" t="str">
            <v>⑧</v>
          </cell>
          <cell r="AC1806" t="str">
            <v>⑨</v>
          </cell>
          <cell r="AD1806" t="str">
            <v>⑩</v>
          </cell>
          <cell r="AE1806" t="str">
            <v>⑪</v>
          </cell>
          <cell r="AF1806" t="str">
            <v>⑫</v>
          </cell>
          <cell r="AG1806" t="str">
            <v>①</v>
          </cell>
          <cell r="AH1806" t="str">
            <v>②</v>
          </cell>
          <cell r="AI1806" t="str">
            <v>③</v>
          </cell>
        </row>
        <row r="1807">
          <cell r="B1807">
            <v>10002</v>
          </cell>
          <cell r="C1807">
            <v>100</v>
          </cell>
          <cell r="D1807">
            <v>2</v>
          </cell>
          <cell r="F1807" t="str">
            <v>福山</v>
          </cell>
          <cell r="G1807" t="str">
            <v>エレベーター保守</v>
          </cell>
          <cell r="H1807" t="str">
            <v>三菱電機ﾋﾞﾙﾃｸﾉｻｰﾋﾞｽ</v>
          </cell>
          <cell r="I1807">
            <v>142800</v>
          </cell>
          <cell r="J1807">
            <v>145656</v>
          </cell>
          <cell r="K1807">
            <v>12</v>
          </cell>
          <cell r="L1807">
            <v>145656</v>
          </cell>
          <cell r="M1807">
            <v>145656</v>
          </cell>
          <cell r="N1807">
            <v>145656</v>
          </cell>
          <cell r="O1807">
            <v>145656</v>
          </cell>
          <cell r="P1807">
            <v>145656</v>
          </cell>
          <cell r="Q1807">
            <v>145656</v>
          </cell>
          <cell r="R1807">
            <v>145656</v>
          </cell>
          <cell r="S1807">
            <v>145656</v>
          </cell>
          <cell r="T1807">
            <v>145656</v>
          </cell>
          <cell r="U1807">
            <v>145656</v>
          </cell>
          <cell r="V1807">
            <v>145656</v>
          </cell>
          <cell r="W1807">
            <v>145656</v>
          </cell>
          <cell r="X1807" t="str">
            <v>④</v>
          </cell>
          <cell r="Y1807" t="str">
            <v>⑤</v>
          </cell>
          <cell r="Z1807" t="str">
            <v>⑥</v>
          </cell>
          <cell r="AA1807" t="str">
            <v>⑦</v>
          </cell>
          <cell r="AB1807" t="str">
            <v>⑧</v>
          </cell>
          <cell r="AC1807" t="str">
            <v>⑨</v>
          </cell>
          <cell r="AD1807" t="str">
            <v>⑩</v>
          </cell>
          <cell r="AE1807" t="str">
            <v>⑪</v>
          </cell>
          <cell r="AF1807" t="str">
            <v>⑫</v>
          </cell>
          <cell r="AG1807" t="str">
            <v>①</v>
          </cell>
          <cell r="AH1807" t="str">
            <v>②</v>
          </cell>
          <cell r="AI1807" t="str">
            <v>③</v>
          </cell>
        </row>
        <row r="1808">
          <cell r="B1808">
            <v>10003</v>
          </cell>
          <cell r="C1808">
            <v>100</v>
          </cell>
          <cell r="D1808">
            <v>3</v>
          </cell>
          <cell r="F1808" t="str">
            <v>福山</v>
          </cell>
          <cell r="G1808" t="str">
            <v>屋内消火栓(外観)</v>
          </cell>
          <cell r="H1808" t="str">
            <v>ホーチキ</v>
          </cell>
          <cell r="I1808">
            <v>48000</v>
          </cell>
          <cell r="J1808">
            <v>48960</v>
          </cell>
          <cell r="K1808">
            <v>1</v>
          </cell>
          <cell r="L1808">
            <v>0</v>
          </cell>
          <cell r="M1808">
            <v>0</v>
          </cell>
          <cell r="N1808">
            <v>0</v>
          </cell>
          <cell r="O1808">
            <v>0</v>
          </cell>
          <cell r="P1808">
            <v>0</v>
          </cell>
          <cell r="Q1808">
            <v>0</v>
          </cell>
          <cell r="R1808">
            <v>0</v>
          </cell>
          <cell r="S1808">
            <v>0</v>
          </cell>
          <cell r="T1808">
            <v>48960</v>
          </cell>
          <cell r="U1808">
            <v>0</v>
          </cell>
          <cell r="V1808">
            <v>0</v>
          </cell>
          <cell r="W1808">
            <v>0</v>
          </cell>
          <cell r="X1808" t="str">
            <v/>
          </cell>
          <cell r="Y1808" t="str">
            <v/>
          </cell>
          <cell r="Z1808" t="str">
            <v/>
          </cell>
          <cell r="AA1808" t="str">
            <v/>
          </cell>
          <cell r="AB1808" t="str">
            <v/>
          </cell>
          <cell r="AC1808" t="str">
            <v/>
          </cell>
          <cell r="AD1808" t="str">
            <v/>
          </cell>
          <cell r="AE1808" t="str">
            <v/>
          </cell>
          <cell r="AF1808" t="str">
            <v>⑫</v>
          </cell>
          <cell r="AG1808" t="str">
            <v/>
          </cell>
          <cell r="AH1808" t="str">
            <v/>
          </cell>
          <cell r="AI1808" t="str">
            <v/>
          </cell>
        </row>
        <row r="1809">
          <cell r="B1809">
            <v>10004</v>
          </cell>
          <cell r="C1809">
            <v>100</v>
          </cell>
          <cell r="D1809">
            <v>4</v>
          </cell>
          <cell r="F1809" t="str">
            <v>福山</v>
          </cell>
          <cell r="G1809" t="str">
            <v>屋内消火栓(総合)</v>
          </cell>
          <cell r="H1809" t="str">
            <v>ホーチキ</v>
          </cell>
          <cell r="I1809">
            <v>74000</v>
          </cell>
          <cell r="J1809">
            <v>75480</v>
          </cell>
          <cell r="K1809">
            <v>1</v>
          </cell>
          <cell r="L1809">
            <v>0</v>
          </cell>
          <cell r="M1809">
            <v>0</v>
          </cell>
          <cell r="N1809">
            <v>75480</v>
          </cell>
          <cell r="O1809">
            <v>0</v>
          </cell>
          <cell r="P1809">
            <v>0</v>
          </cell>
          <cell r="Q1809">
            <v>0</v>
          </cell>
          <cell r="R1809">
            <v>0</v>
          </cell>
          <cell r="S1809">
            <v>0</v>
          </cell>
          <cell r="T1809">
            <v>0</v>
          </cell>
          <cell r="U1809">
            <v>0</v>
          </cell>
          <cell r="V1809">
            <v>0</v>
          </cell>
          <cell r="W1809">
            <v>0</v>
          </cell>
          <cell r="X1809" t="str">
            <v/>
          </cell>
          <cell r="Y1809" t="str">
            <v/>
          </cell>
          <cell r="Z1809" t="str">
            <v>⑥</v>
          </cell>
          <cell r="AA1809" t="str">
            <v/>
          </cell>
          <cell r="AB1809" t="str">
            <v/>
          </cell>
          <cell r="AC1809" t="str">
            <v/>
          </cell>
          <cell r="AD1809" t="str">
            <v/>
          </cell>
          <cell r="AE1809" t="str">
            <v/>
          </cell>
          <cell r="AF1809" t="str">
            <v/>
          </cell>
          <cell r="AG1809" t="str">
            <v/>
          </cell>
          <cell r="AH1809" t="str">
            <v/>
          </cell>
          <cell r="AI1809" t="str">
            <v/>
          </cell>
        </row>
        <row r="1810">
          <cell r="B1810">
            <v>10005</v>
          </cell>
          <cell r="C1810">
            <v>100</v>
          </cell>
          <cell r="D1810">
            <v>5</v>
          </cell>
          <cell r="F1810" t="str">
            <v>福山</v>
          </cell>
          <cell r="G1810" t="str">
            <v>ハロゲン消火(外観)</v>
          </cell>
          <cell r="H1810" t="str">
            <v>ホーチキ</v>
          </cell>
          <cell r="I1810">
            <v>75000</v>
          </cell>
          <cell r="J1810">
            <v>76500</v>
          </cell>
          <cell r="K1810">
            <v>1</v>
          </cell>
          <cell r="L1810">
            <v>0</v>
          </cell>
          <cell r="M1810">
            <v>0</v>
          </cell>
          <cell r="N1810">
            <v>0</v>
          </cell>
          <cell r="O1810">
            <v>0</v>
          </cell>
          <cell r="P1810">
            <v>0</v>
          </cell>
          <cell r="Q1810">
            <v>0</v>
          </cell>
          <cell r="R1810">
            <v>0</v>
          </cell>
          <cell r="S1810">
            <v>0</v>
          </cell>
          <cell r="T1810">
            <v>76500</v>
          </cell>
          <cell r="U1810">
            <v>0</v>
          </cell>
          <cell r="V1810">
            <v>0</v>
          </cell>
          <cell r="W1810">
            <v>0</v>
          </cell>
          <cell r="X1810" t="str">
            <v/>
          </cell>
          <cell r="Y1810" t="str">
            <v/>
          </cell>
          <cell r="Z1810" t="str">
            <v/>
          </cell>
          <cell r="AA1810" t="str">
            <v/>
          </cell>
          <cell r="AB1810" t="str">
            <v/>
          </cell>
          <cell r="AC1810" t="str">
            <v/>
          </cell>
          <cell r="AD1810" t="str">
            <v/>
          </cell>
          <cell r="AE1810" t="str">
            <v/>
          </cell>
          <cell r="AF1810" t="str">
            <v>⑫</v>
          </cell>
          <cell r="AG1810" t="str">
            <v/>
          </cell>
          <cell r="AH1810" t="str">
            <v/>
          </cell>
          <cell r="AI1810" t="str">
            <v/>
          </cell>
        </row>
        <row r="1811">
          <cell r="B1811">
            <v>10006</v>
          </cell>
          <cell r="C1811">
            <v>100</v>
          </cell>
          <cell r="D1811">
            <v>6</v>
          </cell>
          <cell r="F1811" t="str">
            <v>福山</v>
          </cell>
          <cell r="G1811" t="str">
            <v>ハロゲン消火(総合)</v>
          </cell>
          <cell r="H1811" t="str">
            <v>ホーチキ</v>
          </cell>
          <cell r="I1811">
            <v>134000</v>
          </cell>
          <cell r="J1811">
            <v>136680</v>
          </cell>
          <cell r="K1811">
            <v>1</v>
          </cell>
          <cell r="L1811">
            <v>0</v>
          </cell>
          <cell r="M1811">
            <v>0</v>
          </cell>
          <cell r="N1811">
            <v>136680</v>
          </cell>
          <cell r="O1811">
            <v>0</v>
          </cell>
          <cell r="P1811">
            <v>0</v>
          </cell>
          <cell r="Q1811">
            <v>0</v>
          </cell>
          <cell r="R1811">
            <v>0</v>
          </cell>
          <cell r="S1811">
            <v>0</v>
          </cell>
          <cell r="T1811">
            <v>0</v>
          </cell>
          <cell r="U1811">
            <v>0</v>
          </cell>
          <cell r="V1811">
            <v>0</v>
          </cell>
          <cell r="W1811">
            <v>0</v>
          </cell>
          <cell r="X1811" t="str">
            <v/>
          </cell>
          <cell r="Y1811" t="str">
            <v/>
          </cell>
          <cell r="Z1811" t="str">
            <v>⑥</v>
          </cell>
          <cell r="AA1811" t="str">
            <v/>
          </cell>
          <cell r="AB1811" t="str">
            <v/>
          </cell>
          <cell r="AC1811" t="str">
            <v/>
          </cell>
          <cell r="AD1811" t="str">
            <v/>
          </cell>
          <cell r="AE1811" t="str">
            <v/>
          </cell>
          <cell r="AF1811" t="str">
            <v/>
          </cell>
          <cell r="AG1811" t="str">
            <v/>
          </cell>
          <cell r="AH1811" t="str">
            <v/>
          </cell>
          <cell r="AI1811" t="str">
            <v/>
          </cell>
        </row>
        <row r="1812">
          <cell r="B1812">
            <v>10007</v>
          </cell>
          <cell r="C1812">
            <v>100</v>
          </cell>
          <cell r="D1812">
            <v>7</v>
          </cell>
          <cell r="F1812" t="str">
            <v>福山</v>
          </cell>
          <cell r="G1812" t="str">
            <v>非常放送(外観)</v>
          </cell>
          <cell r="H1812" t="str">
            <v>ホーチキ</v>
          </cell>
          <cell r="I1812">
            <v>41000</v>
          </cell>
          <cell r="J1812">
            <v>41820</v>
          </cell>
          <cell r="K1812">
            <v>1</v>
          </cell>
          <cell r="L1812">
            <v>0</v>
          </cell>
          <cell r="M1812">
            <v>0</v>
          </cell>
          <cell r="N1812">
            <v>0</v>
          </cell>
          <cell r="O1812">
            <v>0</v>
          </cell>
          <cell r="P1812">
            <v>0</v>
          </cell>
          <cell r="Q1812">
            <v>0</v>
          </cell>
          <cell r="R1812">
            <v>0</v>
          </cell>
          <cell r="S1812">
            <v>0</v>
          </cell>
          <cell r="T1812">
            <v>41820</v>
          </cell>
          <cell r="U1812">
            <v>0</v>
          </cell>
          <cell r="V1812">
            <v>0</v>
          </cell>
          <cell r="W1812">
            <v>0</v>
          </cell>
          <cell r="X1812" t="str">
            <v/>
          </cell>
          <cell r="Y1812" t="str">
            <v/>
          </cell>
          <cell r="Z1812" t="str">
            <v/>
          </cell>
          <cell r="AA1812" t="str">
            <v/>
          </cell>
          <cell r="AB1812" t="str">
            <v/>
          </cell>
          <cell r="AC1812" t="str">
            <v/>
          </cell>
          <cell r="AD1812" t="str">
            <v/>
          </cell>
          <cell r="AE1812" t="str">
            <v/>
          </cell>
          <cell r="AF1812" t="str">
            <v>⑫</v>
          </cell>
          <cell r="AG1812" t="str">
            <v/>
          </cell>
          <cell r="AH1812" t="str">
            <v/>
          </cell>
          <cell r="AI1812" t="str">
            <v/>
          </cell>
        </row>
        <row r="1813">
          <cell r="B1813">
            <v>10008</v>
          </cell>
          <cell r="C1813">
            <v>100</v>
          </cell>
          <cell r="D1813">
            <v>8</v>
          </cell>
          <cell r="F1813" t="str">
            <v>福山</v>
          </cell>
          <cell r="G1813" t="str">
            <v>非常放送(総合)</v>
          </cell>
          <cell r="H1813" t="str">
            <v>ホーチキ</v>
          </cell>
          <cell r="I1813">
            <v>83000</v>
          </cell>
          <cell r="J1813">
            <v>84660</v>
          </cell>
          <cell r="K1813">
            <v>1</v>
          </cell>
          <cell r="L1813">
            <v>0</v>
          </cell>
          <cell r="M1813">
            <v>0</v>
          </cell>
          <cell r="N1813">
            <v>84660</v>
          </cell>
          <cell r="O1813">
            <v>0</v>
          </cell>
          <cell r="P1813">
            <v>0</v>
          </cell>
          <cell r="Q1813">
            <v>0</v>
          </cell>
          <cell r="R1813">
            <v>0</v>
          </cell>
          <cell r="S1813">
            <v>0</v>
          </cell>
          <cell r="T1813">
            <v>0</v>
          </cell>
          <cell r="U1813">
            <v>0</v>
          </cell>
          <cell r="V1813">
            <v>0</v>
          </cell>
          <cell r="W1813">
            <v>0</v>
          </cell>
          <cell r="X1813" t="str">
            <v/>
          </cell>
          <cell r="Y1813" t="str">
            <v/>
          </cell>
          <cell r="Z1813" t="str">
            <v>⑥</v>
          </cell>
          <cell r="AA1813" t="str">
            <v/>
          </cell>
          <cell r="AB1813" t="str">
            <v/>
          </cell>
          <cell r="AC1813" t="str">
            <v/>
          </cell>
          <cell r="AD1813" t="str">
            <v/>
          </cell>
          <cell r="AE1813" t="str">
            <v/>
          </cell>
          <cell r="AF1813" t="str">
            <v/>
          </cell>
          <cell r="AG1813" t="str">
            <v/>
          </cell>
          <cell r="AH1813" t="str">
            <v/>
          </cell>
          <cell r="AI1813" t="str">
            <v/>
          </cell>
        </row>
        <row r="1814">
          <cell r="B1814">
            <v>10009</v>
          </cell>
          <cell r="C1814">
            <v>100</v>
          </cell>
          <cell r="D1814">
            <v>9</v>
          </cell>
          <cell r="F1814" t="str">
            <v>福山</v>
          </cell>
          <cell r="G1814" t="str">
            <v>避難器具(外観)</v>
          </cell>
          <cell r="H1814" t="str">
            <v>ホーチキ</v>
          </cell>
          <cell r="I1814">
            <v>33000</v>
          </cell>
          <cell r="J1814">
            <v>33660</v>
          </cell>
          <cell r="K1814">
            <v>1</v>
          </cell>
          <cell r="L1814">
            <v>0</v>
          </cell>
          <cell r="M1814">
            <v>0</v>
          </cell>
          <cell r="N1814">
            <v>0</v>
          </cell>
          <cell r="O1814">
            <v>0</v>
          </cell>
          <cell r="P1814">
            <v>0</v>
          </cell>
          <cell r="Q1814">
            <v>0</v>
          </cell>
          <cell r="R1814">
            <v>0</v>
          </cell>
          <cell r="S1814">
            <v>0</v>
          </cell>
          <cell r="T1814">
            <v>33660</v>
          </cell>
          <cell r="U1814">
            <v>0</v>
          </cell>
          <cell r="V1814">
            <v>0</v>
          </cell>
          <cell r="W1814">
            <v>0</v>
          </cell>
          <cell r="X1814" t="str">
            <v/>
          </cell>
          <cell r="Y1814" t="str">
            <v/>
          </cell>
          <cell r="Z1814" t="str">
            <v/>
          </cell>
          <cell r="AA1814" t="str">
            <v/>
          </cell>
          <cell r="AB1814" t="str">
            <v/>
          </cell>
          <cell r="AC1814" t="str">
            <v/>
          </cell>
          <cell r="AD1814" t="str">
            <v/>
          </cell>
          <cell r="AE1814" t="str">
            <v/>
          </cell>
          <cell r="AF1814" t="str">
            <v>⑫</v>
          </cell>
          <cell r="AG1814" t="str">
            <v/>
          </cell>
          <cell r="AH1814" t="str">
            <v/>
          </cell>
          <cell r="AI1814" t="str">
            <v/>
          </cell>
        </row>
        <row r="1815">
          <cell r="B1815">
            <v>10010</v>
          </cell>
          <cell r="C1815">
            <v>100</v>
          </cell>
          <cell r="D1815">
            <v>10</v>
          </cell>
          <cell r="F1815" t="str">
            <v>福山</v>
          </cell>
          <cell r="G1815" t="str">
            <v>避難器具(総合)</v>
          </cell>
          <cell r="H1815" t="str">
            <v>ホーチキ</v>
          </cell>
          <cell r="I1815">
            <v>52000</v>
          </cell>
          <cell r="J1815">
            <v>53040</v>
          </cell>
          <cell r="K1815">
            <v>1</v>
          </cell>
          <cell r="L1815">
            <v>0</v>
          </cell>
          <cell r="M1815">
            <v>0</v>
          </cell>
          <cell r="N1815">
            <v>53040</v>
          </cell>
          <cell r="O1815">
            <v>0</v>
          </cell>
          <cell r="P1815">
            <v>0</v>
          </cell>
          <cell r="Q1815">
            <v>0</v>
          </cell>
          <cell r="R1815">
            <v>0</v>
          </cell>
          <cell r="S1815">
            <v>0</v>
          </cell>
          <cell r="T1815">
            <v>0</v>
          </cell>
          <cell r="U1815">
            <v>0</v>
          </cell>
          <cell r="V1815">
            <v>0</v>
          </cell>
          <cell r="W1815">
            <v>0</v>
          </cell>
          <cell r="X1815" t="str">
            <v/>
          </cell>
          <cell r="Y1815" t="str">
            <v/>
          </cell>
          <cell r="Z1815" t="str">
            <v>⑥</v>
          </cell>
          <cell r="AA1815" t="str">
            <v/>
          </cell>
          <cell r="AB1815" t="str">
            <v/>
          </cell>
          <cell r="AC1815" t="str">
            <v/>
          </cell>
          <cell r="AD1815" t="str">
            <v/>
          </cell>
          <cell r="AE1815" t="str">
            <v/>
          </cell>
          <cell r="AF1815" t="str">
            <v/>
          </cell>
          <cell r="AG1815" t="str">
            <v/>
          </cell>
          <cell r="AH1815" t="str">
            <v/>
          </cell>
          <cell r="AI1815" t="str">
            <v/>
          </cell>
        </row>
        <row r="1816">
          <cell r="B1816">
            <v>10011</v>
          </cell>
          <cell r="C1816">
            <v>100</v>
          </cell>
          <cell r="D1816">
            <v>11</v>
          </cell>
          <cell r="F1816" t="str">
            <v>福山</v>
          </cell>
          <cell r="G1816" t="str">
            <v>Ｐ型防排煙制御(外観)</v>
          </cell>
          <cell r="H1816" t="str">
            <v>ホーチキ</v>
          </cell>
          <cell r="I1816">
            <v>77000</v>
          </cell>
          <cell r="J1816">
            <v>78540</v>
          </cell>
          <cell r="K1816">
            <v>1</v>
          </cell>
          <cell r="L1816">
            <v>0</v>
          </cell>
          <cell r="M1816">
            <v>0</v>
          </cell>
          <cell r="N1816">
            <v>0</v>
          </cell>
          <cell r="O1816">
            <v>0</v>
          </cell>
          <cell r="P1816">
            <v>0</v>
          </cell>
          <cell r="Q1816">
            <v>0</v>
          </cell>
          <cell r="R1816">
            <v>0</v>
          </cell>
          <cell r="S1816">
            <v>0</v>
          </cell>
          <cell r="T1816">
            <v>78540</v>
          </cell>
          <cell r="U1816">
            <v>0</v>
          </cell>
          <cell r="V1816">
            <v>0</v>
          </cell>
          <cell r="W1816">
            <v>0</v>
          </cell>
          <cell r="X1816" t="str">
            <v/>
          </cell>
          <cell r="Y1816" t="str">
            <v/>
          </cell>
          <cell r="Z1816" t="str">
            <v/>
          </cell>
          <cell r="AA1816" t="str">
            <v/>
          </cell>
          <cell r="AB1816" t="str">
            <v/>
          </cell>
          <cell r="AC1816" t="str">
            <v/>
          </cell>
          <cell r="AD1816" t="str">
            <v/>
          </cell>
          <cell r="AE1816" t="str">
            <v/>
          </cell>
          <cell r="AF1816" t="str">
            <v>⑫</v>
          </cell>
          <cell r="AG1816" t="str">
            <v/>
          </cell>
          <cell r="AH1816" t="str">
            <v/>
          </cell>
          <cell r="AI1816" t="str">
            <v/>
          </cell>
        </row>
        <row r="1817">
          <cell r="B1817">
            <v>10012</v>
          </cell>
          <cell r="C1817">
            <v>100</v>
          </cell>
          <cell r="D1817">
            <v>12</v>
          </cell>
          <cell r="F1817" t="str">
            <v>福山</v>
          </cell>
          <cell r="G1817" t="str">
            <v>Ｐ型防排煙制御(総合)</v>
          </cell>
          <cell r="H1817" t="str">
            <v>ホーチキ</v>
          </cell>
          <cell r="I1817">
            <v>133000</v>
          </cell>
          <cell r="J1817">
            <v>135660</v>
          </cell>
          <cell r="K1817">
            <v>1</v>
          </cell>
          <cell r="L1817">
            <v>0</v>
          </cell>
          <cell r="M1817">
            <v>0</v>
          </cell>
          <cell r="N1817">
            <v>135660</v>
          </cell>
          <cell r="O1817">
            <v>0</v>
          </cell>
          <cell r="P1817">
            <v>0</v>
          </cell>
          <cell r="Q1817">
            <v>0</v>
          </cell>
          <cell r="R1817">
            <v>0</v>
          </cell>
          <cell r="S1817">
            <v>0</v>
          </cell>
          <cell r="T1817">
            <v>0</v>
          </cell>
          <cell r="U1817">
            <v>0</v>
          </cell>
          <cell r="V1817">
            <v>0</v>
          </cell>
          <cell r="W1817">
            <v>0</v>
          </cell>
          <cell r="X1817" t="str">
            <v/>
          </cell>
          <cell r="Y1817" t="str">
            <v/>
          </cell>
          <cell r="Z1817" t="str">
            <v>⑥</v>
          </cell>
          <cell r="AA1817" t="str">
            <v/>
          </cell>
          <cell r="AB1817" t="str">
            <v/>
          </cell>
          <cell r="AC1817" t="str">
            <v/>
          </cell>
          <cell r="AD1817" t="str">
            <v/>
          </cell>
          <cell r="AE1817" t="str">
            <v/>
          </cell>
          <cell r="AF1817" t="str">
            <v/>
          </cell>
          <cell r="AG1817" t="str">
            <v/>
          </cell>
          <cell r="AH1817" t="str">
            <v/>
          </cell>
          <cell r="AI1817" t="str">
            <v/>
          </cell>
        </row>
        <row r="1818">
          <cell r="B1818">
            <v>10013</v>
          </cell>
          <cell r="C1818">
            <v>100</v>
          </cell>
          <cell r="D1818">
            <v>13</v>
          </cell>
          <cell r="F1818" t="str">
            <v>福山</v>
          </cell>
          <cell r="G1818" t="str">
            <v>Ｐ型自火報(外観)</v>
          </cell>
          <cell r="H1818" t="str">
            <v>ホーチキ</v>
          </cell>
          <cell r="I1818">
            <v>53000</v>
          </cell>
          <cell r="J1818">
            <v>54060</v>
          </cell>
          <cell r="K1818">
            <v>1</v>
          </cell>
          <cell r="L1818">
            <v>0</v>
          </cell>
          <cell r="M1818">
            <v>0</v>
          </cell>
          <cell r="N1818">
            <v>0</v>
          </cell>
          <cell r="O1818">
            <v>0</v>
          </cell>
          <cell r="P1818">
            <v>0</v>
          </cell>
          <cell r="Q1818">
            <v>0</v>
          </cell>
          <cell r="R1818">
            <v>0</v>
          </cell>
          <cell r="S1818">
            <v>0</v>
          </cell>
          <cell r="T1818">
            <v>54060</v>
          </cell>
          <cell r="U1818">
            <v>0</v>
          </cell>
          <cell r="V1818">
            <v>0</v>
          </cell>
          <cell r="W1818">
            <v>0</v>
          </cell>
          <cell r="X1818" t="str">
            <v/>
          </cell>
          <cell r="Y1818" t="str">
            <v/>
          </cell>
          <cell r="Z1818" t="str">
            <v/>
          </cell>
          <cell r="AA1818" t="str">
            <v/>
          </cell>
          <cell r="AB1818" t="str">
            <v/>
          </cell>
          <cell r="AC1818" t="str">
            <v/>
          </cell>
          <cell r="AD1818" t="str">
            <v/>
          </cell>
          <cell r="AE1818" t="str">
            <v/>
          </cell>
          <cell r="AF1818" t="str">
            <v>⑫</v>
          </cell>
          <cell r="AG1818" t="str">
            <v/>
          </cell>
          <cell r="AH1818" t="str">
            <v/>
          </cell>
          <cell r="AI1818" t="str">
            <v/>
          </cell>
        </row>
        <row r="1819">
          <cell r="B1819">
            <v>10014</v>
          </cell>
          <cell r="C1819">
            <v>100</v>
          </cell>
          <cell r="D1819">
            <v>14</v>
          </cell>
          <cell r="F1819" t="str">
            <v>福山</v>
          </cell>
          <cell r="G1819" t="str">
            <v>Ｐ型自火報(総合)</v>
          </cell>
          <cell r="H1819" t="str">
            <v>ホーチキ</v>
          </cell>
          <cell r="I1819">
            <v>104000</v>
          </cell>
          <cell r="J1819">
            <v>106080</v>
          </cell>
          <cell r="K1819">
            <v>1</v>
          </cell>
          <cell r="L1819">
            <v>0</v>
          </cell>
          <cell r="M1819">
            <v>0</v>
          </cell>
          <cell r="N1819">
            <v>106080</v>
          </cell>
          <cell r="O1819">
            <v>0</v>
          </cell>
          <cell r="P1819">
            <v>0</v>
          </cell>
          <cell r="Q1819">
            <v>0</v>
          </cell>
          <cell r="R1819">
            <v>0</v>
          </cell>
          <cell r="S1819">
            <v>0</v>
          </cell>
          <cell r="T1819">
            <v>0</v>
          </cell>
          <cell r="U1819">
            <v>0</v>
          </cell>
          <cell r="V1819">
            <v>0</v>
          </cell>
          <cell r="W1819">
            <v>0</v>
          </cell>
          <cell r="X1819" t="str">
            <v/>
          </cell>
          <cell r="Y1819" t="str">
            <v/>
          </cell>
          <cell r="Z1819" t="str">
            <v>⑥</v>
          </cell>
          <cell r="AA1819" t="str">
            <v/>
          </cell>
          <cell r="AB1819" t="str">
            <v/>
          </cell>
          <cell r="AC1819" t="str">
            <v/>
          </cell>
          <cell r="AD1819" t="str">
            <v/>
          </cell>
          <cell r="AE1819" t="str">
            <v/>
          </cell>
          <cell r="AF1819" t="str">
            <v/>
          </cell>
          <cell r="AG1819" t="str">
            <v/>
          </cell>
          <cell r="AH1819" t="str">
            <v/>
          </cell>
          <cell r="AI1819" t="str">
            <v/>
          </cell>
        </row>
        <row r="1820">
          <cell r="B1820">
            <v>10015</v>
          </cell>
          <cell r="C1820">
            <v>100</v>
          </cell>
          <cell r="D1820">
            <v>15</v>
          </cell>
          <cell r="F1820" t="str">
            <v>福山</v>
          </cell>
          <cell r="G1820" t="str">
            <v>消防設備点検保守(外観,総合)</v>
          </cell>
          <cell r="H1820" t="str">
            <v>合同産業</v>
          </cell>
          <cell r="I1820">
            <v>25500</v>
          </cell>
          <cell r="J1820">
            <v>26010</v>
          </cell>
          <cell r="K1820">
            <v>2</v>
          </cell>
          <cell r="L1820">
            <v>26010</v>
          </cell>
          <cell r="M1820">
            <v>0</v>
          </cell>
          <cell r="N1820">
            <v>0</v>
          </cell>
          <cell r="O1820">
            <v>0</v>
          </cell>
          <cell r="P1820">
            <v>0</v>
          </cell>
          <cell r="Q1820">
            <v>0</v>
          </cell>
          <cell r="R1820">
            <v>0</v>
          </cell>
          <cell r="S1820">
            <v>0</v>
          </cell>
          <cell r="T1820">
            <v>0</v>
          </cell>
          <cell r="U1820">
            <v>26010</v>
          </cell>
          <cell r="V1820">
            <v>0</v>
          </cell>
          <cell r="W1820">
            <v>0</v>
          </cell>
          <cell r="X1820" t="str">
            <v>④</v>
          </cell>
          <cell r="Y1820" t="str">
            <v/>
          </cell>
          <cell r="Z1820" t="str">
            <v/>
          </cell>
          <cell r="AA1820" t="str">
            <v/>
          </cell>
          <cell r="AB1820" t="str">
            <v/>
          </cell>
          <cell r="AC1820" t="str">
            <v/>
          </cell>
          <cell r="AD1820" t="str">
            <v/>
          </cell>
          <cell r="AE1820" t="str">
            <v/>
          </cell>
          <cell r="AF1820" t="str">
            <v/>
          </cell>
          <cell r="AG1820" t="str">
            <v>①</v>
          </cell>
          <cell r="AH1820" t="str">
            <v/>
          </cell>
          <cell r="AI1820" t="str">
            <v/>
          </cell>
        </row>
        <row r="1821">
          <cell r="B1821">
            <v>10016</v>
          </cell>
          <cell r="C1821">
            <v>100</v>
          </cell>
          <cell r="D1821">
            <v>16</v>
          </cell>
          <cell r="F1821" t="str">
            <v>福山</v>
          </cell>
          <cell r="G1821" t="str">
            <v>消防設備点検(消火器)</v>
          </cell>
          <cell r="H1821" t="str">
            <v>藤井消火器</v>
          </cell>
          <cell r="I1821">
            <v>41000</v>
          </cell>
          <cell r="J1821">
            <v>41820</v>
          </cell>
          <cell r="K1821">
            <v>2</v>
          </cell>
          <cell r="L1821">
            <v>0</v>
          </cell>
          <cell r="M1821">
            <v>0</v>
          </cell>
          <cell r="N1821">
            <v>0</v>
          </cell>
          <cell r="O1821">
            <v>41820</v>
          </cell>
          <cell r="P1821">
            <v>0</v>
          </cell>
          <cell r="Q1821">
            <v>0</v>
          </cell>
          <cell r="R1821">
            <v>0</v>
          </cell>
          <cell r="S1821">
            <v>0</v>
          </cell>
          <cell r="T1821">
            <v>0</v>
          </cell>
          <cell r="U1821">
            <v>41820</v>
          </cell>
          <cell r="V1821">
            <v>0</v>
          </cell>
          <cell r="W1821">
            <v>0</v>
          </cell>
          <cell r="X1821" t="str">
            <v/>
          </cell>
          <cell r="Y1821" t="str">
            <v/>
          </cell>
          <cell r="Z1821" t="str">
            <v/>
          </cell>
          <cell r="AA1821" t="str">
            <v>⑦</v>
          </cell>
          <cell r="AB1821" t="str">
            <v/>
          </cell>
          <cell r="AC1821" t="str">
            <v/>
          </cell>
          <cell r="AD1821" t="str">
            <v/>
          </cell>
          <cell r="AE1821" t="str">
            <v/>
          </cell>
          <cell r="AF1821" t="str">
            <v/>
          </cell>
          <cell r="AG1821" t="str">
            <v>①</v>
          </cell>
          <cell r="AH1821" t="str">
            <v/>
          </cell>
          <cell r="AI1821" t="str">
            <v/>
          </cell>
        </row>
        <row r="1822">
          <cell r="B1822">
            <v>10017</v>
          </cell>
          <cell r="C1822">
            <v>100</v>
          </cell>
          <cell r="D1822">
            <v>17</v>
          </cell>
          <cell r="F1822" t="str">
            <v>福山</v>
          </cell>
          <cell r="G1822" t="str">
            <v>害虫駆除</v>
          </cell>
          <cell r="H1822" t="str">
            <v>大成消毒管理</v>
          </cell>
          <cell r="I1822">
            <v>76666</v>
          </cell>
          <cell r="J1822">
            <v>84332</v>
          </cell>
          <cell r="K1822">
            <v>2</v>
          </cell>
          <cell r="L1822">
            <v>0</v>
          </cell>
          <cell r="M1822">
            <v>0</v>
          </cell>
          <cell r="N1822">
            <v>84332</v>
          </cell>
          <cell r="O1822">
            <v>0</v>
          </cell>
          <cell r="P1822">
            <v>0</v>
          </cell>
          <cell r="Q1822">
            <v>0</v>
          </cell>
          <cell r="R1822">
            <v>0</v>
          </cell>
          <cell r="S1822">
            <v>0</v>
          </cell>
          <cell r="T1822">
            <v>84332</v>
          </cell>
          <cell r="U1822">
            <v>0</v>
          </cell>
          <cell r="V1822">
            <v>0</v>
          </cell>
          <cell r="W1822">
            <v>0</v>
          </cell>
          <cell r="X1822" t="str">
            <v/>
          </cell>
          <cell r="Y1822" t="str">
            <v/>
          </cell>
          <cell r="Z1822" t="str">
            <v>⑥</v>
          </cell>
          <cell r="AA1822" t="str">
            <v/>
          </cell>
          <cell r="AB1822" t="str">
            <v/>
          </cell>
          <cell r="AC1822" t="str">
            <v/>
          </cell>
          <cell r="AD1822" t="str">
            <v/>
          </cell>
          <cell r="AE1822" t="str">
            <v/>
          </cell>
          <cell r="AF1822" t="str">
            <v>⑫</v>
          </cell>
          <cell r="AG1822" t="str">
            <v/>
          </cell>
          <cell r="AH1822" t="str">
            <v/>
          </cell>
          <cell r="AI1822" t="str">
            <v/>
          </cell>
        </row>
        <row r="1823">
          <cell r="B1823">
            <v>10018</v>
          </cell>
          <cell r="C1823">
            <v>100</v>
          </cell>
          <cell r="D1823">
            <v>18</v>
          </cell>
          <cell r="F1823" t="str">
            <v>福山</v>
          </cell>
          <cell r="G1823" t="str">
            <v>貯水槽清掃</v>
          </cell>
          <cell r="H1823" t="str">
            <v>クリーンブライト</v>
          </cell>
          <cell r="I1823">
            <v>74285</v>
          </cell>
          <cell r="J1823">
            <v>83942</v>
          </cell>
          <cell r="K1823">
            <v>1</v>
          </cell>
          <cell r="L1823">
            <v>0</v>
          </cell>
          <cell r="M1823">
            <v>0</v>
          </cell>
          <cell r="N1823">
            <v>0</v>
          </cell>
          <cell r="O1823">
            <v>0</v>
          </cell>
          <cell r="P1823">
            <v>0</v>
          </cell>
          <cell r="Q1823">
            <v>83942</v>
          </cell>
          <cell r="R1823">
            <v>0</v>
          </cell>
          <cell r="S1823">
            <v>0</v>
          </cell>
          <cell r="T1823">
            <v>0</v>
          </cell>
          <cell r="U1823">
            <v>0</v>
          </cell>
          <cell r="V1823">
            <v>0</v>
          </cell>
          <cell r="W1823">
            <v>0</v>
          </cell>
          <cell r="X1823" t="str">
            <v/>
          </cell>
          <cell r="Y1823" t="str">
            <v/>
          </cell>
          <cell r="Z1823" t="str">
            <v/>
          </cell>
          <cell r="AA1823" t="str">
            <v/>
          </cell>
          <cell r="AB1823" t="str">
            <v/>
          </cell>
          <cell r="AC1823" t="str">
            <v>⑨</v>
          </cell>
          <cell r="AD1823" t="str">
            <v/>
          </cell>
          <cell r="AE1823" t="str">
            <v/>
          </cell>
          <cell r="AF1823" t="str">
            <v/>
          </cell>
          <cell r="AG1823" t="str">
            <v/>
          </cell>
          <cell r="AH1823" t="str">
            <v/>
          </cell>
          <cell r="AI1823" t="str">
            <v/>
          </cell>
        </row>
        <row r="1824">
          <cell r="B1824">
            <v>10019</v>
          </cell>
          <cell r="C1824">
            <v>100</v>
          </cell>
          <cell r="D1824">
            <v>19</v>
          </cell>
          <cell r="F1824" t="str">
            <v>福山</v>
          </cell>
          <cell r="G1824" t="str">
            <v>ヒートポンプチラー設備保守</v>
          </cell>
          <cell r="H1824" t="str">
            <v>三菱電機ﾋﾞﾙﾃｸﾉｻｰﾋﾞｽ</v>
          </cell>
          <cell r="I1824">
            <v>137000</v>
          </cell>
          <cell r="J1824">
            <v>139740</v>
          </cell>
          <cell r="K1824">
            <v>2</v>
          </cell>
          <cell r="L1824">
            <v>0</v>
          </cell>
          <cell r="M1824">
            <v>0</v>
          </cell>
          <cell r="N1824">
            <v>0</v>
          </cell>
          <cell r="O1824">
            <v>0</v>
          </cell>
          <cell r="P1824">
            <v>0</v>
          </cell>
          <cell r="Q1824">
            <v>0</v>
          </cell>
          <cell r="R1824">
            <v>139740</v>
          </cell>
          <cell r="S1824">
            <v>0</v>
          </cell>
          <cell r="T1824">
            <v>0</v>
          </cell>
          <cell r="U1824">
            <v>0</v>
          </cell>
          <cell r="V1824">
            <v>0</v>
          </cell>
          <cell r="W1824">
            <v>139740</v>
          </cell>
          <cell r="X1824" t="str">
            <v/>
          </cell>
          <cell r="Y1824" t="str">
            <v/>
          </cell>
          <cell r="Z1824" t="str">
            <v/>
          </cell>
          <cell r="AA1824" t="str">
            <v/>
          </cell>
          <cell r="AB1824" t="str">
            <v/>
          </cell>
          <cell r="AC1824" t="str">
            <v/>
          </cell>
          <cell r="AD1824" t="str">
            <v>⑩</v>
          </cell>
          <cell r="AE1824" t="str">
            <v/>
          </cell>
          <cell r="AF1824" t="str">
            <v/>
          </cell>
          <cell r="AG1824" t="str">
            <v/>
          </cell>
          <cell r="AH1824" t="str">
            <v/>
          </cell>
          <cell r="AI1824" t="str">
            <v>③</v>
          </cell>
        </row>
        <row r="1825">
          <cell r="B1825">
            <v>10020</v>
          </cell>
          <cell r="C1825">
            <v>100</v>
          </cell>
          <cell r="D1825">
            <v>20</v>
          </cell>
          <cell r="F1825" t="str">
            <v>福山</v>
          </cell>
          <cell r="G1825" t="str">
            <v>ヒートポンプチラー設備保守</v>
          </cell>
          <cell r="H1825" t="str">
            <v>三菱電機ﾋﾞﾙﾃｸﾉｻｰﾋﾞｽ</v>
          </cell>
          <cell r="I1825">
            <v>148000</v>
          </cell>
          <cell r="J1825">
            <v>150960</v>
          </cell>
          <cell r="K1825">
            <v>2</v>
          </cell>
          <cell r="L1825">
            <v>0</v>
          </cell>
          <cell r="M1825">
            <v>0</v>
          </cell>
          <cell r="N1825">
            <v>0</v>
          </cell>
          <cell r="O1825">
            <v>150960</v>
          </cell>
          <cell r="P1825">
            <v>0</v>
          </cell>
          <cell r="Q1825">
            <v>0</v>
          </cell>
          <cell r="R1825">
            <v>0</v>
          </cell>
          <cell r="S1825">
            <v>0</v>
          </cell>
          <cell r="T1825">
            <v>0</v>
          </cell>
          <cell r="U1825">
            <v>150960</v>
          </cell>
          <cell r="V1825">
            <v>0</v>
          </cell>
          <cell r="W1825">
            <v>0</v>
          </cell>
          <cell r="X1825" t="str">
            <v/>
          </cell>
          <cell r="Y1825" t="str">
            <v/>
          </cell>
          <cell r="Z1825" t="str">
            <v/>
          </cell>
          <cell r="AA1825" t="str">
            <v>⑦</v>
          </cell>
          <cell r="AB1825" t="str">
            <v/>
          </cell>
          <cell r="AC1825" t="str">
            <v/>
          </cell>
          <cell r="AD1825" t="str">
            <v/>
          </cell>
          <cell r="AE1825" t="str">
            <v/>
          </cell>
          <cell r="AF1825" t="str">
            <v/>
          </cell>
          <cell r="AG1825" t="str">
            <v>①</v>
          </cell>
          <cell r="AH1825" t="str">
            <v/>
          </cell>
          <cell r="AI1825" t="str">
            <v/>
          </cell>
        </row>
        <row r="1826">
          <cell r="B1826">
            <v>10021</v>
          </cell>
          <cell r="C1826">
            <v>100</v>
          </cell>
          <cell r="D1826">
            <v>21</v>
          </cell>
          <cell r="F1826" t="str">
            <v>福山</v>
          </cell>
          <cell r="G1826" t="str">
            <v>全空調機ﾛｰﾙﾌｨﾙﾀｰ取替</v>
          </cell>
          <cell r="H1826" t="str">
            <v>三冷社</v>
          </cell>
          <cell r="I1826">
            <v>420000</v>
          </cell>
          <cell r="J1826">
            <v>483000</v>
          </cell>
          <cell r="K1826">
            <v>1</v>
          </cell>
          <cell r="L1826">
            <v>0</v>
          </cell>
          <cell r="M1826">
            <v>0</v>
          </cell>
          <cell r="N1826">
            <v>0</v>
          </cell>
          <cell r="O1826">
            <v>0</v>
          </cell>
          <cell r="P1826">
            <v>0</v>
          </cell>
          <cell r="Q1826">
            <v>0</v>
          </cell>
          <cell r="R1826">
            <v>0</v>
          </cell>
          <cell r="S1826">
            <v>0</v>
          </cell>
          <cell r="T1826">
            <v>0</v>
          </cell>
          <cell r="U1826">
            <v>483000</v>
          </cell>
          <cell r="V1826">
            <v>0</v>
          </cell>
          <cell r="W1826">
            <v>0</v>
          </cell>
          <cell r="X1826" t="str">
            <v/>
          </cell>
          <cell r="Y1826" t="str">
            <v/>
          </cell>
          <cell r="Z1826" t="str">
            <v/>
          </cell>
          <cell r="AA1826" t="str">
            <v/>
          </cell>
          <cell r="AB1826" t="str">
            <v/>
          </cell>
          <cell r="AC1826" t="str">
            <v/>
          </cell>
          <cell r="AD1826" t="str">
            <v/>
          </cell>
          <cell r="AE1826" t="str">
            <v/>
          </cell>
          <cell r="AF1826" t="str">
            <v/>
          </cell>
          <cell r="AG1826" t="str">
            <v>①</v>
          </cell>
          <cell r="AH1826" t="str">
            <v/>
          </cell>
          <cell r="AI1826" t="str">
            <v/>
          </cell>
          <cell r="AJ1826" t="str">
            <v>追</v>
          </cell>
        </row>
        <row r="1827">
          <cell r="B1827">
            <v>10022</v>
          </cell>
          <cell r="C1827">
            <v>100</v>
          </cell>
          <cell r="D1827">
            <v>22</v>
          </cell>
          <cell r="F1827" t="str">
            <v>福山</v>
          </cell>
          <cell r="G1827" t="str">
            <v>電機集塵機点検清掃</v>
          </cell>
          <cell r="H1827" t="str">
            <v>三冷社</v>
          </cell>
          <cell r="I1827">
            <v>160000</v>
          </cell>
          <cell r="J1827">
            <v>184000</v>
          </cell>
          <cell r="K1827">
            <v>1</v>
          </cell>
          <cell r="L1827">
            <v>0</v>
          </cell>
          <cell r="M1827">
            <v>0</v>
          </cell>
          <cell r="N1827">
            <v>0</v>
          </cell>
          <cell r="O1827">
            <v>0</v>
          </cell>
          <cell r="P1827">
            <v>0</v>
          </cell>
          <cell r="Q1827">
            <v>0</v>
          </cell>
          <cell r="R1827">
            <v>184000</v>
          </cell>
          <cell r="S1827">
            <v>0</v>
          </cell>
          <cell r="T1827">
            <v>0</v>
          </cell>
          <cell r="U1827">
            <v>0</v>
          </cell>
          <cell r="V1827">
            <v>0</v>
          </cell>
          <cell r="W1827">
            <v>0</v>
          </cell>
          <cell r="X1827" t="str">
            <v/>
          </cell>
          <cell r="Y1827" t="str">
            <v/>
          </cell>
          <cell r="Z1827" t="str">
            <v/>
          </cell>
          <cell r="AA1827" t="str">
            <v/>
          </cell>
          <cell r="AB1827" t="str">
            <v/>
          </cell>
          <cell r="AC1827" t="str">
            <v/>
          </cell>
          <cell r="AD1827" t="str">
            <v>⑩</v>
          </cell>
          <cell r="AE1827" t="str">
            <v/>
          </cell>
          <cell r="AF1827" t="str">
            <v/>
          </cell>
          <cell r="AG1827" t="str">
            <v/>
          </cell>
          <cell r="AH1827" t="str">
            <v/>
          </cell>
          <cell r="AI1827" t="str">
            <v/>
          </cell>
          <cell r="AJ1827" t="str">
            <v>追</v>
          </cell>
        </row>
        <row r="1828">
          <cell r="B1828">
            <v>10023</v>
          </cell>
          <cell r="C1828">
            <v>100</v>
          </cell>
          <cell r="D1828">
            <v>23</v>
          </cell>
          <cell r="F1828" t="str">
            <v>福山</v>
          </cell>
          <cell r="G1828" t="str">
            <v>空調機ﾌｨﾙﾀｰ清掃</v>
          </cell>
          <cell r="H1828" t="str">
            <v>合同産業</v>
          </cell>
          <cell r="I1828">
            <v>25000</v>
          </cell>
          <cell r="J1828">
            <v>28750</v>
          </cell>
          <cell r="K1828">
            <v>4</v>
          </cell>
          <cell r="L1828">
            <v>0</v>
          </cell>
          <cell r="M1828">
            <v>28750</v>
          </cell>
          <cell r="N1828">
            <v>0</v>
          </cell>
          <cell r="O1828">
            <v>0</v>
          </cell>
          <cell r="P1828">
            <v>28750</v>
          </cell>
          <cell r="Q1828">
            <v>0</v>
          </cell>
          <cell r="R1828">
            <v>0</v>
          </cell>
          <cell r="S1828">
            <v>28750</v>
          </cell>
          <cell r="T1828">
            <v>0</v>
          </cell>
          <cell r="U1828">
            <v>0</v>
          </cell>
          <cell r="V1828">
            <v>28750</v>
          </cell>
          <cell r="W1828">
            <v>0</v>
          </cell>
          <cell r="X1828" t="str">
            <v/>
          </cell>
          <cell r="Y1828" t="str">
            <v>⑤</v>
          </cell>
          <cell r="AB1828" t="str">
            <v>⑧</v>
          </cell>
          <cell r="AE1828" t="str">
            <v>⑪</v>
          </cell>
          <cell r="AH1828" t="str">
            <v>②</v>
          </cell>
          <cell r="AI1828" t="str">
            <v/>
          </cell>
          <cell r="AJ1828" t="str">
            <v>追</v>
          </cell>
        </row>
        <row r="1829">
          <cell r="B1829">
            <v>10024</v>
          </cell>
          <cell r="C1829">
            <v>100</v>
          </cell>
          <cell r="D1829">
            <v>24</v>
          </cell>
          <cell r="F1829" t="str">
            <v>福山</v>
          </cell>
          <cell r="G1829" t="str">
            <v>ファンコイルﾌｨﾙﾀｰ清掃</v>
          </cell>
          <cell r="H1829" t="str">
            <v>合同産業</v>
          </cell>
          <cell r="I1829">
            <v>45000</v>
          </cell>
          <cell r="J1829">
            <v>51750</v>
          </cell>
          <cell r="K1829">
            <v>4</v>
          </cell>
          <cell r="L1829">
            <v>0</v>
          </cell>
          <cell r="M1829">
            <v>51750</v>
          </cell>
          <cell r="N1829">
            <v>0</v>
          </cell>
          <cell r="O1829">
            <v>0</v>
          </cell>
          <cell r="P1829">
            <v>51750</v>
          </cell>
          <cell r="Q1829">
            <v>0</v>
          </cell>
          <cell r="R1829">
            <v>0</v>
          </cell>
          <cell r="S1829">
            <v>51750</v>
          </cell>
          <cell r="T1829">
            <v>0</v>
          </cell>
          <cell r="U1829">
            <v>0</v>
          </cell>
          <cell r="V1829">
            <v>51750</v>
          </cell>
          <cell r="W1829">
            <v>0</v>
          </cell>
          <cell r="X1829" t="str">
            <v/>
          </cell>
          <cell r="Y1829" t="str">
            <v>⑤</v>
          </cell>
          <cell r="AB1829" t="str">
            <v>⑧</v>
          </cell>
          <cell r="AE1829" t="str">
            <v>⑪</v>
          </cell>
          <cell r="AH1829" t="str">
            <v>②</v>
          </cell>
          <cell r="AI1829" t="str">
            <v/>
          </cell>
          <cell r="AJ1829" t="str">
            <v>追</v>
          </cell>
        </row>
        <row r="1830">
          <cell r="B1830">
            <v>10101</v>
          </cell>
          <cell r="C1830">
            <v>101</v>
          </cell>
          <cell r="D1830">
            <v>1</v>
          </cell>
          <cell r="F1830" t="str">
            <v>山口</v>
          </cell>
          <cell r="G1830" t="str">
            <v>駐車場設備保守</v>
          </cell>
          <cell r="H1830" t="str">
            <v>三菱重工ﾊﾟｰｷﾝｸﾞ建設</v>
          </cell>
          <cell r="I1830">
            <v>85000</v>
          </cell>
          <cell r="J1830">
            <v>86700</v>
          </cell>
          <cell r="K1830">
            <v>12</v>
          </cell>
          <cell r="L1830">
            <v>86700</v>
          </cell>
          <cell r="M1830">
            <v>86700</v>
          </cell>
          <cell r="N1830">
            <v>86700</v>
          </cell>
          <cell r="O1830">
            <v>86700</v>
          </cell>
          <cell r="P1830">
            <v>86700</v>
          </cell>
          <cell r="Q1830">
            <v>86700</v>
          </cell>
          <cell r="R1830">
            <v>86700</v>
          </cell>
          <cell r="S1830">
            <v>86700</v>
          </cell>
          <cell r="T1830">
            <v>86700</v>
          </cell>
          <cell r="U1830">
            <v>86700</v>
          </cell>
          <cell r="V1830">
            <v>86700</v>
          </cell>
          <cell r="W1830">
            <v>86700</v>
          </cell>
          <cell r="X1830" t="str">
            <v>④</v>
          </cell>
          <cell r="Y1830" t="str">
            <v>⑤</v>
          </cell>
          <cell r="Z1830" t="str">
            <v>⑥</v>
          </cell>
          <cell r="AA1830" t="str">
            <v>⑦</v>
          </cell>
          <cell r="AB1830" t="str">
            <v>⑧</v>
          </cell>
          <cell r="AC1830" t="str">
            <v>⑨</v>
          </cell>
          <cell r="AD1830" t="str">
            <v>⑩</v>
          </cell>
          <cell r="AE1830" t="str">
            <v>⑪</v>
          </cell>
          <cell r="AF1830" t="str">
            <v>⑫</v>
          </cell>
          <cell r="AG1830" t="str">
            <v>①</v>
          </cell>
          <cell r="AH1830" t="str">
            <v>②</v>
          </cell>
          <cell r="AI1830" t="str">
            <v>③</v>
          </cell>
        </row>
        <row r="1831">
          <cell r="B1831">
            <v>10102</v>
          </cell>
          <cell r="C1831">
            <v>101</v>
          </cell>
          <cell r="D1831">
            <v>2</v>
          </cell>
          <cell r="F1831" t="str">
            <v>山口</v>
          </cell>
          <cell r="G1831" t="str">
            <v>エレベーター保守</v>
          </cell>
          <cell r="H1831" t="str">
            <v>三菱電機ﾋﾞﾙﾃｸﾉｻｰﾋﾞｽ</v>
          </cell>
          <cell r="I1831">
            <v>67300</v>
          </cell>
          <cell r="J1831">
            <v>68646</v>
          </cell>
          <cell r="K1831">
            <v>12</v>
          </cell>
          <cell r="L1831">
            <v>68646</v>
          </cell>
          <cell r="M1831">
            <v>68646</v>
          </cell>
          <cell r="N1831">
            <v>68646</v>
          </cell>
          <cell r="O1831">
            <v>68646</v>
          </cell>
          <cell r="P1831">
            <v>68646</v>
          </cell>
          <cell r="Q1831">
            <v>68646</v>
          </cell>
          <cell r="R1831">
            <v>68646</v>
          </cell>
          <cell r="S1831">
            <v>68646</v>
          </cell>
          <cell r="T1831">
            <v>68646</v>
          </cell>
          <cell r="U1831">
            <v>68646</v>
          </cell>
          <cell r="V1831">
            <v>68646</v>
          </cell>
          <cell r="W1831">
            <v>68646</v>
          </cell>
          <cell r="X1831" t="str">
            <v>④</v>
          </cell>
          <cell r="Y1831" t="str">
            <v>⑤</v>
          </cell>
          <cell r="Z1831" t="str">
            <v>⑥</v>
          </cell>
          <cell r="AA1831" t="str">
            <v>⑦</v>
          </cell>
          <cell r="AB1831" t="str">
            <v>⑧</v>
          </cell>
          <cell r="AC1831" t="str">
            <v>⑨</v>
          </cell>
          <cell r="AD1831" t="str">
            <v>⑩</v>
          </cell>
          <cell r="AE1831" t="str">
            <v>⑪</v>
          </cell>
          <cell r="AF1831" t="str">
            <v>⑫</v>
          </cell>
          <cell r="AG1831" t="str">
            <v>①</v>
          </cell>
          <cell r="AH1831" t="str">
            <v>②</v>
          </cell>
          <cell r="AI1831" t="str">
            <v>③</v>
          </cell>
        </row>
        <row r="1832">
          <cell r="B1832">
            <v>10201</v>
          </cell>
          <cell r="C1832">
            <v>102</v>
          </cell>
          <cell r="D1832">
            <v>1</v>
          </cell>
          <cell r="F1832" t="str">
            <v>徳山</v>
          </cell>
          <cell r="G1832" t="str">
            <v>駐車場設備保守</v>
          </cell>
          <cell r="H1832" t="str">
            <v>石川島運搬機械</v>
          </cell>
          <cell r="I1832">
            <v>23000</v>
          </cell>
          <cell r="J1832">
            <v>25500</v>
          </cell>
          <cell r="K1832">
            <v>12</v>
          </cell>
          <cell r="L1832">
            <v>25500</v>
          </cell>
          <cell r="M1832">
            <v>25500</v>
          </cell>
          <cell r="N1832">
            <v>25500</v>
          </cell>
          <cell r="O1832">
            <v>25500</v>
          </cell>
          <cell r="P1832">
            <v>25500</v>
          </cell>
          <cell r="Q1832">
            <v>25500</v>
          </cell>
          <cell r="R1832">
            <v>25500</v>
          </cell>
          <cell r="S1832">
            <v>25500</v>
          </cell>
          <cell r="T1832">
            <v>25500</v>
          </cell>
          <cell r="U1832">
            <v>25500</v>
          </cell>
          <cell r="V1832">
            <v>25500</v>
          </cell>
          <cell r="W1832">
            <v>25500</v>
          </cell>
          <cell r="X1832" t="str">
            <v>④</v>
          </cell>
          <cell r="Y1832" t="str">
            <v>⑤</v>
          </cell>
          <cell r="Z1832" t="str">
            <v>⑥</v>
          </cell>
          <cell r="AA1832" t="str">
            <v>⑦</v>
          </cell>
          <cell r="AB1832" t="str">
            <v>⑧</v>
          </cell>
          <cell r="AC1832" t="str">
            <v>⑨</v>
          </cell>
          <cell r="AD1832" t="str">
            <v>⑩</v>
          </cell>
          <cell r="AE1832" t="str">
            <v>⑪</v>
          </cell>
          <cell r="AF1832" t="str">
            <v>⑫</v>
          </cell>
          <cell r="AG1832" t="str">
            <v>①</v>
          </cell>
          <cell r="AH1832" t="str">
            <v>②</v>
          </cell>
          <cell r="AI1832" t="str">
            <v>③</v>
          </cell>
        </row>
        <row r="1833">
          <cell r="B1833">
            <v>10301</v>
          </cell>
          <cell r="C1833">
            <v>103</v>
          </cell>
          <cell r="D1833">
            <v>1</v>
          </cell>
          <cell r="F1833" t="str">
            <v>徳島</v>
          </cell>
          <cell r="G1833" t="str">
            <v>エレベーター保守</v>
          </cell>
          <cell r="H1833" t="str">
            <v>三菱電機ﾋﾞﾙﾃｸﾉｻｰﾋﾞｽ</v>
          </cell>
          <cell r="I1833">
            <v>69600</v>
          </cell>
          <cell r="J1833">
            <v>70992</v>
          </cell>
          <cell r="K1833">
            <v>12</v>
          </cell>
          <cell r="L1833">
            <v>70992</v>
          </cell>
          <cell r="M1833">
            <v>70992</v>
          </cell>
          <cell r="N1833">
            <v>70992</v>
          </cell>
          <cell r="O1833">
            <v>70992</v>
          </cell>
          <cell r="P1833">
            <v>70992</v>
          </cell>
          <cell r="Q1833">
            <v>70992</v>
          </cell>
          <cell r="R1833">
            <v>70992</v>
          </cell>
          <cell r="S1833">
            <v>70992</v>
          </cell>
          <cell r="T1833">
            <v>70992</v>
          </cell>
          <cell r="U1833">
            <v>70992</v>
          </cell>
          <cell r="V1833">
            <v>70992</v>
          </cell>
          <cell r="W1833">
            <v>70992</v>
          </cell>
          <cell r="X1833" t="str">
            <v>④</v>
          </cell>
          <cell r="Y1833" t="str">
            <v>⑤</v>
          </cell>
          <cell r="Z1833" t="str">
            <v>⑥</v>
          </cell>
          <cell r="AA1833" t="str">
            <v>⑦</v>
          </cell>
          <cell r="AB1833" t="str">
            <v>⑧</v>
          </cell>
          <cell r="AC1833" t="str">
            <v>⑨</v>
          </cell>
          <cell r="AD1833" t="str">
            <v>⑩</v>
          </cell>
          <cell r="AE1833" t="str">
            <v>⑪</v>
          </cell>
          <cell r="AF1833" t="str">
            <v>⑫</v>
          </cell>
          <cell r="AG1833" t="str">
            <v>①</v>
          </cell>
          <cell r="AH1833" t="str">
            <v>②</v>
          </cell>
          <cell r="AI1833" t="str">
            <v>③</v>
          </cell>
        </row>
        <row r="1834">
          <cell r="B1834">
            <v>10401</v>
          </cell>
          <cell r="C1834">
            <v>104</v>
          </cell>
          <cell r="D1834">
            <v>1</v>
          </cell>
          <cell r="F1834" t="str">
            <v>丸亀</v>
          </cell>
          <cell r="G1834" t="str">
            <v>駐車場設備保守</v>
          </cell>
          <cell r="H1834" t="str">
            <v>石川島運搬機械</v>
          </cell>
          <cell r="I1834">
            <v>57000</v>
          </cell>
          <cell r="J1834">
            <v>60900</v>
          </cell>
          <cell r="K1834">
            <v>12</v>
          </cell>
          <cell r="L1834">
            <v>60900</v>
          </cell>
          <cell r="M1834">
            <v>60900</v>
          </cell>
          <cell r="N1834">
            <v>60900</v>
          </cell>
          <cell r="O1834">
            <v>60900</v>
          </cell>
          <cell r="P1834">
            <v>60900</v>
          </cell>
          <cell r="Q1834">
            <v>60900</v>
          </cell>
          <cell r="R1834">
            <v>60900</v>
          </cell>
          <cell r="S1834">
            <v>60900</v>
          </cell>
          <cell r="T1834">
            <v>60900</v>
          </cell>
          <cell r="U1834">
            <v>60900</v>
          </cell>
          <cell r="V1834">
            <v>60900</v>
          </cell>
          <cell r="W1834">
            <v>60900</v>
          </cell>
          <cell r="X1834" t="str">
            <v>④</v>
          </cell>
          <cell r="Y1834" t="str">
            <v>⑤</v>
          </cell>
          <cell r="Z1834" t="str">
            <v>⑥</v>
          </cell>
          <cell r="AA1834" t="str">
            <v>⑦</v>
          </cell>
          <cell r="AB1834" t="str">
            <v>⑧</v>
          </cell>
          <cell r="AC1834" t="str">
            <v>⑨</v>
          </cell>
          <cell r="AD1834" t="str">
            <v>⑩</v>
          </cell>
          <cell r="AE1834" t="str">
            <v>⑪</v>
          </cell>
          <cell r="AF1834" t="str">
            <v>⑫</v>
          </cell>
          <cell r="AG1834" t="str">
            <v>①</v>
          </cell>
          <cell r="AH1834" t="str">
            <v>②</v>
          </cell>
          <cell r="AI1834" t="str">
            <v>③</v>
          </cell>
        </row>
        <row r="1835">
          <cell r="B1835">
            <v>10501</v>
          </cell>
          <cell r="C1835">
            <v>105</v>
          </cell>
          <cell r="D1835">
            <v>1</v>
          </cell>
          <cell r="F1835" t="str">
            <v>松山一番</v>
          </cell>
          <cell r="G1835" t="str">
            <v>エレベーター保守</v>
          </cell>
          <cell r="H1835" t="str">
            <v>三菱電機ﾋﾞﾙﾃｸﾉｻｰﾋﾞｽ</v>
          </cell>
          <cell r="I1835">
            <v>64500</v>
          </cell>
          <cell r="J1835">
            <v>65800</v>
          </cell>
          <cell r="K1835">
            <v>12</v>
          </cell>
          <cell r="L1835">
            <v>65800</v>
          </cell>
          <cell r="M1835">
            <v>65800</v>
          </cell>
          <cell r="N1835">
            <v>65800</v>
          </cell>
          <cell r="O1835">
            <v>65800</v>
          </cell>
          <cell r="P1835">
            <v>65800</v>
          </cell>
          <cell r="Q1835">
            <v>65800</v>
          </cell>
          <cell r="R1835">
            <v>65800</v>
          </cell>
          <cell r="S1835">
            <v>65800</v>
          </cell>
          <cell r="T1835">
            <v>65800</v>
          </cell>
          <cell r="U1835">
            <v>65800</v>
          </cell>
          <cell r="V1835">
            <v>65800</v>
          </cell>
          <cell r="W1835">
            <v>65800</v>
          </cell>
          <cell r="X1835" t="str">
            <v>④</v>
          </cell>
          <cell r="Y1835" t="str">
            <v>⑤</v>
          </cell>
          <cell r="Z1835" t="str">
            <v>⑥</v>
          </cell>
          <cell r="AA1835" t="str">
            <v>⑦</v>
          </cell>
          <cell r="AB1835" t="str">
            <v>⑧</v>
          </cell>
          <cell r="AC1835" t="str">
            <v>⑨</v>
          </cell>
          <cell r="AD1835" t="str">
            <v>⑩</v>
          </cell>
          <cell r="AE1835" t="str">
            <v>⑪</v>
          </cell>
          <cell r="AF1835" t="str">
            <v>⑫</v>
          </cell>
          <cell r="AG1835" t="str">
            <v>①</v>
          </cell>
          <cell r="AH1835" t="str">
            <v>②</v>
          </cell>
          <cell r="AI1835" t="str">
            <v>③</v>
          </cell>
        </row>
        <row r="1836">
          <cell r="B1836">
            <v>13501</v>
          </cell>
          <cell r="C1836">
            <v>135</v>
          </cell>
          <cell r="D1836">
            <v>1</v>
          </cell>
          <cell r="F1836" t="str">
            <v>宇部</v>
          </cell>
          <cell r="G1836" t="str">
            <v>駐車場設備保守</v>
          </cell>
          <cell r="H1836" t="str">
            <v>日成エンジニアリング</v>
          </cell>
          <cell r="I1836">
            <v>14000</v>
          </cell>
          <cell r="J1836">
            <v>15500</v>
          </cell>
          <cell r="K1836">
            <v>12</v>
          </cell>
          <cell r="L1836">
            <v>15500</v>
          </cell>
          <cell r="M1836">
            <v>15500</v>
          </cell>
          <cell r="N1836">
            <v>15500</v>
          </cell>
          <cell r="O1836">
            <v>15500</v>
          </cell>
          <cell r="P1836">
            <v>15500</v>
          </cell>
          <cell r="Q1836">
            <v>15500</v>
          </cell>
          <cell r="R1836">
            <v>15500</v>
          </cell>
          <cell r="S1836">
            <v>15500</v>
          </cell>
          <cell r="T1836">
            <v>15500</v>
          </cell>
          <cell r="U1836">
            <v>15500</v>
          </cell>
          <cell r="V1836">
            <v>15500</v>
          </cell>
          <cell r="W1836">
            <v>15500</v>
          </cell>
          <cell r="X1836" t="str">
            <v>④</v>
          </cell>
          <cell r="Y1836" t="str">
            <v>⑤</v>
          </cell>
          <cell r="Z1836" t="str">
            <v>⑥</v>
          </cell>
          <cell r="AA1836" t="str">
            <v>⑦</v>
          </cell>
          <cell r="AB1836" t="str">
            <v>⑧</v>
          </cell>
          <cell r="AC1836" t="str">
            <v>⑨</v>
          </cell>
          <cell r="AD1836" t="str">
            <v>⑩</v>
          </cell>
          <cell r="AE1836" t="str">
            <v>⑪</v>
          </cell>
          <cell r="AF1836" t="str">
            <v>⑫</v>
          </cell>
          <cell r="AG1836" t="str">
            <v>①</v>
          </cell>
          <cell r="AH1836" t="str">
            <v>②</v>
          </cell>
          <cell r="AI1836" t="str">
            <v>③</v>
          </cell>
        </row>
        <row r="1837">
          <cell r="B1837">
            <v>10601</v>
          </cell>
          <cell r="C1837">
            <v>106</v>
          </cell>
          <cell r="D1837">
            <v>1</v>
          </cell>
          <cell r="F1837" t="str">
            <v>今治</v>
          </cell>
          <cell r="G1837" t="str">
            <v>駐車場設備保守</v>
          </cell>
          <cell r="H1837" t="str">
            <v>三菱重工ﾊﾟｰｷﾝｸﾞ建設</v>
          </cell>
          <cell r="I1837">
            <v>164000</v>
          </cell>
          <cell r="J1837">
            <v>167280</v>
          </cell>
          <cell r="K1837">
            <v>12</v>
          </cell>
          <cell r="L1837">
            <v>167280</v>
          </cell>
          <cell r="M1837">
            <v>167280</v>
          </cell>
          <cell r="N1837">
            <v>167280</v>
          </cell>
          <cell r="O1837">
            <v>167280</v>
          </cell>
          <cell r="P1837">
            <v>167280</v>
          </cell>
          <cell r="Q1837">
            <v>167280</v>
          </cell>
          <cell r="R1837">
            <v>167280</v>
          </cell>
          <cell r="S1837">
            <v>167280</v>
          </cell>
          <cell r="T1837">
            <v>167280</v>
          </cell>
          <cell r="U1837">
            <v>167280</v>
          </cell>
          <cell r="V1837">
            <v>167280</v>
          </cell>
          <cell r="W1837">
            <v>167280</v>
          </cell>
          <cell r="X1837" t="str">
            <v>④</v>
          </cell>
          <cell r="Y1837" t="str">
            <v>⑤</v>
          </cell>
          <cell r="Z1837" t="str">
            <v>⑥</v>
          </cell>
          <cell r="AA1837" t="str">
            <v>⑦</v>
          </cell>
          <cell r="AB1837" t="str">
            <v>⑧</v>
          </cell>
          <cell r="AC1837" t="str">
            <v>⑨</v>
          </cell>
          <cell r="AD1837" t="str">
            <v>⑩</v>
          </cell>
          <cell r="AE1837" t="str">
            <v>⑪</v>
          </cell>
          <cell r="AF1837" t="str">
            <v>⑫</v>
          </cell>
          <cell r="AG1837" t="str">
            <v>①</v>
          </cell>
          <cell r="AH1837" t="str">
            <v>②</v>
          </cell>
          <cell r="AI1837" t="str">
            <v>③</v>
          </cell>
        </row>
        <row r="1838">
          <cell r="B1838">
            <v>10602</v>
          </cell>
          <cell r="C1838">
            <v>106</v>
          </cell>
          <cell r="D1838">
            <v>2</v>
          </cell>
          <cell r="F1838" t="str">
            <v>今治</v>
          </cell>
          <cell r="G1838" t="str">
            <v>エレベーター保守</v>
          </cell>
          <cell r="H1838" t="str">
            <v>三菱電機ﾋﾞﾙﾃｸﾉｻｰﾋﾞｽ</v>
          </cell>
          <cell r="I1838">
            <v>65700</v>
          </cell>
          <cell r="J1838">
            <v>67014</v>
          </cell>
          <cell r="K1838">
            <v>12</v>
          </cell>
          <cell r="L1838">
            <v>67014</v>
          </cell>
          <cell r="M1838">
            <v>67014</v>
          </cell>
          <cell r="N1838">
            <v>67014</v>
          </cell>
          <cell r="O1838">
            <v>67014</v>
          </cell>
          <cell r="P1838">
            <v>67014</v>
          </cell>
          <cell r="Q1838">
            <v>67014</v>
          </cell>
          <cell r="R1838">
            <v>67014</v>
          </cell>
          <cell r="S1838">
            <v>67014</v>
          </cell>
          <cell r="T1838">
            <v>67014</v>
          </cell>
          <cell r="U1838">
            <v>67014</v>
          </cell>
          <cell r="V1838">
            <v>67014</v>
          </cell>
          <cell r="W1838">
            <v>67014</v>
          </cell>
          <cell r="X1838" t="str">
            <v>④</v>
          </cell>
          <cell r="Y1838" t="str">
            <v>⑤</v>
          </cell>
          <cell r="Z1838" t="str">
            <v>⑥</v>
          </cell>
          <cell r="AA1838" t="str">
            <v>⑦</v>
          </cell>
          <cell r="AB1838" t="str">
            <v>⑧</v>
          </cell>
          <cell r="AC1838" t="str">
            <v>⑨</v>
          </cell>
          <cell r="AD1838" t="str">
            <v>⑩</v>
          </cell>
          <cell r="AE1838" t="str">
            <v>⑪</v>
          </cell>
          <cell r="AF1838" t="str">
            <v>⑫</v>
          </cell>
          <cell r="AG1838" t="str">
            <v>①</v>
          </cell>
          <cell r="AH1838" t="str">
            <v>②</v>
          </cell>
          <cell r="AI1838" t="str">
            <v>③</v>
          </cell>
        </row>
        <row r="1839">
          <cell r="B1839">
            <v>10603</v>
          </cell>
          <cell r="C1839">
            <v>106</v>
          </cell>
          <cell r="D1839">
            <v>3</v>
          </cell>
          <cell r="F1839" t="str">
            <v>今治</v>
          </cell>
          <cell r="G1839" t="str">
            <v>消火器(外観)</v>
          </cell>
          <cell r="H1839" t="str">
            <v>ホーチキ</v>
          </cell>
          <cell r="I1839">
            <v>8900</v>
          </cell>
          <cell r="J1839">
            <v>9078</v>
          </cell>
          <cell r="K1839">
            <v>1</v>
          </cell>
          <cell r="L1839">
            <v>0</v>
          </cell>
          <cell r="M1839">
            <v>0</v>
          </cell>
          <cell r="N1839">
            <v>0</v>
          </cell>
          <cell r="O1839">
            <v>9078</v>
          </cell>
          <cell r="P1839">
            <v>0</v>
          </cell>
          <cell r="Q1839">
            <v>0</v>
          </cell>
          <cell r="R1839">
            <v>0</v>
          </cell>
          <cell r="S1839">
            <v>0</v>
          </cell>
          <cell r="T1839">
            <v>0</v>
          </cell>
          <cell r="U1839">
            <v>0</v>
          </cell>
          <cell r="V1839">
            <v>0</v>
          </cell>
          <cell r="W1839">
            <v>0</v>
          </cell>
          <cell r="X1839" t="str">
            <v/>
          </cell>
          <cell r="Y1839" t="str">
            <v/>
          </cell>
          <cell r="Z1839" t="str">
            <v/>
          </cell>
          <cell r="AA1839" t="str">
            <v>⑦</v>
          </cell>
          <cell r="AB1839" t="str">
            <v/>
          </cell>
          <cell r="AC1839" t="str">
            <v/>
          </cell>
          <cell r="AD1839" t="str">
            <v/>
          </cell>
          <cell r="AE1839" t="str">
            <v/>
          </cell>
          <cell r="AF1839" t="str">
            <v/>
          </cell>
          <cell r="AG1839" t="str">
            <v/>
          </cell>
          <cell r="AH1839" t="str">
            <v/>
          </cell>
          <cell r="AI1839" t="str">
            <v/>
          </cell>
        </row>
        <row r="1840">
          <cell r="B1840">
            <v>10604</v>
          </cell>
          <cell r="C1840">
            <v>106</v>
          </cell>
          <cell r="D1840">
            <v>4</v>
          </cell>
          <cell r="F1840" t="str">
            <v>今治</v>
          </cell>
          <cell r="G1840" t="str">
            <v>消火器(総合)</v>
          </cell>
          <cell r="H1840" t="str">
            <v>ホーチキ</v>
          </cell>
          <cell r="I1840">
            <v>10800</v>
          </cell>
          <cell r="J1840">
            <v>11016</v>
          </cell>
          <cell r="K1840">
            <v>1</v>
          </cell>
          <cell r="L1840">
            <v>0</v>
          </cell>
          <cell r="M1840">
            <v>0</v>
          </cell>
          <cell r="N1840">
            <v>0</v>
          </cell>
          <cell r="O1840">
            <v>0</v>
          </cell>
          <cell r="P1840">
            <v>0</v>
          </cell>
          <cell r="Q1840">
            <v>0</v>
          </cell>
          <cell r="R1840">
            <v>0</v>
          </cell>
          <cell r="S1840">
            <v>0</v>
          </cell>
          <cell r="T1840">
            <v>0</v>
          </cell>
          <cell r="U1840">
            <v>11016</v>
          </cell>
          <cell r="V1840">
            <v>0</v>
          </cell>
          <cell r="W1840">
            <v>0</v>
          </cell>
          <cell r="X1840" t="str">
            <v/>
          </cell>
          <cell r="Y1840" t="str">
            <v/>
          </cell>
          <cell r="Z1840" t="str">
            <v/>
          </cell>
          <cell r="AA1840" t="str">
            <v/>
          </cell>
          <cell r="AB1840" t="str">
            <v/>
          </cell>
          <cell r="AC1840" t="str">
            <v/>
          </cell>
          <cell r="AD1840" t="str">
            <v/>
          </cell>
          <cell r="AE1840" t="str">
            <v/>
          </cell>
          <cell r="AF1840" t="str">
            <v/>
          </cell>
          <cell r="AG1840" t="str">
            <v>①</v>
          </cell>
          <cell r="AH1840" t="str">
            <v/>
          </cell>
          <cell r="AI1840" t="str">
            <v/>
          </cell>
        </row>
        <row r="1841">
          <cell r="B1841">
            <v>10605</v>
          </cell>
          <cell r="C1841">
            <v>106</v>
          </cell>
          <cell r="D1841">
            <v>5</v>
          </cell>
          <cell r="F1841" t="str">
            <v>今治</v>
          </cell>
          <cell r="G1841" t="str">
            <v>屋内消火栓(外観)</v>
          </cell>
          <cell r="H1841" t="str">
            <v>ホーチキ</v>
          </cell>
          <cell r="I1841">
            <v>32400</v>
          </cell>
          <cell r="J1841">
            <v>33048</v>
          </cell>
          <cell r="K1841">
            <v>1</v>
          </cell>
          <cell r="L1841">
            <v>0</v>
          </cell>
          <cell r="M1841">
            <v>0</v>
          </cell>
          <cell r="N1841">
            <v>0</v>
          </cell>
          <cell r="O1841">
            <v>33048</v>
          </cell>
          <cell r="P1841">
            <v>0</v>
          </cell>
          <cell r="Q1841">
            <v>0</v>
          </cell>
          <cell r="R1841">
            <v>0</v>
          </cell>
          <cell r="S1841">
            <v>0</v>
          </cell>
          <cell r="T1841">
            <v>0</v>
          </cell>
          <cell r="U1841">
            <v>0</v>
          </cell>
          <cell r="V1841">
            <v>0</v>
          </cell>
          <cell r="W1841">
            <v>0</v>
          </cell>
          <cell r="X1841" t="str">
            <v/>
          </cell>
          <cell r="Y1841" t="str">
            <v/>
          </cell>
          <cell r="Z1841" t="str">
            <v/>
          </cell>
          <cell r="AA1841" t="str">
            <v>⑦</v>
          </cell>
          <cell r="AB1841" t="str">
            <v/>
          </cell>
          <cell r="AC1841" t="str">
            <v/>
          </cell>
          <cell r="AD1841" t="str">
            <v/>
          </cell>
          <cell r="AE1841" t="str">
            <v/>
          </cell>
          <cell r="AF1841" t="str">
            <v/>
          </cell>
          <cell r="AG1841" t="str">
            <v/>
          </cell>
          <cell r="AH1841" t="str">
            <v/>
          </cell>
          <cell r="AI1841" t="str">
            <v/>
          </cell>
        </row>
        <row r="1842">
          <cell r="B1842">
            <v>10606</v>
          </cell>
          <cell r="C1842">
            <v>106</v>
          </cell>
          <cell r="D1842">
            <v>6</v>
          </cell>
          <cell r="F1842" t="str">
            <v>今治</v>
          </cell>
          <cell r="G1842" t="str">
            <v>屋内消火栓(総合)</v>
          </cell>
          <cell r="H1842" t="str">
            <v>ホーチキ</v>
          </cell>
          <cell r="I1842">
            <v>56500</v>
          </cell>
          <cell r="J1842">
            <v>57630</v>
          </cell>
          <cell r="K1842">
            <v>1</v>
          </cell>
          <cell r="L1842">
            <v>0</v>
          </cell>
          <cell r="M1842">
            <v>0</v>
          </cell>
          <cell r="N1842">
            <v>0</v>
          </cell>
          <cell r="O1842">
            <v>0</v>
          </cell>
          <cell r="P1842">
            <v>0</v>
          </cell>
          <cell r="Q1842">
            <v>0</v>
          </cell>
          <cell r="R1842">
            <v>0</v>
          </cell>
          <cell r="S1842">
            <v>0</v>
          </cell>
          <cell r="T1842">
            <v>0</v>
          </cell>
          <cell r="U1842">
            <v>57630</v>
          </cell>
          <cell r="V1842">
            <v>0</v>
          </cell>
          <cell r="W1842">
            <v>0</v>
          </cell>
          <cell r="X1842" t="str">
            <v/>
          </cell>
          <cell r="Y1842" t="str">
            <v/>
          </cell>
          <cell r="Z1842" t="str">
            <v/>
          </cell>
          <cell r="AA1842" t="str">
            <v/>
          </cell>
          <cell r="AB1842" t="str">
            <v/>
          </cell>
          <cell r="AC1842" t="str">
            <v/>
          </cell>
          <cell r="AD1842" t="str">
            <v/>
          </cell>
          <cell r="AE1842" t="str">
            <v/>
          </cell>
          <cell r="AF1842" t="str">
            <v/>
          </cell>
          <cell r="AG1842" t="str">
            <v>①</v>
          </cell>
          <cell r="AH1842" t="str">
            <v/>
          </cell>
          <cell r="AI1842" t="str">
            <v/>
          </cell>
        </row>
        <row r="1843">
          <cell r="B1843">
            <v>10607</v>
          </cell>
          <cell r="C1843">
            <v>106</v>
          </cell>
          <cell r="D1843">
            <v>7</v>
          </cell>
          <cell r="F1843" t="str">
            <v>今治</v>
          </cell>
          <cell r="G1843" t="str">
            <v>非常放送(外観)</v>
          </cell>
          <cell r="H1843" t="str">
            <v>ホーチキ</v>
          </cell>
          <cell r="I1843">
            <v>30600</v>
          </cell>
          <cell r="J1843">
            <v>31212</v>
          </cell>
          <cell r="K1843">
            <v>1</v>
          </cell>
          <cell r="L1843">
            <v>0</v>
          </cell>
          <cell r="M1843">
            <v>0</v>
          </cell>
          <cell r="N1843">
            <v>0</v>
          </cell>
          <cell r="O1843">
            <v>31212</v>
          </cell>
          <cell r="P1843">
            <v>0</v>
          </cell>
          <cell r="Q1843">
            <v>0</v>
          </cell>
          <cell r="R1843">
            <v>0</v>
          </cell>
          <cell r="S1843">
            <v>0</v>
          </cell>
          <cell r="T1843">
            <v>0</v>
          </cell>
          <cell r="U1843">
            <v>0</v>
          </cell>
          <cell r="V1843">
            <v>0</v>
          </cell>
          <cell r="W1843">
            <v>0</v>
          </cell>
          <cell r="X1843" t="str">
            <v/>
          </cell>
          <cell r="Y1843" t="str">
            <v/>
          </cell>
          <cell r="Z1843" t="str">
            <v/>
          </cell>
          <cell r="AA1843" t="str">
            <v>⑦</v>
          </cell>
          <cell r="AB1843" t="str">
            <v/>
          </cell>
          <cell r="AC1843" t="str">
            <v/>
          </cell>
          <cell r="AD1843" t="str">
            <v/>
          </cell>
          <cell r="AE1843" t="str">
            <v/>
          </cell>
          <cell r="AF1843" t="str">
            <v/>
          </cell>
          <cell r="AG1843" t="str">
            <v/>
          </cell>
          <cell r="AH1843" t="str">
            <v/>
          </cell>
          <cell r="AI1843" t="str">
            <v/>
          </cell>
        </row>
        <row r="1844">
          <cell r="B1844">
            <v>10608</v>
          </cell>
          <cell r="C1844">
            <v>106</v>
          </cell>
          <cell r="D1844">
            <v>8</v>
          </cell>
          <cell r="F1844" t="str">
            <v>今治</v>
          </cell>
          <cell r="G1844" t="str">
            <v>非常放送(総合)</v>
          </cell>
          <cell r="H1844" t="str">
            <v>ホーチキ</v>
          </cell>
          <cell r="I1844">
            <v>34200</v>
          </cell>
          <cell r="J1844">
            <v>34884</v>
          </cell>
          <cell r="K1844">
            <v>1</v>
          </cell>
          <cell r="L1844">
            <v>0</v>
          </cell>
          <cell r="M1844">
            <v>0</v>
          </cell>
          <cell r="N1844">
            <v>0</v>
          </cell>
          <cell r="O1844">
            <v>0</v>
          </cell>
          <cell r="P1844">
            <v>0</v>
          </cell>
          <cell r="Q1844">
            <v>0</v>
          </cell>
          <cell r="R1844">
            <v>0</v>
          </cell>
          <cell r="S1844">
            <v>0</v>
          </cell>
          <cell r="T1844">
            <v>0</v>
          </cell>
          <cell r="U1844">
            <v>34884</v>
          </cell>
          <cell r="V1844">
            <v>0</v>
          </cell>
          <cell r="W1844">
            <v>0</v>
          </cell>
          <cell r="X1844" t="str">
            <v/>
          </cell>
          <cell r="Y1844" t="str">
            <v/>
          </cell>
          <cell r="Z1844" t="str">
            <v/>
          </cell>
          <cell r="AA1844" t="str">
            <v/>
          </cell>
          <cell r="AB1844" t="str">
            <v/>
          </cell>
          <cell r="AC1844" t="str">
            <v/>
          </cell>
          <cell r="AD1844" t="str">
            <v/>
          </cell>
          <cell r="AE1844" t="str">
            <v/>
          </cell>
          <cell r="AF1844" t="str">
            <v/>
          </cell>
          <cell r="AG1844" t="str">
            <v>①</v>
          </cell>
          <cell r="AH1844" t="str">
            <v/>
          </cell>
          <cell r="AI1844" t="str">
            <v/>
          </cell>
        </row>
        <row r="1845">
          <cell r="B1845">
            <v>10609</v>
          </cell>
          <cell r="C1845">
            <v>106</v>
          </cell>
          <cell r="D1845">
            <v>9</v>
          </cell>
          <cell r="F1845" t="str">
            <v>今治</v>
          </cell>
          <cell r="G1845" t="str">
            <v>誘導灯(外観)</v>
          </cell>
          <cell r="H1845" t="str">
            <v>ホーチキ</v>
          </cell>
          <cell r="I1845">
            <v>27000</v>
          </cell>
          <cell r="J1845">
            <v>27540</v>
          </cell>
          <cell r="K1845">
            <v>1</v>
          </cell>
          <cell r="L1845">
            <v>0</v>
          </cell>
          <cell r="M1845">
            <v>0</v>
          </cell>
          <cell r="N1845">
            <v>0</v>
          </cell>
          <cell r="O1845">
            <v>27540</v>
          </cell>
          <cell r="P1845">
            <v>0</v>
          </cell>
          <cell r="Q1845">
            <v>0</v>
          </cell>
          <cell r="R1845">
            <v>0</v>
          </cell>
          <cell r="S1845">
            <v>0</v>
          </cell>
          <cell r="T1845">
            <v>0</v>
          </cell>
          <cell r="U1845">
            <v>0</v>
          </cell>
          <cell r="V1845">
            <v>0</v>
          </cell>
          <cell r="W1845">
            <v>0</v>
          </cell>
          <cell r="X1845" t="str">
            <v/>
          </cell>
          <cell r="Y1845" t="str">
            <v/>
          </cell>
          <cell r="Z1845" t="str">
            <v/>
          </cell>
          <cell r="AA1845" t="str">
            <v>⑦</v>
          </cell>
          <cell r="AB1845" t="str">
            <v/>
          </cell>
          <cell r="AC1845" t="str">
            <v/>
          </cell>
          <cell r="AD1845" t="str">
            <v/>
          </cell>
          <cell r="AE1845" t="str">
            <v/>
          </cell>
          <cell r="AF1845" t="str">
            <v/>
          </cell>
          <cell r="AG1845" t="str">
            <v/>
          </cell>
          <cell r="AH1845" t="str">
            <v/>
          </cell>
          <cell r="AI1845" t="str">
            <v/>
          </cell>
        </row>
        <row r="1846">
          <cell r="B1846">
            <v>10610</v>
          </cell>
          <cell r="C1846">
            <v>106</v>
          </cell>
          <cell r="D1846">
            <v>10</v>
          </cell>
          <cell r="F1846" t="str">
            <v>今治</v>
          </cell>
          <cell r="G1846" t="str">
            <v>誘導灯(総合)</v>
          </cell>
          <cell r="H1846" t="str">
            <v>ホーチキ</v>
          </cell>
          <cell r="I1846">
            <v>63800</v>
          </cell>
          <cell r="J1846">
            <v>65076</v>
          </cell>
          <cell r="K1846">
            <v>1</v>
          </cell>
          <cell r="L1846">
            <v>0</v>
          </cell>
          <cell r="M1846">
            <v>0</v>
          </cell>
          <cell r="N1846">
            <v>0</v>
          </cell>
          <cell r="O1846">
            <v>0</v>
          </cell>
          <cell r="P1846">
            <v>0</v>
          </cell>
          <cell r="Q1846">
            <v>0</v>
          </cell>
          <cell r="R1846">
            <v>0</v>
          </cell>
          <cell r="S1846">
            <v>0</v>
          </cell>
          <cell r="T1846">
            <v>0</v>
          </cell>
          <cell r="U1846">
            <v>65076</v>
          </cell>
          <cell r="V1846">
            <v>0</v>
          </cell>
          <cell r="W1846">
            <v>0</v>
          </cell>
          <cell r="X1846" t="str">
            <v/>
          </cell>
          <cell r="Y1846" t="str">
            <v/>
          </cell>
          <cell r="Z1846" t="str">
            <v/>
          </cell>
          <cell r="AA1846" t="str">
            <v/>
          </cell>
          <cell r="AB1846" t="str">
            <v/>
          </cell>
          <cell r="AC1846" t="str">
            <v/>
          </cell>
          <cell r="AD1846" t="str">
            <v/>
          </cell>
          <cell r="AE1846" t="str">
            <v/>
          </cell>
          <cell r="AF1846" t="str">
            <v/>
          </cell>
          <cell r="AG1846" t="str">
            <v>①</v>
          </cell>
          <cell r="AH1846" t="str">
            <v/>
          </cell>
          <cell r="AI1846" t="str">
            <v/>
          </cell>
        </row>
        <row r="1847">
          <cell r="B1847">
            <v>10611</v>
          </cell>
          <cell r="C1847">
            <v>106</v>
          </cell>
          <cell r="D1847">
            <v>11</v>
          </cell>
          <cell r="F1847" t="str">
            <v>今治</v>
          </cell>
          <cell r="G1847" t="str">
            <v>Ｐ型防排煙制御(外観)</v>
          </cell>
          <cell r="H1847" t="str">
            <v>ホーチキ</v>
          </cell>
          <cell r="I1847">
            <v>56800</v>
          </cell>
          <cell r="J1847">
            <v>57936</v>
          </cell>
          <cell r="K1847">
            <v>1</v>
          </cell>
          <cell r="L1847">
            <v>0</v>
          </cell>
          <cell r="M1847">
            <v>0</v>
          </cell>
          <cell r="N1847">
            <v>0</v>
          </cell>
          <cell r="O1847">
            <v>57936</v>
          </cell>
          <cell r="P1847">
            <v>0</v>
          </cell>
          <cell r="Q1847">
            <v>0</v>
          </cell>
          <cell r="R1847">
            <v>0</v>
          </cell>
          <cell r="S1847">
            <v>0</v>
          </cell>
          <cell r="T1847">
            <v>0</v>
          </cell>
          <cell r="U1847">
            <v>0</v>
          </cell>
          <cell r="V1847">
            <v>0</v>
          </cell>
          <cell r="W1847">
            <v>0</v>
          </cell>
          <cell r="X1847" t="str">
            <v/>
          </cell>
          <cell r="Y1847" t="str">
            <v/>
          </cell>
          <cell r="Z1847" t="str">
            <v/>
          </cell>
          <cell r="AA1847" t="str">
            <v>⑦</v>
          </cell>
          <cell r="AB1847" t="str">
            <v/>
          </cell>
          <cell r="AC1847" t="str">
            <v/>
          </cell>
          <cell r="AD1847" t="str">
            <v/>
          </cell>
          <cell r="AE1847" t="str">
            <v/>
          </cell>
          <cell r="AF1847" t="str">
            <v/>
          </cell>
          <cell r="AG1847" t="str">
            <v/>
          </cell>
          <cell r="AH1847" t="str">
            <v/>
          </cell>
          <cell r="AI1847" t="str">
            <v/>
          </cell>
        </row>
        <row r="1848">
          <cell r="B1848">
            <v>10612</v>
          </cell>
          <cell r="C1848">
            <v>106</v>
          </cell>
          <cell r="D1848">
            <v>12</v>
          </cell>
          <cell r="F1848" t="str">
            <v>今治</v>
          </cell>
          <cell r="G1848" t="str">
            <v>Ｐ型防排煙制御(総合)</v>
          </cell>
          <cell r="H1848" t="str">
            <v>ホーチキ</v>
          </cell>
          <cell r="I1848">
            <v>66300</v>
          </cell>
          <cell r="J1848">
            <v>67626</v>
          </cell>
          <cell r="K1848">
            <v>1</v>
          </cell>
          <cell r="L1848">
            <v>0</v>
          </cell>
          <cell r="M1848">
            <v>0</v>
          </cell>
          <cell r="N1848">
            <v>0</v>
          </cell>
          <cell r="O1848">
            <v>0</v>
          </cell>
          <cell r="P1848">
            <v>0</v>
          </cell>
          <cell r="Q1848">
            <v>0</v>
          </cell>
          <cell r="R1848">
            <v>0</v>
          </cell>
          <cell r="S1848">
            <v>0</v>
          </cell>
          <cell r="T1848">
            <v>0</v>
          </cell>
          <cell r="U1848">
            <v>67626</v>
          </cell>
          <cell r="V1848">
            <v>0</v>
          </cell>
          <cell r="W1848">
            <v>0</v>
          </cell>
          <cell r="X1848" t="str">
            <v/>
          </cell>
          <cell r="Y1848" t="str">
            <v/>
          </cell>
          <cell r="Z1848" t="str">
            <v/>
          </cell>
          <cell r="AA1848" t="str">
            <v/>
          </cell>
          <cell r="AB1848" t="str">
            <v/>
          </cell>
          <cell r="AC1848" t="str">
            <v/>
          </cell>
          <cell r="AD1848" t="str">
            <v/>
          </cell>
          <cell r="AE1848" t="str">
            <v/>
          </cell>
          <cell r="AF1848" t="str">
            <v/>
          </cell>
          <cell r="AG1848" t="str">
            <v>①</v>
          </cell>
          <cell r="AH1848" t="str">
            <v/>
          </cell>
          <cell r="AI1848" t="str">
            <v/>
          </cell>
        </row>
        <row r="1849">
          <cell r="B1849">
            <v>10613</v>
          </cell>
          <cell r="C1849">
            <v>106</v>
          </cell>
          <cell r="D1849">
            <v>13</v>
          </cell>
          <cell r="F1849" t="str">
            <v>今治</v>
          </cell>
          <cell r="G1849" t="str">
            <v>非常電源専用受電(外観)</v>
          </cell>
          <cell r="H1849" t="str">
            <v>ホーチキ</v>
          </cell>
          <cell r="I1849">
            <v>8900</v>
          </cell>
          <cell r="J1849">
            <v>9078</v>
          </cell>
          <cell r="K1849">
            <v>1</v>
          </cell>
          <cell r="L1849">
            <v>0</v>
          </cell>
          <cell r="M1849">
            <v>0</v>
          </cell>
          <cell r="N1849">
            <v>0</v>
          </cell>
          <cell r="O1849">
            <v>9078</v>
          </cell>
          <cell r="P1849">
            <v>0</v>
          </cell>
          <cell r="Q1849">
            <v>0</v>
          </cell>
          <cell r="R1849">
            <v>0</v>
          </cell>
          <cell r="S1849">
            <v>0</v>
          </cell>
          <cell r="T1849">
            <v>0</v>
          </cell>
          <cell r="U1849">
            <v>0</v>
          </cell>
          <cell r="V1849">
            <v>0</v>
          </cell>
          <cell r="W1849">
            <v>0</v>
          </cell>
          <cell r="X1849" t="str">
            <v/>
          </cell>
          <cell r="Y1849" t="str">
            <v/>
          </cell>
          <cell r="Z1849" t="str">
            <v/>
          </cell>
          <cell r="AA1849" t="str">
            <v>⑦</v>
          </cell>
          <cell r="AB1849" t="str">
            <v/>
          </cell>
          <cell r="AC1849" t="str">
            <v/>
          </cell>
          <cell r="AD1849" t="str">
            <v/>
          </cell>
          <cell r="AE1849" t="str">
            <v/>
          </cell>
          <cell r="AF1849" t="str">
            <v/>
          </cell>
          <cell r="AG1849" t="str">
            <v/>
          </cell>
          <cell r="AH1849" t="str">
            <v/>
          </cell>
          <cell r="AI1849" t="str">
            <v/>
          </cell>
        </row>
        <row r="1850">
          <cell r="B1850">
            <v>10614</v>
          </cell>
          <cell r="C1850">
            <v>106</v>
          </cell>
          <cell r="D1850">
            <v>14</v>
          </cell>
          <cell r="F1850" t="str">
            <v>今治</v>
          </cell>
          <cell r="G1850" t="str">
            <v>非常電源専用受電(総合)</v>
          </cell>
          <cell r="H1850" t="str">
            <v>ホーチキ</v>
          </cell>
          <cell r="I1850">
            <v>16900</v>
          </cell>
          <cell r="J1850">
            <v>17238</v>
          </cell>
          <cell r="K1850">
            <v>1</v>
          </cell>
          <cell r="L1850">
            <v>0</v>
          </cell>
          <cell r="M1850">
            <v>0</v>
          </cell>
          <cell r="N1850">
            <v>0</v>
          </cell>
          <cell r="O1850">
            <v>0</v>
          </cell>
          <cell r="P1850">
            <v>0</v>
          </cell>
          <cell r="Q1850">
            <v>0</v>
          </cell>
          <cell r="R1850">
            <v>0</v>
          </cell>
          <cell r="S1850">
            <v>0</v>
          </cell>
          <cell r="T1850">
            <v>0</v>
          </cell>
          <cell r="U1850">
            <v>17238</v>
          </cell>
          <cell r="V1850">
            <v>0</v>
          </cell>
          <cell r="W1850">
            <v>0</v>
          </cell>
          <cell r="X1850" t="str">
            <v/>
          </cell>
          <cell r="Y1850" t="str">
            <v/>
          </cell>
          <cell r="Z1850" t="str">
            <v/>
          </cell>
          <cell r="AA1850" t="str">
            <v/>
          </cell>
          <cell r="AB1850" t="str">
            <v/>
          </cell>
          <cell r="AC1850" t="str">
            <v/>
          </cell>
          <cell r="AD1850" t="str">
            <v/>
          </cell>
          <cell r="AE1850" t="str">
            <v/>
          </cell>
          <cell r="AF1850" t="str">
            <v/>
          </cell>
          <cell r="AG1850" t="str">
            <v>①</v>
          </cell>
          <cell r="AH1850" t="str">
            <v/>
          </cell>
          <cell r="AI1850" t="str">
            <v/>
          </cell>
        </row>
        <row r="1851">
          <cell r="B1851">
            <v>10615</v>
          </cell>
          <cell r="C1851">
            <v>106</v>
          </cell>
          <cell r="D1851">
            <v>15</v>
          </cell>
          <cell r="F1851" t="str">
            <v>今治</v>
          </cell>
          <cell r="G1851" t="str">
            <v>Ｐ型ｶﾞｽ漏火災警報(外観)</v>
          </cell>
          <cell r="H1851" t="str">
            <v>ホーチキ</v>
          </cell>
          <cell r="I1851">
            <v>14400</v>
          </cell>
          <cell r="J1851">
            <v>14688</v>
          </cell>
          <cell r="K1851">
            <v>1</v>
          </cell>
          <cell r="L1851">
            <v>0</v>
          </cell>
          <cell r="M1851">
            <v>0</v>
          </cell>
          <cell r="N1851">
            <v>0</v>
          </cell>
          <cell r="O1851">
            <v>14688</v>
          </cell>
          <cell r="P1851">
            <v>0</v>
          </cell>
          <cell r="Q1851">
            <v>0</v>
          </cell>
          <cell r="R1851">
            <v>0</v>
          </cell>
          <cell r="S1851">
            <v>0</v>
          </cell>
          <cell r="T1851">
            <v>0</v>
          </cell>
          <cell r="U1851">
            <v>0</v>
          </cell>
          <cell r="V1851">
            <v>0</v>
          </cell>
          <cell r="W1851">
            <v>0</v>
          </cell>
          <cell r="X1851" t="str">
            <v/>
          </cell>
          <cell r="Y1851" t="str">
            <v/>
          </cell>
          <cell r="Z1851" t="str">
            <v/>
          </cell>
          <cell r="AA1851" t="str">
            <v>⑦</v>
          </cell>
          <cell r="AB1851" t="str">
            <v/>
          </cell>
          <cell r="AC1851" t="str">
            <v/>
          </cell>
          <cell r="AD1851" t="str">
            <v/>
          </cell>
          <cell r="AE1851" t="str">
            <v/>
          </cell>
          <cell r="AF1851" t="str">
            <v/>
          </cell>
          <cell r="AG1851" t="str">
            <v/>
          </cell>
          <cell r="AH1851" t="str">
            <v/>
          </cell>
          <cell r="AI1851" t="str">
            <v/>
          </cell>
        </row>
        <row r="1852">
          <cell r="B1852">
            <v>10616</v>
          </cell>
          <cell r="C1852">
            <v>106</v>
          </cell>
          <cell r="D1852">
            <v>16</v>
          </cell>
          <cell r="F1852" t="str">
            <v>今治</v>
          </cell>
          <cell r="G1852" t="str">
            <v>Ｐ型ｶﾞｽ漏火災警報(総合)</v>
          </cell>
          <cell r="H1852" t="str">
            <v>ホーチキ</v>
          </cell>
          <cell r="I1852">
            <v>21600</v>
          </cell>
          <cell r="J1852">
            <v>22032</v>
          </cell>
          <cell r="K1852">
            <v>1</v>
          </cell>
          <cell r="L1852">
            <v>0</v>
          </cell>
          <cell r="M1852">
            <v>0</v>
          </cell>
          <cell r="N1852">
            <v>0</v>
          </cell>
          <cell r="O1852">
            <v>0</v>
          </cell>
          <cell r="P1852">
            <v>0</v>
          </cell>
          <cell r="Q1852">
            <v>0</v>
          </cell>
          <cell r="R1852">
            <v>0</v>
          </cell>
          <cell r="S1852">
            <v>0</v>
          </cell>
          <cell r="T1852">
            <v>0</v>
          </cell>
          <cell r="U1852">
            <v>22032</v>
          </cell>
          <cell r="V1852">
            <v>0</v>
          </cell>
          <cell r="W1852">
            <v>0</v>
          </cell>
          <cell r="X1852" t="str">
            <v/>
          </cell>
          <cell r="Y1852" t="str">
            <v/>
          </cell>
          <cell r="Z1852" t="str">
            <v/>
          </cell>
          <cell r="AA1852" t="str">
            <v/>
          </cell>
          <cell r="AB1852" t="str">
            <v/>
          </cell>
          <cell r="AC1852" t="str">
            <v/>
          </cell>
          <cell r="AD1852" t="str">
            <v/>
          </cell>
          <cell r="AE1852" t="str">
            <v/>
          </cell>
          <cell r="AF1852" t="str">
            <v/>
          </cell>
          <cell r="AG1852" t="str">
            <v>①</v>
          </cell>
          <cell r="AH1852" t="str">
            <v/>
          </cell>
          <cell r="AI1852" t="str">
            <v/>
          </cell>
        </row>
        <row r="1853">
          <cell r="B1853">
            <v>10617</v>
          </cell>
          <cell r="C1853">
            <v>106</v>
          </cell>
          <cell r="D1853">
            <v>17</v>
          </cell>
          <cell r="F1853" t="str">
            <v>今治</v>
          </cell>
          <cell r="G1853" t="str">
            <v>Ｐ型自火報(外観)</v>
          </cell>
          <cell r="H1853" t="str">
            <v>ホーチキ</v>
          </cell>
          <cell r="I1853">
            <v>45000</v>
          </cell>
          <cell r="J1853">
            <v>45900</v>
          </cell>
          <cell r="K1853">
            <v>1</v>
          </cell>
          <cell r="L1853">
            <v>0</v>
          </cell>
          <cell r="M1853">
            <v>0</v>
          </cell>
          <cell r="N1853">
            <v>0</v>
          </cell>
          <cell r="O1853">
            <v>45900</v>
          </cell>
          <cell r="P1853">
            <v>0</v>
          </cell>
          <cell r="Q1853">
            <v>0</v>
          </cell>
          <cell r="R1853">
            <v>0</v>
          </cell>
          <cell r="S1853">
            <v>0</v>
          </cell>
          <cell r="T1853">
            <v>0</v>
          </cell>
          <cell r="U1853">
            <v>0</v>
          </cell>
          <cell r="V1853">
            <v>0</v>
          </cell>
          <cell r="W1853">
            <v>0</v>
          </cell>
          <cell r="X1853" t="str">
            <v/>
          </cell>
          <cell r="Y1853" t="str">
            <v/>
          </cell>
          <cell r="Z1853" t="str">
            <v/>
          </cell>
          <cell r="AA1853" t="str">
            <v>⑦</v>
          </cell>
          <cell r="AB1853" t="str">
            <v/>
          </cell>
          <cell r="AC1853" t="str">
            <v/>
          </cell>
          <cell r="AD1853" t="str">
            <v/>
          </cell>
          <cell r="AE1853" t="str">
            <v/>
          </cell>
          <cell r="AF1853" t="str">
            <v/>
          </cell>
          <cell r="AG1853" t="str">
            <v/>
          </cell>
          <cell r="AH1853" t="str">
            <v/>
          </cell>
          <cell r="AI1853" t="str">
            <v/>
          </cell>
        </row>
        <row r="1854">
          <cell r="B1854">
            <v>10618</v>
          </cell>
          <cell r="C1854">
            <v>106</v>
          </cell>
          <cell r="D1854">
            <v>18</v>
          </cell>
          <cell r="F1854" t="str">
            <v>今治</v>
          </cell>
          <cell r="G1854" t="str">
            <v>Ｐ型自火報(総合)</v>
          </cell>
          <cell r="H1854" t="str">
            <v>ホーチキ</v>
          </cell>
          <cell r="I1854">
            <v>99900</v>
          </cell>
          <cell r="J1854">
            <v>101898</v>
          </cell>
          <cell r="K1854">
            <v>1</v>
          </cell>
          <cell r="L1854">
            <v>0</v>
          </cell>
          <cell r="M1854">
            <v>0</v>
          </cell>
          <cell r="N1854">
            <v>0</v>
          </cell>
          <cell r="O1854">
            <v>0</v>
          </cell>
          <cell r="P1854">
            <v>0</v>
          </cell>
          <cell r="Q1854">
            <v>0</v>
          </cell>
          <cell r="R1854">
            <v>0</v>
          </cell>
          <cell r="S1854">
            <v>0</v>
          </cell>
          <cell r="T1854">
            <v>0</v>
          </cell>
          <cell r="U1854">
            <v>101898</v>
          </cell>
          <cell r="V1854">
            <v>0</v>
          </cell>
          <cell r="W1854">
            <v>0</v>
          </cell>
          <cell r="X1854" t="str">
            <v/>
          </cell>
          <cell r="Y1854" t="str">
            <v/>
          </cell>
          <cell r="Z1854" t="str">
            <v/>
          </cell>
          <cell r="AA1854" t="str">
            <v/>
          </cell>
          <cell r="AB1854" t="str">
            <v/>
          </cell>
          <cell r="AC1854" t="str">
            <v/>
          </cell>
          <cell r="AD1854" t="str">
            <v/>
          </cell>
          <cell r="AE1854" t="str">
            <v/>
          </cell>
          <cell r="AF1854" t="str">
            <v/>
          </cell>
          <cell r="AG1854" t="str">
            <v>①</v>
          </cell>
          <cell r="AH1854" t="str">
            <v/>
          </cell>
          <cell r="AI1854" t="str">
            <v/>
          </cell>
        </row>
        <row r="1855">
          <cell r="B1855">
            <v>10619</v>
          </cell>
          <cell r="C1855">
            <v>106</v>
          </cell>
          <cell r="D1855">
            <v>19</v>
          </cell>
          <cell r="F1855" t="str">
            <v>今治</v>
          </cell>
          <cell r="G1855" t="str">
            <v>ﾊﾛｹﾞﾝ化物設備保守</v>
          </cell>
          <cell r="H1855" t="str">
            <v>コーアツ</v>
          </cell>
          <cell r="I1855">
            <v>189500</v>
          </cell>
          <cell r="J1855">
            <v>193290</v>
          </cell>
          <cell r="K1855">
            <v>2</v>
          </cell>
          <cell r="L1855">
            <v>0</v>
          </cell>
          <cell r="M1855">
            <v>0</v>
          </cell>
          <cell r="N1855">
            <v>0</v>
          </cell>
          <cell r="O1855">
            <v>193290</v>
          </cell>
          <cell r="P1855">
            <v>0</v>
          </cell>
          <cell r="Q1855">
            <v>0</v>
          </cell>
          <cell r="R1855">
            <v>0</v>
          </cell>
          <cell r="S1855">
            <v>0</v>
          </cell>
          <cell r="T1855">
            <v>0</v>
          </cell>
          <cell r="U1855">
            <v>193290</v>
          </cell>
          <cell r="V1855">
            <v>0</v>
          </cell>
          <cell r="W1855">
            <v>0</v>
          </cell>
          <cell r="X1855" t="str">
            <v/>
          </cell>
          <cell r="Y1855" t="str">
            <v/>
          </cell>
          <cell r="Z1855" t="str">
            <v/>
          </cell>
          <cell r="AA1855" t="str">
            <v>⑦</v>
          </cell>
          <cell r="AB1855" t="str">
            <v/>
          </cell>
          <cell r="AC1855" t="str">
            <v/>
          </cell>
          <cell r="AD1855" t="str">
            <v/>
          </cell>
          <cell r="AE1855" t="str">
            <v/>
          </cell>
          <cell r="AF1855" t="str">
            <v/>
          </cell>
          <cell r="AG1855" t="str">
            <v>①</v>
          </cell>
          <cell r="AH1855" t="str">
            <v/>
          </cell>
          <cell r="AI1855" t="str">
            <v/>
          </cell>
        </row>
        <row r="1856">
          <cell r="B1856">
            <v>10620</v>
          </cell>
          <cell r="C1856">
            <v>106</v>
          </cell>
          <cell r="D1856">
            <v>20</v>
          </cell>
          <cell r="F1856" t="str">
            <v>今治</v>
          </cell>
          <cell r="G1856" t="str">
            <v>害虫駆除</v>
          </cell>
          <cell r="H1856" t="str">
            <v>クロスサービス</v>
          </cell>
          <cell r="I1856">
            <v>62000</v>
          </cell>
          <cell r="J1856">
            <v>75800</v>
          </cell>
          <cell r="K1856">
            <v>2</v>
          </cell>
          <cell r="L1856">
            <v>0</v>
          </cell>
          <cell r="M1856">
            <v>75800</v>
          </cell>
          <cell r="N1856">
            <v>0</v>
          </cell>
          <cell r="O1856">
            <v>0</v>
          </cell>
          <cell r="P1856">
            <v>0</v>
          </cell>
          <cell r="Q1856">
            <v>0</v>
          </cell>
          <cell r="R1856">
            <v>0</v>
          </cell>
          <cell r="S1856">
            <v>75800</v>
          </cell>
          <cell r="T1856">
            <v>0</v>
          </cell>
          <cell r="U1856">
            <v>0</v>
          </cell>
          <cell r="V1856">
            <v>0</v>
          </cell>
          <cell r="W1856">
            <v>0</v>
          </cell>
          <cell r="X1856" t="str">
            <v/>
          </cell>
          <cell r="Y1856" t="str">
            <v>⑤</v>
          </cell>
          <cell r="Z1856" t="str">
            <v/>
          </cell>
          <cell r="AA1856" t="str">
            <v/>
          </cell>
          <cell r="AB1856" t="str">
            <v/>
          </cell>
          <cell r="AC1856" t="str">
            <v/>
          </cell>
          <cell r="AD1856" t="str">
            <v/>
          </cell>
          <cell r="AE1856" t="str">
            <v>⑪</v>
          </cell>
          <cell r="AF1856" t="str">
            <v/>
          </cell>
          <cell r="AG1856" t="str">
            <v/>
          </cell>
          <cell r="AH1856" t="str">
            <v/>
          </cell>
          <cell r="AI1856" t="str">
            <v/>
          </cell>
          <cell r="AJ1856" t="str">
            <v>変</v>
          </cell>
        </row>
        <row r="1857">
          <cell r="B1857">
            <v>10621</v>
          </cell>
          <cell r="C1857">
            <v>106</v>
          </cell>
          <cell r="D1857">
            <v>21</v>
          </cell>
          <cell r="F1857" t="str">
            <v>今治</v>
          </cell>
          <cell r="G1857" t="str">
            <v>貯水槽清掃</v>
          </cell>
          <cell r="H1857" t="str">
            <v>クロスサービス</v>
          </cell>
          <cell r="I1857">
            <v>130000</v>
          </cell>
          <cell r="J1857">
            <v>146900</v>
          </cell>
          <cell r="K1857">
            <v>1</v>
          </cell>
          <cell r="L1857">
            <v>0</v>
          </cell>
          <cell r="M1857">
            <v>146900</v>
          </cell>
          <cell r="N1857">
            <v>0</v>
          </cell>
          <cell r="O1857">
            <v>0</v>
          </cell>
          <cell r="P1857">
            <v>0</v>
          </cell>
          <cell r="Q1857">
            <v>0</v>
          </cell>
          <cell r="R1857">
            <v>0</v>
          </cell>
          <cell r="S1857">
            <v>0</v>
          </cell>
          <cell r="T1857">
            <v>0</v>
          </cell>
          <cell r="U1857">
            <v>0</v>
          </cell>
          <cell r="V1857">
            <v>0</v>
          </cell>
          <cell r="W1857">
            <v>0</v>
          </cell>
          <cell r="X1857" t="str">
            <v/>
          </cell>
          <cell r="Y1857" t="str">
            <v>⑤</v>
          </cell>
          <cell r="Z1857" t="str">
            <v/>
          </cell>
          <cell r="AA1857" t="str">
            <v/>
          </cell>
          <cell r="AB1857" t="str">
            <v/>
          </cell>
          <cell r="AC1857" t="str">
            <v/>
          </cell>
          <cell r="AD1857" t="str">
            <v/>
          </cell>
          <cell r="AE1857" t="str">
            <v/>
          </cell>
          <cell r="AF1857" t="str">
            <v/>
          </cell>
          <cell r="AG1857" t="str">
            <v/>
          </cell>
          <cell r="AH1857" t="str">
            <v/>
          </cell>
          <cell r="AI1857" t="str">
            <v/>
          </cell>
        </row>
        <row r="1858">
          <cell r="B1858">
            <v>10622</v>
          </cell>
          <cell r="C1858">
            <v>106</v>
          </cell>
          <cell r="D1858">
            <v>22</v>
          </cell>
          <cell r="F1858" t="str">
            <v>今治</v>
          </cell>
          <cell r="G1858" t="str">
            <v>冷温水発生機設備保守</v>
          </cell>
          <cell r="H1858" t="str">
            <v>三菱重工中国四国販売</v>
          </cell>
          <cell r="I1858">
            <v>225000</v>
          </cell>
          <cell r="J1858">
            <v>238500</v>
          </cell>
          <cell r="K1858">
            <v>2</v>
          </cell>
          <cell r="L1858">
            <v>0</v>
          </cell>
          <cell r="M1858">
            <v>0</v>
          </cell>
          <cell r="N1858">
            <v>0</v>
          </cell>
          <cell r="O1858">
            <v>0</v>
          </cell>
          <cell r="P1858">
            <v>238500</v>
          </cell>
          <cell r="Q1858">
            <v>0</v>
          </cell>
          <cell r="R1858">
            <v>0</v>
          </cell>
          <cell r="S1858">
            <v>0</v>
          </cell>
          <cell r="T1858">
            <v>0</v>
          </cell>
          <cell r="U1858">
            <v>0</v>
          </cell>
          <cell r="V1858">
            <v>238500</v>
          </cell>
          <cell r="W1858">
            <v>0</v>
          </cell>
          <cell r="X1858" t="str">
            <v/>
          </cell>
          <cell r="Y1858" t="str">
            <v/>
          </cell>
          <cell r="Z1858" t="str">
            <v/>
          </cell>
          <cell r="AA1858" t="str">
            <v/>
          </cell>
          <cell r="AB1858" t="str">
            <v>⑧</v>
          </cell>
          <cell r="AC1858" t="str">
            <v/>
          </cell>
          <cell r="AD1858" t="str">
            <v/>
          </cell>
          <cell r="AE1858" t="str">
            <v/>
          </cell>
          <cell r="AF1858" t="str">
            <v/>
          </cell>
          <cell r="AG1858" t="str">
            <v/>
          </cell>
          <cell r="AH1858" t="str">
            <v>②</v>
          </cell>
          <cell r="AI1858" t="str">
            <v/>
          </cell>
          <cell r="AJ1858" t="str">
            <v>変</v>
          </cell>
        </row>
        <row r="1859">
          <cell r="B1859">
            <v>10701</v>
          </cell>
          <cell r="C1859">
            <v>107</v>
          </cell>
          <cell r="D1859">
            <v>1</v>
          </cell>
          <cell r="F1859" t="str">
            <v>高知</v>
          </cell>
          <cell r="G1859" t="str">
            <v>駐車場設備保守</v>
          </cell>
          <cell r="H1859" t="str">
            <v>三菱重工ﾊﾟｰｷﾝｸﾞ建設</v>
          </cell>
          <cell r="I1859">
            <v>115000</v>
          </cell>
          <cell r="J1859">
            <v>117300</v>
          </cell>
          <cell r="K1859">
            <v>12</v>
          </cell>
          <cell r="L1859">
            <v>117300</v>
          </cell>
          <cell r="M1859">
            <v>117300</v>
          </cell>
          <cell r="N1859">
            <v>117300</v>
          </cell>
          <cell r="O1859">
            <v>117300</v>
          </cell>
          <cell r="P1859">
            <v>117300</v>
          </cell>
          <cell r="Q1859">
            <v>117300</v>
          </cell>
          <cell r="R1859">
            <v>117300</v>
          </cell>
          <cell r="S1859">
            <v>117300</v>
          </cell>
          <cell r="T1859">
            <v>117300</v>
          </cell>
          <cell r="U1859">
            <v>117300</v>
          </cell>
          <cell r="V1859">
            <v>117300</v>
          </cell>
          <cell r="W1859">
            <v>117300</v>
          </cell>
          <cell r="X1859" t="str">
            <v>④</v>
          </cell>
          <cell r="Y1859" t="str">
            <v>⑤</v>
          </cell>
          <cell r="Z1859" t="str">
            <v>⑥</v>
          </cell>
          <cell r="AA1859" t="str">
            <v>⑦</v>
          </cell>
          <cell r="AB1859" t="str">
            <v>⑧</v>
          </cell>
          <cell r="AC1859" t="str">
            <v>⑨</v>
          </cell>
          <cell r="AD1859" t="str">
            <v>⑩</v>
          </cell>
          <cell r="AE1859" t="str">
            <v>⑪</v>
          </cell>
          <cell r="AF1859" t="str">
            <v>⑫</v>
          </cell>
          <cell r="AG1859" t="str">
            <v>①</v>
          </cell>
          <cell r="AH1859" t="str">
            <v>②</v>
          </cell>
          <cell r="AI1859" t="str">
            <v>③</v>
          </cell>
        </row>
        <row r="1860">
          <cell r="B1860">
            <v>10702</v>
          </cell>
          <cell r="C1860">
            <v>107</v>
          </cell>
          <cell r="D1860">
            <v>2</v>
          </cell>
          <cell r="F1860" t="str">
            <v>高知</v>
          </cell>
          <cell r="G1860" t="str">
            <v>エレベーター保守</v>
          </cell>
          <cell r="H1860" t="str">
            <v>三菱電機ﾋﾞﾙﾃｸﾉｻｰﾋﾞｽ</v>
          </cell>
          <cell r="I1860">
            <v>66800</v>
          </cell>
          <cell r="J1860">
            <v>68136</v>
          </cell>
          <cell r="K1860">
            <v>12</v>
          </cell>
          <cell r="L1860">
            <v>68136</v>
          </cell>
          <cell r="M1860">
            <v>68136</v>
          </cell>
          <cell r="N1860">
            <v>68136</v>
          </cell>
          <cell r="O1860">
            <v>68136</v>
          </cell>
          <cell r="P1860">
            <v>68136</v>
          </cell>
          <cell r="Q1860">
            <v>68136</v>
          </cell>
          <cell r="R1860">
            <v>68136</v>
          </cell>
          <cell r="S1860">
            <v>68136</v>
          </cell>
          <cell r="T1860">
            <v>68136</v>
          </cell>
          <cell r="U1860">
            <v>68136</v>
          </cell>
          <cell r="V1860">
            <v>68136</v>
          </cell>
          <cell r="W1860">
            <v>68136</v>
          </cell>
          <cell r="X1860" t="str">
            <v>④</v>
          </cell>
          <cell r="Y1860" t="str">
            <v>⑤</v>
          </cell>
          <cell r="Z1860" t="str">
            <v>⑥</v>
          </cell>
          <cell r="AA1860" t="str">
            <v>⑦</v>
          </cell>
          <cell r="AB1860" t="str">
            <v>⑧</v>
          </cell>
          <cell r="AC1860" t="str">
            <v>⑨</v>
          </cell>
          <cell r="AD1860" t="str">
            <v>⑩</v>
          </cell>
          <cell r="AE1860" t="str">
            <v>⑪</v>
          </cell>
          <cell r="AF1860" t="str">
            <v>⑫</v>
          </cell>
          <cell r="AG1860" t="str">
            <v>①</v>
          </cell>
          <cell r="AH1860" t="str">
            <v>②</v>
          </cell>
          <cell r="AI1860" t="str">
            <v>③</v>
          </cell>
        </row>
        <row r="1861">
          <cell r="B1861">
            <v>10801</v>
          </cell>
          <cell r="C1861">
            <v>108</v>
          </cell>
          <cell r="D1861">
            <v>1</v>
          </cell>
          <cell r="F1861" t="str">
            <v>福岡</v>
          </cell>
          <cell r="G1861" t="str">
            <v>立体駐車場設備保守</v>
          </cell>
          <cell r="H1861" t="str">
            <v>三菱重工ﾊﾟｰｷﾝｸﾞ建設</v>
          </cell>
          <cell r="I1861">
            <v>216000</v>
          </cell>
          <cell r="J1861">
            <v>220320</v>
          </cell>
          <cell r="K1861">
            <v>12</v>
          </cell>
          <cell r="L1861">
            <v>220320</v>
          </cell>
          <cell r="M1861">
            <v>220320</v>
          </cell>
          <cell r="N1861">
            <v>220320</v>
          </cell>
          <cell r="O1861">
            <v>220320</v>
          </cell>
          <cell r="P1861">
            <v>220320</v>
          </cell>
          <cell r="Q1861">
            <v>220320</v>
          </cell>
          <cell r="R1861">
            <v>220320</v>
          </cell>
          <cell r="S1861">
            <v>220320</v>
          </cell>
          <cell r="T1861">
            <v>220320</v>
          </cell>
          <cell r="U1861">
            <v>220320</v>
          </cell>
          <cell r="V1861">
            <v>220320</v>
          </cell>
          <cell r="W1861">
            <v>220320</v>
          </cell>
          <cell r="X1861" t="str">
            <v>④</v>
          </cell>
          <cell r="Y1861" t="str">
            <v>⑤</v>
          </cell>
          <cell r="Z1861" t="str">
            <v>⑥</v>
          </cell>
          <cell r="AA1861" t="str">
            <v>⑦</v>
          </cell>
          <cell r="AB1861" t="str">
            <v>⑧</v>
          </cell>
          <cell r="AC1861" t="str">
            <v>⑨</v>
          </cell>
          <cell r="AD1861" t="str">
            <v>⑩</v>
          </cell>
          <cell r="AE1861" t="str">
            <v>⑪</v>
          </cell>
          <cell r="AF1861" t="str">
            <v>⑫</v>
          </cell>
          <cell r="AG1861" t="str">
            <v>①</v>
          </cell>
          <cell r="AH1861" t="str">
            <v>②</v>
          </cell>
          <cell r="AI1861" t="str">
            <v>③</v>
          </cell>
        </row>
        <row r="1862">
          <cell r="B1862">
            <v>10802</v>
          </cell>
          <cell r="C1862">
            <v>108</v>
          </cell>
          <cell r="D1862">
            <v>2</v>
          </cell>
          <cell r="F1862" t="str">
            <v>福岡</v>
          </cell>
          <cell r="G1862" t="str">
            <v>三段式駐車設備保守</v>
          </cell>
          <cell r="H1862" t="str">
            <v>石川島運搬機械</v>
          </cell>
          <cell r="I1862">
            <v>92000</v>
          </cell>
          <cell r="J1862">
            <v>97200</v>
          </cell>
          <cell r="K1862">
            <v>12</v>
          </cell>
          <cell r="L1862">
            <v>97200</v>
          </cell>
          <cell r="M1862">
            <v>97200</v>
          </cell>
          <cell r="N1862">
            <v>97200</v>
          </cell>
          <cell r="O1862">
            <v>97200</v>
          </cell>
          <cell r="P1862">
            <v>97200</v>
          </cell>
          <cell r="Q1862">
            <v>97200</v>
          </cell>
          <cell r="R1862">
            <v>97200</v>
          </cell>
          <cell r="S1862">
            <v>97200</v>
          </cell>
          <cell r="T1862">
            <v>97200</v>
          </cell>
          <cell r="U1862">
            <v>97200</v>
          </cell>
          <cell r="V1862">
            <v>97200</v>
          </cell>
          <cell r="W1862">
            <v>97200</v>
          </cell>
          <cell r="X1862" t="str">
            <v>④</v>
          </cell>
          <cell r="Y1862" t="str">
            <v>⑤</v>
          </cell>
          <cell r="Z1862" t="str">
            <v>⑥</v>
          </cell>
          <cell r="AA1862" t="str">
            <v>⑦</v>
          </cell>
          <cell r="AB1862" t="str">
            <v>⑧</v>
          </cell>
          <cell r="AC1862" t="str">
            <v>⑨</v>
          </cell>
          <cell r="AD1862" t="str">
            <v>⑩</v>
          </cell>
          <cell r="AE1862" t="str">
            <v>⑪</v>
          </cell>
          <cell r="AF1862" t="str">
            <v>⑫</v>
          </cell>
          <cell r="AG1862" t="str">
            <v>①</v>
          </cell>
          <cell r="AH1862" t="str">
            <v>②</v>
          </cell>
          <cell r="AI1862" t="str">
            <v>③</v>
          </cell>
        </row>
        <row r="1863">
          <cell r="B1863">
            <v>10803</v>
          </cell>
          <cell r="C1863">
            <v>108</v>
          </cell>
          <cell r="D1863">
            <v>3</v>
          </cell>
          <cell r="F1863" t="str">
            <v>福岡</v>
          </cell>
          <cell r="G1863" t="str">
            <v>エレベーター保守</v>
          </cell>
          <cell r="H1863" t="str">
            <v>三菱電機ﾋﾞﾙﾃｸﾉｻｰﾋﾞｽ</v>
          </cell>
          <cell r="I1863">
            <v>315700</v>
          </cell>
          <cell r="J1863">
            <v>322014</v>
          </cell>
          <cell r="K1863">
            <v>12</v>
          </cell>
          <cell r="L1863">
            <v>322014</v>
          </cell>
          <cell r="M1863">
            <v>322014</v>
          </cell>
          <cell r="N1863">
            <v>322014</v>
          </cell>
          <cell r="O1863">
            <v>322014</v>
          </cell>
          <cell r="P1863">
            <v>322014</v>
          </cell>
          <cell r="Q1863">
            <v>322014</v>
          </cell>
          <cell r="R1863">
            <v>322014</v>
          </cell>
          <cell r="S1863">
            <v>322014</v>
          </cell>
          <cell r="T1863">
            <v>322014</v>
          </cell>
          <cell r="U1863">
            <v>322014</v>
          </cell>
          <cell r="V1863">
            <v>322014</v>
          </cell>
          <cell r="W1863">
            <v>322014</v>
          </cell>
          <cell r="X1863" t="str">
            <v>④</v>
          </cell>
          <cell r="Y1863" t="str">
            <v>⑤</v>
          </cell>
          <cell r="Z1863" t="str">
            <v>⑥</v>
          </cell>
          <cell r="AA1863" t="str">
            <v>⑦</v>
          </cell>
          <cell r="AB1863" t="str">
            <v>⑧</v>
          </cell>
          <cell r="AC1863" t="str">
            <v>⑨</v>
          </cell>
          <cell r="AD1863" t="str">
            <v>⑩</v>
          </cell>
          <cell r="AE1863" t="str">
            <v>⑪</v>
          </cell>
          <cell r="AF1863" t="str">
            <v>⑫</v>
          </cell>
          <cell r="AG1863" t="str">
            <v>①</v>
          </cell>
          <cell r="AH1863" t="str">
            <v>②</v>
          </cell>
          <cell r="AI1863" t="str">
            <v>③</v>
          </cell>
        </row>
        <row r="1864">
          <cell r="B1864">
            <v>10804</v>
          </cell>
          <cell r="C1864">
            <v>108</v>
          </cell>
          <cell r="D1864">
            <v>4</v>
          </cell>
          <cell r="F1864" t="str">
            <v>福岡</v>
          </cell>
          <cell r="G1864" t="str">
            <v>シャッター設備保守</v>
          </cell>
          <cell r="H1864" t="str">
            <v>文化シャッターｻｰﾋﾞｽ</v>
          </cell>
          <cell r="I1864">
            <v>120500</v>
          </cell>
          <cell r="J1864">
            <v>125082</v>
          </cell>
          <cell r="K1864">
            <v>1</v>
          </cell>
          <cell r="L1864">
            <v>0</v>
          </cell>
          <cell r="M1864">
            <v>0</v>
          </cell>
          <cell r="N1864">
            <v>0</v>
          </cell>
          <cell r="O1864">
            <v>0</v>
          </cell>
          <cell r="P1864">
            <v>0</v>
          </cell>
          <cell r="Q1864">
            <v>0</v>
          </cell>
          <cell r="R1864">
            <v>125082</v>
          </cell>
          <cell r="S1864">
            <v>0</v>
          </cell>
          <cell r="T1864">
            <v>0</v>
          </cell>
          <cell r="U1864">
            <v>0</v>
          </cell>
          <cell r="V1864">
            <v>0</v>
          </cell>
          <cell r="W1864">
            <v>0</v>
          </cell>
          <cell r="X1864" t="str">
            <v/>
          </cell>
          <cell r="Y1864" t="str">
            <v/>
          </cell>
          <cell r="Z1864" t="str">
            <v/>
          </cell>
          <cell r="AA1864" t="str">
            <v/>
          </cell>
          <cell r="AB1864" t="str">
            <v/>
          </cell>
          <cell r="AC1864" t="str">
            <v/>
          </cell>
          <cell r="AD1864" t="str">
            <v>⑩</v>
          </cell>
          <cell r="AE1864" t="str">
            <v/>
          </cell>
          <cell r="AF1864" t="str">
            <v/>
          </cell>
          <cell r="AG1864" t="str">
            <v/>
          </cell>
          <cell r="AH1864" t="str">
            <v/>
          </cell>
          <cell r="AI1864" t="str">
            <v/>
          </cell>
          <cell r="AJ1864" t="str">
            <v>変</v>
          </cell>
        </row>
        <row r="1865">
          <cell r="B1865">
            <v>10805</v>
          </cell>
          <cell r="C1865">
            <v>108</v>
          </cell>
          <cell r="D1865">
            <v>5</v>
          </cell>
          <cell r="F1865" t="str">
            <v>福岡</v>
          </cell>
          <cell r="G1865" t="str">
            <v>消防設備点検保守</v>
          </cell>
          <cell r="H1865" t="str">
            <v>九州東管サービス</v>
          </cell>
          <cell r="I1865">
            <v>237300</v>
          </cell>
          <cell r="J1865">
            <v>242046</v>
          </cell>
          <cell r="K1865">
            <v>2</v>
          </cell>
          <cell r="L1865">
            <v>242046</v>
          </cell>
          <cell r="M1865">
            <v>0</v>
          </cell>
          <cell r="N1865">
            <v>0</v>
          </cell>
          <cell r="O1865">
            <v>0</v>
          </cell>
          <cell r="P1865">
            <v>0</v>
          </cell>
          <cell r="Q1865">
            <v>0</v>
          </cell>
          <cell r="R1865">
            <v>242046</v>
          </cell>
          <cell r="S1865">
            <v>0</v>
          </cell>
          <cell r="T1865">
            <v>0</v>
          </cell>
          <cell r="U1865">
            <v>0</v>
          </cell>
          <cell r="V1865">
            <v>0</v>
          </cell>
          <cell r="W1865">
            <v>0</v>
          </cell>
          <cell r="X1865" t="str">
            <v>④</v>
          </cell>
          <cell r="Y1865" t="str">
            <v/>
          </cell>
          <cell r="Z1865" t="str">
            <v/>
          </cell>
          <cell r="AA1865" t="str">
            <v/>
          </cell>
          <cell r="AB1865" t="str">
            <v/>
          </cell>
          <cell r="AC1865" t="str">
            <v/>
          </cell>
          <cell r="AD1865" t="str">
            <v>⑩</v>
          </cell>
          <cell r="AE1865" t="str">
            <v/>
          </cell>
          <cell r="AF1865" t="str">
            <v/>
          </cell>
          <cell r="AG1865" t="str">
            <v/>
          </cell>
          <cell r="AH1865" t="str">
            <v/>
          </cell>
          <cell r="AI1865" t="str">
            <v/>
          </cell>
        </row>
        <row r="1866">
          <cell r="B1866">
            <v>10806</v>
          </cell>
          <cell r="C1866">
            <v>108</v>
          </cell>
          <cell r="D1866">
            <v>6</v>
          </cell>
          <cell r="F1866" t="str">
            <v>福岡</v>
          </cell>
          <cell r="G1866" t="str">
            <v>屋内消火栓(外観)</v>
          </cell>
          <cell r="H1866" t="str">
            <v>ホーチキ</v>
          </cell>
          <cell r="I1866">
            <v>99000</v>
          </cell>
          <cell r="J1866">
            <v>100980</v>
          </cell>
          <cell r="K1866">
            <v>1</v>
          </cell>
          <cell r="L1866">
            <v>100980</v>
          </cell>
          <cell r="M1866">
            <v>0</v>
          </cell>
          <cell r="N1866">
            <v>0</v>
          </cell>
          <cell r="O1866">
            <v>0</v>
          </cell>
          <cell r="P1866">
            <v>0</v>
          </cell>
          <cell r="Q1866">
            <v>0</v>
          </cell>
          <cell r="R1866">
            <v>0</v>
          </cell>
          <cell r="S1866">
            <v>0</v>
          </cell>
          <cell r="T1866">
            <v>0</v>
          </cell>
          <cell r="U1866">
            <v>0</v>
          </cell>
          <cell r="V1866">
            <v>0</v>
          </cell>
          <cell r="W1866">
            <v>0</v>
          </cell>
          <cell r="X1866" t="str">
            <v>④</v>
          </cell>
          <cell r="Y1866" t="str">
            <v/>
          </cell>
          <cell r="Z1866" t="str">
            <v/>
          </cell>
          <cell r="AA1866" t="str">
            <v/>
          </cell>
          <cell r="AB1866" t="str">
            <v/>
          </cell>
          <cell r="AC1866" t="str">
            <v/>
          </cell>
          <cell r="AD1866" t="str">
            <v/>
          </cell>
          <cell r="AE1866" t="str">
            <v/>
          </cell>
          <cell r="AF1866" t="str">
            <v/>
          </cell>
          <cell r="AG1866" t="str">
            <v/>
          </cell>
          <cell r="AH1866" t="str">
            <v/>
          </cell>
          <cell r="AI1866" t="str">
            <v/>
          </cell>
        </row>
        <row r="1867">
          <cell r="B1867">
            <v>10807</v>
          </cell>
          <cell r="C1867">
            <v>108</v>
          </cell>
          <cell r="D1867">
            <v>7</v>
          </cell>
          <cell r="F1867" t="str">
            <v>福岡</v>
          </cell>
          <cell r="G1867" t="str">
            <v>屋内消火栓(総合)</v>
          </cell>
          <cell r="H1867" t="str">
            <v>ホーチキ</v>
          </cell>
          <cell r="I1867">
            <v>127800</v>
          </cell>
          <cell r="J1867">
            <v>130356</v>
          </cell>
          <cell r="K1867">
            <v>1</v>
          </cell>
          <cell r="L1867">
            <v>0</v>
          </cell>
          <cell r="M1867">
            <v>0</v>
          </cell>
          <cell r="N1867">
            <v>0</v>
          </cell>
          <cell r="O1867">
            <v>0</v>
          </cell>
          <cell r="P1867">
            <v>0</v>
          </cell>
          <cell r="Q1867">
            <v>0</v>
          </cell>
          <cell r="R1867">
            <v>130356</v>
          </cell>
          <cell r="S1867">
            <v>0</v>
          </cell>
          <cell r="T1867">
            <v>0</v>
          </cell>
          <cell r="U1867">
            <v>0</v>
          </cell>
          <cell r="V1867">
            <v>0</v>
          </cell>
          <cell r="W1867">
            <v>0</v>
          </cell>
          <cell r="X1867" t="str">
            <v/>
          </cell>
          <cell r="Y1867" t="str">
            <v/>
          </cell>
          <cell r="Z1867" t="str">
            <v/>
          </cell>
          <cell r="AA1867" t="str">
            <v/>
          </cell>
          <cell r="AB1867" t="str">
            <v/>
          </cell>
          <cell r="AC1867" t="str">
            <v/>
          </cell>
          <cell r="AD1867" t="str">
            <v>⑩</v>
          </cell>
          <cell r="AE1867" t="str">
            <v/>
          </cell>
          <cell r="AF1867" t="str">
            <v/>
          </cell>
          <cell r="AG1867" t="str">
            <v/>
          </cell>
          <cell r="AH1867" t="str">
            <v/>
          </cell>
          <cell r="AI1867" t="str">
            <v/>
          </cell>
        </row>
        <row r="1868">
          <cell r="B1868">
            <v>10808</v>
          </cell>
          <cell r="C1868">
            <v>108</v>
          </cell>
          <cell r="D1868">
            <v>8</v>
          </cell>
          <cell r="F1868" t="str">
            <v>福岡</v>
          </cell>
          <cell r="G1868" t="str">
            <v>ｽﾌﾟﾘﾝｸﾗｰ設備(外観)</v>
          </cell>
          <cell r="H1868" t="str">
            <v>ホーチキ</v>
          </cell>
          <cell r="I1868">
            <v>135900</v>
          </cell>
          <cell r="J1868">
            <v>138618</v>
          </cell>
          <cell r="K1868">
            <v>1</v>
          </cell>
          <cell r="L1868">
            <v>138618</v>
          </cell>
          <cell r="M1868">
            <v>0</v>
          </cell>
          <cell r="N1868">
            <v>0</v>
          </cell>
          <cell r="O1868">
            <v>0</v>
          </cell>
          <cell r="P1868">
            <v>0</v>
          </cell>
          <cell r="Q1868">
            <v>0</v>
          </cell>
          <cell r="R1868">
            <v>0</v>
          </cell>
          <cell r="S1868">
            <v>0</v>
          </cell>
          <cell r="T1868">
            <v>0</v>
          </cell>
          <cell r="U1868">
            <v>0</v>
          </cell>
          <cell r="V1868">
            <v>0</v>
          </cell>
          <cell r="W1868">
            <v>0</v>
          </cell>
          <cell r="X1868" t="str">
            <v>④</v>
          </cell>
          <cell r="Y1868" t="str">
            <v/>
          </cell>
          <cell r="Z1868" t="str">
            <v/>
          </cell>
          <cell r="AA1868" t="str">
            <v/>
          </cell>
          <cell r="AB1868" t="str">
            <v/>
          </cell>
          <cell r="AC1868" t="str">
            <v/>
          </cell>
          <cell r="AD1868" t="str">
            <v/>
          </cell>
          <cell r="AE1868" t="str">
            <v/>
          </cell>
          <cell r="AF1868" t="str">
            <v/>
          </cell>
          <cell r="AG1868" t="str">
            <v/>
          </cell>
          <cell r="AH1868" t="str">
            <v/>
          </cell>
          <cell r="AI1868" t="str">
            <v/>
          </cell>
        </row>
        <row r="1869">
          <cell r="B1869">
            <v>10809</v>
          </cell>
          <cell r="C1869">
            <v>108</v>
          </cell>
          <cell r="D1869">
            <v>9</v>
          </cell>
          <cell r="F1869" t="str">
            <v>福岡</v>
          </cell>
          <cell r="G1869" t="str">
            <v>ｽﾌﾟﾘﾝｸﾗｰ設備(総合)</v>
          </cell>
          <cell r="H1869" t="str">
            <v>ホーチキ</v>
          </cell>
          <cell r="I1869">
            <v>203400</v>
          </cell>
          <cell r="J1869">
            <v>207468</v>
          </cell>
          <cell r="K1869">
            <v>1</v>
          </cell>
          <cell r="L1869">
            <v>0</v>
          </cell>
          <cell r="M1869">
            <v>0</v>
          </cell>
          <cell r="N1869">
            <v>0</v>
          </cell>
          <cell r="O1869">
            <v>0</v>
          </cell>
          <cell r="P1869">
            <v>0</v>
          </cell>
          <cell r="Q1869">
            <v>0</v>
          </cell>
          <cell r="R1869">
            <v>207468</v>
          </cell>
          <cell r="S1869">
            <v>0</v>
          </cell>
          <cell r="T1869">
            <v>0</v>
          </cell>
          <cell r="U1869">
            <v>0</v>
          </cell>
          <cell r="V1869">
            <v>0</v>
          </cell>
          <cell r="W1869">
            <v>0</v>
          </cell>
          <cell r="X1869" t="str">
            <v/>
          </cell>
          <cell r="Y1869" t="str">
            <v/>
          </cell>
          <cell r="Z1869" t="str">
            <v/>
          </cell>
          <cell r="AA1869" t="str">
            <v/>
          </cell>
          <cell r="AB1869" t="str">
            <v/>
          </cell>
          <cell r="AC1869" t="str">
            <v/>
          </cell>
          <cell r="AD1869" t="str">
            <v>⑩</v>
          </cell>
          <cell r="AE1869" t="str">
            <v/>
          </cell>
          <cell r="AF1869" t="str">
            <v/>
          </cell>
          <cell r="AG1869" t="str">
            <v/>
          </cell>
          <cell r="AH1869" t="str">
            <v/>
          </cell>
          <cell r="AI1869" t="str">
            <v/>
          </cell>
        </row>
        <row r="1870">
          <cell r="B1870">
            <v>10810</v>
          </cell>
          <cell r="C1870">
            <v>108</v>
          </cell>
          <cell r="D1870">
            <v>10</v>
          </cell>
          <cell r="F1870" t="str">
            <v>福岡</v>
          </cell>
          <cell r="G1870" t="str">
            <v>泡消火(外観)</v>
          </cell>
          <cell r="H1870" t="str">
            <v>ホーチキ</v>
          </cell>
          <cell r="I1870">
            <v>85500</v>
          </cell>
          <cell r="J1870">
            <v>87210</v>
          </cell>
          <cell r="K1870">
            <v>1</v>
          </cell>
          <cell r="L1870">
            <v>87210</v>
          </cell>
          <cell r="M1870">
            <v>0</v>
          </cell>
          <cell r="N1870">
            <v>0</v>
          </cell>
          <cell r="O1870">
            <v>0</v>
          </cell>
          <cell r="P1870">
            <v>0</v>
          </cell>
          <cell r="Q1870">
            <v>0</v>
          </cell>
          <cell r="R1870">
            <v>0</v>
          </cell>
          <cell r="S1870">
            <v>0</v>
          </cell>
          <cell r="T1870">
            <v>0</v>
          </cell>
          <cell r="U1870">
            <v>0</v>
          </cell>
          <cell r="V1870">
            <v>0</v>
          </cell>
          <cell r="W1870">
            <v>0</v>
          </cell>
          <cell r="X1870" t="str">
            <v>④</v>
          </cell>
          <cell r="Y1870" t="str">
            <v/>
          </cell>
          <cell r="Z1870" t="str">
            <v/>
          </cell>
          <cell r="AA1870" t="str">
            <v/>
          </cell>
          <cell r="AB1870" t="str">
            <v/>
          </cell>
          <cell r="AC1870" t="str">
            <v/>
          </cell>
          <cell r="AD1870" t="str">
            <v/>
          </cell>
          <cell r="AE1870" t="str">
            <v/>
          </cell>
          <cell r="AF1870" t="str">
            <v/>
          </cell>
          <cell r="AG1870" t="str">
            <v/>
          </cell>
          <cell r="AH1870" t="str">
            <v/>
          </cell>
          <cell r="AI1870" t="str">
            <v/>
          </cell>
        </row>
        <row r="1871">
          <cell r="B1871">
            <v>10811</v>
          </cell>
          <cell r="C1871">
            <v>108</v>
          </cell>
          <cell r="D1871">
            <v>11</v>
          </cell>
          <cell r="F1871" t="str">
            <v>福岡</v>
          </cell>
          <cell r="G1871" t="str">
            <v>泡消火(総合)</v>
          </cell>
          <cell r="H1871" t="str">
            <v>ホーチキ</v>
          </cell>
          <cell r="I1871">
            <v>711000</v>
          </cell>
          <cell r="J1871">
            <v>725220</v>
          </cell>
          <cell r="K1871">
            <v>1</v>
          </cell>
          <cell r="L1871">
            <v>0</v>
          </cell>
          <cell r="M1871">
            <v>0</v>
          </cell>
          <cell r="N1871">
            <v>0</v>
          </cell>
          <cell r="O1871">
            <v>0</v>
          </cell>
          <cell r="P1871">
            <v>0</v>
          </cell>
          <cell r="Q1871">
            <v>0</v>
          </cell>
          <cell r="R1871">
            <v>725220</v>
          </cell>
          <cell r="S1871">
            <v>0</v>
          </cell>
          <cell r="T1871">
            <v>0</v>
          </cell>
          <cell r="U1871">
            <v>0</v>
          </cell>
          <cell r="V1871">
            <v>0</v>
          </cell>
          <cell r="W1871">
            <v>0</v>
          </cell>
          <cell r="X1871" t="str">
            <v/>
          </cell>
          <cell r="Y1871" t="str">
            <v/>
          </cell>
          <cell r="Z1871" t="str">
            <v/>
          </cell>
          <cell r="AA1871" t="str">
            <v/>
          </cell>
          <cell r="AB1871" t="str">
            <v/>
          </cell>
          <cell r="AC1871" t="str">
            <v/>
          </cell>
          <cell r="AD1871" t="str">
            <v>⑩</v>
          </cell>
          <cell r="AE1871" t="str">
            <v/>
          </cell>
          <cell r="AF1871" t="str">
            <v/>
          </cell>
          <cell r="AG1871" t="str">
            <v/>
          </cell>
          <cell r="AH1871" t="str">
            <v/>
          </cell>
          <cell r="AI1871" t="str">
            <v/>
          </cell>
        </row>
        <row r="1872">
          <cell r="B1872">
            <v>10812</v>
          </cell>
          <cell r="C1872">
            <v>108</v>
          </cell>
          <cell r="D1872">
            <v>12</v>
          </cell>
          <cell r="F1872" t="str">
            <v>福岡</v>
          </cell>
          <cell r="G1872" t="str">
            <v>ハロゲン消火(外観)</v>
          </cell>
          <cell r="H1872" t="str">
            <v>ホーチキ</v>
          </cell>
          <cell r="I1872">
            <v>121500</v>
          </cell>
          <cell r="J1872">
            <v>123930</v>
          </cell>
          <cell r="K1872">
            <v>1</v>
          </cell>
          <cell r="L1872">
            <v>123930</v>
          </cell>
          <cell r="M1872">
            <v>0</v>
          </cell>
          <cell r="N1872">
            <v>0</v>
          </cell>
          <cell r="O1872">
            <v>0</v>
          </cell>
          <cell r="P1872">
            <v>0</v>
          </cell>
          <cell r="Q1872">
            <v>0</v>
          </cell>
          <cell r="R1872">
            <v>0</v>
          </cell>
          <cell r="S1872">
            <v>0</v>
          </cell>
          <cell r="T1872">
            <v>0</v>
          </cell>
          <cell r="U1872">
            <v>0</v>
          </cell>
          <cell r="V1872">
            <v>0</v>
          </cell>
          <cell r="W1872">
            <v>0</v>
          </cell>
          <cell r="X1872" t="str">
            <v>④</v>
          </cell>
          <cell r="Y1872" t="str">
            <v/>
          </cell>
          <cell r="Z1872" t="str">
            <v/>
          </cell>
          <cell r="AA1872" t="str">
            <v/>
          </cell>
          <cell r="AB1872" t="str">
            <v/>
          </cell>
          <cell r="AC1872" t="str">
            <v/>
          </cell>
          <cell r="AD1872" t="str">
            <v/>
          </cell>
          <cell r="AE1872" t="str">
            <v/>
          </cell>
          <cell r="AF1872" t="str">
            <v/>
          </cell>
          <cell r="AG1872" t="str">
            <v/>
          </cell>
          <cell r="AH1872" t="str">
            <v/>
          </cell>
          <cell r="AI1872" t="str">
            <v/>
          </cell>
        </row>
        <row r="1873">
          <cell r="B1873">
            <v>10813</v>
          </cell>
          <cell r="C1873">
            <v>108</v>
          </cell>
          <cell r="D1873">
            <v>13</v>
          </cell>
          <cell r="F1873" t="str">
            <v>福岡</v>
          </cell>
          <cell r="G1873" t="str">
            <v>ハロゲン消火(総合)</v>
          </cell>
          <cell r="H1873" t="str">
            <v>ホーチキ</v>
          </cell>
          <cell r="I1873">
            <v>245700</v>
          </cell>
          <cell r="J1873">
            <v>250614</v>
          </cell>
          <cell r="K1873">
            <v>1</v>
          </cell>
          <cell r="L1873">
            <v>0</v>
          </cell>
          <cell r="M1873">
            <v>0</v>
          </cell>
          <cell r="N1873">
            <v>0</v>
          </cell>
          <cell r="O1873">
            <v>0</v>
          </cell>
          <cell r="P1873">
            <v>0</v>
          </cell>
          <cell r="Q1873">
            <v>0</v>
          </cell>
          <cell r="R1873">
            <v>250614</v>
          </cell>
          <cell r="S1873">
            <v>0</v>
          </cell>
          <cell r="T1873">
            <v>0</v>
          </cell>
          <cell r="U1873">
            <v>0</v>
          </cell>
          <cell r="V1873">
            <v>0</v>
          </cell>
          <cell r="W1873">
            <v>0</v>
          </cell>
          <cell r="X1873" t="str">
            <v/>
          </cell>
          <cell r="Y1873" t="str">
            <v/>
          </cell>
          <cell r="Z1873" t="str">
            <v/>
          </cell>
          <cell r="AA1873" t="str">
            <v/>
          </cell>
          <cell r="AB1873" t="str">
            <v/>
          </cell>
          <cell r="AC1873" t="str">
            <v/>
          </cell>
          <cell r="AD1873" t="str">
            <v>⑩</v>
          </cell>
          <cell r="AE1873" t="str">
            <v/>
          </cell>
          <cell r="AF1873" t="str">
            <v/>
          </cell>
          <cell r="AG1873" t="str">
            <v/>
          </cell>
          <cell r="AH1873" t="str">
            <v/>
          </cell>
          <cell r="AI1873" t="str">
            <v/>
          </cell>
        </row>
        <row r="1874">
          <cell r="B1874">
            <v>10814</v>
          </cell>
          <cell r="C1874">
            <v>108</v>
          </cell>
          <cell r="D1874">
            <v>14</v>
          </cell>
          <cell r="F1874" t="str">
            <v>福岡</v>
          </cell>
          <cell r="G1874" t="str">
            <v>非常放送(外観)</v>
          </cell>
          <cell r="H1874" t="str">
            <v>ホーチキ</v>
          </cell>
          <cell r="I1874">
            <v>92700</v>
          </cell>
          <cell r="J1874">
            <v>94554</v>
          </cell>
          <cell r="K1874">
            <v>1</v>
          </cell>
          <cell r="L1874">
            <v>94554</v>
          </cell>
          <cell r="M1874">
            <v>0</v>
          </cell>
          <cell r="N1874">
            <v>0</v>
          </cell>
          <cell r="O1874">
            <v>0</v>
          </cell>
          <cell r="P1874">
            <v>0</v>
          </cell>
          <cell r="Q1874">
            <v>0</v>
          </cell>
          <cell r="R1874">
            <v>0</v>
          </cell>
          <cell r="S1874">
            <v>0</v>
          </cell>
          <cell r="T1874">
            <v>0</v>
          </cell>
          <cell r="U1874">
            <v>0</v>
          </cell>
          <cell r="V1874">
            <v>0</v>
          </cell>
          <cell r="W1874">
            <v>0</v>
          </cell>
          <cell r="X1874" t="str">
            <v>④</v>
          </cell>
          <cell r="Y1874" t="str">
            <v/>
          </cell>
          <cell r="Z1874" t="str">
            <v/>
          </cell>
          <cell r="AA1874" t="str">
            <v/>
          </cell>
          <cell r="AB1874" t="str">
            <v/>
          </cell>
          <cell r="AC1874" t="str">
            <v/>
          </cell>
          <cell r="AD1874" t="str">
            <v/>
          </cell>
          <cell r="AE1874" t="str">
            <v/>
          </cell>
          <cell r="AF1874" t="str">
            <v/>
          </cell>
          <cell r="AG1874" t="str">
            <v/>
          </cell>
          <cell r="AH1874" t="str">
            <v/>
          </cell>
          <cell r="AI1874" t="str">
            <v/>
          </cell>
        </row>
        <row r="1875">
          <cell r="B1875">
            <v>10815</v>
          </cell>
          <cell r="C1875">
            <v>108</v>
          </cell>
          <cell r="D1875">
            <v>15</v>
          </cell>
          <cell r="F1875" t="str">
            <v>福岡</v>
          </cell>
          <cell r="G1875" t="str">
            <v>非常放送(総合)</v>
          </cell>
          <cell r="H1875" t="str">
            <v>ホーチキ</v>
          </cell>
          <cell r="I1875">
            <v>190800</v>
          </cell>
          <cell r="J1875">
            <v>194616</v>
          </cell>
          <cell r="K1875">
            <v>1</v>
          </cell>
          <cell r="L1875">
            <v>0</v>
          </cell>
          <cell r="M1875">
            <v>0</v>
          </cell>
          <cell r="N1875">
            <v>0</v>
          </cell>
          <cell r="O1875">
            <v>0</v>
          </cell>
          <cell r="P1875">
            <v>0</v>
          </cell>
          <cell r="Q1875">
            <v>0</v>
          </cell>
          <cell r="R1875">
            <v>194616</v>
          </cell>
          <cell r="S1875">
            <v>0</v>
          </cell>
          <cell r="T1875">
            <v>0</v>
          </cell>
          <cell r="U1875">
            <v>0</v>
          </cell>
          <cell r="V1875">
            <v>0</v>
          </cell>
          <cell r="W1875">
            <v>0</v>
          </cell>
          <cell r="X1875" t="str">
            <v/>
          </cell>
          <cell r="Y1875" t="str">
            <v/>
          </cell>
          <cell r="Z1875" t="str">
            <v/>
          </cell>
          <cell r="AA1875" t="str">
            <v/>
          </cell>
          <cell r="AB1875" t="str">
            <v/>
          </cell>
          <cell r="AC1875" t="str">
            <v/>
          </cell>
          <cell r="AD1875" t="str">
            <v>⑩</v>
          </cell>
          <cell r="AE1875" t="str">
            <v/>
          </cell>
          <cell r="AF1875" t="str">
            <v/>
          </cell>
          <cell r="AG1875" t="str">
            <v/>
          </cell>
          <cell r="AH1875" t="str">
            <v/>
          </cell>
          <cell r="AI1875" t="str">
            <v/>
          </cell>
        </row>
        <row r="1876">
          <cell r="B1876">
            <v>10816</v>
          </cell>
          <cell r="C1876">
            <v>108</v>
          </cell>
          <cell r="D1876">
            <v>16</v>
          </cell>
          <cell r="F1876" t="str">
            <v>福岡</v>
          </cell>
          <cell r="G1876" t="str">
            <v>Ｐ型防排煙制御(外観)</v>
          </cell>
          <cell r="H1876" t="str">
            <v>ホーチキ</v>
          </cell>
          <cell r="I1876">
            <v>214200</v>
          </cell>
          <cell r="J1876">
            <v>218484</v>
          </cell>
          <cell r="K1876">
            <v>1</v>
          </cell>
          <cell r="L1876">
            <v>218484</v>
          </cell>
          <cell r="M1876">
            <v>0</v>
          </cell>
          <cell r="N1876">
            <v>0</v>
          </cell>
          <cell r="O1876">
            <v>0</v>
          </cell>
          <cell r="P1876">
            <v>0</v>
          </cell>
          <cell r="Q1876">
            <v>0</v>
          </cell>
          <cell r="R1876">
            <v>0</v>
          </cell>
          <cell r="S1876">
            <v>0</v>
          </cell>
          <cell r="T1876">
            <v>0</v>
          </cell>
          <cell r="U1876">
            <v>0</v>
          </cell>
          <cell r="V1876">
            <v>0</v>
          </cell>
          <cell r="W1876">
            <v>0</v>
          </cell>
          <cell r="X1876" t="str">
            <v>④</v>
          </cell>
          <cell r="Y1876" t="str">
            <v/>
          </cell>
          <cell r="Z1876" t="str">
            <v/>
          </cell>
          <cell r="AA1876" t="str">
            <v/>
          </cell>
          <cell r="AB1876" t="str">
            <v/>
          </cell>
          <cell r="AC1876" t="str">
            <v/>
          </cell>
          <cell r="AD1876" t="str">
            <v/>
          </cell>
          <cell r="AE1876" t="str">
            <v/>
          </cell>
          <cell r="AF1876" t="str">
            <v/>
          </cell>
          <cell r="AG1876" t="str">
            <v/>
          </cell>
          <cell r="AH1876" t="str">
            <v/>
          </cell>
          <cell r="AI1876" t="str">
            <v/>
          </cell>
        </row>
        <row r="1877">
          <cell r="B1877">
            <v>10817</v>
          </cell>
          <cell r="C1877">
            <v>108</v>
          </cell>
          <cell r="D1877">
            <v>17</v>
          </cell>
          <cell r="F1877" t="str">
            <v>福岡</v>
          </cell>
          <cell r="G1877" t="str">
            <v>Ｐ型防排煙制御(総合)</v>
          </cell>
          <cell r="H1877" t="str">
            <v>ホーチキ</v>
          </cell>
          <cell r="I1877">
            <v>249300</v>
          </cell>
          <cell r="J1877">
            <v>254286</v>
          </cell>
          <cell r="K1877">
            <v>1</v>
          </cell>
          <cell r="L1877">
            <v>0</v>
          </cell>
          <cell r="M1877">
            <v>0</v>
          </cell>
          <cell r="N1877">
            <v>0</v>
          </cell>
          <cell r="O1877">
            <v>0</v>
          </cell>
          <cell r="P1877">
            <v>0</v>
          </cell>
          <cell r="Q1877">
            <v>0</v>
          </cell>
          <cell r="R1877">
            <v>254286</v>
          </cell>
          <cell r="S1877">
            <v>0</v>
          </cell>
          <cell r="T1877">
            <v>0</v>
          </cell>
          <cell r="U1877">
            <v>0</v>
          </cell>
          <cell r="V1877">
            <v>0</v>
          </cell>
          <cell r="W1877">
            <v>0</v>
          </cell>
          <cell r="X1877" t="str">
            <v/>
          </cell>
          <cell r="Y1877" t="str">
            <v/>
          </cell>
          <cell r="Z1877" t="str">
            <v/>
          </cell>
          <cell r="AA1877" t="str">
            <v/>
          </cell>
          <cell r="AB1877" t="str">
            <v/>
          </cell>
          <cell r="AC1877" t="str">
            <v/>
          </cell>
          <cell r="AD1877" t="str">
            <v>⑩</v>
          </cell>
          <cell r="AE1877" t="str">
            <v/>
          </cell>
          <cell r="AF1877" t="str">
            <v/>
          </cell>
          <cell r="AG1877" t="str">
            <v/>
          </cell>
          <cell r="AH1877" t="str">
            <v/>
          </cell>
          <cell r="AI1877" t="str">
            <v/>
          </cell>
        </row>
        <row r="1878">
          <cell r="B1878">
            <v>10818</v>
          </cell>
          <cell r="C1878">
            <v>108</v>
          </cell>
          <cell r="D1878">
            <v>18</v>
          </cell>
          <cell r="F1878" t="str">
            <v>福岡</v>
          </cell>
          <cell r="G1878" t="str">
            <v>連結送水管(外観)</v>
          </cell>
          <cell r="H1878" t="str">
            <v>ホーチキ</v>
          </cell>
          <cell r="I1878">
            <v>30600</v>
          </cell>
          <cell r="J1878">
            <v>31212</v>
          </cell>
          <cell r="K1878">
            <v>1</v>
          </cell>
          <cell r="L1878">
            <v>31212</v>
          </cell>
          <cell r="M1878">
            <v>0</v>
          </cell>
          <cell r="N1878">
            <v>0</v>
          </cell>
          <cell r="O1878">
            <v>0</v>
          </cell>
          <cell r="P1878">
            <v>0</v>
          </cell>
          <cell r="Q1878">
            <v>0</v>
          </cell>
          <cell r="R1878">
            <v>0</v>
          </cell>
          <cell r="S1878">
            <v>0</v>
          </cell>
          <cell r="T1878">
            <v>0</v>
          </cell>
          <cell r="U1878">
            <v>0</v>
          </cell>
          <cell r="V1878">
            <v>0</v>
          </cell>
          <cell r="W1878">
            <v>0</v>
          </cell>
          <cell r="X1878" t="str">
            <v>④</v>
          </cell>
          <cell r="Y1878" t="str">
            <v/>
          </cell>
          <cell r="Z1878" t="str">
            <v/>
          </cell>
          <cell r="AA1878" t="str">
            <v/>
          </cell>
          <cell r="AB1878" t="str">
            <v/>
          </cell>
          <cell r="AC1878" t="str">
            <v/>
          </cell>
          <cell r="AD1878" t="str">
            <v/>
          </cell>
          <cell r="AE1878" t="str">
            <v/>
          </cell>
          <cell r="AF1878" t="str">
            <v/>
          </cell>
          <cell r="AG1878" t="str">
            <v/>
          </cell>
          <cell r="AH1878" t="str">
            <v/>
          </cell>
          <cell r="AI1878" t="str">
            <v/>
          </cell>
        </row>
        <row r="1879">
          <cell r="B1879">
            <v>10819</v>
          </cell>
          <cell r="C1879">
            <v>108</v>
          </cell>
          <cell r="D1879">
            <v>19</v>
          </cell>
          <cell r="F1879" t="str">
            <v>福岡</v>
          </cell>
          <cell r="G1879" t="str">
            <v>連結送水管(総合)</v>
          </cell>
          <cell r="H1879" t="str">
            <v>ホーチキ</v>
          </cell>
          <cell r="I1879">
            <v>30600</v>
          </cell>
          <cell r="J1879">
            <v>31212</v>
          </cell>
          <cell r="K1879">
            <v>1</v>
          </cell>
          <cell r="L1879">
            <v>0</v>
          </cell>
          <cell r="M1879">
            <v>0</v>
          </cell>
          <cell r="N1879">
            <v>0</v>
          </cell>
          <cell r="O1879">
            <v>0</v>
          </cell>
          <cell r="P1879">
            <v>0</v>
          </cell>
          <cell r="Q1879">
            <v>0</v>
          </cell>
          <cell r="R1879">
            <v>31212</v>
          </cell>
          <cell r="S1879">
            <v>0</v>
          </cell>
          <cell r="T1879">
            <v>0</v>
          </cell>
          <cell r="U1879">
            <v>0</v>
          </cell>
          <cell r="V1879">
            <v>0</v>
          </cell>
          <cell r="W1879">
            <v>0</v>
          </cell>
          <cell r="X1879" t="str">
            <v/>
          </cell>
          <cell r="Y1879" t="str">
            <v/>
          </cell>
          <cell r="Z1879" t="str">
            <v/>
          </cell>
          <cell r="AA1879" t="str">
            <v/>
          </cell>
          <cell r="AB1879" t="str">
            <v/>
          </cell>
          <cell r="AC1879" t="str">
            <v/>
          </cell>
          <cell r="AD1879" t="str">
            <v>⑩</v>
          </cell>
          <cell r="AE1879" t="str">
            <v/>
          </cell>
          <cell r="AF1879" t="str">
            <v/>
          </cell>
          <cell r="AG1879" t="str">
            <v/>
          </cell>
          <cell r="AH1879" t="str">
            <v/>
          </cell>
          <cell r="AI1879" t="str">
            <v/>
          </cell>
        </row>
        <row r="1880">
          <cell r="B1880">
            <v>10820</v>
          </cell>
          <cell r="C1880">
            <v>108</v>
          </cell>
          <cell r="D1880">
            <v>20</v>
          </cell>
          <cell r="F1880" t="str">
            <v>福岡</v>
          </cell>
          <cell r="G1880" t="str">
            <v>自家発電(外観)</v>
          </cell>
          <cell r="H1880" t="str">
            <v>ホーチキ</v>
          </cell>
          <cell r="I1880">
            <v>140400</v>
          </cell>
          <cell r="J1880">
            <v>143208</v>
          </cell>
          <cell r="K1880">
            <v>1</v>
          </cell>
          <cell r="L1880">
            <v>143208</v>
          </cell>
          <cell r="M1880">
            <v>0</v>
          </cell>
          <cell r="N1880">
            <v>0</v>
          </cell>
          <cell r="O1880">
            <v>0</v>
          </cell>
          <cell r="P1880">
            <v>0</v>
          </cell>
          <cell r="Q1880">
            <v>0</v>
          </cell>
          <cell r="R1880">
            <v>0</v>
          </cell>
          <cell r="S1880">
            <v>0</v>
          </cell>
          <cell r="T1880">
            <v>0</v>
          </cell>
          <cell r="U1880">
            <v>0</v>
          </cell>
          <cell r="V1880">
            <v>0</v>
          </cell>
          <cell r="W1880">
            <v>0</v>
          </cell>
          <cell r="X1880" t="str">
            <v>④</v>
          </cell>
          <cell r="Y1880" t="str">
            <v/>
          </cell>
          <cell r="Z1880" t="str">
            <v/>
          </cell>
          <cell r="AA1880" t="str">
            <v/>
          </cell>
          <cell r="AB1880" t="str">
            <v/>
          </cell>
          <cell r="AC1880" t="str">
            <v/>
          </cell>
          <cell r="AD1880" t="str">
            <v/>
          </cell>
          <cell r="AE1880" t="str">
            <v/>
          </cell>
          <cell r="AF1880" t="str">
            <v/>
          </cell>
          <cell r="AG1880" t="str">
            <v/>
          </cell>
          <cell r="AH1880" t="str">
            <v/>
          </cell>
          <cell r="AI1880" t="str">
            <v/>
          </cell>
        </row>
        <row r="1881">
          <cell r="B1881">
            <v>10821</v>
          </cell>
          <cell r="C1881">
            <v>108</v>
          </cell>
          <cell r="D1881">
            <v>21</v>
          </cell>
          <cell r="F1881" t="str">
            <v>福岡</v>
          </cell>
          <cell r="G1881" t="str">
            <v>自家発電(総合)</v>
          </cell>
          <cell r="H1881" t="str">
            <v>ホーチキ</v>
          </cell>
          <cell r="I1881">
            <v>159300</v>
          </cell>
          <cell r="J1881">
            <v>162486</v>
          </cell>
          <cell r="K1881">
            <v>1</v>
          </cell>
          <cell r="L1881">
            <v>0</v>
          </cell>
          <cell r="M1881">
            <v>0</v>
          </cell>
          <cell r="N1881">
            <v>0</v>
          </cell>
          <cell r="O1881">
            <v>0</v>
          </cell>
          <cell r="P1881">
            <v>0</v>
          </cell>
          <cell r="Q1881">
            <v>0</v>
          </cell>
          <cell r="R1881">
            <v>162486</v>
          </cell>
          <cell r="S1881">
            <v>0</v>
          </cell>
          <cell r="T1881">
            <v>0</v>
          </cell>
          <cell r="U1881">
            <v>0</v>
          </cell>
          <cell r="V1881">
            <v>0</v>
          </cell>
          <cell r="W1881">
            <v>0</v>
          </cell>
          <cell r="X1881" t="str">
            <v/>
          </cell>
          <cell r="Y1881" t="str">
            <v/>
          </cell>
          <cell r="Z1881" t="str">
            <v/>
          </cell>
          <cell r="AA1881" t="str">
            <v/>
          </cell>
          <cell r="AB1881" t="str">
            <v/>
          </cell>
          <cell r="AC1881" t="str">
            <v/>
          </cell>
          <cell r="AD1881" t="str">
            <v>⑩</v>
          </cell>
          <cell r="AE1881" t="str">
            <v/>
          </cell>
          <cell r="AF1881" t="str">
            <v/>
          </cell>
          <cell r="AG1881" t="str">
            <v/>
          </cell>
          <cell r="AH1881" t="str">
            <v/>
          </cell>
          <cell r="AI1881" t="str">
            <v/>
          </cell>
        </row>
        <row r="1882">
          <cell r="B1882">
            <v>10822</v>
          </cell>
          <cell r="C1882">
            <v>108</v>
          </cell>
          <cell r="D1882">
            <v>22</v>
          </cell>
          <cell r="F1882" t="str">
            <v>福岡</v>
          </cell>
          <cell r="G1882" t="str">
            <v>Ｐ型ｶﾞｽ漏火災警報(外観)</v>
          </cell>
          <cell r="H1882" t="str">
            <v>ホーチキ</v>
          </cell>
          <cell r="I1882">
            <v>17100</v>
          </cell>
          <cell r="J1882">
            <v>17442</v>
          </cell>
          <cell r="K1882">
            <v>1</v>
          </cell>
          <cell r="L1882">
            <v>17442</v>
          </cell>
          <cell r="M1882">
            <v>0</v>
          </cell>
          <cell r="N1882">
            <v>0</v>
          </cell>
          <cell r="O1882">
            <v>0</v>
          </cell>
          <cell r="P1882">
            <v>0</v>
          </cell>
          <cell r="Q1882">
            <v>0</v>
          </cell>
          <cell r="R1882">
            <v>0</v>
          </cell>
          <cell r="S1882">
            <v>0</v>
          </cell>
          <cell r="T1882">
            <v>0</v>
          </cell>
          <cell r="U1882">
            <v>0</v>
          </cell>
          <cell r="V1882">
            <v>0</v>
          </cell>
          <cell r="W1882">
            <v>0</v>
          </cell>
          <cell r="X1882" t="str">
            <v>④</v>
          </cell>
          <cell r="Y1882" t="str">
            <v/>
          </cell>
          <cell r="Z1882" t="str">
            <v/>
          </cell>
          <cell r="AA1882" t="str">
            <v/>
          </cell>
          <cell r="AB1882" t="str">
            <v/>
          </cell>
          <cell r="AC1882" t="str">
            <v/>
          </cell>
          <cell r="AD1882" t="str">
            <v/>
          </cell>
          <cell r="AE1882" t="str">
            <v/>
          </cell>
          <cell r="AF1882" t="str">
            <v/>
          </cell>
          <cell r="AG1882" t="str">
            <v/>
          </cell>
          <cell r="AH1882" t="str">
            <v/>
          </cell>
          <cell r="AI1882" t="str">
            <v/>
          </cell>
        </row>
        <row r="1883">
          <cell r="B1883">
            <v>10823</v>
          </cell>
          <cell r="C1883">
            <v>108</v>
          </cell>
          <cell r="D1883">
            <v>23</v>
          </cell>
          <cell r="F1883" t="str">
            <v>福岡</v>
          </cell>
          <cell r="G1883" t="str">
            <v>Ｐ型ｶﾞｽ漏火災警報(総合)</v>
          </cell>
          <cell r="H1883" t="str">
            <v>ホーチキ</v>
          </cell>
          <cell r="I1883">
            <v>34200</v>
          </cell>
          <cell r="J1883">
            <v>34884</v>
          </cell>
          <cell r="K1883">
            <v>1</v>
          </cell>
          <cell r="L1883">
            <v>0</v>
          </cell>
          <cell r="M1883">
            <v>0</v>
          </cell>
          <cell r="N1883">
            <v>0</v>
          </cell>
          <cell r="O1883">
            <v>0</v>
          </cell>
          <cell r="P1883">
            <v>0</v>
          </cell>
          <cell r="Q1883">
            <v>0</v>
          </cell>
          <cell r="R1883">
            <v>34884</v>
          </cell>
          <cell r="S1883">
            <v>0</v>
          </cell>
          <cell r="T1883">
            <v>0</v>
          </cell>
          <cell r="U1883">
            <v>0</v>
          </cell>
          <cell r="V1883">
            <v>0</v>
          </cell>
          <cell r="W1883">
            <v>0</v>
          </cell>
          <cell r="X1883" t="str">
            <v/>
          </cell>
          <cell r="Y1883" t="str">
            <v/>
          </cell>
          <cell r="Z1883" t="str">
            <v/>
          </cell>
          <cell r="AA1883" t="str">
            <v/>
          </cell>
          <cell r="AB1883" t="str">
            <v/>
          </cell>
          <cell r="AC1883" t="str">
            <v/>
          </cell>
          <cell r="AD1883" t="str">
            <v>⑩</v>
          </cell>
          <cell r="AE1883" t="str">
            <v/>
          </cell>
          <cell r="AF1883" t="str">
            <v/>
          </cell>
          <cell r="AG1883" t="str">
            <v/>
          </cell>
          <cell r="AH1883" t="str">
            <v/>
          </cell>
          <cell r="AI1883" t="str">
            <v/>
          </cell>
        </row>
        <row r="1884">
          <cell r="B1884">
            <v>10824</v>
          </cell>
          <cell r="C1884">
            <v>108</v>
          </cell>
          <cell r="D1884">
            <v>24</v>
          </cell>
          <cell r="F1884" t="str">
            <v>福岡</v>
          </cell>
          <cell r="G1884" t="str">
            <v>Ｐ型自火報(外観)</v>
          </cell>
          <cell r="H1884" t="str">
            <v>ホーチキ</v>
          </cell>
          <cell r="I1884">
            <v>188100</v>
          </cell>
          <cell r="J1884">
            <v>191862</v>
          </cell>
          <cell r="K1884">
            <v>1</v>
          </cell>
          <cell r="L1884">
            <v>191862</v>
          </cell>
          <cell r="M1884">
            <v>0</v>
          </cell>
          <cell r="N1884">
            <v>0</v>
          </cell>
          <cell r="O1884">
            <v>0</v>
          </cell>
          <cell r="P1884">
            <v>0</v>
          </cell>
          <cell r="Q1884">
            <v>0</v>
          </cell>
          <cell r="R1884">
            <v>0</v>
          </cell>
          <cell r="S1884">
            <v>0</v>
          </cell>
          <cell r="T1884">
            <v>0</v>
          </cell>
          <cell r="U1884">
            <v>0</v>
          </cell>
          <cell r="V1884">
            <v>0</v>
          </cell>
          <cell r="W1884">
            <v>0</v>
          </cell>
          <cell r="X1884" t="str">
            <v>④</v>
          </cell>
          <cell r="Y1884" t="str">
            <v/>
          </cell>
          <cell r="Z1884" t="str">
            <v/>
          </cell>
          <cell r="AA1884" t="str">
            <v/>
          </cell>
          <cell r="AB1884" t="str">
            <v/>
          </cell>
          <cell r="AC1884" t="str">
            <v/>
          </cell>
          <cell r="AD1884" t="str">
            <v/>
          </cell>
          <cell r="AE1884" t="str">
            <v/>
          </cell>
          <cell r="AF1884" t="str">
            <v/>
          </cell>
          <cell r="AG1884" t="str">
            <v/>
          </cell>
          <cell r="AH1884" t="str">
            <v/>
          </cell>
          <cell r="AI1884" t="str">
            <v/>
          </cell>
        </row>
        <row r="1885">
          <cell r="B1885">
            <v>10825</v>
          </cell>
          <cell r="C1885">
            <v>108</v>
          </cell>
          <cell r="D1885">
            <v>25</v>
          </cell>
          <cell r="F1885" t="str">
            <v>福岡</v>
          </cell>
          <cell r="G1885" t="str">
            <v>Ｐ型自火報(総合)</v>
          </cell>
          <cell r="H1885" t="str">
            <v>ホーチキ</v>
          </cell>
          <cell r="I1885">
            <v>477900</v>
          </cell>
          <cell r="J1885">
            <v>487458</v>
          </cell>
          <cell r="K1885">
            <v>1</v>
          </cell>
          <cell r="L1885">
            <v>0</v>
          </cell>
          <cell r="M1885">
            <v>0</v>
          </cell>
          <cell r="N1885">
            <v>0</v>
          </cell>
          <cell r="O1885">
            <v>0</v>
          </cell>
          <cell r="P1885">
            <v>0</v>
          </cell>
          <cell r="Q1885">
            <v>0</v>
          </cell>
          <cell r="R1885">
            <v>487458</v>
          </cell>
          <cell r="S1885">
            <v>0</v>
          </cell>
          <cell r="T1885">
            <v>0</v>
          </cell>
          <cell r="U1885">
            <v>0</v>
          </cell>
          <cell r="V1885">
            <v>0</v>
          </cell>
          <cell r="W1885">
            <v>0</v>
          </cell>
          <cell r="X1885" t="str">
            <v/>
          </cell>
          <cell r="Y1885" t="str">
            <v/>
          </cell>
          <cell r="Z1885" t="str">
            <v/>
          </cell>
          <cell r="AA1885" t="str">
            <v/>
          </cell>
          <cell r="AB1885" t="str">
            <v/>
          </cell>
          <cell r="AC1885" t="str">
            <v/>
          </cell>
          <cell r="AD1885" t="str">
            <v>⑩</v>
          </cell>
          <cell r="AE1885" t="str">
            <v/>
          </cell>
          <cell r="AF1885" t="str">
            <v/>
          </cell>
          <cell r="AG1885" t="str">
            <v/>
          </cell>
          <cell r="AH1885" t="str">
            <v/>
          </cell>
          <cell r="AI1885" t="str">
            <v/>
          </cell>
        </row>
        <row r="1886">
          <cell r="B1886">
            <v>10826</v>
          </cell>
          <cell r="C1886">
            <v>108</v>
          </cell>
          <cell r="D1886">
            <v>26</v>
          </cell>
          <cell r="F1886" t="str">
            <v>福岡</v>
          </cell>
          <cell r="G1886" t="str">
            <v>ガス遮断弁保守</v>
          </cell>
          <cell r="H1886" t="str">
            <v>西部ガス</v>
          </cell>
          <cell r="I1886">
            <v>22100</v>
          </cell>
          <cell r="J1886">
            <v>22542</v>
          </cell>
          <cell r="K1886">
            <v>1</v>
          </cell>
          <cell r="L1886">
            <v>0</v>
          </cell>
          <cell r="M1886">
            <v>0</v>
          </cell>
          <cell r="N1886">
            <v>0</v>
          </cell>
          <cell r="O1886">
            <v>0</v>
          </cell>
          <cell r="P1886">
            <v>0</v>
          </cell>
          <cell r="Q1886">
            <v>0</v>
          </cell>
          <cell r="R1886">
            <v>0</v>
          </cell>
          <cell r="S1886">
            <v>0</v>
          </cell>
          <cell r="T1886">
            <v>22542</v>
          </cell>
          <cell r="U1886">
            <v>0</v>
          </cell>
          <cell r="V1886">
            <v>0</v>
          </cell>
          <cell r="W1886">
            <v>0</v>
          </cell>
          <cell r="X1886" t="str">
            <v/>
          </cell>
          <cell r="Y1886" t="str">
            <v/>
          </cell>
          <cell r="Z1886" t="str">
            <v/>
          </cell>
          <cell r="AA1886" t="str">
            <v/>
          </cell>
          <cell r="AB1886" t="str">
            <v/>
          </cell>
          <cell r="AC1886" t="str">
            <v/>
          </cell>
          <cell r="AD1886" t="str">
            <v/>
          </cell>
          <cell r="AE1886" t="str">
            <v/>
          </cell>
          <cell r="AF1886" t="str">
            <v>⑫</v>
          </cell>
          <cell r="AG1886" t="str">
            <v/>
          </cell>
          <cell r="AH1886" t="str">
            <v/>
          </cell>
          <cell r="AI1886" t="str">
            <v/>
          </cell>
        </row>
        <row r="1887">
          <cell r="B1887">
            <v>10827</v>
          </cell>
          <cell r="C1887">
            <v>108</v>
          </cell>
          <cell r="D1887">
            <v>27</v>
          </cell>
          <cell r="F1887" t="str">
            <v>福岡</v>
          </cell>
          <cell r="G1887" t="str">
            <v>害虫駆除</v>
          </cell>
          <cell r="H1887" t="str">
            <v>九州メンテナンス㈱</v>
          </cell>
          <cell r="I1887">
            <v>326000</v>
          </cell>
          <cell r="J1887">
            <v>358600</v>
          </cell>
          <cell r="K1887">
            <v>2</v>
          </cell>
          <cell r="L1887">
            <v>358600</v>
          </cell>
          <cell r="M1887">
            <v>0</v>
          </cell>
          <cell r="N1887">
            <v>0</v>
          </cell>
          <cell r="O1887">
            <v>0</v>
          </cell>
          <cell r="P1887">
            <v>0</v>
          </cell>
          <cell r="Q1887">
            <v>358600</v>
          </cell>
          <cell r="R1887">
            <v>0</v>
          </cell>
          <cell r="S1887">
            <v>0</v>
          </cell>
          <cell r="T1887">
            <v>0</v>
          </cell>
          <cell r="U1887">
            <v>0</v>
          </cell>
          <cell r="V1887">
            <v>0</v>
          </cell>
          <cell r="W1887">
            <v>0</v>
          </cell>
          <cell r="X1887" t="str">
            <v>④</v>
          </cell>
          <cell r="Y1887" t="str">
            <v/>
          </cell>
          <cell r="Z1887" t="str">
            <v/>
          </cell>
          <cell r="AA1887" t="str">
            <v/>
          </cell>
          <cell r="AB1887" t="str">
            <v/>
          </cell>
          <cell r="AC1887" t="str">
            <v>⑨</v>
          </cell>
          <cell r="AD1887" t="str">
            <v/>
          </cell>
          <cell r="AE1887" t="str">
            <v/>
          </cell>
          <cell r="AF1887" t="str">
            <v/>
          </cell>
          <cell r="AG1887" t="str">
            <v/>
          </cell>
          <cell r="AH1887" t="str">
            <v/>
          </cell>
          <cell r="AI1887" t="str">
            <v/>
          </cell>
        </row>
        <row r="1888">
          <cell r="B1888">
            <v>10828</v>
          </cell>
          <cell r="C1888">
            <v>108</v>
          </cell>
          <cell r="D1888">
            <v>28</v>
          </cell>
          <cell r="F1888" t="str">
            <v>福岡</v>
          </cell>
          <cell r="G1888" t="str">
            <v>煤煙測定</v>
          </cell>
          <cell r="H1888" t="str">
            <v>九電産業</v>
          </cell>
          <cell r="I1888">
            <v>81000</v>
          </cell>
          <cell r="J1888">
            <v>93150</v>
          </cell>
          <cell r="K1888">
            <v>2</v>
          </cell>
          <cell r="L1888">
            <v>0</v>
          </cell>
          <cell r="M1888">
            <v>0</v>
          </cell>
          <cell r="N1888">
            <v>0</v>
          </cell>
          <cell r="O1888">
            <v>0</v>
          </cell>
          <cell r="P1888">
            <v>93150</v>
          </cell>
          <cell r="Q1888">
            <v>0</v>
          </cell>
          <cell r="R1888">
            <v>0</v>
          </cell>
          <cell r="S1888">
            <v>0</v>
          </cell>
          <cell r="T1888">
            <v>0</v>
          </cell>
          <cell r="U1888">
            <v>0</v>
          </cell>
          <cell r="V1888">
            <v>93150</v>
          </cell>
          <cell r="W1888">
            <v>0</v>
          </cell>
          <cell r="X1888" t="str">
            <v/>
          </cell>
          <cell r="Y1888" t="str">
            <v/>
          </cell>
          <cell r="Z1888" t="str">
            <v/>
          </cell>
          <cell r="AA1888" t="str">
            <v/>
          </cell>
          <cell r="AB1888" t="str">
            <v>⑧</v>
          </cell>
          <cell r="AC1888" t="str">
            <v/>
          </cell>
          <cell r="AD1888" t="str">
            <v/>
          </cell>
          <cell r="AE1888" t="str">
            <v/>
          </cell>
          <cell r="AF1888" t="str">
            <v/>
          </cell>
          <cell r="AG1888" t="str">
            <v/>
          </cell>
          <cell r="AH1888" t="str">
            <v>②</v>
          </cell>
          <cell r="AI1888" t="str">
            <v/>
          </cell>
        </row>
        <row r="1889">
          <cell r="B1889">
            <v>10829</v>
          </cell>
          <cell r="C1889">
            <v>108</v>
          </cell>
          <cell r="D1889">
            <v>29</v>
          </cell>
          <cell r="F1889" t="str">
            <v>福岡</v>
          </cell>
          <cell r="G1889" t="str">
            <v>汚水･雑排水槽清掃</v>
          </cell>
          <cell r="H1889" t="str">
            <v>九州メンテナンス㈱</v>
          </cell>
          <cell r="I1889">
            <v>367000</v>
          </cell>
          <cell r="J1889">
            <v>411040</v>
          </cell>
          <cell r="K1889">
            <v>2</v>
          </cell>
          <cell r="L1889">
            <v>0</v>
          </cell>
          <cell r="M1889">
            <v>411040</v>
          </cell>
          <cell r="N1889">
            <v>0</v>
          </cell>
          <cell r="O1889">
            <v>0</v>
          </cell>
          <cell r="P1889">
            <v>0</v>
          </cell>
          <cell r="Q1889">
            <v>0</v>
          </cell>
          <cell r="R1889">
            <v>0</v>
          </cell>
          <cell r="S1889">
            <v>411040</v>
          </cell>
          <cell r="T1889">
            <v>0</v>
          </cell>
          <cell r="U1889">
            <v>0</v>
          </cell>
          <cell r="V1889">
            <v>0</v>
          </cell>
          <cell r="W1889">
            <v>0</v>
          </cell>
          <cell r="X1889" t="str">
            <v/>
          </cell>
          <cell r="Y1889" t="str">
            <v>⑤</v>
          </cell>
          <cell r="Z1889" t="str">
            <v/>
          </cell>
          <cell r="AA1889" t="str">
            <v/>
          </cell>
          <cell r="AB1889" t="str">
            <v/>
          </cell>
          <cell r="AC1889" t="str">
            <v/>
          </cell>
          <cell r="AD1889" t="str">
            <v/>
          </cell>
          <cell r="AE1889" t="str">
            <v>⑪</v>
          </cell>
          <cell r="AF1889" t="str">
            <v/>
          </cell>
          <cell r="AG1889" t="str">
            <v/>
          </cell>
          <cell r="AH1889" t="str">
            <v/>
          </cell>
          <cell r="AI1889" t="str">
            <v/>
          </cell>
        </row>
        <row r="1890">
          <cell r="B1890">
            <v>10830</v>
          </cell>
          <cell r="C1890">
            <v>108</v>
          </cell>
          <cell r="D1890">
            <v>30</v>
          </cell>
          <cell r="F1890" t="str">
            <v>福岡</v>
          </cell>
          <cell r="G1890" t="str">
            <v>貯水槽清掃</v>
          </cell>
          <cell r="H1890" t="str">
            <v>九州メンテナンス㈱</v>
          </cell>
          <cell r="I1890">
            <v>196000</v>
          </cell>
          <cell r="J1890">
            <v>221480</v>
          </cell>
          <cell r="K1890">
            <v>1</v>
          </cell>
          <cell r="L1890">
            <v>0</v>
          </cell>
          <cell r="M1890">
            <v>0</v>
          </cell>
          <cell r="N1890">
            <v>0</v>
          </cell>
          <cell r="O1890">
            <v>0</v>
          </cell>
          <cell r="P1890">
            <v>0</v>
          </cell>
          <cell r="Q1890">
            <v>221480</v>
          </cell>
          <cell r="R1890">
            <v>0</v>
          </cell>
          <cell r="S1890">
            <v>0</v>
          </cell>
          <cell r="T1890">
            <v>0</v>
          </cell>
          <cell r="U1890">
            <v>0</v>
          </cell>
          <cell r="V1890">
            <v>0</v>
          </cell>
          <cell r="W1890">
            <v>0</v>
          </cell>
          <cell r="X1890" t="str">
            <v/>
          </cell>
          <cell r="Y1890" t="str">
            <v/>
          </cell>
          <cell r="Z1890" t="str">
            <v/>
          </cell>
          <cell r="AA1890" t="str">
            <v/>
          </cell>
          <cell r="AB1890" t="str">
            <v/>
          </cell>
          <cell r="AC1890" t="str">
            <v>⑨</v>
          </cell>
          <cell r="AD1890" t="str">
            <v/>
          </cell>
          <cell r="AE1890" t="str">
            <v/>
          </cell>
          <cell r="AF1890" t="str">
            <v/>
          </cell>
          <cell r="AG1890" t="str">
            <v/>
          </cell>
          <cell r="AH1890" t="str">
            <v/>
          </cell>
          <cell r="AI1890" t="str">
            <v/>
          </cell>
        </row>
        <row r="1891">
          <cell r="B1891">
            <v>10831</v>
          </cell>
          <cell r="C1891">
            <v>108</v>
          </cell>
          <cell r="D1891">
            <v>31</v>
          </cell>
          <cell r="F1891" t="str">
            <v>福岡</v>
          </cell>
          <cell r="G1891" t="str">
            <v>自動ドアー保守</v>
          </cell>
          <cell r="H1891" t="str">
            <v>オリエント産業</v>
          </cell>
          <cell r="I1891">
            <v>126000</v>
          </cell>
          <cell r="J1891">
            <v>128520</v>
          </cell>
          <cell r="K1891">
            <v>2</v>
          </cell>
          <cell r="L1891">
            <v>0</v>
          </cell>
          <cell r="M1891">
            <v>0</v>
          </cell>
          <cell r="N1891">
            <v>0</v>
          </cell>
          <cell r="O1891">
            <v>0</v>
          </cell>
          <cell r="P1891">
            <v>0</v>
          </cell>
          <cell r="Q1891">
            <v>128520</v>
          </cell>
          <cell r="R1891">
            <v>0</v>
          </cell>
          <cell r="S1891">
            <v>0</v>
          </cell>
          <cell r="T1891">
            <v>0</v>
          </cell>
          <cell r="U1891">
            <v>0</v>
          </cell>
          <cell r="V1891">
            <v>0</v>
          </cell>
          <cell r="W1891">
            <v>128520</v>
          </cell>
          <cell r="X1891" t="str">
            <v/>
          </cell>
          <cell r="Y1891" t="str">
            <v/>
          </cell>
          <cell r="Z1891" t="str">
            <v/>
          </cell>
          <cell r="AA1891" t="str">
            <v/>
          </cell>
          <cell r="AB1891" t="str">
            <v/>
          </cell>
          <cell r="AC1891" t="str">
            <v>⑨</v>
          </cell>
          <cell r="AD1891" t="str">
            <v/>
          </cell>
          <cell r="AE1891" t="str">
            <v/>
          </cell>
          <cell r="AF1891" t="str">
            <v/>
          </cell>
          <cell r="AG1891" t="str">
            <v/>
          </cell>
          <cell r="AH1891" t="str">
            <v/>
          </cell>
          <cell r="AI1891" t="str">
            <v>③</v>
          </cell>
          <cell r="AJ1891" t="str">
            <v>変</v>
          </cell>
        </row>
        <row r="1892">
          <cell r="B1892">
            <v>10832</v>
          </cell>
          <cell r="C1892">
            <v>108</v>
          </cell>
          <cell r="D1892">
            <v>32</v>
          </cell>
          <cell r="F1892" t="str">
            <v>福岡</v>
          </cell>
          <cell r="G1892" t="str">
            <v>中水道設備保守</v>
          </cell>
          <cell r="H1892" t="str">
            <v>斎久工業</v>
          </cell>
          <cell r="I1892">
            <v>76000</v>
          </cell>
          <cell r="J1892">
            <v>79260</v>
          </cell>
          <cell r="K1892">
            <v>12</v>
          </cell>
          <cell r="L1892">
            <v>79260</v>
          </cell>
          <cell r="M1892">
            <v>79260</v>
          </cell>
          <cell r="N1892">
            <v>79260</v>
          </cell>
          <cell r="O1892">
            <v>79260</v>
          </cell>
          <cell r="P1892">
            <v>79260</v>
          </cell>
          <cell r="Q1892">
            <v>79260</v>
          </cell>
          <cell r="R1892">
            <v>79260</v>
          </cell>
          <cell r="S1892">
            <v>79260</v>
          </cell>
          <cell r="T1892">
            <v>79260</v>
          </cell>
          <cell r="U1892">
            <v>79260</v>
          </cell>
          <cell r="V1892">
            <v>79260</v>
          </cell>
          <cell r="W1892">
            <v>79260</v>
          </cell>
          <cell r="X1892" t="str">
            <v>④</v>
          </cell>
          <cell r="Y1892" t="str">
            <v>⑤</v>
          </cell>
          <cell r="Z1892" t="str">
            <v>⑥</v>
          </cell>
          <cell r="AA1892" t="str">
            <v>⑦</v>
          </cell>
          <cell r="AB1892" t="str">
            <v>⑧</v>
          </cell>
          <cell r="AC1892" t="str">
            <v>⑨</v>
          </cell>
          <cell r="AD1892" t="str">
            <v>⑩</v>
          </cell>
          <cell r="AE1892" t="str">
            <v>⑪</v>
          </cell>
          <cell r="AF1892" t="str">
            <v>⑫</v>
          </cell>
          <cell r="AG1892" t="str">
            <v>①</v>
          </cell>
          <cell r="AH1892" t="str">
            <v>②</v>
          </cell>
          <cell r="AI1892" t="str">
            <v>③</v>
          </cell>
          <cell r="AJ1892" t="str">
            <v>変</v>
          </cell>
        </row>
        <row r="1893">
          <cell r="B1893">
            <v>10833</v>
          </cell>
          <cell r="C1893">
            <v>108</v>
          </cell>
          <cell r="D1893">
            <v>33</v>
          </cell>
          <cell r="F1893" t="str">
            <v>福岡</v>
          </cell>
          <cell r="G1893" t="str">
            <v>自動制御機器設備保守</v>
          </cell>
          <cell r="H1893" t="str">
            <v>新菱冷熱工業</v>
          </cell>
          <cell r="I1893">
            <v>777500</v>
          </cell>
          <cell r="J1893">
            <v>849750</v>
          </cell>
          <cell r="K1893">
            <v>2</v>
          </cell>
          <cell r="L1893">
            <v>0</v>
          </cell>
          <cell r="M1893">
            <v>0</v>
          </cell>
          <cell r="N1893">
            <v>0</v>
          </cell>
          <cell r="O1893">
            <v>0</v>
          </cell>
          <cell r="P1893">
            <v>0</v>
          </cell>
          <cell r="Q1893">
            <v>849750</v>
          </cell>
          <cell r="R1893">
            <v>0</v>
          </cell>
          <cell r="S1893">
            <v>0</v>
          </cell>
          <cell r="T1893">
            <v>0</v>
          </cell>
          <cell r="U1893">
            <v>0</v>
          </cell>
          <cell r="V1893">
            <v>0</v>
          </cell>
          <cell r="W1893">
            <v>849750</v>
          </cell>
          <cell r="X1893" t="str">
            <v/>
          </cell>
          <cell r="Y1893" t="str">
            <v/>
          </cell>
          <cell r="Z1893" t="str">
            <v/>
          </cell>
          <cell r="AA1893" t="str">
            <v/>
          </cell>
          <cell r="AB1893" t="str">
            <v/>
          </cell>
          <cell r="AC1893" t="str">
            <v>⑨</v>
          </cell>
          <cell r="AD1893" t="str">
            <v/>
          </cell>
          <cell r="AE1893" t="str">
            <v/>
          </cell>
          <cell r="AF1893" t="str">
            <v/>
          </cell>
          <cell r="AG1893" t="str">
            <v/>
          </cell>
          <cell r="AH1893" t="str">
            <v/>
          </cell>
          <cell r="AI1893" t="str">
            <v>③</v>
          </cell>
          <cell r="AJ1893" t="str">
            <v>変</v>
          </cell>
        </row>
        <row r="1894">
          <cell r="B1894">
            <v>10834</v>
          </cell>
          <cell r="C1894">
            <v>108</v>
          </cell>
          <cell r="D1894">
            <v>34</v>
          </cell>
          <cell r="F1894" t="str">
            <v>福岡</v>
          </cell>
          <cell r="G1894" t="str">
            <v>ターボ式冷凍機設備保守</v>
          </cell>
          <cell r="H1894" t="str">
            <v>新菱冷熱工業</v>
          </cell>
          <cell r="I1894">
            <v>381500</v>
          </cell>
          <cell r="J1894">
            <v>384750</v>
          </cell>
          <cell r="K1894">
            <v>2</v>
          </cell>
          <cell r="L1894">
            <v>0</v>
          </cell>
          <cell r="M1894">
            <v>0</v>
          </cell>
          <cell r="N1894">
            <v>0</v>
          </cell>
          <cell r="O1894">
            <v>0</v>
          </cell>
          <cell r="P1894">
            <v>0</v>
          </cell>
          <cell r="Q1894">
            <v>384750</v>
          </cell>
          <cell r="R1894">
            <v>0</v>
          </cell>
          <cell r="S1894">
            <v>0</v>
          </cell>
          <cell r="T1894">
            <v>0</v>
          </cell>
          <cell r="U1894">
            <v>0</v>
          </cell>
          <cell r="V1894">
            <v>0</v>
          </cell>
          <cell r="W1894">
            <v>384750</v>
          </cell>
          <cell r="X1894" t="str">
            <v/>
          </cell>
          <cell r="Y1894" t="str">
            <v/>
          </cell>
          <cell r="Z1894" t="str">
            <v/>
          </cell>
          <cell r="AA1894" t="str">
            <v/>
          </cell>
          <cell r="AB1894" t="str">
            <v/>
          </cell>
          <cell r="AC1894" t="str">
            <v>⑨</v>
          </cell>
          <cell r="AD1894" t="str">
            <v/>
          </cell>
          <cell r="AE1894" t="str">
            <v/>
          </cell>
          <cell r="AF1894" t="str">
            <v/>
          </cell>
          <cell r="AG1894" t="str">
            <v/>
          </cell>
          <cell r="AH1894" t="str">
            <v/>
          </cell>
          <cell r="AI1894" t="str">
            <v>③</v>
          </cell>
          <cell r="AJ1894" t="str">
            <v>変</v>
          </cell>
        </row>
        <row r="1895">
          <cell r="B1895">
            <v>10835</v>
          </cell>
          <cell r="C1895">
            <v>108</v>
          </cell>
          <cell r="D1895">
            <v>35</v>
          </cell>
          <cell r="F1895" t="str">
            <v>福岡</v>
          </cell>
          <cell r="G1895" t="str">
            <v>吸収式冷温水発生機保守</v>
          </cell>
          <cell r="H1895" t="str">
            <v>新菱冷熱工業</v>
          </cell>
          <cell r="I1895">
            <v>366000</v>
          </cell>
          <cell r="J1895">
            <v>380400</v>
          </cell>
          <cell r="K1895">
            <v>2</v>
          </cell>
          <cell r="L1895">
            <v>0</v>
          </cell>
          <cell r="M1895">
            <v>0</v>
          </cell>
          <cell r="N1895">
            <v>0</v>
          </cell>
          <cell r="O1895">
            <v>0</v>
          </cell>
          <cell r="P1895">
            <v>0</v>
          </cell>
          <cell r="Q1895">
            <v>380400</v>
          </cell>
          <cell r="R1895">
            <v>0</v>
          </cell>
          <cell r="S1895">
            <v>0</v>
          </cell>
          <cell r="T1895">
            <v>0</v>
          </cell>
          <cell r="U1895">
            <v>0</v>
          </cell>
          <cell r="V1895">
            <v>0</v>
          </cell>
          <cell r="W1895">
            <v>380400</v>
          </cell>
          <cell r="X1895" t="str">
            <v/>
          </cell>
          <cell r="Y1895" t="str">
            <v/>
          </cell>
          <cell r="Z1895" t="str">
            <v/>
          </cell>
          <cell r="AA1895" t="str">
            <v/>
          </cell>
          <cell r="AB1895" t="str">
            <v/>
          </cell>
          <cell r="AC1895" t="str">
            <v>⑨</v>
          </cell>
          <cell r="AD1895" t="str">
            <v/>
          </cell>
          <cell r="AE1895" t="str">
            <v/>
          </cell>
          <cell r="AF1895" t="str">
            <v/>
          </cell>
          <cell r="AG1895" t="str">
            <v/>
          </cell>
          <cell r="AH1895" t="str">
            <v/>
          </cell>
          <cell r="AI1895" t="str">
            <v>③</v>
          </cell>
          <cell r="AJ1895" t="str">
            <v>変</v>
          </cell>
        </row>
        <row r="1896">
          <cell r="B1896">
            <v>10836</v>
          </cell>
          <cell r="C1896">
            <v>108</v>
          </cell>
          <cell r="D1896">
            <v>36</v>
          </cell>
          <cell r="F1896" t="str">
            <v>福岡</v>
          </cell>
          <cell r="G1896" t="str">
            <v>ﾋｰﾄﾎﾟﾝﾌﾟﾊﾟｯｹｰｼﾞｴｱｺﾝ保守</v>
          </cell>
          <cell r="H1896" t="str">
            <v>日本空調サービス</v>
          </cell>
          <cell r="I1896">
            <v>228500</v>
          </cell>
          <cell r="J1896">
            <v>244890</v>
          </cell>
          <cell r="K1896">
            <v>2</v>
          </cell>
          <cell r="L1896">
            <v>0</v>
          </cell>
          <cell r="M1896">
            <v>0</v>
          </cell>
          <cell r="N1896">
            <v>0</v>
          </cell>
          <cell r="O1896">
            <v>0</v>
          </cell>
          <cell r="P1896">
            <v>244890</v>
          </cell>
          <cell r="Q1896">
            <v>0</v>
          </cell>
          <cell r="R1896">
            <v>0</v>
          </cell>
          <cell r="S1896">
            <v>0</v>
          </cell>
          <cell r="T1896">
            <v>0</v>
          </cell>
          <cell r="U1896">
            <v>0</v>
          </cell>
          <cell r="V1896">
            <v>244890</v>
          </cell>
          <cell r="W1896">
            <v>0</v>
          </cell>
          <cell r="X1896" t="str">
            <v/>
          </cell>
          <cell r="Y1896" t="str">
            <v/>
          </cell>
          <cell r="Z1896" t="str">
            <v/>
          </cell>
          <cell r="AA1896" t="str">
            <v/>
          </cell>
          <cell r="AB1896" t="str">
            <v>⑧</v>
          </cell>
          <cell r="AH1896" t="str">
            <v>②</v>
          </cell>
          <cell r="AJ1896" t="str">
            <v>変</v>
          </cell>
        </row>
        <row r="1897">
          <cell r="B1897">
            <v>10837</v>
          </cell>
          <cell r="C1897">
            <v>108</v>
          </cell>
          <cell r="D1897">
            <v>37</v>
          </cell>
          <cell r="F1897" t="str">
            <v>福岡</v>
          </cell>
          <cell r="G1897" t="str">
            <v>中央監視盤設備保守</v>
          </cell>
          <cell r="H1897" t="str">
            <v>森井電業</v>
          </cell>
          <cell r="I1897">
            <v>147000</v>
          </cell>
          <cell r="J1897">
            <v>251700</v>
          </cell>
          <cell r="K1897">
            <v>1</v>
          </cell>
          <cell r="L1897">
            <v>0</v>
          </cell>
          <cell r="M1897">
            <v>0</v>
          </cell>
          <cell r="N1897">
            <v>0</v>
          </cell>
          <cell r="O1897">
            <v>251700</v>
          </cell>
          <cell r="P1897">
            <v>0</v>
          </cell>
          <cell r="Q1897">
            <v>0</v>
          </cell>
          <cell r="R1897">
            <v>0</v>
          </cell>
          <cell r="S1897">
            <v>0</v>
          </cell>
          <cell r="T1897">
            <v>0</v>
          </cell>
          <cell r="U1897">
            <v>0</v>
          </cell>
          <cell r="V1897">
            <v>0</v>
          </cell>
          <cell r="W1897">
            <v>0</v>
          </cell>
          <cell r="X1897" t="str">
            <v/>
          </cell>
          <cell r="Y1897" t="str">
            <v/>
          </cell>
          <cell r="Z1897" t="str">
            <v/>
          </cell>
          <cell r="AA1897" t="str">
            <v>⑦</v>
          </cell>
          <cell r="AB1897" t="str">
            <v/>
          </cell>
          <cell r="AC1897" t="str">
            <v/>
          </cell>
          <cell r="AD1897" t="str">
            <v/>
          </cell>
          <cell r="AE1897" t="str">
            <v/>
          </cell>
          <cell r="AF1897" t="str">
            <v/>
          </cell>
          <cell r="AH1897" t="str">
            <v/>
          </cell>
          <cell r="AI1897" t="str">
            <v/>
          </cell>
          <cell r="AJ1897" t="str">
            <v>変</v>
          </cell>
        </row>
        <row r="1898">
          <cell r="B1898">
            <v>10838</v>
          </cell>
          <cell r="C1898">
            <v>108</v>
          </cell>
          <cell r="D1898">
            <v>38</v>
          </cell>
          <cell r="F1898" t="str">
            <v>福岡</v>
          </cell>
          <cell r="G1898" t="str">
            <v>有線放送設備保守</v>
          </cell>
          <cell r="H1898" t="str">
            <v>キャンシステム</v>
          </cell>
          <cell r="I1898">
            <v>4286</v>
          </cell>
          <cell r="J1898">
            <v>4371</v>
          </cell>
          <cell r="K1898">
            <v>12</v>
          </cell>
          <cell r="L1898">
            <v>4371</v>
          </cell>
          <cell r="M1898">
            <v>4371</v>
          </cell>
          <cell r="N1898">
            <v>4371</v>
          </cell>
          <cell r="O1898">
            <v>4371</v>
          </cell>
          <cell r="P1898">
            <v>4371</v>
          </cell>
          <cell r="Q1898">
            <v>4371</v>
          </cell>
          <cell r="R1898">
            <v>4371</v>
          </cell>
          <cell r="S1898">
            <v>4371</v>
          </cell>
          <cell r="T1898">
            <v>4371</v>
          </cell>
          <cell r="U1898">
            <v>4371</v>
          </cell>
          <cell r="V1898">
            <v>4371</v>
          </cell>
          <cell r="W1898">
            <v>4371</v>
          </cell>
          <cell r="X1898" t="str">
            <v>④</v>
          </cell>
          <cell r="Y1898" t="str">
            <v>⑤</v>
          </cell>
          <cell r="Z1898" t="str">
            <v>⑥</v>
          </cell>
          <cell r="AA1898" t="str">
            <v>⑦</v>
          </cell>
          <cell r="AB1898" t="str">
            <v>⑧</v>
          </cell>
          <cell r="AC1898" t="str">
            <v>⑨</v>
          </cell>
          <cell r="AD1898" t="str">
            <v>⑩</v>
          </cell>
          <cell r="AE1898" t="str">
            <v>⑪</v>
          </cell>
          <cell r="AF1898" t="str">
            <v>⑫</v>
          </cell>
          <cell r="AG1898" t="str">
            <v>①</v>
          </cell>
          <cell r="AH1898" t="str">
            <v>②</v>
          </cell>
          <cell r="AI1898" t="str">
            <v>③</v>
          </cell>
        </row>
        <row r="1899">
          <cell r="B1899">
            <v>10839</v>
          </cell>
          <cell r="C1899">
            <v>108</v>
          </cell>
          <cell r="D1899">
            <v>39</v>
          </cell>
          <cell r="F1899" t="str">
            <v>福岡</v>
          </cell>
          <cell r="G1899" t="str">
            <v>植栽管理</v>
          </cell>
          <cell r="H1899" t="str">
            <v>松永造園</v>
          </cell>
          <cell r="I1899">
            <v>87000</v>
          </cell>
          <cell r="J1899">
            <v>90030</v>
          </cell>
          <cell r="K1899">
            <v>2</v>
          </cell>
          <cell r="L1899">
            <v>0</v>
          </cell>
          <cell r="M1899">
            <v>0</v>
          </cell>
          <cell r="N1899">
            <v>0</v>
          </cell>
          <cell r="O1899">
            <v>0</v>
          </cell>
          <cell r="P1899">
            <v>90030</v>
          </cell>
          <cell r="Q1899">
            <v>0</v>
          </cell>
          <cell r="R1899">
            <v>0</v>
          </cell>
          <cell r="S1899">
            <v>0</v>
          </cell>
          <cell r="T1899">
            <v>0</v>
          </cell>
          <cell r="U1899">
            <v>0</v>
          </cell>
          <cell r="V1899">
            <v>90030</v>
          </cell>
          <cell r="W1899">
            <v>0</v>
          </cell>
          <cell r="X1899" t="str">
            <v/>
          </cell>
          <cell r="Y1899" t="str">
            <v/>
          </cell>
          <cell r="Z1899" t="str">
            <v/>
          </cell>
          <cell r="AA1899" t="str">
            <v/>
          </cell>
          <cell r="AB1899" t="str">
            <v>⑧</v>
          </cell>
          <cell r="AC1899" t="str">
            <v/>
          </cell>
          <cell r="AE1899" t="str">
            <v/>
          </cell>
          <cell r="AF1899" t="str">
            <v/>
          </cell>
          <cell r="AG1899" t="str">
            <v/>
          </cell>
          <cell r="AH1899" t="str">
            <v>②</v>
          </cell>
          <cell r="AJ1899" t="str">
            <v>変</v>
          </cell>
        </row>
        <row r="1900">
          <cell r="B1900">
            <v>10840</v>
          </cell>
          <cell r="C1900">
            <v>108</v>
          </cell>
          <cell r="D1900">
            <v>40</v>
          </cell>
          <cell r="F1900" t="str">
            <v>福岡</v>
          </cell>
          <cell r="G1900" t="str">
            <v>車路管制装置保守点検</v>
          </cell>
          <cell r="H1900" t="str">
            <v>石田エンジニアリング</v>
          </cell>
          <cell r="I1900">
            <v>48000</v>
          </cell>
          <cell r="J1900">
            <v>55200</v>
          </cell>
          <cell r="K1900">
            <v>2</v>
          </cell>
          <cell r="L1900">
            <v>0</v>
          </cell>
          <cell r="M1900">
            <v>55200</v>
          </cell>
          <cell r="N1900">
            <v>0</v>
          </cell>
          <cell r="O1900">
            <v>0</v>
          </cell>
          <cell r="P1900">
            <v>0</v>
          </cell>
          <cell r="Q1900">
            <v>0</v>
          </cell>
          <cell r="R1900">
            <v>55200</v>
          </cell>
          <cell r="S1900">
            <v>0</v>
          </cell>
          <cell r="T1900">
            <v>0</v>
          </cell>
          <cell r="U1900">
            <v>0</v>
          </cell>
          <cell r="V1900">
            <v>0</v>
          </cell>
          <cell r="W1900">
            <v>0</v>
          </cell>
          <cell r="X1900" t="str">
            <v/>
          </cell>
          <cell r="Y1900" t="str">
            <v>⑤</v>
          </cell>
          <cell r="Z1900" t="str">
            <v/>
          </cell>
          <cell r="AA1900" t="str">
            <v/>
          </cell>
          <cell r="AB1900" t="str">
            <v/>
          </cell>
          <cell r="AC1900" t="str">
            <v/>
          </cell>
          <cell r="AD1900" t="str">
            <v>⑩</v>
          </cell>
          <cell r="AE1900" t="str">
            <v/>
          </cell>
          <cell r="AF1900" t="str">
            <v/>
          </cell>
          <cell r="AG1900" t="str">
            <v/>
          </cell>
          <cell r="AH1900" t="str">
            <v/>
          </cell>
          <cell r="AI1900" t="str">
            <v/>
          </cell>
          <cell r="AJ1900" t="str">
            <v>追</v>
          </cell>
        </row>
        <row r="1901">
          <cell r="B1901">
            <v>10841</v>
          </cell>
          <cell r="C1901">
            <v>108</v>
          </cell>
          <cell r="D1901">
            <v>41</v>
          </cell>
          <cell r="F1901" t="str">
            <v>福岡</v>
          </cell>
          <cell r="G1901" t="str">
            <v>視聴覚設備･ITV点検整備</v>
          </cell>
          <cell r="H1901" t="str">
            <v>九州松下システム</v>
          </cell>
          <cell r="I1901">
            <v>240000</v>
          </cell>
          <cell r="J1901">
            <v>276000</v>
          </cell>
          <cell r="K1901">
            <v>1</v>
          </cell>
          <cell r="L1901">
            <v>0</v>
          </cell>
          <cell r="M1901">
            <v>0</v>
          </cell>
          <cell r="N1901">
            <v>0</v>
          </cell>
          <cell r="O1901">
            <v>0</v>
          </cell>
          <cell r="P1901">
            <v>0</v>
          </cell>
          <cell r="Q1901">
            <v>0</v>
          </cell>
          <cell r="R1901">
            <v>276000</v>
          </cell>
          <cell r="S1901">
            <v>0</v>
          </cell>
          <cell r="T1901">
            <v>0</v>
          </cell>
          <cell r="U1901">
            <v>0</v>
          </cell>
          <cell r="V1901">
            <v>0</v>
          </cell>
          <cell r="W1901">
            <v>0</v>
          </cell>
          <cell r="X1901" t="str">
            <v/>
          </cell>
          <cell r="Y1901" t="str">
            <v/>
          </cell>
          <cell r="Z1901" t="str">
            <v/>
          </cell>
          <cell r="AA1901" t="str">
            <v/>
          </cell>
          <cell r="AB1901" t="str">
            <v/>
          </cell>
          <cell r="AC1901" t="str">
            <v/>
          </cell>
          <cell r="AD1901" t="str">
            <v>⑩</v>
          </cell>
          <cell r="AE1901" t="str">
            <v/>
          </cell>
          <cell r="AF1901" t="str">
            <v/>
          </cell>
          <cell r="AG1901" t="str">
            <v/>
          </cell>
          <cell r="AH1901" t="str">
            <v/>
          </cell>
          <cell r="AI1901" t="str">
            <v/>
          </cell>
          <cell r="AJ1901" t="str">
            <v>追</v>
          </cell>
        </row>
        <row r="1902">
          <cell r="B1902">
            <v>10842</v>
          </cell>
          <cell r="C1902">
            <v>108</v>
          </cell>
          <cell r="D1902">
            <v>42</v>
          </cell>
          <cell r="F1902" t="str">
            <v>福岡</v>
          </cell>
          <cell r="G1902" t="str">
            <v>空調機点検整備工事</v>
          </cell>
          <cell r="H1902" t="str">
            <v>東洋製作所</v>
          </cell>
          <cell r="I1902">
            <v>510000</v>
          </cell>
          <cell r="J1902">
            <v>586500</v>
          </cell>
          <cell r="K1902">
            <v>1</v>
          </cell>
          <cell r="L1902">
            <v>0</v>
          </cell>
          <cell r="M1902">
            <v>0</v>
          </cell>
          <cell r="N1902">
            <v>0</v>
          </cell>
          <cell r="O1902">
            <v>0</v>
          </cell>
          <cell r="P1902">
            <v>0</v>
          </cell>
          <cell r="Q1902">
            <v>0</v>
          </cell>
          <cell r="R1902">
            <v>586500</v>
          </cell>
          <cell r="S1902">
            <v>0</v>
          </cell>
          <cell r="T1902">
            <v>0</v>
          </cell>
          <cell r="U1902">
            <v>0</v>
          </cell>
          <cell r="V1902">
            <v>0</v>
          </cell>
          <cell r="W1902">
            <v>0</v>
          </cell>
          <cell r="X1902" t="str">
            <v/>
          </cell>
          <cell r="Y1902" t="str">
            <v/>
          </cell>
          <cell r="Z1902" t="str">
            <v/>
          </cell>
          <cell r="AA1902" t="str">
            <v/>
          </cell>
          <cell r="AB1902" t="str">
            <v/>
          </cell>
          <cell r="AC1902" t="str">
            <v/>
          </cell>
          <cell r="AD1902" t="str">
            <v>⑩</v>
          </cell>
          <cell r="AE1902" t="str">
            <v/>
          </cell>
          <cell r="AF1902" t="str">
            <v/>
          </cell>
          <cell r="AG1902" t="str">
            <v/>
          </cell>
          <cell r="AH1902" t="str">
            <v/>
          </cell>
          <cell r="AI1902" t="str">
            <v/>
          </cell>
          <cell r="AJ1902" t="str">
            <v>追</v>
          </cell>
        </row>
        <row r="1903">
          <cell r="B1903">
            <v>10843</v>
          </cell>
          <cell r="C1903">
            <v>108</v>
          </cell>
          <cell r="D1903">
            <v>43</v>
          </cell>
          <cell r="F1903" t="str">
            <v>福岡</v>
          </cell>
          <cell r="G1903" t="str">
            <v>全熱交換機点検整備工事</v>
          </cell>
          <cell r="H1903" t="str">
            <v>新日本サーモラング</v>
          </cell>
          <cell r="I1903">
            <v>126000</v>
          </cell>
          <cell r="J1903">
            <v>144900</v>
          </cell>
          <cell r="K1903">
            <v>2</v>
          </cell>
          <cell r="L1903">
            <v>0</v>
          </cell>
          <cell r="M1903">
            <v>0</v>
          </cell>
          <cell r="N1903">
            <v>0</v>
          </cell>
          <cell r="O1903">
            <v>0</v>
          </cell>
          <cell r="P1903">
            <v>144900</v>
          </cell>
          <cell r="Q1903">
            <v>0</v>
          </cell>
          <cell r="R1903">
            <v>0</v>
          </cell>
          <cell r="S1903">
            <v>0</v>
          </cell>
          <cell r="T1903">
            <v>0</v>
          </cell>
          <cell r="U1903">
            <v>144900</v>
          </cell>
          <cell r="V1903">
            <v>0</v>
          </cell>
          <cell r="W1903">
            <v>0</v>
          </cell>
          <cell r="X1903" t="str">
            <v/>
          </cell>
          <cell r="Y1903" t="str">
            <v/>
          </cell>
          <cell r="Z1903" t="str">
            <v/>
          </cell>
          <cell r="AA1903" t="str">
            <v/>
          </cell>
          <cell r="AB1903" t="str">
            <v>⑧</v>
          </cell>
          <cell r="AC1903" t="str">
            <v/>
          </cell>
          <cell r="AE1903" t="str">
            <v/>
          </cell>
          <cell r="AF1903" t="str">
            <v/>
          </cell>
          <cell r="AG1903" t="str">
            <v>①</v>
          </cell>
          <cell r="AH1903" t="str">
            <v/>
          </cell>
          <cell r="AI1903" t="str">
            <v/>
          </cell>
          <cell r="AJ1903" t="str">
            <v>追</v>
          </cell>
        </row>
        <row r="1904">
          <cell r="B1904">
            <v>10844</v>
          </cell>
          <cell r="C1904">
            <v>108</v>
          </cell>
          <cell r="D1904">
            <v>44</v>
          </cell>
          <cell r="F1904" t="str">
            <v>福岡</v>
          </cell>
          <cell r="G1904" t="str">
            <v>電気温水器点検整備清掃</v>
          </cell>
          <cell r="H1904" t="str">
            <v>九州東管サービス</v>
          </cell>
          <cell r="I1904">
            <v>60000</v>
          </cell>
          <cell r="J1904">
            <v>69000</v>
          </cell>
          <cell r="K1904">
            <v>2</v>
          </cell>
          <cell r="L1904">
            <v>69000</v>
          </cell>
          <cell r="M1904">
            <v>0</v>
          </cell>
          <cell r="N1904">
            <v>0</v>
          </cell>
          <cell r="O1904">
            <v>0</v>
          </cell>
          <cell r="P1904">
            <v>0</v>
          </cell>
          <cell r="Q1904">
            <v>0</v>
          </cell>
          <cell r="R1904">
            <v>69000</v>
          </cell>
          <cell r="S1904">
            <v>0</v>
          </cell>
          <cell r="T1904">
            <v>0</v>
          </cell>
          <cell r="U1904">
            <v>0</v>
          </cell>
          <cell r="V1904">
            <v>0</v>
          </cell>
          <cell r="W1904">
            <v>0</v>
          </cell>
          <cell r="X1904" t="str">
            <v>④</v>
          </cell>
          <cell r="Y1904" t="str">
            <v/>
          </cell>
          <cell r="Z1904" t="str">
            <v/>
          </cell>
          <cell r="AA1904" t="str">
            <v/>
          </cell>
          <cell r="AB1904" t="str">
            <v/>
          </cell>
          <cell r="AC1904" t="str">
            <v/>
          </cell>
          <cell r="AD1904" t="str">
            <v>⑩</v>
          </cell>
          <cell r="AE1904" t="str">
            <v/>
          </cell>
          <cell r="AF1904" t="str">
            <v/>
          </cell>
          <cell r="AG1904" t="str">
            <v/>
          </cell>
          <cell r="AH1904" t="str">
            <v/>
          </cell>
          <cell r="AI1904" t="str">
            <v/>
          </cell>
          <cell r="AJ1904" t="str">
            <v>追</v>
          </cell>
        </row>
        <row r="1905">
          <cell r="B1905">
            <v>10845</v>
          </cell>
          <cell r="C1905">
            <v>108</v>
          </cell>
          <cell r="D1905">
            <v>45</v>
          </cell>
          <cell r="F1905" t="str">
            <v>福岡</v>
          </cell>
          <cell r="G1905" t="str">
            <v>中水道設備各水槽清掃作業</v>
          </cell>
          <cell r="H1905" t="str">
            <v>斎久工業</v>
          </cell>
          <cell r="I1905">
            <v>520000</v>
          </cell>
          <cell r="J1905">
            <v>598000</v>
          </cell>
          <cell r="K1905">
            <v>1</v>
          </cell>
          <cell r="L1905">
            <v>0</v>
          </cell>
          <cell r="M1905">
            <v>0</v>
          </cell>
          <cell r="N1905">
            <v>0</v>
          </cell>
          <cell r="O1905">
            <v>0</v>
          </cell>
          <cell r="P1905">
            <v>0</v>
          </cell>
          <cell r="Q1905">
            <v>0</v>
          </cell>
          <cell r="R1905">
            <v>0</v>
          </cell>
          <cell r="S1905">
            <v>598000</v>
          </cell>
          <cell r="T1905">
            <v>0</v>
          </cell>
          <cell r="U1905">
            <v>0</v>
          </cell>
          <cell r="V1905">
            <v>0</v>
          </cell>
          <cell r="W1905">
            <v>0</v>
          </cell>
          <cell r="AE1905" t="str">
            <v>⑪</v>
          </cell>
          <cell r="AJ1905" t="str">
            <v>追</v>
          </cell>
        </row>
        <row r="1906">
          <cell r="B1906">
            <v>10846</v>
          </cell>
          <cell r="C1906">
            <v>108</v>
          </cell>
          <cell r="D1906">
            <v>46</v>
          </cell>
          <cell r="F1906" t="str">
            <v>福岡</v>
          </cell>
          <cell r="G1906" t="str">
            <v>各階空調ﾌｨﾙﾀｰ点検清掃</v>
          </cell>
          <cell r="H1906" t="str">
            <v>九州東管サービス</v>
          </cell>
          <cell r="I1906">
            <v>345000</v>
          </cell>
          <cell r="J1906">
            <v>396750</v>
          </cell>
          <cell r="K1906">
            <v>2</v>
          </cell>
          <cell r="L1906">
            <v>396750</v>
          </cell>
          <cell r="M1906">
            <v>0</v>
          </cell>
          <cell r="N1906">
            <v>0</v>
          </cell>
          <cell r="O1906">
            <v>0</v>
          </cell>
          <cell r="P1906">
            <v>0</v>
          </cell>
          <cell r="Q1906">
            <v>0</v>
          </cell>
          <cell r="R1906">
            <v>396750</v>
          </cell>
          <cell r="S1906">
            <v>0</v>
          </cell>
          <cell r="T1906">
            <v>0</v>
          </cell>
          <cell r="U1906">
            <v>0</v>
          </cell>
          <cell r="V1906">
            <v>0</v>
          </cell>
          <cell r="W1906">
            <v>0</v>
          </cell>
          <cell r="X1906" t="str">
            <v>④</v>
          </cell>
          <cell r="Y1906" t="str">
            <v/>
          </cell>
          <cell r="Z1906" t="str">
            <v/>
          </cell>
          <cell r="AA1906" t="str">
            <v/>
          </cell>
          <cell r="AB1906" t="str">
            <v/>
          </cell>
          <cell r="AC1906" t="str">
            <v/>
          </cell>
          <cell r="AD1906" t="str">
            <v>⑩</v>
          </cell>
          <cell r="AE1906" t="str">
            <v/>
          </cell>
          <cell r="AF1906" t="str">
            <v/>
          </cell>
          <cell r="AG1906" t="str">
            <v/>
          </cell>
          <cell r="AH1906" t="str">
            <v/>
          </cell>
          <cell r="AI1906" t="str">
            <v/>
          </cell>
          <cell r="AJ1906" t="str">
            <v>追</v>
          </cell>
        </row>
        <row r="1907">
          <cell r="B1907">
            <v>10901</v>
          </cell>
          <cell r="C1907">
            <v>109</v>
          </cell>
          <cell r="D1907">
            <v>1</v>
          </cell>
          <cell r="F1907" t="str">
            <v>北九州</v>
          </cell>
          <cell r="G1907" t="str">
            <v>立体駐車場装置保守</v>
          </cell>
          <cell r="H1907" t="str">
            <v>三菱重工ﾊﾟｰｷﾝｸﾞ建設</v>
          </cell>
          <cell r="I1907">
            <v>109000</v>
          </cell>
          <cell r="J1907">
            <v>111180</v>
          </cell>
          <cell r="K1907">
            <v>12</v>
          </cell>
          <cell r="L1907">
            <v>111180</v>
          </cell>
          <cell r="M1907">
            <v>111180</v>
          </cell>
          <cell r="N1907">
            <v>111180</v>
          </cell>
          <cell r="O1907">
            <v>111180</v>
          </cell>
          <cell r="P1907">
            <v>111180</v>
          </cell>
          <cell r="Q1907">
            <v>111180</v>
          </cell>
          <cell r="R1907">
            <v>111180</v>
          </cell>
          <cell r="S1907">
            <v>111180</v>
          </cell>
          <cell r="T1907">
            <v>111180</v>
          </cell>
          <cell r="U1907">
            <v>111180</v>
          </cell>
          <cell r="V1907">
            <v>111180</v>
          </cell>
          <cell r="W1907">
            <v>111180</v>
          </cell>
          <cell r="X1907" t="str">
            <v>④</v>
          </cell>
          <cell r="Y1907" t="str">
            <v>⑤</v>
          </cell>
          <cell r="Z1907" t="str">
            <v>⑥</v>
          </cell>
          <cell r="AA1907" t="str">
            <v>⑦</v>
          </cell>
          <cell r="AB1907" t="str">
            <v>⑧</v>
          </cell>
          <cell r="AC1907" t="str">
            <v>⑨</v>
          </cell>
          <cell r="AD1907" t="str">
            <v>⑩</v>
          </cell>
          <cell r="AE1907" t="str">
            <v>⑪</v>
          </cell>
          <cell r="AF1907" t="str">
            <v>⑫</v>
          </cell>
          <cell r="AG1907" t="str">
            <v>①</v>
          </cell>
          <cell r="AH1907" t="str">
            <v>②</v>
          </cell>
          <cell r="AI1907" t="str">
            <v>③</v>
          </cell>
        </row>
        <row r="1908">
          <cell r="B1908">
            <v>10902</v>
          </cell>
          <cell r="C1908">
            <v>109</v>
          </cell>
          <cell r="D1908">
            <v>2</v>
          </cell>
          <cell r="F1908" t="str">
            <v>北九州</v>
          </cell>
          <cell r="G1908" t="str">
            <v>エレベーター保守</v>
          </cell>
          <cell r="H1908" t="str">
            <v>三菱電機ﾋﾞﾙﾃｸﾉｻｰﾋﾞｽ</v>
          </cell>
          <cell r="I1908">
            <v>141400</v>
          </cell>
          <cell r="J1908">
            <v>144228</v>
          </cell>
          <cell r="K1908">
            <v>12</v>
          </cell>
          <cell r="L1908">
            <v>144228</v>
          </cell>
          <cell r="M1908">
            <v>144228</v>
          </cell>
          <cell r="N1908">
            <v>144228</v>
          </cell>
          <cell r="O1908">
            <v>144228</v>
          </cell>
          <cell r="P1908">
            <v>144228</v>
          </cell>
          <cell r="Q1908">
            <v>144228</v>
          </cell>
          <cell r="R1908">
            <v>144228</v>
          </cell>
          <cell r="S1908">
            <v>144228</v>
          </cell>
          <cell r="T1908">
            <v>144228</v>
          </cell>
          <cell r="U1908">
            <v>144228</v>
          </cell>
          <cell r="V1908">
            <v>144228</v>
          </cell>
          <cell r="W1908">
            <v>144228</v>
          </cell>
          <cell r="X1908" t="str">
            <v>④</v>
          </cell>
          <cell r="Y1908" t="str">
            <v>⑤</v>
          </cell>
          <cell r="Z1908" t="str">
            <v>⑥</v>
          </cell>
          <cell r="AA1908" t="str">
            <v>⑦</v>
          </cell>
          <cell r="AB1908" t="str">
            <v>⑧</v>
          </cell>
          <cell r="AC1908" t="str">
            <v>⑨</v>
          </cell>
          <cell r="AD1908" t="str">
            <v>⑩</v>
          </cell>
          <cell r="AE1908" t="str">
            <v>⑪</v>
          </cell>
          <cell r="AF1908" t="str">
            <v>⑫</v>
          </cell>
          <cell r="AG1908" t="str">
            <v>①</v>
          </cell>
          <cell r="AH1908" t="str">
            <v>②</v>
          </cell>
          <cell r="AI1908" t="str">
            <v>③</v>
          </cell>
        </row>
        <row r="1909">
          <cell r="B1909">
            <v>10903</v>
          </cell>
          <cell r="C1909">
            <v>109</v>
          </cell>
          <cell r="D1909">
            <v>3</v>
          </cell>
          <cell r="F1909" t="str">
            <v>北九州</v>
          </cell>
          <cell r="G1909" t="str">
            <v>消火器(外観)</v>
          </cell>
          <cell r="H1909" t="str">
            <v>ホーチキ</v>
          </cell>
          <cell r="I1909">
            <v>19000</v>
          </cell>
          <cell r="J1909">
            <v>19380</v>
          </cell>
          <cell r="K1909">
            <v>2</v>
          </cell>
          <cell r="L1909">
            <v>0</v>
          </cell>
          <cell r="M1909">
            <v>0</v>
          </cell>
          <cell r="N1909">
            <v>19380</v>
          </cell>
          <cell r="O1909">
            <v>0</v>
          </cell>
          <cell r="P1909">
            <v>0</v>
          </cell>
          <cell r="Q1909">
            <v>0</v>
          </cell>
          <cell r="R1909">
            <v>0</v>
          </cell>
          <cell r="S1909">
            <v>0</v>
          </cell>
          <cell r="T1909">
            <v>19380</v>
          </cell>
          <cell r="U1909">
            <v>0</v>
          </cell>
          <cell r="V1909">
            <v>0</v>
          </cell>
          <cell r="W1909">
            <v>0</v>
          </cell>
          <cell r="X1909" t="str">
            <v/>
          </cell>
          <cell r="Y1909" t="str">
            <v/>
          </cell>
          <cell r="Z1909" t="str">
            <v>⑥</v>
          </cell>
          <cell r="AA1909" t="str">
            <v/>
          </cell>
          <cell r="AB1909" t="str">
            <v/>
          </cell>
          <cell r="AC1909" t="str">
            <v/>
          </cell>
          <cell r="AD1909" t="str">
            <v/>
          </cell>
          <cell r="AE1909" t="str">
            <v/>
          </cell>
          <cell r="AF1909" t="str">
            <v>⑫</v>
          </cell>
          <cell r="AG1909" t="str">
            <v/>
          </cell>
          <cell r="AH1909" t="str">
            <v/>
          </cell>
          <cell r="AI1909" t="str">
            <v/>
          </cell>
        </row>
        <row r="1910">
          <cell r="B1910">
            <v>10904</v>
          </cell>
          <cell r="C1910">
            <v>109</v>
          </cell>
          <cell r="D1910">
            <v>4</v>
          </cell>
          <cell r="F1910" t="str">
            <v>北九州</v>
          </cell>
          <cell r="G1910" t="str">
            <v>屋内消火栓(外観)</v>
          </cell>
          <cell r="H1910" t="str">
            <v>ホーチキ</v>
          </cell>
          <cell r="I1910">
            <v>37500</v>
          </cell>
          <cell r="J1910">
            <v>38250</v>
          </cell>
          <cell r="K1910">
            <v>1</v>
          </cell>
          <cell r="L1910">
            <v>0</v>
          </cell>
          <cell r="M1910">
            <v>0</v>
          </cell>
          <cell r="N1910">
            <v>38250</v>
          </cell>
          <cell r="O1910">
            <v>0</v>
          </cell>
          <cell r="P1910">
            <v>0</v>
          </cell>
          <cell r="Q1910">
            <v>0</v>
          </cell>
          <cell r="R1910">
            <v>0</v>
          </cell>
          <cell r="S1910">
            <v>0</v>
          </cell>
          <cell r="T1910">
            <v>0</v>
          </cell>
          <cell r="U1910">
            <v>0</v>
          </cell>
          <cell r="V1910">
            <v>0</v>
          </cell>
          <cell r="W1910">
            <v>0</v>
          </cell>
          <cell r="X1910" t="str">
            <v/>
          </cell>
          <cell r="Y1910" t="str">
            <v/>
          </cell>
          <cell r="Z1910" t="str">
            <v>⑥</v>
          </cell>
          <cell r="AA1910" t="str">
            <v/>
          </cell>
          <cell r="AB1910" t="str">
            <v/>
          </cell>
          <cell r="AC1910" t="str">
            <v/>
          </cell>
          <cell r="AD1910" t="str">
            <v/>
          </cell>
          <cell r="AE1910" t="str">
            <v/>
          </cell>
          <cell r="AF1910" t="str">
            <v/>
          </cell>
          <cell r="AG1910" t="str">
            <v/>
          </cell>
          <cell r="AH1910" t="str">
            <v/>
          </cell>
          <cell r="AI1910" t="str">
            <v/>
          </cell>
        </row>
        <row r="1911">
          <cell r="B1911">
            <v>10905</v>
          </cell>
          <cell r="C1911">
            <v>109</v>
          </cell>
          <cell r="D1911">
            <v>5</v>
          </cell>
          <cell r="F1911" t="str">
            <v>北九州</v>
          </cell>
          <cell r="G1911" t="str">
            <v>屋内消火栓(総合)</v>
          </cell>
          <cell r="H1911" t="str">
            <v>ホーチキ</v>
          </cell>
          <cell r="I1911">
            <v>37500</v>
          </cell>
          <cell r="J1911">
            <v>38250</v>
          </cell>
          <cell r="K1911">
            <v>1</v>
          </cell>
          <cell r="L1911">
            <v>0</v>
          </cell>
          <cell r="M1911">
            <v>0</v>
          </cell>
          <cell r="N1911">
            <v>0</v>
          </cell>
          <cell r="O1911">
            <v>0</v>
          </cell>
          <cell r="P1911">
            <v>0</v>
          </cell>
          <cell r="Q1911">
            <v>0</v>
          </cell>
          <cell r="R1911">
            <v>0</v>
          </cell>
          <cell r="S1911">
            <v>0</v>
          </cell>
          <cell r="T1911">
            <v>38250</v>
          </cell>
          <cell r="U1911">
            <v>0</v>
          </cell>
          <cell r="V1911">
            <v>0</v>
          </cell>
          <cell r="W1911">
            <v>0</v>
          </cell>
          <cell r="X1911" t="str">
            <v/>
          </cell>
          <cell r="Y1911" t="str">
            <v/>
          </cell>
          <cell r="Z1911" t="str">
            <v/>
          </cell>
          <cell r="AA1911" t="str">
            <v/>
          </cell>
          <cell r="AB1911" t="str">
            <v/>
          </cell>
          <cell r="AC1911" t="str">
            <v/>
          </cell>
          <cell r="AD1911" t="str">
            <v/>
          </cell>
          <cell r="AE1911" t="str">
            <v/>
          </cell>
          <cell r="AF1911" t="str">
            <v>⑫</v>
          </cell>
          <cell r="AG1911" t="str">
            <v/>
          </cell>
          <cell r="AH1911" t="str">
            <v/>
          </cell>
          <cell r="AI1911" t="str">
            <v/>
          </cell>
        </row>
        <row r="1912">
          <cell r="B1912">
            <v>10906</v>
          </cell>
          <cell r="C1912">
            <v>109</v>
          </cell>
          <cell r="D1912">
            <v>6</v>
          </cell>
          <cell r="F1912" t="str">
            <v>北九州</v>
          </cell>
          <cell r="G1912" t="str">
            <v>ハロゲン消火(外観)</v>
          </cell>
          <cell r="H1912" t="str">
            <v>ホーチキ</v>
          </cell>
          <cell r="I1912">
            <v>64900</v>
          </cell>
          <cell r="J1912">
            <v>66198</v>
          </cell>
          <cell r="K1912">
            <v>1</v>
          </cell>
          <cell r="L1912">
            <v>0</v>
          </cell>
          <cell r="M1912">
            <v>0</v>
          </cell>
          <cell r="N1912">
            <v>66198</v>
          </cell>
          <cell r="O1912">
            <v>0</v>
          </cell>
          <cell r="P1912">
            <v>0</v>
          </cell>
          <cell r="Q1912">
            <v>0</v>
          </cell>
          <cell r="R1912">
            <v>0</v>
          </cell>
          <cell r="S1912">
            <v>0</v>
          </cell>
          <cell r="T1912">
            <v>0</v>
          </cell>
          <cell r="U1912">
            <v>0</v>
          </cell>
          <cell r="V1912">
            <v>0</v>
          </cell>
          <cell r="W1912">
            <v>0</v>
          </cell>
          <cell r="X1912" t="str">
            <v/>
          </cell>
          <cell r="Y1912" t="str">
            <v/>
          </cell>
          <cell r="Z1912" t="str">
            <v>⑥</v>
          </cell>
          <cell r="AA1912" t="str">
            <v/>
          </cell>
          <cell r="AB1912" t="str">
            <v/>
          </cell>
          <cell r="AC1912" t="str">
            <v/>
          </cell>
          <cell r="AD1912" t="str">
            <v/>
          </cell>
          <cell r="AE1912" t="str">
            <v/>
          </cell>
          <cell r="AF1912" t="str">
            <v/>
          </cell>
          <cell r="AG1912" t="str">
            <v/>
          </cell>
          <cell r="AH1912" t="str">
            <v/>
          </cell>
          <cell r="AI1912" t="str">
            <v/>
          </cell>
        </row>
        <row r="1913">
          <cell r="B1913">
            <v>10907</v>
          </cell>
          <cell r="C1913">
            <v>109</v>
          </cell>
          <cell r="D1913">
            <v>7</v>
          </cell>
          <cell r="F1913" t="str">
            <v>北九州</v>
          </cell>
          <cell r="G1913" t="str">
            <v>ハロゲン消火(総合)</v>
          </cell>
          <cell r="H1913" t="str">
            <v>ホーチキ</v>
          </cell>
          <cell r="I1913">
            <v>64900</v>
          </cell>
          <cell r="J1913">
            <v>66198</v>
          </cell>
          <cell r="K1913">
            <v>1</v>
          </cell>
          <cell r="L1913">
            <v>0</v>
          </cell>
          <cell r="M1913">
            <v>0</v>
          </cell>
          <cell r="N1913">
            <v>0</v>
          </cell>
          <cell r="O1913">
            <v>0</v>
          </cell>
          <cell r="P1913">
            <v>0</v>
          </cell>
          <cell r="Q1913">
            <v>0</v>
          </cell>
          <cell r="R1913">
            <v>0</v>
          </cell>
          <cell r="S1913">
            <v>0</v>
          </cell>
          <cell r="T1913">
            <v>66198</v>
          </cell>
          <cell r="U1913">
            <v>0</v>
          </cell>
          <cell r="V1913">
            <v>0</v>
          </cell>
          <cell r="W1913">
            <v>0</v>
          </cell>
          <cell r="X1913" t="str">
            <v/>
          </cell>
          <cell r="Y1913" t="str">
            <v/>
          </cell>
          <cell r="Z1913" t="str">
            <v/>
          </cell>
          <cell r="AA1913" t="str">
            <v/>
          </cell>
          <cell r="AB1913" t="str">
            <v/>
          </cell>
          <cell r="AC1913" t="str">
            <v/>
          </cell>
          <cell r="AD1913" t="str">
            <v/>
          </cell>
          <cell r="AE1913" t="str">
            <v/>
          </cell>
          <cell r="AF1913" t="str">
            <v>⑫</v>
          </cell>
          <cell r="AG1913" t="str">
            <v/>
          </cell>
          <cell r="AH1913" t="str">
            <v/>
          </cell>
          <cell r="AI1913" t="str">
            <v/>
          </cell>
        </row>
        <row r="1914">
          <cell r="B1914">
            <v>10908</v>
          </cell>
          <cell r="C1914">
            <v>109</v>
          </cell>
          <cell r="D1914">
            <v>8</v>
          </cell>
          <cell r="F1914" t="str">
            <v>北九州</v>
          </cell>
          <cell r="G1914" t="str">
            <v>非常放送(外観)</v>
          </cell>
          <cell r="H1914" t="str">
            <v>ホーチキ</v>
          </cell>
          <cell r="I1914">
            <v>30500</v>
          </cell>
          <cell r="J1914">
            <v>31110</v>
          </cell>
          <cell r="K1914">
            <v>1</v>
          </cell>
          <cell r="L1914">
            <v>0</v>
          </cell>
          <cell r="M1914">
            <v>0</v>
          </cell>
          <cell r="N1914">
            <v>31110</v>
          </cell>
          <cell r="O1914">
            <v>0</v>
          </cell>
          <cell r="P1914">
            <v>0</v>
          </cell>
          <cell r="Q1914">
            <v>0</v>
          </cell>
          <cell r="R1914">
            <v>0</v>
          </cell>
          <cell r="S1914">
            <v>0</v>
          </cell>
          <cell r="T1914">
            <v>0</v>
          </cell>
          <cell r="U1914">
            <v>0</v>
          </cell>
          <cell r="V1914">
            <v>0</v>
          </cell>
          <cell r="W1914">
            <v>0</v>
          </cell>
          <cell r="X1914" t="str">
            <v/>
          </cell>
          <cell r="Y1914" t="str">
            <v/>
          </cell>
          <cell r="Z1914" t="str">
            <v>⑥</v>
          </cell>
          <cell r="AA1914" t="str">
            <v/>
          </cell>
          <cell r="AB1914" t="str">
            <v/>
          </cell>
          <cell r="AC1914" t="str">
            <v/>
          </cell>
          <cell r="AD1914" t="str">
            <v/>
          </cell>
          <cell r="AE1914" t="str">
            <v/>
          </cell>
          <cell r="AF1914" t="str">
            <v/>
          </cell>
          <cell r="AG1914" t="str">
            <v/>
          </cell>
          <cell r="AH1914" t="str">
            <v/>
          </cell>
          <cell r="AI1914" t="str">
            <v/>
          </cell>
        </row>
        <row r="1915">
          <cell r="B1915">
            <v>10909</v>
          </cell>
          <cell r="C1915">
            <v>109</v>
          </cell>
          <cell r="D1915">
            <v>9</v>
          </cell>
          <cell r="F1915" t="str">
            <v>北九州</v>
          </cell>
          <cell r="G1915" t="str">
            <v>非常放送(総合)</v>
          </cell>
          <cell r="H1915" t="str">
            <v>ホーチキ</v>
          </cell>
          <cell r="I1915">
            <v>30500</v>
          </cell>
          <cell r="J1915">
            <v>31110</v>
          </cell>
          <cell r="K1915">
            <v>1</v>
          </cell>
          <cell r="L1915">
            <v>0</v>
          </cell>
          <cell r="M1915">
            <v>0</v>
          </cell>
          <cell r="N1915">
            <v>0</v>
          </cell>
          <cell r="O1915">
            <v>0</v>
          </cell>
          <cell r="P1915">
            <v>0</v>
          </cell>
          <cell r="Q1915">
            <v>0</v>
          </cell>
          <cell r="R1915">
            <v>0</v>
          </cell>
          <cell r="S1915">
            <v>0</v>
          </cell>
          <cell r="T1915">
            <v>31110</v>
          </cell>
          <cell r="U1915">
            <v>0</v>
          </cell>
          <cell r="V1915">
            <v>0</v>
          </cell>
          <cell r="W1915">
            <v>0</v>
          </cell>
          <cell r="X1915" t="str">
            <v/>
          </cell>
          <cell r="Y1915" t="str">
            <v/>
          </cell>
          <cell r="Z1915" t="str">
            <v/>
          </cell>
          <cell r="AA1915" t="str">
            <v/>
          </cell>
          <cell r="AB1915" t="str">
            <v/>
          </cell>
          <cell r="AC1915" t="str">
            <v/>
          </cell>
          <cell r="AD1915" t="str">
            <v/>
          </cell>
          <cell r="AE1915" t="str">
            <v/>
          </cell>
          <cell r="AF1915" t="str">
            <v>⑫</v>
          </cell>
          <cell r="AG1915" t="str">
            <v/>
          </cell>
          <cell r="AH1915" t="str">
            <v/>
          </cell>
          <cell r="AI1915" t="str">
            <v/>
          </cell>
        </row>
        <row r="1916">
          <cell r="B1916">
            <v>10910</v>
          </cell>
          <cell r="C1916">
            <v>109</v>
          </cell>
          <cell r="D1916">
            <v>10</v>
          </cell>
          <cell r="F1916" t="str">
            <v>北九州</v>
          </cell>
          <cell r="G1916" t="str">
            <v>避難器具(外観)</v>
          </cell>
          <cell r="H1916" t="str">
            <v>ホーチキ</v>
          </cell>
          <cell r="I1916">
            <v>24000</v>
          </cell>
          <cell r="J1916">
            <v>24480</v>
          </cell>
          <cell r="K1916">
            <v>1</v>
          </cell>
          <cell r="L1916">
            <v>0</v>
          </cell>
          <cell r="M1916">
            <v>0</v>
          </cell>
          <cell r="N1916">
            <v>24480</v>
          </cell>
          <cell r="O1916">
            <v>0</v>
          </cell>
          <cell r="P1916">
            <v>0</v>
          </cell>
          <cell r="Q1916">
            <v>0</v>
          </cell>
          <cell r="R1916">
            <v>0</v>
          </cell>
          <cell r="S1916">
            <v>0</v>
          </cell>
          <cell r="T1916">
            <v>0</v>
          </cell>
          <cell r="U1916">
            <v>0</v>
          </cell>
          <cell r="V1916">
            <v>0</v>
          </cell>
          <cell r="W1916">
            <v>0</v>
          </cell>
          <cell r="X1916" t="str">
            <v/>
          </cell>
          <cell r="Y1916" t="str">
            <v/>
          </cell>
          <cell r="Z1916" t="str">
            <v>⑥</v>
          </cell>
          <cell r="AA1916" t="str">
            <v/>
          </cell>
          <cell r="AB1916" t="str">
            <v/>
          </cell>
          <cell r="AC1916" t="str">
            <v/>
          </cell>
          <cell r="AD1916" t="str">
            <v/>
          </cell>
          <cell r="AE1916" t="str">
            <v/>
          </cell>
          <cell r="AF1916" t="str">
            <v/>
          </cell>
          <cell r="AG1916" t="str">
            <v/>
          </cell>
          <cell r="AH1916" t="str">
            <v/>
          </cell>
          <cell r="AI1916" t="str">
            <v/>
          </cell>
        </row>
        <row r="1917">
          <cell r="B1917">
            <v>10911</v>
          </cell>
          <cell r="C1917">
            <v>109</v>
          </cell>
          <cell r="D1917">
            <v>11</v>
          </cell>
          <cell r="F1917" t="str">
            <v>北九州</v>
          </cell>
          <cell r="G1917" t="str">
            <v>避難器具(総合)</v>
          </cell>
          <cell r="H1917" t="str">
            <v>ホーチキ</v>
          </cell>
          <cell r="I1917">
            <v>24000</v>
          </cell>
          <cell r="J1917">
            <v>24480</v>
          </cell>
          <cell r="K1917">
            <v>1</v>
          </cell>
          <cell r="L1917">
            <v>0</v>
          </cell>
          <cell r="M1917">
            <v>0</v>
          </cell>
          <cell r="N1917">
            <v>0</v>
          </cell>
          <cell r="O1917">
            <v>0</v>
          </cell>
          <cell r="P1917">
            <v>0</v>
          </cell>
          <cell r="Q1917">
            <v>0</v>
          </cell>
          <cell r="R1917">
            <v>0</v>
          </cell>
          <cell r="S1917">
            <v>0</v>
          </cell>
          <cell r="T1917">
            <v>24480</v>
          </cell>
          <cell r="U1917">
            <v>0</v>
          </cell>
          <cell r="V1917">
            <v>0</v>
          </cell>
          <cell r="W1917">
            <v>0</v>
          </cell>
          <cell r="X1917" t="str">
            <v/>
          </cell>
          <cell r="Y1917" t="str">
            <v/>
          </cell>
          <cell r="Z1917" t="str">
            <v/>
          </cell>
          <cell r="AA1917" t="str">
            <v/>
          </cell>
          <cell r="AB1917" t="str">
            <v/>
          </cell>
          <cell r="AC1917" t="str">
            <v/>
          </cell>
          <cell r="AD1917" t="str">
            <v/>
          </cell>
          <cell r="AE1917" t="str">
            <v/>
          </cell>
          <cell r="AF1917" t="str">
            <v>⑫</v>
          </cell>
          <cell r="AG1917" t="str">
            <v/>
          </cell>
          <cell r="AH1917" t="str">
            <v/>
          </cell>
          <cell r="AI1917" t="str">
            <v/>
          </cell>
        </row>
        <row r="1918">
          <cell r="B1918">
            <v>10912</v>
          </cell>
          <cell r="C1918">
            <v>109</v>
          </cell>
          <cell r="D1918">
            <v>12</v>
          </cell>
          <cell r="F1918" t="str">
            <v>北九州</v>
          </cell>
          <cell r="G1918" t="str">
            <v>誘導灯(外観)</v>
          </cell>
          <cell r="H1918" t="str">
            <v>ホーチキ</v>
          </cell>
          <cell r="I1918">
            <v>17000</v>
          </cell>
          <cell r="J1918">
            <v>17340</v>
          </cell>
          <cell r="K1918">
            <v>2</v>
          </cell>
          <cell r="L1918">
            <v>0</v>
          </cell>
          <cell r="M1918">
            <v>0</v>
          </cell>
          <cell r="N1918">
            <v>17340</v>
          </cell>
          <cell r="O1918">
            <v>0</v>
          </cell>
          <cell r="P1918">
            <v>0</v>
          </cell>
          <cell r="Q1918">
            <v>0</v>
          </cell>
          <cell r="R1918">
            <v>0</v>
          </cell>
          <cell r="S1918">
            <v>0</v>
          </cell>
          <cell r="T1918">
            <v>17340</v>
          </cell>
          <cell r="U1918">
            <v>0</v>
          </cell>
          <cell r="V1918">
            <v>0</v>
          </cell>
          <cell r="W1918">
            <v>0</v>
          </cell>
          <cell r="X1918" t="str">
            <v/>
          </cell>
          <cell r="Y1918" t="str">
            <v/>
          </cell>
          <cell r="Z1918" t="str">
            <v>⑥</v>
          </cell>
          <cell r="AA1918" t="str">
            <v/>
          </cell>
          <cell r="AB1918" t="str">
            <v/>
          </cell>
          <cell r="AC1918" t="str">
            <v/>
          </cell>
          <cell r="AD1918" t="str">
            <v/>
          </cell>
          <cell r="AE1918" t="str">
            <v/>
          </cell>
          <cell r="AF1918" t="str">
            <v>⑫</v>
          </cell>
          <cell r="AG1918" t="str">
            <v/>
          </cell>
          <cell r="AH1918" t="str">
            <v/>
          </cell>
          <cell r="AI1918" t="str">
            <v/>
          </cell>
        </row>
        <row r="1919">
          <cell r="B1919">
            <v>10913</v>
          </cell>
          <cell r="C1919">
            <v>109</v>
          </cell>
          <cell r="D1919">
            <v>13</v>
          </cell>
          <cell r="F1919" t="str">
            <v>北九州</v>
          </cell>
          <cell r="G1919" t="str">
            <v>Ｐ型防排煙制御(外観)</v>
          </cell>
          <cell r="H1919" t="str">
            <v>ホーチキ</v>
          </cell>
          <cell r="I1919">
            <v>101000</v>
          </cell>
          <cell r="J1919">
            <v>103020</v>
          </cell>
          <cell r="K1919">
            <v>1</v>
          </cell>
          <cell r="L1919">
            <v>0</v>
          </cell>
          <cell r="M1919">
            <v>0</v>
          </cell>
          <cell r="N1919">
            <v>103020</v>
          </cell>
          <cell r="O1919">
            <v>0</v>
          </cell>
          <cell r="P1919">
            <v>0</v>
          </cell>
          <cell r="Q1919">
            <v>0</v>
          </cell>
          <cell r="R1919">
            <v>0</v>
          </cell>
          <cell r="S1919">
            <v>0</v>
          </cell>
          <cell r="T1919">
            <v>0</v>
          </cell>
          <cell r="U1919">
            <v>0</v>
          </cell>
          <cell r="V1919">
            <v>0</v>
          </cell>
          <cell r="W1919">
            <v>0</v>
          </cell>
          <cell r="X1919" t="str">
            <v/>
          </cell>
          <cell r="Y1919" t="str">
            <v/>
          </cell>
          <cell r="Z1919" t="str">
            <v>⑥</v>
          </cell>
          <cell r="AA1919" t="str">
            <v/>
          </cell>
          <cell r="AB1919" t="str">
            <v/>
          </cell>
          <cell r="AC1919" t="str">
            <v/>
          </cell>
          <cell r="AD1919" t="str">
            <v/>
          </cell>
          <cell r="AE1919" t="str">
            <v/>
          </cell>
          <cell r="AF1919" t="str">
            <v/>
          </cell>
          <cell r="AG1919" t="str">
            <v/>
          </cell>
          <cell r="AH1919" t="str">
            <v/>
          </cell>
          <cell r="AI1919" t="str">
            <v/>
          </cell>
        </row>
        <row r="1920">
          <cell r="B1920">
            <v>10914</v>
          </cell>
          <cell r="C1920">
            <v>109</v>
          </cell>
          <cell r="D1920">
            <v>14</v>
          </cell>
          <cell r="F1920" t="str">
            <v>北九州</v>
          </cell>
          <cell r="G1920" t="str">
            <v>Ｐ型防排煙制御(総合)</v>
          </cell>
          <cell r="H1920" t="str">
            <v>ホーチキ</v>
          </cell>
          <cell r="I1920">
            <v>101000</v>
          </cell>
          <cell r="J1920">
            <v>103020</v>
          </cell>
          <cell r="K1920">
            <v>1</v>
          </cell>
          <cell r="L1920">
            <v>0</v>
          </cell>
          <cell r="M1920">
            <v>0</v>
          </cell>
          <cell r="N1920">
            <v>0</v>
          </cell>
          <cell r="O1920">
            <v>0</v>
          </cell>
          <cell r="P1920">
            <v>0</v>
          </cell>
          <cell r="Q1920">
            <v>0</v>
          </cell>
          <cell r="R1920">
            <v>0</v>
          </cell>
          <cell r="S1920">
            <v>0</v>
          </cell>
          <cell r="T1920">
            <v>103020</v>
          </cell>
          <cell r="U1920">
            <v>0</v>
          </cell>
          <cell r="V1920">
            <v>0</v>
          </cell>
          <cell r="W1920">
            <v>0</v>
          </cell>
          <cell r="X1920" t="str">
            <v/>
          </cell>
          <cell r="Y1920" t="str">
            <v/>
          </cell>
          <cell r="Z1920" t="str">
            <v/>
          </cell>
          <cell r="AA1920" t="str">
            <v/>
          </cell>
          <cell r="AB1920" t="str">
            <v/>
          </cell>
          <cell r="AC1920" t="str">
            <v/>
          </cell>
          <cell r="AD1920" t="str">
            <v/>
          </cell>
          <cell r="AE1920" t="str">
            <v/>
          </cell>
          <cell r="AF1920" t="str">
            <v>⑫</v>
          </cell>
          <cell r="AG1920" t="str">
            <v/>
          </cell>
          <cell r="AH1920" t="str">
            <v/>
          </cell>
          <cell r="AI1920" t="str">
            <v/>
          </cell>
        </row>
        <row r="1921">
          <cell r="B1921">
            <v>10915</v>
          </cell>
          <cell r="C1921">
            <v>109</v>
          </cell>
          <cell r="D1921">
            <v>15</v>
          </cell>
          <cell r="F1921" t="str">
            <v>北九州</v>
          </cell>
          <cell r="G1921" t="str">
            <v>Ｐ型自火報(外観)</v>
          </cell>
          <cell r="H1921" t="str">
            <v>ホーチキ</v>
          </cell>
          <cell r="I1921">
            <v>49100</v>
          </cell>
          <cell r="J1921">
            <v>50082</v>
          </cell>
          <cell r="K1921">
            <v>1</v>
          </cell>
          <cell r="L1921">
            <v>0</v>
          </cell>
          <cell r="M1921">
            <v>0</v>
          </cell>
          <cell r="N1921">
            <v>50082</v>
          </cell>
          <cell r="O1921">
            <v>0</v>
          </cell>
          <cell r="P1921">
            <v>0</v>
          </cell>
          <cell r="Q1921">
            <v>0</v>
          </cell>
          <cell r="R1921">
            <v>0</v>
          </cell>
          <cell r="S1921">
            <v>0</v>
          </cell>
          <cell r="T1921">
            <v>0</v>
          </cell>
          <cell r="U1921">
            <v>0</v>
          </cell>
          <cell r="V1921">
            <v>0</v>
          </cell>
          <cell r="W1921">
            <v>0</v>
          </cell>
          <cell r="X1921" t="str">
            <v/>
          </cell>
          <cell r="Y1921" t="str">
            <v/>
          </cell>
          <cell r="Z1921" t="str">
            <v>⑥</v>
          </cell>
          <cell r="AA1921" t="str">
            <v/>
          </cell>
          <cell r="AB1921" t="str">
            <v/>
          </cell>
          <cell r="AC1921" t="str">
            <v/>
          </cell>
          <cell r="AD1921" t="str">
            <v/>
          </cell>
          <cell r="AE1921" t="str">
            <v/>
          </cell>
          <cell r="AF1921" t="str">
            <v/>
          </cell>
          <cell r="AG1921" t="str">
            <v/>
          </cell>
          <cell r="AH1921" t="str">
            <v/>
          </cell>
          <cell r="AI1921" t="str">
            <v/>
          </cell>
        </row>
        <row r="1922">
          <cell r="B1922">
            <v>10916</v>
          </cell>
          <cell r="C1922">
            <v>109</v>
          </cell>
          <cell r="D1922">
            <v>16</v>
          </cell>
          <cell r="F1922" t="str">
            <v>北九州</v>
          </cell>
          <cell r="G1922" t="str">
            <v>Ｐ型自火報(総合)</v>
          </cell>
          <cell r="H1922" t="str">
            <v>ホーチキ</v>
          </cell>
          <cell r="I1922">
            <v>49100</v>
          </cell>
          <cell r="J1922">
            <v>50082</v>
          </cell>
          <cell r="K1922">
            <v>1</v>
          </cell>
          <cell r="L1922">
            <v>0</v>
          </cell>
          <cell r="M1922">
            <v>0</v>
          </cell>
          <cell r="N1922">
            <v>0</v>
          </cell>
          <cell r="O1922">
            <v>0</v>
          </cell>
          <cell r="P1922">
            <v>0</v>
          </cell>
          <cell r="Q1922">
            <v>0</v>
          </cell>
          <cell r="R1922">
            <v>0</v>
          </cell>
          <cell r="S1922">
            <v>0</v>
          </cell>
          <cell r="T1922">
            <v>50082</v>
          </cell>
          <cell r="U1922">
            <v>0</v>
          </cell>
          <cell r="V1922">
            <v>0</v>
          </cell>
          <cell r="W1922">
            <v>0</v>
          </cell>
          <cell r="X1922" t="str">
            <v/>
          </cell>
          <cell r="Y1922" t="str">
            <v/>
          </cell>
          <cell r="Z1922" t="str">
            <v/>
          </cell>
          <cell r="AA1922" t="str">
            <v/>
          </cell>
          <cell r="AB1922" t="str">
            <v/>
          </cell>
          <cell r="AC1922" t="str">
            <v/>
          </cell>
          <cell r="AD1922" t="str">
            <v/>
          </cell>
          <cell r="AE1922" t="str">
            <v/>
          </cell>
          <cell r="AF1922" t="str">
            <v>⑫</v>
          </cell>
          <cell r="AG1922" t="str">
            <v/>
          </cell>
          <cell r="AH1922" t="str">
            <v/>
          </cell>
          <cell r="AI1922" t="str">
            <v/>
          </cell>
        </row>
        <row r="1923">
          <cell r="B1923">
            <v>10917</v>
          </cell>
          <cell r="C1923">
            <v>109</v>
          </cell>
          <cell r="D1923">
            <v>17</v>
          </cell>
          <cell r="F1923" t="str">
            <v>北九州</v>
          </cell>
          <cell r="G1923" t="str">
            <v>害虫駆除(A)2F除く</v>
          </cell>
          <cell r="H1923" t="str">
            <v>協和サービス</v>
          </cell>
          <cell r="I1923">
            <v>88000</v>
          </cell>
          <cell r="J1923">
            <v>96800</v>
          </cell>
          <cell r="K1923">
            <v>2</v>
          </cell>
          <cell r="L1923">
            <v>0</v>
          </cell>
          <cell r="M1923">
            <v>96800</v>
          </cell>
          <cell r="N1923">
            <v>0</v>
          </cell>
          <cell r="O1923">
            <v>0</v>
          </cell>
          <cell r="P1923">
            <v>0</v>
          </cell>
          <cell r="Q1923">
            <v>0</v>
          </cell>
          <cell r="R1923">
            <v>0</v>
          </cell>
          <cell r="S1923">
            <v>96800</v>
          </cell>
          <cell r="T1923">
            <v>0</v>
          </cell>
          <cell r="U1923">
            <v>0</v>
          </cell>
          <cell r="V1923">
            <v>0</v>
          </cell>
          <cell r="W1923">
            <v>0</v>
          </cell>
          <cell r="X1923" t="str">
            <v/>
          </cell>
          <cell r="Y1923" t="str">
            <v>⑤</v>
          </cell>
          <cell r="Z1923" t="str">
            <v/>
          </cell>
          <cell r="AB1923" t="str">
            <v/>
          </cell>
          <cell r="AC1923" t="str">
            <v/>
          </cell>
          <cell r="AE1923" t="str">
            <v>⑪</v>
          </cell>
          <cell r="AF1923" t="str">
            <v/>
          </cell>
          <cell r="AH1923" t="str">
            <v/>
          </cell>
          <cell r="AI1923" t="str">
            <v/>
          </cell>
        </row>
        <row r="1924">
          <cell r="B1924">
            <v>10918</v>
          </cell>
          <cell r="C1924">
            <v>109</v>
          </cell>
          <cell r="D1924">
            <v>18</v>
          </cell>
          <cell r="F1924" t="str">
            <v>北九州</v>
          </cell>
          <cell r="G1924" t="str">
            <v>害虫駆除(B)2Fのみ</v>
          </cell>
          <cell r="H1924" t="str">
            <v>協和サービス</v>
          </cell>
          <cell r="I1924">
            <v>15000</v>
          </cell>
          <cell r="J1924">
            <v>16500</v>
          </cell>
          <cell r="K1924">
            <v>2</v>
          </cell>
          <cell r="L1924">
            <v>0</v>
          </cell>
          <cell r="M1924">
            <v>0</v>
          </cell>
          <cell r="N1924">
            <v>0</v>
          </cell>
          <cell r="O1924">
            <v>16500</v>
          </cell>
          <cell r="P1924">
            <v>0</v>
          </cell>
          <cell r="Q1924">
            <v>0</v>
          </cell>
          <cell r="R1924">
            <v>0</v>
          </cell>
          <cell r="S1924">
            <v>0</v>
          </cell>
          <cell r="T1924">
            <v>0</v>
          </cell>
          <cell r="U1924">
            <v>16500</v>
          </cell>
          <cell r="V1924">
            <v>0</v>
          </cell>
          <cell r="W1924">
            <v>0</v>
          </cell>
          <cell r="X1924" t="str">
            <v/>
          </cell>
          <cell r="Z1924" t="str">
            <v/>
          </cell>
          <cell r="AA1924" t="str">
            <v>⑦</v>
          </cell>
          <cell r="AB1924" t="str">
            <v/>
          </cell>
          <cell r="AC1924" t="str">
            <v/>
          </cell>
          <cell r="AE1924" t="str">
            <v/>
          </cell>
          <cell r="AF1924" t="str">
            <v/>
          </cell>
          <cell r="AG1924" t="str">
            <v>①</v>
          </cell>
          <cell r="AH1924" t="str">
            <v/>
          </cell>
          <cell r="AI1924" t="str">
            <v/>
          </cell>
        </row>
        <row r="1925">
          <cell r="B1925">
            <v>10919</v>
          </cell>
          <cell r="C1925">
            <v>109</v>
          </cell>
          <cell r="D1925">
            <v>19</v>
          </cell>
          <cell r="F1925" t="str">
            <v>北九州</v>
          </cell>
          <cell r="G1925" t="str">
            <v>貯水槽清掃</v>
          </cell>
          <cell r="H1925" t="str">
            <v>シンコー</v>
          </cell>
          <cell r="I1925">
            <v>88000</v>
          </cell>
          <cell r="J1925">
            <v>99440</v>
          </cell>
          <cell r="K1925">
            <v>1</v>
          </cell>
          <cell r="L1925">
            <v>0</v>
          </cell>
          <cell r="M1925">
            <v>0</v>
          </cell>
          <cell r="N1925">
            <v>0</v>
          </cell>
          <cell r="O1925">
            <v>0</v>
          </cell>
          <cell r="P1925">
            <v>0</v>
          </cell>
          <cell r="Q1925">
            <v>0</v>
          </cell>
          <cell r="R1925">
            <v>0</v>
          </cell>
          <cell r="S1925">
            <v>99440</v>
          </cell>
          <cell r="T1925">
            <v>0</v>
          </cell>
          <cell r="U1925">
            <v>0</v>
          </cell>
          <cell r="V1925">
            <v>0</v>
          </cell>
          <cell r="W1925">
            <v>0</v>
          </cell>
          <cell r="X1925" t="str">
            <v/>
          </cell>
          <cell r="Y1925" t="str">
            <v/>
          </cell>
          <cell r="Z1925" t="str">
            <v/>
          </cell>
          <cell r="AA1925" t="str">
            <v/>
          </cell>
          <cell r="AB1925" t="str">
            <v/>
          </cell>
          <cell r="AC1925" t="str">
            <v/>
          </cell>
          <cell r="AD1925" t="str">
            <v/>
          </cell>
          <cell r="AE1925" t="str">
            <v>⑪</v>
          </cell>
          <cell r="AF1925" t="str">
            <v/>
          </cell>
          <cell r="AG1925" t="str">
            <v/>
          </cell>
          <cell r="AH1925" t="str">
            <v/>
          </cell>
          <cell r="AI1925" t="str">
            <v/>
          </cell>
        </row>
        <row r="1926">
          <cell r="B1926">
            <v>10920</v>
          </cell>
          <cell r="C1926">
            <v>109</v>
          </cell>
          <cell r="D1926">
            <v>20</v>
          </cell>
          <cell r="F1926" t="str">
            <v>北九州</v>
          </cell>
          <cell r="G1926" t="str">
            <v>自動ドアー保守</v>
          </cell>
          <cell r="H1926" t="str">
            <v>田村産業</v>
          </cell>
          <cell r="I1926">
            <v>120000</v>
          </cell>
          <cell r="J1926">
            <v>122400</v>
          </cell>
          <cell r="K1926">
            <v>1</v>
          </cell>
          <cell r="L1926">
            <v>0</v>
          </cell>
          <cell r="M1926">
            <v>0</v>
          </cell>
          <cell r="N1926">
            <v>0</v>
          </cell>
          <cell r="O1926">
            <v>0</v>
          </cell>
          <cell r="P1926">
            <v>0</v>
          </cell>
          <cell r="Q1926">
            <v>0</v>
          </cell>
          <cell r="R1926">
            <v>0</v>
          </cell>
          <cell r="S1926">
            <v>0</v>
          </cell>
          <cell r="T1926">
            <v>0</v>
          </cell>
          <cell r="U1926">
            <v>0</v>
          </cell>
          <cell r="V1926">
            <v>0</v>
          </cell>
          <cell r="W1926">
            <v>122400</v>
          </cell>
          <cell r="X1926" t="str">
            <v/>
          </cell>
          <cell r="Y1926" t="str">
            <v/>
          </cell>
          <cell r="Z1926" t="str">
            <v/>
          </cell>
          <cell r="AA1926" t="str">
            <v/>
          </cell>
          <cell r="AB1926" t="str">
            <v/>
          </cell>
          <cell r="AC1926" t="str">
            <v/>
          </cell>
          <cell r="AD1926" t="str">
            <v/>
          </cell>
          <cell r="AE1926" t="str">
            <v/>
          </cell>
          <cell r="AF1926" t="str">
            <v/>
          </cell>
          <cell r="AG1926" t="str">
            <v/>
          </cell>
          <cell r="AH1926" t="str">
            <v/>
          </cell>
          <cell r="AI1926" t="str">
            <v>③</v>
          </cell>
        </row>
        <row r="1927">
          <cell r="B1927">
            <v>10921</v>
          </cell>
          <cell r="C1927">
            <v>109</v>
          </cell>
          <cell r="D1927">
            <v>21</v>
          </cell>
          <cell r="F1927" t="str">
            <v>北九州</v>
          </cell>
          <cell r="G1927" t="str">
            <v>空調機保守</v>
          </cell>
          <cell r="H1927" t="str">
            <v>新菱冷熱工業</v>
          </cell>
          <cell r="I1927">
            <v>293000</v>
          </cell>
          <cell r="J1927">
            <v>311700</v>
          </cell>
          <cell r="K1927">
            <v>2</v>
          </cell>
          <cell r="L1927">
            <v>0</v>
          </cell>
          <cell r="M1927">
            <v>0</v>
          </cell>
          <cell r="N1927">
            <v>0</v>
          </cell>
          <cell r="O1927">
            <v>0</v>
          </cell>
          <cell r="P1927">
            <v>311700</v>
          </cell>
          <cell r="Q1927">
            <v>0</v>
          </cell>
          <cell r="R1927">
            <v>0</v>
          </cell>
          <cell r="S1927">
            <v>0</v>
          </cell>
          <cell r="T1927">
            <v>0</v>
          </cell>
          <cell r="U1927">
            <v>0</v>
          </cell>
          <cell r="V1927">
            <v>311700</v>
          </cell>
          <cell r="W1927">
            <v>0</v>
          </cell>
          <cell r="X1927" t="str">
            <v/>
          </cell>
          <cell r="Y1927" t="str">
            <v/>
          </cell>
          <cell r="Z1927" t="str">
            <v/>
          </cell>
          <cell r="AA1927" t="str">
            <v/>
          </cell>
          <cell r="AB1927" t="str">
            <v>⑧</v>
          </cell>
          <cell r="AC1927" t="str">
            <v/>
          </cell>
          <cell r="AD1927" t="str">
            <v/>
          </cell>
          <cell r="AE1927" t="str">
            <v/>
          </cell>
          <cell r="AF1927" t="str">
            <v/>
          </cell>
          <cell r="AG1927" t="str">
            <v/>
          </cell>
          <cell r="AH1927" t="str">
            <v>②</v>
          </cell>
          <cell r="AI1927" t="str">
            <v/>
          </cell>
          <cell r="AJ1927" t="str">
            <v>変</v>
          </cell>
        </row>
        <row r="1928">
          <cell r="B1928">
            <v>10922</v>
          </cell>
          <cell r="C1928">
            <v>109</v>
          </cell>
          <cell r="D1928">
            <v>22</v>
          </cell>
          <cell r="F1928" t="str">
            <v>北九州</v>
          </cell>
          <cell r="G1928" t="str">
            <v>全熱交換機保守</v>
          </cell>
          <cell r="H1928" t="str">
            <v>新菱冷熱工業</v>
          </cell>
          <cell r="I1928">
            <v>77000</v>
          </cell>
          <cell r="J1928">
            <v>81300</v>
          </cell>
          <cell r="K1928">
            <v>2</v>
          </cell>
          <cell r="L1928">
            <v>0</v>
          </cell>
          <cell r="M1928">
            <v>0</v>
          </cell>
          <cell r="N1928">
            <v>0</v>
          </cell>
          <cell r="O1928">
            <v>0</v>
          </cell>
          <cell r="P1928">
            <v>81300</v>
          </cell>
          <cell r="Q1928">
            <v>0</v>
          </cell>
          <cell r="R1928">
            <v>0</v>
          </cell>
          <cell r="S1928">
            <v>0</v>
          </cell>
          <cell r="T1928">
            <v>0</v>
          </cell>
          <cell r="U1928">
            <v>0</v>
          </cell>
          <cell r="V1928">
            <v>81300</v>
          </cell>
          <cell r="W1928">
            <v>0</v>
          </cell>
          <cell r="X1928" t="str">
            <v/>
          </cell>
          <cell r="Y1928" t="str">
            <v/>
          </cell>
          <cell r="Z1928" t="str">
            <v/>
          </cell>
          <cell r="AA1928" t="str">
            <v/>
          </cell>
          <cell r="AB1928" t="str">
            <v>⑧</v>
          </cell>
          <cell r="AC1928" t="str">
            <v/>
          </cell>
          <cell r="AD1928" t="str">
            <v/>
          </cell>
          <cell r="AE1928" t="str">
            <v/>
          </cell>
          <cell r="AF1928" t="str">
            <v/>
          </cell>
          <cell r="AG1928" t="str">
            <v/>
          </cell>
          <cell r="AH1928" t="str">
            <v>②</v>
          </cell>
          <cell r="AI1928" t="str">
            <v/>
          </cell>
          <cell r="AJ1928" t="str">
            <v>変</v>
          </cell>
        </row>
        <row r="1929">
          <cell r="B1929">
            <v>10923</v>
          </cell>
          <cell r="C1929">
            <v>109</v>
          </cell>
          <cell r="D1929">
            <v>23</v>
          </cell>
          <cell r="F1929" t="str">
            <v>北九州</v>
          </cell>
          <cell r="G1929" t="str">
            <v>自動制御機器保守</v>
          </cell>
          <cell r="H1929" t="str">
            <v>新菱冷熱工業</v>
          </cell>
          <cell r="I1929">
            <v>110000</v>
          </cell>
          <cell r="J1929">
            <v>117000</v>
          </cell>
          <cell r="K1929">
            <v>2</v>
          </cell>
          <cell r="L1929">
            <v>0</v>
          </cell>
          <cell r="M1929">
            <v>0</v>
          </cell>
          <cell r="N1929">
            <v>0</v>
          </cell>
          <cell r="O1929">
            <v>0</v>
          </cell>
          <cell r="P1929">
            <v>117000</v>
          </cell>
          <cell r="Q1929">
            <v>0</v>
          </cell>
          <cell r="R1929">
            <v>0</v>
          </cell>
          <cell r="S1929">
            <v>0</v>
          </cell>
          <cell r="T1929">
            <v>0</v>
          </cell>
          <cell r="U1929">
            <v>0</v>
          </cell>
          <cell r="V1929">
            <v>117000</v>
          </cell>
          <cell r="W1929">
            <v>0</v>
          </cell>
          <cell r="X1929" t="str">
            <v/>
          </cell>
          <cell r="Y1929" t="str">
            <v/>
          </cell>
          <cell r="Z1929" t="str">
            <v/>
          </cell>
          <cell r="AA1929" t="str">
            <v/>
          </cell>
          <cell r="AB1929" t="str">
            <v>⑧</v>
          </cell>
          <cell r="AC1929" t="str">
            <v/>
          </cell>
          <cell r="AD1929" t="str">
            <v/>
          </cell>
          <cell r="AE1929" t="str">
            <v/>
          </cell>
          <cell r="AF1929" t="str">
            <v/>
          </cell>
          <cell r="AG1929" t="str">
            <v/>
          </cell>
          <cell r="AH1929" t="str">
            <v>②</v>
          </cell>
          <cell r="AI1929" t="str">
            <v/>
          </cell>
          <cell r="AJ1929" t="str">
            <v>変</v>
          </cell>
        </row>
        <row r="1930">
          <cell r="B1930">
            <v>10924</v>
          </cell>
          <cell r="C1930">
            <v>109</v>
          </cell>
          <cell r="D1930">
            <v>24</v>
          </cell>
          <cell r="F1930" t="str">
            <v>北九州</v>
          </cell>
          <cell r="G1930" t="str">
            <v>駐車場チェーンゲート保守</v>
          </cell>
          <cell r="H1930" t="str">
            <v>田村産業</v>
          </cell>
          <cell r="I1930">
            <v>30000</v>
          </cell>
          <cell r="J1930">
            <v>36300</v>
          </cell>
          <cell r="K1930">
            <v>4</v>
          </cell>
          <cell r="L1930">
            <v>36300</v>
          </cell>
          <cell r="M1930">
            <v>0</v>
          </cell>
          <cell r="N1930">
            <v>0</v>
          </cell>
          <cell r="O1930">
            <v>36300</v>
          </cell>
          <cell r="P1930">
            <v>0</v>
          </cell>
          <cell r="Q1930">
            <v>0</v>
          </cell>
          <cell r="R1930">
            <v>36300</v>
          </cell>
          <cell r="S1930">
            <v>0</v>
          </cell>
          <cell r="T1930">
            <v>0</v>
          </cell>
          <cell r="U1930">
            <v>36300</v>
          </cell>
          <cell r="V1930">
            <v>0</v>
          </cell>
          <cell r="W1930">
            <v>0</v>
          </cell>
          <cell r="X1930" t="str">
            <v>④</v>
          </cell>
          <cell r="Y1930" t="str">
            <v/>
          </cell>
          <cell r="Z1930" t="str">
            <v/>
          </cell>
          <cell r="AA1930" t="str">
            <v>⑦</v>
          </cell>
          <cell r="AB1930" t="str">
            <v/>
          </cell>
          <cell r="AC1930" t="str">
            <v/>
          </cell>
          <cell r="AD1930" t="str">
            <v>⑩</v>
          </cell>
          <cell r="AE1930" t="str">
            <v/>
          </cell>
          <cell r="AF1930" t="str">
            <v/>
          </cell>
          <cell r="AG1930" t="str">
            <v>①</v>
          </cell>
          <cell r="AH1930" t="str">
            <v/>
          </cell>
          <cell r="AI1930" t="str">
            <v/>
          </cell>
        </row>
        <row r="1931">
          <cell r="B1931">
            <v>10925</v>
          </cell>
          <cell r="C1931">
            <v>109</v>
          </cell>
          <cell r="D1931">
            <v>25</v>
          </cell>
          <cell r="F1931" t="str">
            <v>北九州</v>
          </cell>
          <cell r="G1931" t="str">
            <v>ﾛｰﾙﾌｨﾙﾀｰ交換</v>
          </cell>
          <cell r="H1931" t="str">
            <v>大塚商会</v>
          </cell>
          <cell r="I1931">
            <v>45000</v>
          </cell>
          <cell r="J1931">
            <v>51750</v>
          </cell>
          <cell r="K1931">
            <v>1</v>
          </cell>
          <cell r="L1931">
            <v>0</v>
          </cell>
          <cell r="M1931">
            <v>0</v>
          </cell>
          <cell r="N1931">
            <v>51750</v>
          </cell>
          <cell r="O1931">
            <v>0</v>
          </cell>
          <cell r="P1931">
            <v>0</v>
          </cell>
          <cell r="Q1931">
            <v>0</v>
          </cell>
          <cell r="R1931">
            <v>0</v>
          </cell>
          <cell r="S1931">
            <v>0</v>
          </cell>
          <cell r="T1931">
            <v>0</v>
          </cell>
          <cell r="U1931">
            <v>0</v>
          </cell>
          <cell r="V1931">
            <v>0</v>
          </cell>
          <cell r="W1931">
            <v>0</v>
          </cell>
          <cell r="X1931" t="str">
            <v/>
          </cell>
          <cell r="Y1931" t="str">
            <v/>
          </cell>
          <cell r="Z1931" t="str">
            <v>⑥</v>
          </cell>
          <cell r="AA1931" t="str">
            <v/>
          </cell>
          <cell r="AB1931" t="str">
            <v/>
          </cell>
          <cell r="AC1931" t="str">
            <v/>
          </cell>
          <cell r="AD1931" t="str">
            <v/>
          </cell>
          <cell r="AE1931" t="str">
            <v/>
          </cell>
          <cell r="AF1931" t="str">
            <v/>
          </cell>
          <cell r="AG1931" t="str">
            <v/>
          </cell>
          <cell r="AH1931" t="str">
            <v/>
          </cell>
          <cell r="AI1931" t="str">
            <v/>
          </cell>
          <cell r="AJ1931" t="str">
            <v>追</v>
          </cell>
        </row>
        <row r="1932">
          <cell r="B1932">
            <v>10926</v>
          </cell>
          <cell r="C1932">
            <v>109</v>
          </cell>
          <cell r="D1932">
            <v>26</v>
          </cell>
          <cell r="F1932" t="str">
            <v>北九州</v>
          </cell>
          <cell r="G1932" t="str">
            <v>植栽管理</v>
          </cell>
          <cell r="H1932" t="str">
            <v>西日本緑化</v>
          </cell>
          <cell r="I1932">
            <v>25000</v>
          </cell>
          <cell r="J1932">
            <v>28750</v>
          </cell>
          <cell r="K1932">
            <v>4</v>
          </cell>
          <cell r="L1932">
            <v>28750</v>
          </cell>
          <cell r="M1932">
            <v>0</v>
          </cell>
          <cell r="N1932">
            <v>0</v>
          </cell>
          <cell r="O1932">
            <v>28750</v>
          </cell>
          <cell r="P1932">
            <v>0</v>
          </cell>
          <cell r="Q1932">
            <v>0</v>
          </cell>
          <cell r="R1932">
            <v>28750</v>
          </cell>
          <cell r="S1932">
            <v>0</v>
          </cell>
          <cell r="T1932">
            <v>0</v>
          </cell>
          <cell r="U1932">
            <v>28750</v>
          </cell>
          <cell r="V1932">
            <v>0</v>
          </cell>
          <cell r="W1932">
            <v>0</v>
          </cell>
          <cell r="X1932" t="str">
            <v>④</v>
          </cell>
          <cell r="Y1932" t="str">
            <v/>
          </cell>
          <cell r="Z1932" t="str">
            <v/>
          </cell>
          <cell r="AA1932" t="str">
            <v>⑦</v>
          </cell>
          <cell r="AB1932" t="str">
            <v/>
          </cell>
          <cell r="AC1932" t="str">
            <v/>
          </cell>
          <cell r="AD1932" t="str">
            <v>⑩</v>
          </cell>
          <cell r="AE1932" t="str">
            <v/>
          </cell>
          <cell r="AF1932" t="str">
            <v/>
          </cell>
          <cell r="AG1932" t="str">
            <v>①</v>
          </cell>
          <cell r="AH1932" t="str">
            <v/>
          </cell>
          <cell r="AI1932" t="str">
            <v/>
          </cell>
          <cell r="AJ1932" t="str">
            <v>追</v>
          </cell>
        </row>
        <row r="1933">
          <cell r="B1933">
            <v>10927</v>
          </cell>
          <cell r="C1933">
            <v>109</v>
          </cell>
          <cell r="D1933">
            <v>27</v>
          </cell>
          <cell r="F1933" t="str">
            <v>北九州</v>
          </cell>
          <cell r="G1933" t="str">
            <v>ﾌｨﾙﾀｰ清掃</v>
          </cell>
          <cell r="H1933" t="str">
            <v>シンコー</v>
          </cell>
          <cell r="I1933">
            <v>64000</v>
          </cell>
          <cell r="J1933">
            <v>73600</v>
          </cell>
          <cell r="K1933">
            <v>4</v>
          </cell>
          <cell r="L1933">
            <v>73600</v>
          </cell>
          <cell r="M1933">
            <v>0</v>
          </cell>
          <cell r="N1933">
            <v>0</v>
          </cell>
          <cell r="O1933">
            <v>73600</v>
          </cell>
          <cell r="P1933">
            <v>0</v>
          </cell>
          <cell r="Q1933">
            <v>0</v>
          </cell>
          <cell r="R1933">
            <v>73600</v>
          </cell>
          <cell r="S1933">
            <v>0</v>
          </cell>
          <cell r="T1933">
            <v>0</v>
          </cell>
          <cell r="U1933">
            <v>73600</v>
          </cell>
          <cell r="V1933">
            <v>0</v>
          </cell>
          <cell r="W1933">
            <v>0</v>
          </cell>
          <cell r="X1933" t="str">
            <v>④</v>
          </cell>
          <cell r="Y1933" t="str">
            <v/>
          </cell>
          <cell r="Z1933" t="str">
            <v/>
          </cell>
          <cell r="AA1933" t="str">
            <v>⑦</v>
          </cell>
          <cell r="AB1933" t="str">
            <v/>
          </cell>
          <cell r="AC1933" t="str">
            <v/>
          </cell>
          <cell r="AD1933" t="str">
            <v>⑩</v>
          </cell>
          <cell r="AE1933" t="str">
            <v/>
          </cell>
          <cell r="AF1933" t="str">
            <v/>
          </cell>
          <cell r="AG1933" t="str">
            <v>①</v>
          </cell>
          <cell r="AH1933" t="str">
            <v/>
          </cell>
          <cell r="AI1933" t="str">
            <v/>
          </cell>
          <cell r="AJ1933" t="str">
            <v>追</v>
          </cell>
        </row>
        <row r="1934">
          <cell r="B1934">
            <v>10928</v>
          </cell>
          <cell r="C1934">
            <v>109</v>
          </cell>
          <cell r="D1934">
            <v>28</v>
          </cell>
          <cell r="F1934" t="str">
            <v>北九州</v>
          </cell>
          <cell r="G1934" t="str">
            <v>シャッター設備点検整備</v>
          </cell>
          <cell r="H1934" t="str">
            <v>文化シャッターサービス</v>
          </cell>
          <cell r="I1934">
            <v>99000</v>
          </cell>
          <cell r="J1934">
            <v>113850</v>
          </cell>
          <cell r="K1934">
            <v>1</v>
          </cell>
          <cell r="L1934">
            <v>0</v>
          </cell>
          <cell r="M1934">
            <v>0</v>
          </cell>
          <cell r="N1934">
            <v>0</v>
          </cell>
          <cell r="O1934">
            <v>0</v>
          </cell>
          <cell r="P1934">
            <v>113850</v>
          </cell>
          <cell r="Q1934">
            <v>0</v>
          </cell>
          <cell r="R1934">
            <v>0</v>
          </cell>
          <cell r="S1934">
            <v>0</v>
          </cell>
          <cell r="T1934">
            <v>0</v>
          </cell>
          <cell r="U1934">
            <v>0</v>
          </cell>
          <cell r="V1934">
            <v>0</v>
          </cell>
          <cell r="W1934">
            <v>0</v>
          </cell>
          <cell r="X1934" t="str">
            <v/>
          </cell>
          <cell r="Y1934" t="str">
            <v/>
          </cell>
          <cell r="Z1934" t="str">
            <v/>
          </cell>
          <cell r="AA1934" t="str">
            <v/>
          </cell>
          <cell r="AB1934" t="str">
            <v>⑧</v>
          </cell>
          <cell r="AC1934" t="str">
            <v/>
          </cell>
          <cell r="AD1934" t="str">
            <v/>
          </cell>
          <cell r="AE1934" t="str">
            <v/>
          </cell>
          <cell r="AF1934" t="str">
            <v/>
          </cell>
          <cell r="AG1934" t="str">
            <v/>
          </cell>
          <cell r="AH1934" t="str">
            <v/>
          </cell>
          <cell r="AI1934" t="str">
            <v/>
          </cell>
          <cell r="AJ1934" t="str">
            <v>追</v>
          </cell>
        </row>
        <row r="1935">
          <cell r="B1935">
            <v>11001</v>
          </cell>
          <cell r="C1935">
            <v>110</v>
          </cell>
          <cell r="D1935">
            <v>1</v>
          </cell>
          <cell r="F1935" t="str">
            <v>佐世保</v>
          </cell>
          <cell r="G1935" t="str">
            <v>立体駐車場設備保守</v>
          </cell>
          <cell r="H1935" t="str">
            <v>三菱重工ﾊﾟｰｷﾝｸﾞ建設</v>
          </cell>
          <cell r="I1935">
            <v>88000</v>
          </cell>
          <cell r="J1935">
            <v>89760</v>
          </cell>
          <cell r="K1935">
            <v>12</v>
          </cell>
          <cell r="L1935">
            <v>89760</v>
          </cell>
          <cell r="M1935">
            <v>89760</v>
          </cell>
          <cell r="N1935">
            <v>89760</v>
          </cell>
          <cell r="O1935">
            <v>89760</v>
          </cell>
          <cell r="P1935">
            <v>89760</v>
          </cell>
          <cell r="Q1935">
            <v>89760</v>
          </cell>
          <cell r="R1935">
            <v>89760</v>
          </cell>
          <cell r="S1935">
            <v>89760</v>
          </cell>
          <cell r="T1935">
            <v>89760</v>
          </cell>
          <cell r="U1935">
            <v>89760</v>
          </cell>
          <cell r="V1935">
            <v>89760</v>
          </cell>
          <cell r="W1935">
            <v>89760</v>
          </cell>
          <cell r="X1935" t="str">
            <v>④</v>
          </cell>
          <cell r="Y1935" t="str">
            <v>⑤</v>
          </cell>
          <cell r="Z1935" t="str">
            <v>⑥</v>
          </cell>
          <cell r="AA1935" t="str">
            <v>⑦</v>
          </cell>
          <cell r="AB1935" t="str">
            <v>⑧</v>
          </cell>
          <cell r="AC1935" t="str">
            <v>⑨</v>
          </cell>
          <cell r="AD1935" t="str">
            <v>⑩</v>
          </cell>
          <cell r="AE1935" t="str">
            <v>⑪</v>
          </cell>
          <cell r="AF1935" t="str">
            <v>⑫</v>
          </cell>
          <cell r="AG1935" t="str">
            <v>①</v>
          </cell>
          <cell r="AH1935" t="str">
            <v>②</v>
          </cell>
          <cell r="AI1935" t="str">
            <v>③</v>
          </cell>
        </row>
        <row r="1936">
          <cell r="B1936">
            <v>11002</v>
          </cell>
          <cell r="C1936">
            <v>110</v>
          </cell>
          <cell r="D1936">
            <v>2</v>
          </cell>
          <cell r="F1936" t="str">
            <v>佐世保</v>
          </cell>
          <cell r="G1936" t="str">
            <v>エレベーター保守</v>
          </cell>
          <cell r="H1936" t="str">
            <v>三菱電機ﾋﾞﾙﾃｸﾉｻｰﾋﾞｽ</v>
          </cell>
          <cell r="I1936">
            <v>63100</v>
          </cell>
          <cell r="J1936">
            <v>64362</v>
          </cell>
          <cell r="K1936">
            <v>12</v>
          </cell>
          <cell r="L1936">
            <v>64362</v>
          </cell>
          <cell r="M1936">
            <v>64362</v>
          </cell>
          <cell r="N1936">
            <v>64362</v>
          </cell>
          <cell r="O1936">
            <v>64362</v>
          </cell>
          <cell r="P1936">
            <v>64362</v>
          </cell>
          <cell r="Q1936">
            <v>64362</v>
          </cell>
          <cell r="R1936">
            <v>64362</v>
          </cell>
          <cell r="S1936">
            <v>64362</v>
          </cell>
          <cell r="T1936">
            <v>64362</v>
          </cell>
          <cell r="U1936">
            <v>64362</v>
          </cell>
          <cell r="V1936">
            <v>64362</v>
          </cell>
          <cell r="W1936">
            <v>64362</v>
          </cell>
          <cell r="X1936" t="str">
            <v>④</v>
          </cell>
          <cell r="Y1936" t="str">
            <v>⑤</v>
          </cell>
          <cell r="Z1936" t="str">
            <v>⑥</v>
          </cell>
          <cell r="AA1936" t="str">
            <v>⑦</v>
          </cell>
          <cell r="AB1936" t="str">
            <v>⑧</v>
          </cell>
          <cell r="AC1936" t="str">
            <v>⑨</v>
          </cell>
          <cell r="AD1936" t="str">
            <v>⑩</v>
          </cell>
          <cell r="AE1936" t="str">
            <v>⑪</v>
          </cell>
          <cell r="AF1936" t="str">
            <v>⑫</v>
          </cell>
          <cell r="AG1936" t="str">
            <v>①</v>
          </cell>
          <cell r="AH1936" t="str">
            <v>②</v>
          </cell>
          <cell r="AI1936" t="str">
            <v>③</v>
          </cell>
        </row>
        <row r="1937">
          <cell r="B1937">
            <v>11003</v>
          </cell>
          <cell r="C1937">
            <v>110</v>
          </cell>
          <cell r="D1937">
            <v>3</v>
          </cell>
          <cell r="F1937" t="str">
            <v>佐世保</v>
          </cell>
          <cell r="G1937" t="str">
            <v>シャッター設備点検整備</v>
          </cell>
          <cell r="H1937" t="str">
            <v>文化シャッター</v>
          </cell>
          <cell r="I1937">
            <v>40000</v>
          </cell>
          <cell r="J1937">
            <v>46000</v>
          </cell>
          <cell r="K1937">
            <v>1</v>
          </cell>
          <cell r="L1937">
            <v>0</v>
          </cell>
          <cell r="M1937">
            <v>0</v>
          </cell>
          <cell r="N1937">
            <v>0</v>
          </cell>
          <cell r="O1937">
            <v>0</v>
          </cell>
          <cell r="P1937">
            <v>0</v>
          </cell>
          <cell r="Q1937">
            <v>0</v>
          </cell>
          <cell r="R1937">
            <v>46000</v>
          </cell>
          <cell r="S1937">
            <v>0</v>
          </cell>
          <cell r="T1937">
            <v>0</v>
          </cell>
          <cell r="U1937">
            <v>0</v>
          </cell>
          <cell r="V1937">
            <v>0</v>
          </cell>
          <cell r="W1937">
            <v>0</v>
          </cell>
          <cell r="X1937" t="str">
            <v/>
          </cell>
          <cell r="Y1937" t="str">
            <v/>
          </cell>
          <cell r="Z1937" t="str">
            <v/>
          </cell>
          <cell r="AA1937" t="str">
            <v/>
          </cell>
          <cell r="AB1937" t="str">
            <v/>
          </cell>
          <cell r="AC1937" t="str">
            <v/>
          </cell>
          <cell r="AD1937" t="str">
            <v>⑩</v>
          </cell>
          <cell r="AE1937" t="str">
            <v/>
          </cell>
          <cell r="AF1937" t="str">
            <v/>
          </cell>
          <cell r="AG1937" t="str">
            <v/>
          </cell>
          <cell r="AH1937" t="str">
            <v/>
          </cell>
          <cell r="AI1937" t="str">
            <v/>
          </cell>
          <cell r="AJ1937" t="str">
            <v>追</v>
          </cell>
        </row>
        <row r="1938">
          <cell r="B1938">
            <v>11004</v>
          </cell>
          <cell r="C1938">
            <v>110</v>
          </cell>
          <cell r="D1938">
            <v>4</v>
          </cell>
          <cell r="F1938" t="str">
            <v>佐世保</v>
          </cell>
          <cell r="G1938" t="str">
            <v>電気湯沸器点検整備</v>
          </cell>
          <cell r="H1938" t="str">
            <v>三洋ビルメンテナンス</v>
          </cell>
          <cell r="I1938">
            <v>40000</v>
          </cell>
          <cell r="J1938">
            <v>46000</v>
          </cell>
          <cell r="K1938">
            <v>1</v>
          </cell>
          <cell r="L1938">
            <v>0</v>
          </cell>
          <cell r="M1938">
            <v>0</v>
          </cell>
          <cell r="N1938">
            <v>0</v>
          </cell>
          <cell r="O1938">
            <v>0</v>
          </cell>
          <cell r="P1938">
            <v>0</v>
          </cell>
          <cell r="Q1938">
            <v>0</v>
          </cell>
          <cell r="R1938">
            <v>0</v>
          </cell>
          <cell r="S1938">
            <v>46000</v>
          </cell>
          <cell r="T1938">
            <v>0</v>
          </cell>
          <cell r="U1938">
            <v>0</v>
          </cell>
          <cell r="V1938">
            <v>0</v>
          </cell>
          <cell r="W1938">
            <v>0</v>
          </cell>
          <cell r="X1938" t="str">
            <v/>
          </cell>
          <cell r="Y1938" t="str">
            <v/>
          </cell>
          <cell r="Z1938" t="str">
            <v/>
          </cell>
          <cell r="AA1938" t="str">
            <v/>
          </cell>
          <cell r="AB1938" t="str">
            <v/>
          </cell>
          <cell r="AC1938" t="str">
            <v/>
          </cell>
          <cell r="AD1938" t="str">
            <v/>
          </cell>
          <cell r="AE1938" t="str">
            <v>⑪</v>
          </cell>
          <cell r="AF1938" t="str">
            <v/>
          </cell>
          <cell r="AG1938" t="str">
            <v/>
          </cell>
          <cell r="AH1938" t="str">
            <v/>
          </cell>
          <cell r="AI1938" t="str">
            <v/>
          </cell>
          <cell r="AJ1938" t="str">
            <v>追</v>
          </cell>
        </row>
        <row r="1939">
          <cell r="B1939">
            <v>11101</v>
          </cell>
          <cell r="C1939">
            <v>111</v>
          </cell>
          <cell r="D1939">
            <v>1</v>
          </cell>
          <cell r="F1939" t="str">
            <v>長崎</v>
          </cell>
          <cell r="G1939" t="str">
            <v>立体駐車場装置保守</v>
          </cell>
          <cell r="H1939" t="str">
            <v>三菱重工ﾊﾟｰｷﾝｸﾞ建設</v>
          </cell>
          <cell r="I1939">
            <v>109000</v>
          </cell>
          <cell r="J1939">
            <v>111180</v>
          </cell>
          <cell r="K1939">
            <v>12</v>
          </cell>
          <cell r="L1939">
            <v>111180</v>
          </cell>
          <cell r="M1939">
            <v>111180</v>
          </cell>
          <cell r="N1939">
            <v>111180</v>
          </cell>
          <cell r="O1939">
            <v>111180</v>
          </cell>
          <cell r="P1939">
            <v>111180</v>
          </cell>
          <cell r="Q1939">
            <v>111180</v>
          </cell>
          <cell r="R1939">
            <v>111180</v>
          </cell>
          <cell r="S1939">
            <v>111180</v>
          </cell>
          <cell r="T1939">
            <v>111180</v>
          </cell>
          <cell r="U1939">
            <v>111180</v>
          </cell>
          <cell r="V1939">
            <v>111180</v>
          </cell>
          <cell r="W1939">
            <v>111180</v>
          </cell>
          <cell r="X1939" t="str">
            <v>④</v>
          </cell>
          <cell r="Y1939" t="str">
            <v>⑤</v>
          </cell>
          <cell r="Z1939" t="str">
            <v>⑥</v>
          </cell>
          <cell r="AA1939" t="str">
            <v>⑦</v>
          </cell>
          <cell r="AB1939" t="str">
            <v>⑧</v>
          </cell>
          <cell r="AC1939" t="str">
            <v>⑨</v>
          </cell>
          <cell r="AD1939" t="str">
            <v>⑩</v>
          </cell>
          <cell r="AE1939" t="str">
            <v>⑪</v>
          </cell>
          <cell r="AF1939" t="str">
            <v>⑫</v>
          </cell>
          <cell r="AG1939" t="str">
            <v>①</v>
          </cell>
          <cell r="AH1939" t="str">
            <v>②</v>
          </cell>
          <cell r="AI1939" t="str">
            <v>③</v>
          </cell>
        </row>
        <row r="1940">
          <cell r="B1940">
            <v>11102</v>
          </cell>
          <cell r="C1940">
            <v>111</v>
          </cell>
          <cell r="D1940">
            <v>2</v>
          </cell>
          <cell r="F1940" t="str">
            <v>長崎</v>
          </cell>
          <cell r="G1940" t="str">
            <v>エレベーター保守</v>
          </cell>
          <cell r="H1940" t="str">
            <v>三菱電機ﾋﾞﾙﾃｸﾉｻｰﾋﾞｽ</v>
          </cell>
          <cell r="I1940">
            <v>72800</v>
          </cell>
          <cell r="J1940">
            <v>74256</v>
          </cell>
          <cell r="K1940">
            <v>12</v>
          </cell>
          <cell r="L1940">
            <v>74256</v>
          </cell>
          <cell r="M1940">
            <v>74256</v>
          </cell>
          <cell r="N1940">
            <v>74256</v>
          </cell>
          <cell r="O1940">
            <v>74256</v>
          </cell>
          <cell r="P1940">
            <v>74256</v>
          </cell>
          <cell r="Q1940">
            <v>74256</v>
          </cell>
          <cell r="R1940">
            <v>74256</v>
          </cell>
          <cell r="S1940">
            <v>74256</v>
          </cell>
          <cell r="T1940">
            <v>74256</v>
          </cell>
          <cell r="U1940">
            <v>74256</v>
          </cell>
          <cell r="V1940">
            <v>74256</v>
          </cell>
          <cell r="W1940">
            <v>74256</v>
          </cell>
          <cell r="X1940" t="str">
            <v>④</v>
          </cell>
          <cell r="Y1940" t="str">
            <v>⑤</v>
          </cell>
          <cell r="Z1940" t="str">
            <v>⑥</v>
          </cell>
          <cell r="AA1940" t="str">
            <v>⑦</v>
          </cell>
          <cell r="AB1940" t="str">
            <v>⑧</v>
          </cell>
          <cell r="AC1940" t="str">
            <v>⑨</v>
          </cell>
          <cell r="AD1940" t="str">
            <v>⑩</v>
          </cell>
          <cell r="AE1940" t="str">
            <v>⑪</v>
          </cell>
          <cell r="AF1940" t="str">
            <v>⑫</v>
          </cell>
          <cell r="AG1940" t="str">
            <v>①</v>
          </cell>
          <cell r="AH1940" t="str">
            <v>②</v>
          </cell>
          <cell r="AI1940" t="str">
            <v>③</v>
          </cell>
        </row>
        <row r="1941">
          <cell r="B1941">
            <v>11103</v>
          </cell>
          <cell r="C1941">
            <v>111</v>
          </cell>
          <cell r="D1941">
            <v>3</v>
          </cell>
          <cell r="F1941" t="str">
            <v>長崎</v>
          </cell>
          <cell r="G1941" t="str">
            <v>消火器(外観)</v>
          </cell>
          <cell r="H1941" t="str">
            <v>ホーチキ</v>
          </cell>
          <cell r="I1941">
            <v>19500</v>
          </cell>
          <cell r="J1941">
            <v>19890</v>
          </cell>
          <cell r="K1941">
            <v>2</v>
          </cell>
          <cell r="L1941">
            <v>0</v>
          </cell>
          <cell r="M1941">
            <v>19890</v>
          </cell>
          <cell r="N1941">
            <v>0</v>
          </cell>
          <cell r="O1941">
            <v>0</v>
          </cell>
          <cell r="P1941">
            <v>0</v>
          </cell>
          <cell r="Q1941">
            <v>0</v>
          </cell>
          <cell r="R1941">
            <v>0</v>
          </cell>
          <cell r="S1941">
            <v>19890</v>
          </cell>
          <cell r="T1941">
            <v>0</v>
          </cell>
          <cell r="U1941">
            <v>0</v>
          </cell>
          <cell r="V1941">
            <v>0</v>
          </cell>
          <cell r="W1941">
            <v>0</v>
          </cell>
          <cell r="X1941" t="str">
            <v/>
          </cell>
          <cell r="Y1941" t="str">
            <v>⑤</v>
          </cell>
          <cell r="Z1941" t="str">
            <v/>
          </cell>
          <cell r="AA1941" t="str">
            <v/>
          </cell>
          <cell r="AB1941" t="str">
            <v/>
          </cell>
          <cell r="AC1941" t="str">
            <v/>
          </cell>
          <cell r="AD1941" t="str">
            <v/>
          </cell>
          <cell r="AE1941" t="str">
            <v>⑪</v>
          </cell>
          <cell r="AF1941" t="str">
            <v/>
          </cell>
          <cell r="AG1941" t="str">
            <v/>
          </cell>
          <cell r="AH1941" t="str">
            <v/>
          </cell>
          <cell r="AI1941" t="str">
            <v/>
          </cell>
        </row>
        <row r="1942">
          <cell r="B1942">
            <v>11104</v>
          </cell>
          <cell r="C1942">
            <v>111</v>
          </cell>
          <cell r="D1942">
            <v>4</v>
          </cell>
          <cell r="F1942" t="str">
            <v>長崎</v>
          </cell>
          <cell r="G1942" t="str">
            <v>屋内消火栓(外観)</v>
          </cell>
          <cell r="H1942" t="str">
            <v>ホーチキ</v>
          </cell>
          <cell r="I1942">
            <v>47000</v>
          </cell>
          <cell r="J1942">
            <v>47940</v>
          </cell>
          <cell r="K1942">
            <v>1</v>
          </cell>
          <cell r="L1942">
            <v>0</v>
          </cell>
          <cell r="M1942">
            <v>47940</v>
          </cell>
          <cell r="N1942">
            <v>0</v>
          </cell>
          <cell r="O1942">
            <v>0</v>
          </cell>
          <cell r="P1942">
            <v>0</v>
          </cell>
          <cell r="Q1942">
            <v>0</v>
          </cell>
          <cell r="R1942">
            <v>0</v>
          </cell>
          <cell r="S1942">
            <v>0</v>
          </cell>
          <cell r="T1942">
            <v>0</v>
          </cell>
          <cell r="U1942">
            <v>0</v>
          </cell>
          <cell r="V1942">
            <v>0</v>
          </cell>
          <cell r="W1942">
            <v>0</v>
          </cell>
          <cell r="X1942" t="str">
            <v/>
          </cell>
          <cell r="Y1942" t="str">
            <v>⑤</v>
          </cell>
          <cell r="Z1942" t="str">
            <v/>
          </cell>
          <cell r="AA1942" t="str">
            <v/>
          </cell>
          <cell r="AB1942" t="str">
            <v/>
          </cell>
          <cell r="AC1942" t="str">
            <v/>
          </cell>
          <cell r="AD1942" t="str">
            <v/>
          </cell>
          <cell r="AE1942" t="str">
            <v/>
          </cell>
          <cell r="AF1942" t="str">
            <v/>
          </cell>
          <cell r="AG1942" t="str">
            <v/>
          </cell>
          <cell r="AH1942" t="str">
            <v/>
          </cell>
          <cell r="AI1942" t="str">
            <v/>
          </cell>
        </row>
        <row r="1943">
          <cell r="B1943">
            <v>11105</v>
          </cell>
          <cell r="C1943">
            <v>111</v>
          </cell>
          <cell r="D1943">
            <v>5</v>
          </cell>
          <cell r="F1943" t="str">
            <v>長崎</v>
          </cell>
          <cell r="G1943" t="str">
            <v>屋内消火栓(総合)</v>
          </cell>
          <cell r="H1943" t="str">
            <v>ホーチキ</v>
          </cell>
          <cell r="I1943">
            <v>67000</v>
          </cell>
          <cell r="J1943">
            <v>68340</v>
          </cell>
          <cell r="K1943">
            <v>1</v>
          </cell>
          <cell r="L1943">
            <v>0</v>
          </cell>
          <cell r="M1943">
            <v>0</v>
          </cell>
          <cell r="N1943">
            <v>0</v>
          </cell>
          <cell r="O1943">
            <v>0</v>
          </cell>
          <cell r="P1943">
            <v>0</v>
          </cell>
          <cell r="Q1943">
            <v>0</v>
          </cell>
          <cell r="R1943">
            <v>0</v>
          </cell>
          <cell r="S1943">
            <v>68340</v>
          </cell>
          <cell r="T1943">
            <v>0</v>
          </cell>
          <cell r="U1943">
            <v>0</v>
          </cell>
          <cell r="V1943">
            <v>0</v>
          </cell>
          <cell r="W1943">
            <v>0</v>
          </cell>
          <cell r="X1943" t="str">
            <v/>
          </cell>
          <cell r="Y1943" t="str">
            <v/>
          </cell>
          <cell r="Z1943" t="str">
            <v/>
          </cell>
          <cell r="AA1943" t="str">
            <v/>
          </cell>
          <cell r="AB1943" t="str">
            <v/>
          </cell>
          <cell r="AC1943" t="str">
            <v/>
          </cell>
          <cell r="AD1943" t="str">
            <v/>
          </cell>
          <cell r="AE1943" t="str">
            <v>⑪</v>
          </cell>
          <cell r="AF1943" t="str">
            <v/>
          </cell>
          <cell r="AG1943" t="str">
            <v/>
          </cell>
          <cell r="AH1943" t="str">
            <v/>
          </cell>
          <cell r="AI1943" t="str">
            <v/>
          </cell>
        </row>
        <row r="1944">
          <cell r="B1944">
            <v>11106</v>
          </cell>
          <cell r="C1944">
            <v>111</v>
          </cell>
          <cell r="D1944">
            <v>6</v>
          </cell>
          <cell r="F1944" t="str">
            <v>長崎</v>
          </cell>
          <cell r="G1944" t="str">
            <v>ハロゲン消火(外観)</v>
          </cell>
          <cell r="H1944" t="str">
            <v>ホーチキ</v>
          </cell>
          <cell r="I1944">
            <v>47000</v>
          </cell>
          <cell r="J1944">
            <v>47940</v>
          </cell>
          <cell r="K1944">
            <v>1</v>
          </cell>
          <cell r="L1944">
            <v>0</v>
          </cell>
          <cell r="M1944">
            <v>47940</v>
          </cell>
          <cell r="N1944">
            <v>0</v>
          </cell>
          <cell r="O1944">
            <v>0</v>
          </cell>
          <cell r="P1944">
            <v>0</v>
          </cell>
          <cell r="Q1944">
            <v>0</v>
          </cell>
          <cell r="R1944">
            <v>0</v>
          </cell>
          <cell r="S1944">
            <v>0</v>
          </cell>
          <cell r="T1944">
            <v>0</v>
          </cell>
          <cell r="U1944">
            <v>0</v>
          </cell>
          <cell r="V1944">
            <v>0</v>
          </cell>
          <cell r="W1944">
            <v>0</v>
          </cell>
          <cell r="X1944" t="str">
            <v/>
          </cell>
          <cell r="Y1944" t="str">
            <v>⑤</v>
          </cell>
          <cell r="Z1944" t="str">
            <v/>
          </cell>
          <cell r="AA1944" t="str">
            <v/>
          </cell>
          <cell r="AB1944" t="str">
            <v/>
          </cell>
          <cell r="AC1944" t="str">
            <v/>
          </cell>
          <cell r="AD1944" t="str">
            <v/>
          </cell>
          <cell r="AE1944" t="str">
            <v/>
          </cell>
          <cell r="AF1944" t="str">
            <v/>
          </cell>
          <cell r="AG1944" t="str">
            <v/>
          </cell>
          <cell r="AH1944" t="str">
            <v/>
          </cell>
          <cell r="AI1944" t="str">
            <v/>
          </cell>
        </row>
        <row r="1945">
          <cell r="B1945">
            <v>11107</v>
          </cell>
          <cell r="C1945">
            <v>111</v>
          </cell>
          <cell r="D1945">
            <v>7</v>
          </cell>
          <cell r="F1945" t="str">
            <v>長崎</v>
          </cell>
          <cell r="G1945" t="str">
            <v>ハロゲン消火(総合)</v>
          </cell>
          <cell r="H1945" t="str">
            <v>ホーチキ</v>
          </cell>
          <cell r="I1945">
            <v>132000</v>
          </cell>
          <cell r="J1945">
            <v>134640</v>
          </cell>
          <cell r="K1945">
            <v>1</v>
          </cell>
          <cell r="L1945">
            <v>0</v>
          </cell>
          <cell r="M1945">
            <v>0</v>
          </cell>
          <cell r="N1945">
            <v>0</v>
          </cell>
          <cell r="O1945">
            <v>0</v>
          </cell>
          <cell r="P1945">
            <v>0</v>
          </cell>
          <cell r="Q1945">
            <v>0</v>
          </cell>
          <cell r="R1945">
            <v>0</v>
          </cell>
          <cell r="S1945">
            <v>134640</v>
          </cell>
          <cell r="T1945">
            <v>0</v>
          </cell>
          <cell r="U1945">
            <v>0</v>
          </cell>
          <cell r="V1945">
            <v>0</v>
          </cell>
          <cell r="W1945">
            <v>0</v>
          </cell>
          <cell r="X1945" t="str">
            <v/>
          </cell>
          <cell r="Y1945" t="str">
            <v/>
          </cell>
          <cell r="Z1945" t="str">
            <v/>
          </cell>
          <cell r="AA1945" t="str">
            <v/>
          </cell>
          <cell r="AB1945" t="str">
            <v/>
          </cell>
          <cell r="AC1945" t="str">
            <v/>
          </cell>
          <cell r="AD1945" t="str">
            <v/>
          </cell>
          <cell r="AE1945" t="str">
            <v>⑪</v>
          </cell>
          <cell r="AF1945" t="str">
            <v/>
          </cell>
          <cell r="AG1945" t="str">
            <v/>
          </cell>
          <cell r="AH1945" t="str">
            <v/>
          </cell>
          <cell r="AI1945" t="str">
            <v/>
          </cell>
        </row>
        <row r="1946">
          <cell r="B1946">
            <v>11108</v>
          </cell>
          <cell r="C1946">
            <v>111</v>
          </cell>
          <cell r="D1946">
            <v>8</v>
          </cell>
          <cell r="F1946" t="str">
            <v>長崎</v>
          </cell>
          <cell r="G1946" t="str">
            <v>非常放送(外観)</v>
          </cell>
          <cell r="H1946" t="str">
            <v>ホーチキ</v>
          </cell>
          <cell r="I1946">
            <v>35000</v>
          </cell>
          <cell r="J1946">
            <v>35700</v>
          </cell>
          <cell r="K1946">
            <v>1</v>
          </cell>
          <cell r="L1946">
            <v>0</v>
          </cell>
          <cell r="M1946">
            <v>35700</v>
          </cell>
          <cell r="N1946">
            <v>0</v>
          </cell>
          <cell r="O1946">
            <v>0</v>
          </cell>
          <cell r="P1946">
            <v>0</v>
          </cell>
          <cell r="Q1946">
            <v>0</v>
          </cell>
          <cell r="R1946">
            <v>0</v>
          </cell>
          <cell r="S1946">
            <v>0</v>
          </cell>
          <cell r="T1946">
            <v>0</v>
          </cell>
          <cell r="U1946">
            <v>0</v>
          </cell>
          <cell r="V1946">
            <v>0</v>
          </cell>
          <cell r="W1946">
            <v>0</v>
          </cell>
          <cell r="X1946" t="str">
            <v/>
          </cell>
          <cell r="Y1946" t="str">
            <v>⑤</v>
          </cell>
          <cell r="Z1946" t="str">
            <v/>
          </cell>
          <cell r="AA1946" t="str">
            <v/>
          </cell>
          <cell r="AB1946" t="str">
            <v/>
          </cell>
          <cell r="AC1946" t="str">
            <v/>
          </cell>
          <cell r="AD1946" t="str">
            <v/>
          </cell>
          <cell r="AE1946" t="str">
            <v/>
          </cell>
          <cell r="AF1946" t="str">
            <v/>
          </cell>
          <cell r="AG1946" t="str">
            <v/>
          </cell>
          <cell r="AH1946" t="str">
            <v/>
          </cell>
          <cell r="AI1946" t="str">
            <v/>
          </cell>
        </row>
        <row r="1947">
          <cell r="B1947">
            <v>11109</v>
          </cell>
          <cell r="C1947">
            <v>111</v>
          </cell>
          <cell r="D1947">
            <v>9</v>
          </cell>
          <cell r="F1947" t="str">
            <v>長崎</v>
          </cell>
          <cell r="G1947" t="str">
            <v>非常放送(総合)</v>
          </cell>
          <cell r="H1947" t="str">
            <v>ホーチキ</v>
          </cell>
          <cell r="I1947">
            <v>64000</v>
          </cell>
          <cell r="J1947">
            <v>65280</v>
          </cell>
          <cell r="K1947">
            <v>1</v>
          </cell>
          <cell r="L1947">
            <v>0</v>
          </cell>
          <cell r="M1947">
            <v>0</v>
          </cell>
          <cell r="N1947">
            <v>0</v>
          </cell>
          <cell r="O1947">
            <v>0</v>
          </cell>
          <cell r="P1947">
            <v>0</v>
          </cell>
          <cell r="Q1947">
            <v>0</v>
          </cell>
          <cell r="R1947">
            <v>0</v>
          </cell>
          <cell r="S1947">
            <v>65280</v>
          </cell>
          <cell r="T1947">
            <v>0</v>
          </cell>
          <cell r="U1947">
            <v>0</v>
          </cell>
          <cell r="V1947">
            <v>0</v>
          </cell>
          <cell r="W1947">
            <v>0</v>
          </cell>
          <cell r="X1947" t="str">
            <v/>
          </cell>
          <cell r="Y1947" t="str">
            <v/>
          </cell>
          <cell r="Z1947" t="str">
            <v/>
          </cell>
          <cell r="AA1947" t="str">
            <v/>
          </cell>
          <cell r="AB1947" t="str">
            <v/>
          </cell>
          <cell r="AC1947" t="str">
            <v/>
          </cell>
          <cell r="AD1947" t="str">
            <v/>
          </cell>
          <cell r="AE1947" t="str">
            <v>⑪</v>
          </cell>
          <cell r="AF1947" t="str">
            <v/>
          </cell>
          <cell r="AG1947" t="str">
            <v/>
          </cell>
          <cell r="AH1947" t="str">
            <v/>
          </cell>
          <cell r="AI1947" t="str">
            <v/>
          </cell>
        </row>
        <row r="1948">
          <cell r="B1948">
            <v>11110</v>
          </cell>
          <cell r="C1948">
            <v>111</v>
          </cell>
          <cell r="D1948">
            <v>10</v>
          </cell>
          <cell r="F1948" t="str">
            <v>長崎</v>
          </cell>
          <cell r="G1948" t="str">
            <v>避難器具(外観)</v>
          </cell>
          <cell r="H1948" t="str">
            <v>ホーチキ</v>
          </cell>
          <cell r="I1948">
            <v>18400</v>
          </cell>
          <cell r="J1948">
            <v>18768</v>
          </cell>
          <cell r="K1948">
            <v>1</v>
          </cell>
          <cell r="L1948">
            <v>0</v>
          </cell>
          <cell r="M1948">
            <v>18768</v>
          </cell>
          <cell r="N1948">
            <v>0</v>
          </cell>
          <cell r="O1948">
            <v>0</v>
          </cell>
          <cell r="P1948">
            <v>0</v>
          </cell>
          <cell r="Q1948">
            <v>0</v>
          </cell>
          <cell r="R1948">
            <v>0</v>
          </cell>
          <cell r="S1948">
            <v>0</v>
          </cell>
          <cell r="T1948">
            <v>0</v>
          </cell>
          <cell r="U1948">
            <v>0</v>
          </cell>
          <cell r="V1948">
            <v>0</v>
          </cell>
          <cell r="W1948">
            <v>0</v>
          </cell>
          <cell r="X1948" t="str">
            <v/>
          </cell>
          <cell r="Y1948" t="str">
            <v>⑤</v>
          </cell>
          <cell r="Z1948" t="str">
            <v/>
          </cell>
          <cell r="AA1948" t="str">
            <v/>
          </cell>
          <cell r="AB1948" t="str">
            <v/>
          </cell>
          <cell r="AC1948" t="str">
            <v/>
          </cell>
          <cell r="AD1948" t="str">
            <v/>
          </cell>
          <cell r="AE1948" t="str">
            <v/>
          </cell>
          <cell r="AF1948" t="str">
            <v/>
          </cell>
          <cell r="AG1948" t="str">
            <v/>
          </cell>
          <cell r="AH1948" t="str">
            <v/>
          </cell>
          <cell r="AI1948" t="str">
            <v/>
          </cell>
        </row>
        <row r="1949">
          <cell r="B1949">
            <v>11111</v>
          </cell>
          <cell r="C1949">
            <v>111</v>
          </cell>
          <cell r="D1949">
            <v>11</v>
          </cell>
          <cell r="F1949" t="str">
            <v>長崎</v>
          </cell>
          <cell r="G1949" t="str">
            <v>避難器具(総合)</v>
          </cell>
          <cell r="H1949" t="str">
            <v>ホーチキ</v>
          </cell>
          <cell r="I1949">
            <v>24500</v>
          </cell>
          <cell r="J1949">
            <v>24990</v>
          </cell>
          <cell r="K1949">
            <v>1</v>
          </cell>
          <cell r="L1949">
            <v>0</v>
          </cell>
          <cell r="M1949">
            <v>0</v>
          </cell>
          <cell r="N1949">
            <v>0</v>
          </cell>
          <cell r="O1949">
            <v>0</v>
          </cell>
          <cell r="P1949">
            <v>0</v>
          </cell>
          <cell r="Q1949">
            <v>0</v>
          </cell>
          <cell r="R1949">
            <v>0</v>
          </cell>
          <cell r="S1949">
            <v>24990</v>
          </cell>
          <cell r="T1949">
            <v>0</v>
          </cell>
          <cell r="U1949">
            <v>0</v>
          </cell>
          <cell r="V1949">
            <v>0</v>
          </cell>
          <cell r="W1949">
            <v>0</v>
          </cell>
          <cell r="X1949" t="str">
            <v/>
          </cell>
          <cell r="Y1949" t="str">
            <v/>
          </cell>
          <cell r="Z1949" t="str">
            <v/>
          </cell>
          <cell r="AA1949" t="str">
            <v/>
          </cell>
          <cell r="AB1949" t="str">
            <v/>
          </cell>
          <cell r="AC1949" t="str">
            <v/>
          </cell>
          <cell r="AD1949" t="str">
            <v/>
          </cell>
          <cell r="AE1949" t="str">
            <v>⑪</v>
          </cell>
          <cell r="AF1949" t="str">
            <v/>
          </cell>
          <cell r="AG1949" t="str">
            <v/>
          </cell>
          <cell r="AH1949" t="str">
            <v/>
          </cell>
          <cell r="AI1949" t="str">
            <v/>
          </cell>
        </row>
        <row r="1950">
          <cell r="B1950">
            <v>11112</v>
          </cell>
          <cell r="C1950">
            <v>111</v>
          </cell>
          <cell r="D1950">
            <v>12</v>
          </cell>
          <cell r="F1950" t="str">
            <v>長崎</v>
          </cell>
          <cell r="G1950" t="str">
            <v>誘導灯(外観)</v>
          </cell>
          <cell r="H1950" t="str">
            <v>ホーチキ</v>
          </cell>
          <cell r="I1950">
            <v>13000</v>
          </cell>
          <cell r="J1950">
            <v>13260</v>
          </cell>
          <cell r="K1950">
            <v>1</v>
          </cell>
          <cell r="L1950">
            <v>0</v>
          </cell>
          <cell r="M1950">
            <v>13260</v>
          </cell>
          <cell r="N1950">
            <v>0</v>
          </cell>
          <cell r="O1950">
            <v>0</v>
          </cell>
          <cell r="P1950">
            <v>0</v>
          </cell>
          <cell r="Q1950">
            <v>0</v>
          </cell>
          <cell r="R1950">
            <v>0</v>
          </cell>
          <cell r="S1950">
            <v>0</v>
          </cell>
          <cell r="T1950">
            <v>0</v>
          </cell>
          <cell r="U1950">
            <v>0</v>
          </cell>
          <cell r="V1950">
            <v>0</v>
          </cell>
          <cell r="W1950">
            <v>0</v>
          </cell>
          <cell r="X1950" t="str">
            <v/>
          </cell>
          <cell r="Y1950" t="str">
            <v>⑤</v>
          </cell>
          <cell r="Z1950" t="str">
            <v/>
          </cell>
          <cell r="AA1950" t="str">
            <v/>
          </cell>
          <cell r="AB1950" t="str">
            <v/>
          </cell>
          <cell r="AC1950" t="str">
            <v/>
          </cell>
          <cell r="AD1950" t="str">
            <v/>
          </cell>
          <cell r="AE1950" t="str">
            <v/>
          </cell>
          <cell r="AF1950" t="str">
            <v/>
          </cell>
          <cell r="AG1950" t="str">
            <v/>
          </cell>
          <cell r="AH1950" t="str">
            <v/>
          </cell>
          <cell r="AI1950" t="str">
            <v/>
          </cell>
        </row>
        <row r="1951">
          <cell r="B1951">
            <v>11113</v>
          </cell>
          <cell r="C1951">
            <v>111</v>
          </cell>
          <cell r="D1951">
            <v>13</v>
          </cell>
          <cell r="F1951" t="str">
            <v>長崎</v>
          </cell>
          <cell r="G1951" t="str">
            <v>誘導灯(総合)</v>
          </cell>
          <cell r="H1951" t="str">
            <v>ホーチキ</v>
          </cell>
          <cell r="I1951">
            <v>14000</v>
          </cell>
          <cell r="J1951">
            <v>14280</v>
          </cell>
          <cell r="K1951">
            <v>1</v>
          </cell>
          <cell r="L1951">
            <v>0</v>
          </cell>
          <cell r="M1951">
            <v>0</v>
          </cell>
          <cell r="N1951">
            <v>0</v>
          </cell>
          <cell r="O1951">
            <v>0</v>
          </cell>
          <cell r="P1951">
            <v>0</v>
          </cell>
          <cell r="Q1951">
            <v>0</v>
          </cell>
          <cell r="R1951">
            <v>0</v>
          </cell>
          <cell r="S1951">
            <v>14280</v>
          </cell>
          <cell r="T1951">
            <v>0</v>
          </cell>
          <cell r="U1951">
            <v>0</v>
          </cell>
          <cell r="V1951">
            <v>0</v>
          </cell>
          <cell r="W1951">
            <v>0</v>
          </cell>
          <cell r="X1951" t="str">
            <v/>
          </cell>
          <cell r="Y1951" t="str">
            <v/>
          </cell>
          <cell r="Z1951" t="str">
            <v/>
          </cell>
          <cell r="AA1951" t="str">
            <v/>
          </cell>
          <cell r="AB1951" t="str">
            <v/>
          </cell>
          <cell r="AC1951" t="str">
            <v/>
          </cell>
          <cell r="AD1951" t="str">
            <v/>
          </cell>
          <cell r="AE1951" t="str">
            <v>⑪</v>
          </cell>
          <cell r="AF1951" t="str">
            <v/>
          </cell>
          <cell r="AG1951" t="str">
            <v/>
          </cell>
          <cell r="AH1951" t="str">
            <v/>
          </cell>
          <cell r="AI1951" t="str">
            <v/>
          </cell>
        </row>
        <row r="1952">
          <cell r="B1952">
            <v>11114</v>
          </cell>
          <cell r="C1952">
            <v>111</v>
          </cell>
          <cell r="D1952">
            <v>14</v>
          </cell>
          <cell r="F1952" t="str">
            <v>長崎</v>
          </cell>
          <cell r="G1952" t="str">
            <v>連結送水管(外観)</v>
          </cell>
          <cell r="H1952" t="str">
            <v>ホーチキ</v>
          </cell>
          <cell r="I1952">
            <v>17000</v>
          </cell>
          <cell r="J1952">
            <v>17340</v>
          </cell>
          <cell r="K1952">
            <v>1</v>
          </cell>
          <cell r="L1952">
            <v>0</v>
          </cell>
          <cell r="M1952">
            <v>17340</v>
          </cell>
          <cell r="N1952">
            <v>0</v>
          </cell>
          <cell r="O1952">
            <v>0</v>
          </cell>
          <cell r="P1952">
            <v>0</v>
          </cell>
          <cell r="Q1952">
            <v>0</v>
          </cell>
          <cell r="R1952">
            <v>0</v>
          </cell>
          <cell r="S1952">
            <v>0</v>
          </cell>
          <cell r="T1952">
            <v>0</v>
          </cell>
          <cell r="U1952">
            <v>0</v>
          </cell>
          <cell r="V1952">
            <v>0</v>
          </cell>
          <cell r="W1952">
            <v>0</v>
          </cell>
          <cell r="X1952" t="str">
            <v/>
          </cell>
          <cell r="Y1952" t="str">
            <v>⑤</v>
          </cell>
          <cell r="Z1952" t="str">
            <v/>
          </cell>
          <cell r="AA1952" t="str">
            <v/>
          </cell>
          <cell r="AB1952" t="str">
            <v/>
          </cell>
          <cell r="AC1952" t="str">
            <v/>
          </cell>
          <cell r="AD1952" t="str">
            <v/>
          </cell>
          <cell r="AE1952" t="str">
            <v/>
          </cell>
          <cell r="AF1952" t="str">
            <v/>
          </cell>
          <cell r="AG1952" t="str">
            <v/>
          </cell>
          <cell r="AH1952" t="str">
            <v/>
          </cell>
          <cell r="AI1952" t="str">
            <v/>
          </cell>
        </row>
        <row r="1953">
          <cell r="B1953">
            <v>11115</v>
          </cell>
          <cell r="C1953">
            <v>111</v>
          </cell>
          <cell r="D1953">
            <v>15</v>
          </cell>
          <cell r="F1953" t="str">
            <v>長崎</v>
          </cell>
          <cell r="G1953" t="str">
            <v>連結送水管(総合)</v>
          </cell>
          <cell r="H1953" t="str">
            <v>ホーチキ</v>
          </cell>
          <cell r="I1953">
            <v>18000</v>
          </cell>
          <cell r="J1953">
            <v>18360</v>
          </cell>
          <cell r="K1953">
            <v>1</v>
          </cell>
          <cell r="L1953">
            <v>0</v>
          </cell>
          <cell r="M1953">
            <v>0</v>
          </cell>
          <cell r="N1953">
            <v>0</v>
          </cell>
          <cell r="O1953">
            <v>0</v>
          </cell>
          <cell r="P1953">
            <v>0</v>
          </cell>
          <cell r="Q1953">
            <v>0</v>
          </cell>
          <cell r="R1953">
            <v>0</v>
          </cell>
          <cell r="S1953">
            <v>18360</v>
          </cell>
          <cell r="T1953">
            <v>0</v>
          </cell>
          <cell r="U1953">
            <v>0</v>
          </cell>
          <cell r="V1953">
            <v>0</v>
          </cell>
          <cell r="W1953">
            <v>0</v>
          </cell>
          <cell r="X1953" t="str">
            <v/>
          </cell>
          <cell r="Y1953" t="str">
            <v/>
          </cell>
          <cell r="Z1953" t="str">
            <v/>
          </cell>
          <cell r="AA1953" t="str">
            <v/>
          </cell>
          <cell r="AB1953" t="str">
            <v/>
          </cell>
          <cell r="AC1953" t="str">
            <v/>
          </cell>
          <cell r="AD1953" t="str">
            <v/>
          </cell>
          <cell r="AE1953" t="str">
            <v>⑪</v>
          </cell>
          <cell r="AF1953" t="str">
            <v/>
          </cell>
          <cell r="AG1953" t="str">
            <v/>
          </cell>
          <cell r="AH1953" t="str">
            <v/>
          </cell>
          <cell r="AI1953" t="str">
            <v/>
          </cell>
        </row>
        <row r="1954">
          <cell r="B1954">
            <v>11116</v>
          </cell>
          <cell r="C1954">
            <v>111</v>
          </cell>
          <cell r="D1954">
            <v>16</v>
          </cell>
          <cell r="F1954" t="str">
            <v>長崎</v>
          </cell>
          <cell r="G1954" t="str">
            <v>Ｐ型自火報(外観)</v>
          </cell>
          <cell r="H1954" t="str">
            <v>ホーチキ</v>
          </cell>
          <cell r="I1954">
            <v>47000</v>
          </cell>
          <cell r="J1954">
            <v>47940</v>
          </cell>
          <cell r="K1954">
            <v>1</v>
          </cell>
          <cell r="L1954">
            <v>0</v>
          </cell>
          <cell r="M1954">
            <v>47940</v>
          </cell>
          <cell r="N1954">
            <v>0</v>
          </cell>
          <cell r="O1954">
            <v>0</v>
          </cell>
          <cell r="P1954">
            <v>0</v>
          </cell>
          <cell r="Q1954">
            <v>0</v>
          </cell>
          <cell r="R1954">
            <v>0</v>
          </cell>
          <cell r="S1954">
            <v>0</v>
          </cell>
          <cell r="T1954">
            <v>0</v>
          </cell>
          <cell r="U1954">
            <v>0</v>
          </cell>
          <cell r="V1954">
            <v>0</v>
          </cell>
          <cell r="W1954">
            <v>0</v>
          </cell>
          <cell r="X1954" t="str">
            <v/>
          </cell>
          <cell r="Y1954" t="str">
            <v>⑤</v>
          </cell>
          <cell r="Z1954" t="str">
            <v/>
          </cell>
          <cell r="AA1954" t="str">
            <v/>
          </cell>
          <cell r="AB1954" t="str">
            <v/>
          </cell>
          <cell r="AC1954" t="str">
            <v/>
          </cell>
          <cell r="AD1954" t="str">
            <v/>
          </cell>
          <cell r="AE1954" t="str">
            <v/>
          </cell>
          <cell r="AF1954" t="str">
            <v/>
          </cell>
          <cell r="AG1954" t="str">
            <v/>
          </cell>
          <cell r="AH1954" t="str">
            <v/>
          </cell>
          <cell r="AI1954" t="str">
            <v/>
          </cell>
        </row>
        <row r="1955">
          <cell r="B1955">
            <v>11117</v>
          </cell>
          <cell r="C1955">
            <v>111</v>
          </cell>
          <cell r="D1955">
            <v>17</v>
          </cell>
          <cell r="F1955" t="str">
            <v>長崎</v>
          </cell>
          <cell r="G1955" t="str">
            <v>Ｐ型自火報(総合)</v>
          </cell>
          <cell r="H1955" t="str">
            <v>ホーチキ</v>
          </cell>
          <cell r="I1955">
            <v>84000</v>
          </cell>
          <cell r="J1955">
            <v>85680</v>
          </cell>
          <cell r="K1955">
            <v>1</v>
          </cell>
          <cell r="L1955">
            <v>0</v>
          </cell>
          <cell r="M1955">
            <v>0</v>
          </cell>
          <cell r="N1955">
            <v>0</v>
          </cell>
          <cell r="O1955">
            <v>0</v>
          </cell>
          <cell r="P1955">
            <v>0</v>
          </cell>
          <cell r="Q1955">
            <v>0</v>
          </cell>
          <cell r="R1955">
            <v>0</v>
          </cell>
          <cell r="S1955">
            <v>85680</v>
          </cell>
          <cell r="T1955">
            <v>0</v>
          </cell>
          <cell r="U1955">
            <v>0</v>
          </cell>
          <cell r="V1955">
            <v>0</v>
          </cell>
          <cell r="W1955">
            <v>0</v>
          </cell>
          <cell r="X1955" t="str">
            <v/>
          </cell>
          <cell r="Y1955" t="str">
            <v/>
          </cell>
          <cell r="Z1955" t="str">
            <v/>
          </cell>
          <cell r="AA1955" t="str">
            <v/>
          </cell>
          <cell r="AB1955" t="str">
            <v/>
          </cell>
          <cell r="AC1955" t="str">
            <v/>
          </cell>
          <cell r="AD1955" t="str">
            <v/>
          </cell>
          <cell r="AE1955" t="str">
            <v>⑪</v>
          </cell>
          <cell r="AF1955" t="str">
            <v/>
          </cell>
          <cell r="AG1955" t="str">
            <v/>
          </cell>
          <cell r="AH1955" t="str">
            <v/>
          </cell>
          <cell r="AI1955" t="str">
            <v/>
          </cell>
        </row>
        <row r="1956">
          <cell r="B1956">
            <v>11118</v>
          </cell>
          <cell r="C1956">
            <v>111</v>
          </cell>
          <cell r="D1956">
            <v>18</v>
          </cell>
          <cell r="F1956" t="str">
            <v>長崎</v>
          </cell>
          <cell r="G1956" t="str">
            <v>害虫駆除</v>
          </cell>
          <cell r="H1956" t="str">
            <v>長崎菱興サービス㈱</v>
          </cell>
          <cell r="I1956">
            <v>110000</v>
          </cell>
          <cell r="J1956">
            <v>121000</v>
          </cell>
          <cell r="K1956">
            <v>2</v>
          </cell>
          <cell r="L1956">
            <v>0</v>
          </cell>
          <cell r="M1956">
            <v>0</v>
          </cell>
          <cell r="N1956">
            <v>121000</v>
          </cell>
          <cell r="O1956">
            <v>0</v>
          </cell>
          <cell r="P1956">
            <v>0</v>
          </cell>
          <cell r="Q1956">
            <v>0</v>
          </cell>
          <cell r="R1956">
            <v>0</v>
          </cell>
          <cell r="S1956">
            <v>121000</v>
          </cell>
          <cell r="T1956">
            <v>0</v>
          </cell>
          <cell r="U1956">
            <v>0</v>
          </cell>
          <cell r="V1956">
            <v>0</v>
          </cell>
          <cell r="W1956">
            <v>0</v>
          </cell>
          <cell r="X1956" t="str">
            <v/>
          </cell>
          <cell r="Y1956" t="str">
            <v/>
          </cell>
          <cell r="Z1956" t="str">
            <v>⑥</v>
          </cell>
          <cell r="AA1956" t="str">
            <v/>
          </cell>
          <cell r="AB1956" t="str">
            <v/>
          </cell>
          <cell r="AC1956" t="str">
            <v/>
          </cell>
          <cell r="AD1956" t="str">
            <v/>
          </cell>
          <cell r="AE1956" t="str">
            <v>⑪</v>
          </cell>
          <cell r="AF1956" t="str">
            <v/>
          </cell>
          <cell r="AG1956" t="str">
            <v/>
          </cell>
          <cell r="AH1956" t="str">
            <v/>
          </cell>
          <cell r="AI1956" t="str">
            <v/>
          </cell>
        </row>
        <row r="1957">
          <cell r="B1957">
            <v>11119</v>
          </cell>
          <cell r="C1957">
            <v>111</v>
          </cell>
          <cell r="D1957">
            <v>19</v>
          </cell>
          <cell r="F1957" t="str">
            <v>長崎</v>
          </cell>
          <cell r="G1957" t="str">
            <v>貯水槽清掃</v>
          </cell>
          <cell r="H1957" t="str">
            <v>㈱ウイング</v>
          </cell>
          <cell r="I1957">
            <v>95000</v>
          </cell>
          <cell r="J1957">
            <v>107350</v>
          </cell>
          <cell r="K1957">
            <v>1</v>
          </cell>
          <cell r="L1957">
            <v>0</v>
          </cell>
          <cell r="M1957">
            <v>107350</v>
          </cell>
          <cell r="N1957">
            <v>0</v>
          </cell>
          <cell r="O1957">
            <v>0</v>
          </cell>
          <cell r="P1957">
            <v>0</v>
          </cell>
          <cell r="Q1957">
            <v>0</v>
          </cell>
          <cell r="R1957">
            <v>0</v>
          </cell>
          <cell r="S1957">
            <v>0</v>
          </cell>
          <cell r="T1957">
            <v>0</v>
          </cell>
          <cell r="U1957">
            <v>0</v>
          </cell>
          <cell r="V1957">
            <v>0</v>
          </cell>
          <cell r="W1957">
            <v>0</v>
          </cell>
          <cell r="X1957" t="str">
            <v/>
          </cell>
          <cell r="Y1957" t="str">
            <v>⑤</v>
          </cell>
          <cell r="Z1957" t="str">
            <v/>
          </cell>
          <cell r="AA1957" t="str">
            <v/>
          </cell>
          <cell r="AB1957" t="str">
            <v/>
          </cell>
          <cell r="AC1957" t="str">
            <v/>
          </cell>
          <cell r="AD1957" t="str">
            <v/>
          </cell>
          <cell r="AE1957" t="str">
            <v/>
          </cell>
          <cell r="AF1957" t="str">
            <v/>
          </cell>
          <cell r="AG1957" t="str">
            <v/>
          </cell>
          <cell r="AH1957" t="str">
            <v/>
          </cell>
          <cell r="AI1957" t="str">
            <v/>
          </cell>
        </row>
        <row r="1958">
          <cell r="B1958">
            <v>11120</v>
          </cell>
          <cell r="C1958">
            <v>111</v>
          </cell>
          <cell r="D1958">
            <v>20</v>
          </cell>
          <cell r="F1958" t="str">
            <v>長崎</v>
          </cell>
          <cell r="G1958" t="str">
            <v>排水槽清掃</v>
          </cell>
          <cell r="H1958" t="str">
            <v>㈱ウイング</v>
          </cell>
          <cell r="I1958">
            <v>100000</v>
          </cell>
          <cell r="J1958">
            <v>112000</v>
          </cell>
          <cell r="K1958">
            <v>2</v>
          </cell>
          <cell r="L1958">
            <v>0</v>
          </cell>
          <cell r="M1958">
            <v>112000</v>
          </cell>
          <cell r="N1958">
            <v>0</v>
          </cell>
          <cell r="O1958">
            <v>0</v>
          </cell>
          <cell r="P1958">
            <v>0</v>
          </cell>
          <cell r="Q1958">
            <v>0</v>
          </cell>
          <cell r="R1958">
            <v>0</v>
          </cell>
          <cell r="S1958">
            <v>112000</v>
          </cell>
          <cell r="T1958">
            <v>0</v>
          </cell>
          <cell r="U1958">
            <v>0</v>
          </cell>
          <cell r="V1958">
            <v>0</v>
          </cell>
          <cell r="W1958">
            <v>0</v>
          </cell>
          <cell r="X1958" t="str">
            <v/>
          </cell>
          <cell r="Y1958" t="str">
            <v>⑤</v>
          </cell>
          <cell r="Z1958" t="str">
            <v/>
          </cell>
          <cell r="AA1958" t="str">
            <v/>
          </cell>
          <cell r="AB1958" t="str">
            <v/>
          </cell>
          <cell r="AC1958" t="str">
            <v/>
          </cell>
          <cell r="AD1958" t="str">
            <v/>
          </cell>
          <cell r="AE1958" t="str">
            <v>⑪</v>
          </cell>
          <cell r="AF1958" t="str">
            <v/>
          </cell>
          <cell r="AG1958" t="str">
            <v/>
          </cell>
          <cell r="AH1958" t="str">
            <v/>
          </cell>
          <cell r="AI1958" t="str">
            <v/>
          </cell>
        </row>
        <row r="1959">
          <cell r="B1959">
            <v>11121</v>
          </cell>
          <cell r="C1959">
            <v>111</v>
          </cell>
          <cell r="D1959">
            <v>21</v>
          </cell>
          <cell r="F1959" t="str">
            <v>長崎</v>
          </cell>
          <cell r="G1959" t="str">
            <v>自動ドアー保守</v>
          </cell>
          <cell r="H1959" t="str">
            <v>長崎ナブコ</v>
          </cell>
          <cell r="I1959">
            <v>45000</v>
          </cell>
          <cell r="J1959">
            <v>46500</v>
          </cell>
          <cell r="K1959">
            <v>2</v>
          </cell>
          <cell r="L1959">
            <v>0</v>
          </cell>
          <cell r="M1959">
            <v>0</v>
          </cell>
          <cell r="N1959">
            <v>46500</v>
          </cell>
          <cell r="O1959">
            <v>0</v>
          </cell>
          <cell r="P1959">
            <v>0</v>
          </cell>
          <cell r="Q1959">
            <v>0</v>
          </cell>
          <cell r="R1959">
            <v>0</v>
          </cell>
          <cell r="S1959">
            <v>0</v>
          </cell>
          <cell r="T1959">
            <v>46500</v>
          </cell>
          <cell r="U1959">
            <v>0</v>
          </cell>
          <cell r="V1959">
            <v>0</v>
          </cell>
          <cell r="W1959">
            <v>0</v>
          </cell>
          <cell r="X1959" t="str">
            <v/>
          </cell>
          <cell r="Y1959" t="str">
            <v/>
          </cell>
          <cell r="Z1959" t="str">
            <v>⑥</v>
          </cell>
          <cell r="AA1959" t="str">
            <v/>
          </cell>
          <cell r="AB1959" t="str">
            <v/>
          </cell>
          <cell r="AC1959" t="str">
            <v/>
          </cell>
          <cell r="AD1959" t="str">
            <v/>
          </cell>
          <cell r="AE1959" t="str">
            <v/>
          </cell>
          <cell r="AF1959" t="str">
            <v>⑫</v>
          </cell>
          <cell r="AI1959" t="str">
            <v/>
          </cell>
          <cell r="AJ1959" t="str">
            <v>変</v>
          </cell>
        </row>
        <row r="1960">
          <cell r="B1960">
            <v>11122</v>
          </cell>
          <cell r="C1960">
            <v>111</v>
          </cell>
          <cell r="D1960">
            <v>22</v>
          </cell>
          <cell r="F1960" t="str">
            <v>長崎</v>
          </cell>
          <cell r="G1960" t="str">
            <v>空調機設備保守</v>
          </cell>
          <cell r="H1960" t="str">
            <v>高砂熱学工業</v>
          </cell>
          <cell r="I1960">
            <v>256000</v>
          </cell>
          <cell r="J1960">
            <v>271380</v>
          </cell>
          <cell r="K1960">
            <v>2</v>
          </cell>
          <cell r="L1960">
            <v>0</v>
          </cell>
          <cell r="M1960">
            <v>0</v>
          </cell>
          <cell r="N1960">
            <v>0</v>
          </cell>
          <cell r="O1960">
            <v>271380</v>
          </cell>
          <cell r="P1960">
            <v>0</v>
          </cell>
          <cell r="Q1960">
            <v>0</v>
          </cell>
          <cell r="R1960">
            <v>0</v>
          </cell>
          <cell r="S1960">
            <v>0</v>
          </cell>
          <cell r="T1960">
            <v>0</v>
          </cell>
          <cell r="U1960">
            <v>271380</v>
          </cell>
          <cell r="V1960">
            <v>0</v>
          </cell>
          <cell r="W1960">
            <v>0</v>
          </cell>
          <cell r="X1960" t="str">
            <v/>
          </cell>
          <cell r="Y1960" t="str">
            <v/>
          </cell>
          <cell r="Z1960" t="str">
            <v/>
          </cell>
          <cell r="AA1960" t="str">
            <v>⑦</v>
          </cell>
          <cell r="AB1960" t="str">
            <v/>
          </cell>
          <cell r="AC1960" t="str">
            <v/>
          </cell>
          <cell r="AD1960" t="str">
            <v/>
          </cell>
          <cell r="AE1960" t="str">
            <v/>
          </cell>
          <cell r="AF1960" t="str">
            <v/>
          </cell>
          <cell r="AG1960" t="str">
            <v>①</v>
          </cell>
          <cell r="AH1960" t="str">
            <v/>
          </cell>
          <cell r="AI1960" t="str">
            <v/>
          </cell>
          <cell r="AJ1960" t="str">
            <v>変</v>
          </cell>
        </row>
        <row r="1961">
          <cell r="B1961">
            <v>11123</v>
          </cell>
          <cell r="C1961">
            <v>111</v>
          </cell>
          <cell r="D1961">
            <v>23</v>
          </cell>
          <cell r="F1961" t="str">
            <v>長崎</v>
          </cell>
          <cell r="G1961" t="str">
            <v>シャッター設備点検整備</v>
          </cell>
          <cell r="H1961" t="str">
            <v>文化シャッター</v>
          </cell>
          <cell r="I1961">
            <v>100000</v>
          </cell>
          <cell r="J1961">
            <v>115000</v>
          </cell>
          <cell r="K1961">
            <v>1</v>
          </cell>
          <cell r="L1961">
            <v>0</v>
          </cell>
          <cell r="M1961">
            <v>0</v>
          </cell>
          <cell r="N1961">
            <v>0</v>
          </cell>
          <cell r="O1961">
            <v>0</v>
          </cell>
          <cell r="P1961">
            <v>0</v>
          </cell>
          <cell r="Q1961">
            <v>0</v>
          </cell>
          <cell r="R1961">
            <v>115000</v>
          </cell>
          <cell r="S1961">
            <v>0</v>
          </cell>
          <cell r="T1961">
            <v>0</v>
          </cell>
          <cell r="U1961">
            <v>0</v>
          </cell>
          <cell r="V1961">
            <v>0</v>
          </cell>
          <cell r="W1961">
            <v>0</v>
          </cell>
          <cell r="X1961" t="str">
            <v/>
          </cell>
          <cell r="Z1961" t="str">
            <v/>
          </cell>
          <cell r="AA1961" t="str">
            <v/>
          </cell>
          <cell r="AB1961" t="str">
            <v/>
          </cell>
          <cell r="AC1961" t="str">
            <v/>
          </cell>
          <cell r="AD1961" t="str">
            <v>⑩</v>
          </cell>
          <cell r="AF1961" t="str">
            <v/>
          </cell>
          <cell r="AG1961" t="str">
            <v/>
          </cell>
          <cell r="AH1961" t="str">
            <v/>
          </cell>
          <cell r="AI1961" t="str">
            <v/>
          </cell>
          <cell r="AJ1961" t="str">
            <v>追</v>
          </cell>
        </row>
        <row r="1962">
          <cell r="B1962">
            <v>11124</v>
          </cell>
          <cell r="C1962">
            <v>111</v>
          </cell>
          <cell r="D1962">
            <v>24</v>
          </cell>
          <cell r="F1962" t="str">
            <v>長崎</v>
          </cell>
          <cell r="G1962" t="str">
            <v>全熱交換機点検整備</v>
          </cell>
          <cell r="H1962" t="str">
            <v>東洋製作所</v>
          </cell>
          <cell r="I1962">
            <v>40000</v>
          </cell>
          <cell r="J1962">
            <v>46000</v>
          </cell>
          <cell r="K1962">
            <v>1</v>
          </cell>
          <cell r="L1962">
            <v>0</v>
          </cell>
          <cell r="M1962">
            <v>0</v>
          </cell>
          <cell r="N1962">
            <v>0</v>
          </cell>
          <cell r="O1962">
            <v>0</v>
          </cell>
          <cell r="P1962">
            <v>0</v>
          </cell>
          <cell r="Q1962">
            <v>0</v>
          </cell>
          <cell r="R1962">
            <v>0</v>
          </cell>
          <cell r="S1962">
            <v>46000</v>
          </cell>
          <cell r="T1962">
            <v>0</v>
          </cell>
          <cell r="U1962">
            <v>0</v>
          </cell>
          <cell r="V1962">
            <v>0</v>
          </cell>
          <cell r="W1962">
            <v>0</v>
          </cell>
          <cell r="X1962" t="str">
            <v/>
          </cell>
          <cell r="Y1962" t="str">
            <v/>
          </cell>
          <cell r="Z1962" t="str">
            <v/>
          </cell>
          <cell r="AA1962" t="str">
            <v/>
          </cell>
          <cell r="AB1962" t="str">
            <v/>
          </cell>
          <cell r="AC1962" t="str">
            <v/>
          </cell>
          <cell r="AD1962" t="str">
            <v/>
          </cell>
          <cell r="AE1962" t="str">
            <v>⑪</v>
          </cell>
          <cell r="AF1962" t="str">
            <v/>
          </cell>
          <cell r="AG1962" t="str">
            <v/>
          </cell>
          <cell r="AH1962" t="str">
            <v/>
          </cell>
          <cell r="AI1962" t="str">
            <v/>
          </cell>
          <cell r="AJ1962" t="str">
            <v>追</v>
          </cell>
        </row>
        <row r="1963">
          <cell r="B1963">
            <v>11125</v>
          </cell>
          <cell r="C1963">
            <v>111</v>
          </cell>
          <cell r="D1963">
            <v>25</v>
          </cell>
          <cell r="F1963" t="str">
            <v>長崎</v>
          </cell>
          <cell r="G1963" t="str">
            <v>電気温水器点検整備</v>
          </cell>
          <cell r="H1963" t="str">
            <v>藤原設備</v>
          </cell>
          <cell r="I1963">
            <v>100000</v>
          </cell>
          <cell r="J1963">
            <v>115000</v>
          </cell>
          <cell r="K1963">
            <v>1</v>
          </cell>
          <cell r="L1963">
            <v>0</v>
          </cell>
          <cell r="M1963">
            <v>0</v>
          </cell>
          <cell r="N1963">
            <v>0</v>
          </cell>
          <cell r="O1963">
            <v>0</v>
          </cell>
          <cell r="P1963">
            <v>0</v>
          </cell>
          <cell r="Q1963">
            <v>0</v>
          </cell>
          <cell r="R1963">
            <v>0</v>
          </cell>
          <cell r="S1963">
            <v>0</v>
          </cell>
          <cell r="T1963">
            <v>115000</v>
          </cell>
          <cell r="U1963">
            <v>0</v>
          </cell>
          <cell r="V1963">
            <v>0</v>
          </cell>
          <cell r="W1963">
            <v>0</v>
          </cell>
          <cell r="X1963" t="str">
            <v/>
          </cell>
          <cell r="Y1963" t="str">
            <v/>
          </cell>
          <cell r="Z1963" t="str">
            <v/>
          </cell>
          <cell r="AA1963" t="str">
            <v/>
          </cell>
          <cell r="AB1963" t="str">
            <v/>
          </cell>
          <cell r="AC1963" t="str">
            <v/>
          </cell>
          <cell r="AD1963" t="str">
            <v/>
          </cell>
          <cell r="AE1963" t="str">
            <v/>
          </cell>
          <cell r="AF1963" t="str">
            <v>⑫</v>
          </cell>
          <cell r="AG1963" t="str">
            <v/>
          </cell>
          <cell r="AH1963" t="str">
            <v/>
          </cell>
          <cell r="AI1963" t="str">
            <v/>
          </cell>
          <cell r="AJ1963" t="str">
            <v>追</v>
          </cell>
        </row>
        <row r="1964">
          <cell r="B1964">
            <v>11126</v>
          </cell>
          <cell r="C1964">
            <v>111</v>
          </cell>
          <cell r="D1964">
            <v>26</v>
          </cell>
          <cell r="F1964" t="str">
            <v>長崎</v>
          </cell>
          <cell r="G1964" t="str">
            <v>ﾊﾟｯｹｰｼﾞ･ﾌｧﾝｺｲﾙﾌｨﾙﾀｰ洗浄工事</v>
          </cell>
          <cell r="H1964" t="str">
            <v>長崎菱興サービス</v>
          </cell>
          <cell r="I1964">
            <v>125000</v>
          </cell>
          <cell r="J1964">
            <v>143750</v>
          </cell>
          <cell r="K1964">
            <v>2</v>
          </cell>
          <cell r="L1964">
            <v>0</v>
          </cell>
          <cell r="M1964">
            <v>143750</v>
          </cell>
          <cell r="N1964">
            <v>0</v>
          </cell>
          <cell r="O1964">
            <v>0</v>
          </cell>
          <cell r="P1964">
            <v>0</v>
          </cell>
          <cell r="Q1964">
            <v>0</v>
          </cell>
          <cell r="R1964">
            <v>0</v>
          </cell>
          <cell r="S1964">
            <v>143750</v>
          </cell>
          <cell r="T1964">
            <v>0</v>
          </cell>
          <cell r="U1964">
            <v>0</v>
          </cell>
          <cell r="V1964">
            <v>0</v>
          </cell>
          <cell r="W1964">
            <v>0</v>
          </cell>
          <cell r="X1964" t="str">
            <v/>
          </cell>
          <cell r="Y1964" t="str">
            <v>⑤</v>
          </cell>
          <cell r="Z1964" t="str">
            <v/>
          </cell>
          <cell r="AA1964" t="str">
            <v/>
          </cell>
          <cell r="AB1964" t="str">
            <v/>
          </cell>
          <cell r="AC1964" t="str">
            <v/>
          </cell>
          <cell r="AD1964" t="str">
            <v/>
          </cell>
          <cell r="AE1964" t="str">
            <v>⑪</v>
          </cell>
          <cell r="AF1964" t="str">
            <v/>
          </cell>
          <cell r="AG1964" t="str">
            <v/>
          </cell>
          <cell r="AH1964" t="str">
            <v/>
          </cell>
          <cell r="AI1964" t="str">
            <v/>
          </cell>
          <cell r="AJ1964" t="str">
            <v>追</v>
          </cell>
        </row>
        <row r="1965">
          <cell r="B1965">
            <v>11127</v>
          </cell>
          <cell r="C1965">
            <v>111</v>
          </cell>
          <cell r="D1965">
            <v>27</v>
          </cell>
          <cell r="F1965" t="str">
            <v>長崎</v>
          </cell>
          <cell r="G1965" t="str">
            <v>全熱交換機ﾛｰﾙﾌｨﾙﾀｰ交換工事</v>
          </cell>
          <cell r="H1965" t="str">
            <v>大塚商会</v>
          </cell>
          <cell r="I1965">
            <v>80000</v>
          </cell>
          <cell r="J1965">
            <v>92000</v>
          </cell>
          <cell r="K1965">
            <v>1</v>
          </cell>
          <cell r="L1965">
            <v>0</v>
          </cell>
          <cell r="M1965">
            <v>0</v>
          </cell>
          <cell r="N1965">
            <v>0</v>
          </cell>
          <cell r="O1965">
            <v>0</v>
          </cell>
          <cell r="P1965">
            <v>0</v>
          </cell>
          <cell r="Q1965">
            <v>0</v>
          </cell>
          <cell r="R1965">
            <v>0</v>
          </cell>
          <cell r="S1965">
            <v>92000</v>
          </cell>
          <cell r="T1965">
            <v>0</v>
          </cell>
          <cell r="U1965">
            <v>0</v>
          </cell>
          <cell r="V1965">
            <v>0</v>
          </cell>
          <cell r="W1965">
            <v>0</v>
          </cell>
          <cell r="X1965" t="str">
            <v/>
          </cell>
          <cell r="Y1965" t="str">
            <v/>
          </cell>
          <cell r="Z1965" t="str">
            <v/>
          </cell>
          <cell r="AA1965" t="str">
            <v/>
          </cell>
          <cell r="AB1965" t="str">
            <v/>
          </cell>
          <cell r="AC1965" t="str">
            <v/>
          </cell>
          <cell r="AD1965" t="str">
            <v/>
          </cell>
          <cell r="AE1965" t="str">
            <v>⑪</v>
          </cell>
          <cell r="AF1965" t="str">
            <v/>
          </cell>
          <cell r="AG1965" t="str">
            <v/>
          </cell>
          <cell r="AH1965" t="str">
            <v/>
          </cell>
          <cell r="AI1965" t="str">
            <v/>
          </cell>
          <cell r="AJ1965" t="str">
            <v>追</v>
          </cell>
        </row>
        <row r="1966">
          <cell r="B1966">
            <v>11201</v>
          </cell>
          <cell r="C1966">
            <v>112</v>
          </cell>
          <cell r="D1966">
            <v>1</v>
          </cell>
          <cell r="F1966" t="str">
            <v>熊本</v>
          </cell>
          <cell r="G1966" t="str">
            <v>機械式駐車場設備保守</v>
          </cell>
          <cell r="H1966" t="str">
            <v>日精</v>
          </cell>
          <cell r="I1966">
            <v>159000</v>
          </cell>
          <cell r="J1966">
            <v>162780</v>
          </cell>
          <cell r="K1966">
            <v>12</v>
          </cell>
          <cell r="L1966">
            <v>162780</v>
          </cell>
          <cell r="M1966">
            <v>162780</v>
          </cell>
          <cell r="N1966">
            <v>162780</v>
          </cell>
          <cell r="O1966">
            <v>162780</v>
          </cell>
          <cell r="P1966">
            <v>162780</v>
          </cell>
          <cell r="Q1966">
            <v>162780</v>
          </cell>
          <cell r="R1966">
            <v>162780</v>
          </cell>
          <cell r="S1966">
            <v>162780</v>
          </cell>
          <cell r="T1966">
            <v>162780</v>
          </cell>
          <cell r="U1966">
            <v>162780</v>
          </cell>
          <cell r="V1966">
            <v>162780</v>
          </cell>
          <cell r="W1966">
            <v>162780</v>
          </cell>
          <cell r="X1966" t="str">
            <v>④</v>
          </cell>
          <cell r="Y1966" t="str">
            <v>⑤</v>
          </cell>
          <cell r="Z1966" t="str">
            <v>⑥</v>
          </cell>
          <cell r="AA1966" t="str">
            <v>⑦</v>
          </cell>
          <cell r="AB1966" t="str">
            <v>⑧</v>
          </cell>
          <cell r="AC1966" t="str">
            <v>⑨</v>
          </cell>
          <cell r="AD1966" t="str">
            <v>⑩</v>
          </cell>
          <cell r="AE1966" t="str">
            <v>⑪</v>
          </cell>
          <cell r="AF1966" t="str">
            <v>⑫</v>
          </cell>
          <cell r="AG1966" t="str">
            <v>①</v>
          </cell>
          <cell r="AH1966" t="str">
            <v>②</v>
          </cell>
          <cell r="AI1966" t="str">
            <v>③</v>
          </cell>
        </row>
        <row r="1967">
          <cell r="B1967">
            <v>11202</v>
          </cell>
          <cell r="C1967">
            <v>112</v>
          </cell>
          <cell r="D1967">
            <v>2</v>
          </cell>
          <cell r="F1967" t="str">
            <v>熊本</v>
          </cell>
          <cell r="G1967" t="str">
            <v>エレベーター保守</v>
          </cell>
          <cell r="H1967" t="str">
            <v>三菱電機ﾋﾞﾙﾃｸﾉｻｰﾋﾞｽ</v>
          </cell>
          <cell r="I1967">
            <v>128000</v>
          </cell>
          <cell r="J1967">
            <v>130560</v>
          </cell>
          <cell r="K1967">
            <v>12</v>
          </cell>
          <cell r="L1967">
            <v>130560</v>
          </cell>
          <cell r="M1967">
            <v>130560</v>
          </cell>
          <cell r="N1967">
            <v>130560</v>
          </cell>
          <cell r="O1967">
            <v>130560</v>
          </cell>
          <cell r="P1967">
            <v>130560</v>
          </cell>
          <cell r="Q1967">
            <v>130560</v>
          </cell>
          <cell r="R1967">
            <v>130560</v>
          </cell>
          <cell r="S1967">
            <v>130560</v>
          </cell>
          <cell r="T1967">
            <v>130560</v>
          </cell>
          <cell r="U1967">
            <v>130560</v>
          </cell>
          <cell r="V1967">
            <v>130560</v>
          </cell>
          <cell r="W1967">
            <v>130560</v>
          </cell>
          <cell r="X1967" t="str">
            <v>④</v>
          </cell>
          <cell r="Y1967" t="str">
            <v>⑤</v>
          </cell>
          <cell r="Z1967" t="str">
            <v>⑥</v>
          </cell>
          <cell r="AA1967" t="str">
            <v>⑦</v>
          </cell>
          <cell r="AB1967" t="str">
            <v>⑧</v>
          </cell>
          <cell r="AC1967" t="str">
            <v>⑨</v>
          </cell>
          <cell r="AD1967" t="str">
            <v>⑩</v>
          </cell>
          <cell r="AE1967" t="str">
            <v>⑪</v>
          </cell>
          <cell r="AF1967" t="str">
            <v>⑫</v>
          </cell>
          <cell r="AG1967" t="str">
            <v>①</v>
          </cell>
          <cell r="AH1967" t="str">
            <v>②</v>
          </cell>
          <cell r="AI1967" t="str">
            <v>③</v>
          </cell>
        </row>
        <row r="1968">
          <cell r="B1968">
            <v>11203</v>
          </cell>
          <cell r="C1968">
            <v>112</v>
          </cell>
          <cell r="D1968">
            <v>3</v>
          </cell>
          <cell r="F1968" t="str">
            <v>熊本</v>
          </cell>
          <cell r="G1968" t="str">
            <v>消火設備(外観)</v>
          </cell>
          <cell r="H1968" t="str">
            <v>ホーチキ</v>
          </cell>
          <cell r="I1968">
            <v>202000</v>
          </cell>
          <cell r="J1968">
            <v>207720</v>
          </cell>
          <cell r="K1968">
            <v>1</v>
          </cell>
          <cell r="L1968">
            <v>0</v>
          </cell>
          <cell r="M1968">
            <v>0</v>
          </cell>
          <cell r="N1968">
            <v>207720</v>
          </cell>
          <cell r="O1968">
            <v>0</v>
          </cell>
          <cell r="P1968">
            <v>0</v>
          </cell>
          <cell r="Q1968">
            <v>0</v>
          </cell>
          <cell r="R1968">
            <v>0</v>
          </cell>
          <cell r="S1968">
            <v>0</v>
          </cell>
          <cell r="T1968">
            <v>0</v>
          </cell>
          <cell r="U1968">
            <v>0</v>
          </cell>
          <cell r="V1968">
            <v>0</v>
          </cell>
          <cell r="W1968">
            <v>0</v>
          </cell>
          <cell r="X1968" t="str">
            <v/>
          </cell>
          <cell r="Z1968" t="str">
            <v>⑥</v>
          </cell>
          <cell r="AA1968" t="str">
            <v/>
          </cell>
          <cell r="AB1968" t="str">
            <v/>
          </cell>
          <cell r="AC1968" t="str">
            <v/>
          </cell>
          <cell r="AD1968" t="str">
            <v/>
          </cell>
          <cell r="AE1968" t="str">
            <v/>
          </cell>
          <cell r="AF1968" t="str">
            <v/>
          </cell>
          <cell r="AG1968" t="str">
            <v/>
          </cell>
          <cell r="AH1968" t="str">
            <v/>
          </cell>
          <cell r="AI1968" t="str">
            <v/>
          </cell>
        </row>
        <row r="1969">
          <cell r="B1969">
            <v>11204</v>
          </cell>
          <cell r="C1969">
            <v>112</v>
          </cell>
          <cell r="D1969">
            <v>4</v>
          </cell>
          <cell r="F1969" t="str">
            <v>熊本</v>
          </cell>
          <cell r="G1969" t="str">
            <v>消火設備(総合)</v>
          </cell>
          <cell r="H1969" t="str">
            <v>ホーチキ</v>
          </cell>
          <cell r="I1969">
            <v>268000</v>
          </cell>
          <cell r="J1969">
            <v>275160</v>
          </cell>
          <cell r="K1969">
            <v>1</v>
          </cell>
          <cell r="L1969">
            <v>0</v>
          </cell>
          <cell r="M1969">
            <v>0</v>
          </cell>
          <cell r="N1969">
            <v>0</v>
          </cell>
          <cell r="O1969">
            <v>0</v>
          </cell>
          <cell r="P1969">
            <v>0</v>
          </cell>
          <cell r="Q1969">
            <v>0</v>
          </cell>
          <cell r="R1969">
            <v>0</v>
          </cell>
          <cell r="S1969">
            <v>0</v>
          </cell>
          <cell r="T1969">
            <v>275160</v>
          </cell>
          <cell r="U1969">
            <v>0</v>
          </cell>
          <cell r="V1969">
            <v>0</v>
          </cell>
          <cell r="W1969">
            <v>0</v>
          </cell>
          <cell r="X1969" t="str">
            <v/>
          </cell>
          <cell r="Y1969" t="str">
            <v/>
          </cell>
          <cell r="Z1969" t="str">
            <v/>
          </cell>
          <cell r="AA1969" t="str">
            <v/>
          </cell>
          <cell r="AB1969" t="str">
            <v/>
          </cell>
          <cell r="AC1969" t="str">
            <v/>
          </cell>
          <cell r="AD1969" t="str">
            <v/>
          </cell>
          <cell r="AF1969" t="str">
            <v>⑫</v>
          </cell>
          <cell r="AG1969" t="str">
            <v/>
          </cell>
          <cell r="AH1969" t="str">
            <v/>
          </cell>
          <cell r="AI1969" t="str">
            <v/>
          </cell>
        </row>
        <row r="1970">
          <cell r="B1970">
            <v>11205</v>
          </cell>
          <cell r="C1970">
            <v>112</v>
          </cell>
          <cell r="D1970">
            <v>5</v>
          </cell>
          <cell r="F1970" t="str">
            <v>熊本</v>
          </cell>
          <cell r="G1970" t="str">
            <v>ハロン消火設備保守</v>
          </cell>
          <cell r="H1970" t="str">
            <v>日本ドライケミカル</v>
          </cell>
          <cell r="I1970">
            <v>52000</v>
          </cell>
          <cell r="J1970">
            <v>55200</v>
          </cell>
          <cell r="K1970">
            <v>2</v>
          </cell>
          <cell r="L1970">
            <v>0</v>
          </cell>
          <cell r="M1970">
            <v>0</v>
          </cell>
          <cell r="N1970">
            <v>0</v>
          </cell>
          <cell r="O1970">
            <v>0</v>
          </cell>
          <cell r="P1970">
            <v>55200</v>
          </cell>
          <cell r="Q1970">
            <v>0</v>
          </cell>
          <cell r="R1970">
            <v>0</v>
          </cell>
          <cell r="S1970">
            <v>0</v>
          </cell>
          <cell r="T1970">
            <v>0</v>
          </cell>
          <cell r="U1970">
            <v>0</v>
          </cell>
          <cell r="V1970">
            <v>55200</v>
          </cell>
          <cell r="W1970">
            <v>0</v>
          </cell>
          <cell r="X1970" t="str">
            <v/>
          </cell>
          <cell r="Y1970" t="str">
            <v/>
          </cell>
          <cell r="Z1970" t="str">
            <v/>
          </cell>
          <cell r="AA1970" t="str">
            <v/>
          </cell>
          <cell r="AB1970" t="str">
            <v>⑧</v>
          </cell>
          <cell r="AC1970" t="str">
            <v/>
          </cell>
          <cell r="AD1970" t="str">
            <v/>
          </cell>
          <cell r="AE1970" t="str">
            <v/>
          </cell>
          <cell r="AF1970" t="str">
            <v/>
          </cell>
          <cell r="AG1970" t="str">
            <v/>
          </cell>
          <cell r="AH1970" t="str">
            <v>②</v>
          </cell>
          <cell r="AI1970" t="str">
            <v/>
          </cell>
          <cell r="AJ1970" t="str">
            <v>変</v>
          </cell>
        </row>
        <row r="1971">
          <cell r="B1971">
            <v>11206</v>
          </cell>
          <cell r="C1971">
            <v>112</v>
          </cell>
          <cell r="D1971">
            <v>6</v>
          </cell>
          <cell r="F1971" t="str">
            <v>熊本</v>
          </cell>
          <cell r="G1971" t="str">
            <v>害虫駆除</v>
          </cell>
          <cell r="H1971" t="str">
            <v>熊本消毒サービス</v>
          </cell>
          <cell r="I1971">
            <v>90000</v>
          </cell>
          <cell r="J1971">
            <v>103000</v>
          </cell>
          <cell r="K1971">
            <v>2</v>
          </cell>
          <cell r="L1971">
            <v>0</v>
          </cell>
          <cell r="M1971">
            <v>103000</v>
          </cell>
          <cell r="N1971">
            <v>0</v>
          </cell>
          <cell r="O1971">
            <v>0</v>
          </cell>
          <cell r="P1971">
            <v>0</v>
          </cell>
          <cell r="Q1971">
            <v>0</v>
          </cell>
          <cell r="R1971">
            <v>0</v>
          </cell>
          <cell r="S1971">
            <v>103000</v>
          </cell>
          <cell r="T1971">
            <v>0</v>
          </cell>
          <cell r="U1971">
            <v>0</v>
          </cell>
          <cell r="V1971">
            <v>0</v>
          </cell>
          <cell r="W1971">
            <v>0</v>
          </cell>
          <cell r="X1971" t="str">
            <v/>
          </cell>
          <cell r="Y1971" t="str">
            <v>⑤</v>
          </cell>
          <cell r="Z1971" t="str">
            <v/>
          </cell>
          <cell r="AA1971" t="str">
            <v/>
          </cell>
          <cell r="AB1971" t="str">
            <v/>
          </cell>
          <cell r="AC1971" t="str">
            <v/>
          </cell>
          <cell r="AD1971" t="str">
            <v/>
          </cell>
          <cell r="AE1971" t="str">
            <v>⑪</v>
          </cell>
          <cell r="AF1971" t="str">
            <v/>
          </cell>
          <cell r="AG1971" t="str">
            <v/>
          </cell>
          <cell r="AH1971" t="str">
            <v/>
          </cell>
          <cell r="AI1971" t="str">
            <v/>
          </cell>
          <cell r="AJ1971" t="str">
            <v>変</v>
          </cell>
        </row>
        <row r="1972">
          <cell r="B1972">
            <v>11207</v>
          </cell>
          <cell r="C1972">
            <v>112</v>
          </cell>
          <cell r="D1972">
            <v>7</v>
          </cell>
          <cell r="F1972" t="str">
            <v>熊本</v>
          </cell>
          <cell r="G1972" t="str">
            <v>貯水槽清掃</v>
          </cell>
          <cell r="H1972" t="str">
            <v>吉田産業</v>
          </cell>
          <cell r="I1972">
            <v>56860</v>
          </cell>
          <cell r="J1972">
            <v>64252</v>
          </cell>
          <cell r="K1972">
            <v>1</v>
          </cell>
          <cell r="L1972">
            <v>0</v>
          </cell>
          <cell r="M1972">
            <v>0</v>
          </cell>
          <cell r="N1972">
            <v>64252</v>
          </cell>
          <cell r="O1972">
            <v>0</v>
          </cell>
          <cell r="P1972">
            <v>0</v>
          </cell>
          <cell r="Q1972">
            <v>0</v>
          </cell>
          <cell r="R1972">
            <v>0</v>
          </cell>
          <cell r="S1972">
            <v>0</v>
          </cell>
          <cell r="T1972">
            <v>0</v>
          </cell>
          <cell r="U1972">
            <v>0</v>
          </cell>
          <cell r="V1972">
            <v>0</v>
          </cell>
          <cell r="W1972">
            <v>0</v>
          </cell>
          <cell r="X1972" t="str">
            <v/>
          </cell>
          <cell r="Y1972" t="str">
            <v/>
          </cell>
          <cell r="Z1972" t="str">
            <v>⑥</v>
          </cell>
          <cell r="AA1972" t="str">
            <v/>
          </cell>
          <cell r="AB1972" t="str">
            <v/>
          </cell>
          <cell r="AC1972" t="str">
            <v/>
          </cell>
          <cell r="AD1972" t="str">
            <v/>
          </cell>
          <cell r="AE1972" t="str">
            <v/>
          </cell>
          <cell r="AF1972" t="str">
            <v/>
          </cell>
          <cell r="AG1972" t="str">
            <v/>
          </cell>
          <cell r="AH1972" t="str">
            <v/>
          </cell>
          <cell r="AI1972" t="str">
            <v/>
          </cell>
        </row>
        <row r="1973">
          <cell r="B1973">
            <v>11208</v>
          </cell>
          <cell r="C1973">
            <v>112</v>
          </cell>
          <cell r="D1973">
            <v>8</v>
          </cell>
          <cell r="F1973" t="str">
            <v>熊本</v>
          </cell>
          <cell r="G1973" t="str">
            <v>空調機設備保守</v>
          </cell>
          <cell r="H1973" t="str">
            <v>日本空調サービス</v>
          </cell>
          <cell r="I1973">
            <v>230500</v>
          </cell>
          <cell r="J1973">
            <v>246450</v>
          </cell>
          <cell r="K1973">
            <v>2</v>
          </cell>
          <cell r="L1973">
            <v>0</v>
          </cell>
          <cell r="M1973">
            <v>0</v>
          </cell>
          <cell r="N1973">
            <v>0</v>
          </cell>
          <cell r="O1973">
            <v>246450</v>
          </cell>
          <cell r="P1973">
            <v>0</v>
          </cell>
          <cell r="Q1973">
            <v>0</v>
          </cell>
          <cell r="R1973">
            <v>0</v>
          </cell>
          <cell r="S1973">
            <v>0</v>
          </cell>
          <cell r="T1973">
            <v>0</v>
          </cell>
          <cell r="U1973">
            <v>246450</v>
          </cell>
          <cell r="V1973">
            <v>0</v>
          </cell>
          <cell r="W1973">
            <v>0</v>
          </cell>
          <cell r="X1973" t="str">
            <v/>
          </cell>
          <cell r="Y1973" t="str">
            <v/>
          </cell>
          <cell r="Z1973" t="str">
            <v/>
          </cell>
          <cell r="AA1973" t="str">
            <v>⑦</v>
          </cell>
          <cell r="AB1973" t="str">
            <v/>
          </cell>
          <cell r="AC1973" t="str">
            <v/>
          </cell>
          <cell r="AD1973" t="str">
            <v/>
          </cell>
          <cell r="AE1973" t="str">
            <v/>
          </cell>
          <cell r="AF1973" t="str">
            <v/>
          </cell>
          <cell r="AG1973" t="str">
            <v>①</v>
          </cell>
          <cell r="AH1973" t="str">
            <v/>
          </cell>
          <cell r="AI1973" t="str">
            <v/>
          </cell>
          <cell r="AJ1973" t="str">
            <v>変</v>
          </cell>
        </row>
        <row r="1974">
          <cell r="B1974">
            <v>11209</v>
          </cell>
          <cell r="C1974">
            <v>112</v>
          </cell>
          <cell r="D1974">
            <v>9</v>
          </cell>
          <cell r="F1974" t="str">
            <v>熊本</v>
          </cell>
          <cell r="G1974" t="str">
            <v>外調機ﾛｰﾙﾌｨﾙﾀｰ交換</v>
          </cell>
          <cell r="H1974" t="str">
            <v>日本空調サービス</v>
          </cell>
          <cell r="I1974">
            <v>70000</v>
          </cell>
          <cell r="J1974">
            <v>80500</v>
          </cell>
          <cell r="K1974">
            <v>1</v>
          </cell>
          <cell r="L1974">
            <v>0</v>
          </cell>
          <cell r="M1974">
            <v>0</v>
          </cell>
          <cell r="N1974">
            <v>0</v>
          </cell>
          <cell r="O1974">
            <v>0</v>
          </cell>
          <cell r="P1974">
            <v>0</v>
          </cell>
          <cell r="Q1974">
            <v>0</v>
          </cell>
          <cell r="R1974">
            <v>0</v>
          </cell>
          <cell r="S1974">
            <v>0</v>
          </cell>
          <cell r="T1974">
            <v>0</v>
          </cell>
          <cell r="U1974">
            <v>0</v>
          </cell>
          <cell r="V1974">
            <v>0</v>
          </cell>
          <cell r="W1974">
            <v>80500</v>
          </cell>
          <cell r="X1974" t="str">
            <v/>
          </cell>
          <cell r="Y1974" t="str">
            <v/>
          </cell>
          <cell r="Z1974" t="str">
            <v/>
          </cell>
          <cell r="AA1974" t="str">
            <v/>
          </cell>
          <cell r="AB1974" t="str">
            <v/>
          </cell>
          <cell r="AC1974" t="str">
            <v/>
          </cell>
          <cell r="AD1974" t="str">
            <v/>
          </cell>
          <cell r="AE1974" t="str">
            <v/>
          </cell>
          <cell r="AF1974" t="str">
            <v/>
          </cell>
          <cell r="AG1974" t="str">
            <v/>
          </cell>
          <cell r="AH1974" t="str">
            <v/>
          </cell>
          <cell r="AI1974" t="str">
            <v>③</v>
          </cell>
          <cell r="AJ1974" t="str">
            <v>追</v>
          </cell>
        </row>
        <row r="1975">
          <cell r="B1975">
            <v>11210</v>
          </cell>
          <cell r="C1975">
            <v>112</v>
          </cell>
          <cell r="D1975">
            <v>10</v>
          </cell>
          <cell r="F1975" t="str">
            <v>熊本</v>
          </cell>
          <cell r="G1975" t="str">
            <v>ピーマックﾌｨﾙﾀｰ取替</v>
          </cell>
          <cell r="H1975" t="str">
            <v>日本空調サービス</v>
          </cell>
          <cell r="I1975">
            <v>280000</v>
          </cell>
          <cell r="J1975">
            <v>322000</v>
          </cell>
          <cell r="K1975">
            <v>1</v>
          </cell>
          <cell r="L1975">
            <v>322000</v>
          </cell>
          <cell r="M1975">
            <v>0</v>
          </cell>
          <cell r="N1975">
            <v>0</v>
          </cell>
          <cell r="O1975">
            <v>0</v>
          </cell>
          <cell r="P1975">
            <v>0</v>
          </cell>
          <cell r="Q1975">
            <v>0</v>
          </cell>
          <cell r="R1975">
            <v>0</v>
          </cell>
          <cell r="S1975">
            <v>0</v>
          </cell>
          <cell r="T1975">
            <v>0</v>
          </cell>
          <cell r="U1975">
            <v>0</v>
          </cell>
          <cell r="V1975">
            <v>0</v>
          </cell>
          <cell r="W1975">
            <v>0</v>
          </cell>
          <cell r="X1975" t="str">
            <v>④</v>
          </cell>
          <cell r="Y1975" t="str">
            <v/>
          </cell>
          <cell r="Z1975" t="str">
            <v/>
          </cell>
          <cell r="AA1975" t="str">
            <v/>
          </cell>
          <cell r="AB1975" t="str">
            <v/>
          </cell>
          <cell r="AC1975" t="str">
            <v/>
          </cell>
          <cell r="AD1975" t="str">
            <v/>
          </cell>
          <cell r="AE1975" t="str">
            <v/>
          </cell>
          <cell r="AF1975" t="str">
            <v/>
          </cell>
          <cell r="AG1975" t="str">
            <v/>
          </cell>
          <cell r="AH1975" t="str">
            <v/>
          </cell>
          <cell r="AI1975" t="str">
            <v/>
          </cell>
          <cell r="AJ1975" t="str">
            <v>追</v>
          </cell>
        </row>
        <row r="1976">
          <cell r="B1976">
            <v>11211</v>
          </cell>
          <cell r="C1976">
            <v>112</v>
          </cell>
          <cell r="D1976">
            <v>11</v>
          </cell>
          <cell r="F1976" t="str">
            <v>熊本</v>
          </cell>
          <cell r="G1976" t="str">
            <v>シャッター設備点検整備</v>
          </cell>
          <cell r="H1976" t="str">
            <v>文化シャッターサービス</v>
          </cell>
          <cell r="I1976">
            <v>152000</v>
          </cell>
          <cell r="J1976">
            <v>174800</v>
          </cell>
          <cell r="K1976">
            <v>1</v>
          </cell>
          <cell r="L1976">
            <v>0</v>
          </cell>
          <cell r="M1976">
            <v>0</v>
          </cell>
          <cell r="N1976">
            <v>0</v>
          </cell>
          <cell r="O1976">
            <v>0</v>
          </cell>
          <cell r="P1976">
            <v>0</v>
          </cell>
          <cell r="Q1976">
            <v>0</v>
          </cell>
          <cell r="R1976">
            <v>174800</v>
          </cell>
          <cell r="S1976">
            <v>0</v>
          </cell>
          <cell r="T1976">
            <v>0</v>
          </cell>
          <cell r="U1976">
            <v>0</v>
          </cell>
          <cell r="V1976">
            <v>0</v>
          </cell>
          <cell r="W1976">
            <v>0</v>
          </cell>
          <cell r="X1976" t="str">
            <v/>
          </cell>
          <cell r="Y1976" t="str">
            <v/>
          </cell>
          <cell r="Z1976" t="str">
            <v/>
          </cell>
          <cell r="AA1976" t="str">
            <v/>
          </cell>
          <cell r="AB1976" t="str">
            <v/>
          </cell>
          <cell r="AC1976" t="str">
            <v/>
          </cell>
          <cell r="AD1976" t="str">
            <v>⑩</v>
          </cell>
          <cell r="AE1976" t="str">
            <v/>
          </cell>
          <cell r="AF1976" t="str">
            <v/>
          </cell>
          <cell r="AG1976" t="str">
            <v/>
          </cell>
          <cell r="AH1976" t="str">
            <v/>
          </cell>
          <cell r="AI1976" t="str">
            <v/>
          </cell>
          <cell r="AJ1976" t="str">
            <v>追</v>
          </cell>
        </row>
        <row r="1977">
          <cell r="B1977">
            <v>11212</v>
          </cell>
          <cell r="C1977">
            <v>112</v>
          </cell>
          <cell r="D1977">
            <v>12</v>
          </cell>
          <cell r="F1977" t="str">
            <v>熊本</v>
          </cell>
          <cell r="G1977" t="str">
            <v>ボイラー設備点検･整備</v>
          </cell>
          <cell r="H1977" t="str">
            <v>テンテック</v>
          </cell>
          <cell r="I1977">
            <v>36000</v>
          </cell>
          <cell r="J1977">
            <v>41400</v>
          </cell>
          <cell r="K1977">
            <v>1</v>
          </cell>
          <cell r="L1977">
            <v>0</v>
          </cell>
          <cell r="M1977">
            <v>0</v>
          </cell>
          <cell r="N1977">
            <v>0</v>
          </cell>
          <cell r="O1977">
            <v>0</v>
          </cell>
          <cell r="P1977">
            <v>0</v>
          </cell>
          <cell r="Q1977">
            <v>0</v>
          </cell>
          <cell r="R1977">
            <v>41400</v>
          </cell>
          <cell r="S1977">
            <v>0</v>
          </cell>
          <cell r="T1977">
            <v>0</v>
          </cell>
          <cell r="U1977">
            <v>0</v>
          </cell>
          <cell r="V1977">
            <v>0</v>
          </cell>
          <cell r="W1977">
            <v>0</v>
          </cell>
          <cell r="X1977" t="str">
            <v/>
          </cell>
          <cell r="Y1977" t="str">
            <v/>
          </cell>
          <cell r="Z1977" t="str">
            <v/>
          </cell>
          <cell r="AA1977" t="str">
            <v/>
          </cell>
          <cell r="AB1977" t="str">
            <v/>
          </cell>
          <cell r="AC1977" t="str">
            <v/>
          </cell>
          <cell r="AD1977" t="str">
            <v>⑩</v>
          </cell>
          <cell r="AE1977" t="str">
            <v/>
          </cell>
          <cell r="AF1977" t="str">
            <v/>
          </cell>
          <cell r="AG1977" t="str">
            <v/>
          </cell>
          <cell r="AH1977" t="str">
            <v/>
          </cell>
          <cell r="AI1977" t="str">
            <v/>
          </cell>
          <cell r="AJ1977" t="str">
            <v>追</v>
          </cell>
        </row>
        <row r="1978">
          <cell r="B1978">
            <v>11213</v>
          </cell>
          <cell r="C1978">
            <v>112</v>
          </cell>
          <cell r="D1978">
            <v>13</v>
          </cell>
          <cell r="F1978" t="str">
            <v>熊本</v>
          </cell>
          <cell r="G1978" t="str">
            <v>冷却塔点検整備</v>
          </cell>
          <cell r="H1978" t="str">
            <v>テンテック</v>
          </cell>
          <cell r="I1978">
            <v>132000</v>
          </cell>
          <cell r="J1978">
            <v>151800</v>
          </cell>
          <cell r="K1978">
            <v>1</v>
          </cell>
          <cell r="L1978">
            <v>151800</v>
          </cell>
          <cell r="M1978">
            <v>0</v>
          </cell>
          <cell r="N1978">
            <v>0</v>
          </cell>
          <cell r="O1978">
            <v>0</v>
          </cell>
          <cell r="P1978">
            <v>0</v>
          </cell>
          <cell r="Q1978">
            <v>0</v>
          </cell>
          <cell r="R1978">
            <v>0</v>
          </cell>
          <cell r="S1978">
            <v>0</v>
          </cell>
          <cell r="T1978">
            <v>0</v>
          </cell>
          <cell r="U1978">
            <v>0</v>
          </cell>
          <cell r="V1978">
            <v>0</v>
          </cell>
          <cell r="W1978">
            <v>0</v>
          </cell>
          <cell r="X1978" t="str">
            <v>④</v>
          </cell>
          <cell r="Y1978" t="str">
            <v/>
          </cell>
          <cell r="Z1978" t="str">
            <v/>
          </cell>
          <cell r="AA1978" t="str">
            <v/>
          </cell>
          <cell r="AB1978" t="str">
            <v/>
          </cell>
          <cell r="AC1978" t="str">
            <v/>
          </cell>
          <cell r="AD1978" t="str">
            <v/>
          </cell>
          <cell r="AE1978" t="str">
            <v/>
          </cell>
          <cell r="AF1978" t="str">
            <v/>
          </cell>
          <cell r="AG1978" t="str">
            <v/>
          </cell>
          <cell r="AH1978" t="str">
            <v/>
          </cell>
          <cell r="AI1978" t="str">
            <v/>
          </cell>
          <cell r="AJ1978" t="str">
            <v>追</v>
          </cell>
        </row>
        <row r="1979">
          <cell r="B1979">
            <v>11214</v>
          </cell>
          <cell r="C1979">
            <v>112</v>
          </cell>
          <cell r="D1979">
            <v>14</v>
          </cell>
          <cell r="F1979" t="str">
            <v>熊本</v>
          </cell>
          <cell r="G1979" t="str">
            <v>電気湯沸器点検整備</v>
          </cell>
          <cell r="H1979" t="str">
            <v>九州ｲﾄﾐｯｸ</v>
          </cell>
          <cell r="I1979">
            <v>70000</v>
          </cell>
          <cell r="J1979">
            <v>80500</v>
          </cell>
          <cell r="K1979">
            <v>1</v>
          </cell>
          <cell r="L1979">
            <v>0</v>
          </cell>
          <cell r="M1979">
            <v>0</v>
          </cell>
          <cell r="N1979">
            <v>0</v>
          </cell>
          <cell r="O1979">
            <v>0</v>
          </cell>
          <cell r="P1979">
            <v>0</v>
          </cell>
          <cell r="Q1979">
            <v>0</v>
          </cell>
          <cell r="R1979">
            <v>0</v>
          </cell>
          <cell r="S1979">
            <v>0</v>
          </cell>
          <cell r="T1979">
            <v>80500</v>
          </cell>
          <cell r="U1979">
            <v>0</v>
          </cell>
          <cell r="V1979">
            <v>0</v>
          </cell>
          <cell r="W1979">
            <v>0</v>
          </cell>
          <cell r="X1979" t="str">
            <v/>
          </cell>
          <cell r="Y1979" t="str">
            <v/>
          </cell>
          <cell r="Z1979" t="str">
            <v/>
          </cell>
          <cell r="AA1979" t="str">
            <v/>
          </cell>
          <cell r="AB1979" t="str">
            <v/>
          </cell>
          <cell r="AC1979" t="str">
            <v/>
          </cell>
          <cell r="AD1979" t="str">
            <v/>
          </cell>
          <cell r="AE1979" t="str">
            <v/>
          </cell>
          <cell r="AF1979" t="str">
            <v>⑫</v>
          </cell>
          <cell r="AG1979" t="str">
            <v/>
          </cell>
          <cell r="AH1979" t="str">
            <v/>
          </cell>
          <cell r="AI1979" t="str">
            <v/>
          </cell>
          <cell r="AJ1979" t="str">
            <v>追</v>
          </cell>
        </row>
        <row r="1980">
          <cell r="B1980">
            <v>11301</v>
          </cell>
          <cell r="C1980">
            <v>113</v>
          </cell>
          <cell r="D1980">
            <v>1</v>
          </cell>
          <cell r="F1980" t="str">
            <v>八代</v>
          </cell>
          <cell r="G1980" t="str">
            <v>自動ドアー保守</v>
          </cell>
          <cell r="H1980" t="str">
            <v>ナブコ</v>
          </cell>
          <cell r="I1980">
            <v>70000</v>
          </cell>
          <cell r="J1980">
            <v>71400</v>
          </cell>
          <cell r="K1980">
            <v>1</v>
          </cell>
          <cell r="L1980">
            <v>0</v>
          </cell>
          <cell r="M1980">
            <v>0</v>
          </cell>
          <cell r="N1980">
            <v>0</v>
          </cell>
          <cell r="O1980">
            <v>0</v>
          </cell>
          <cell r="P1980">
            <v>0</v>
          </cell>
          <cell r="Q1980">
            <v>0</v>
          </cell>
          <cell r="R1980">
            <v>0</v>
          </cell>
          <cell r="S1980">
            <v>0</v>
          </cell>
          <cell r="T1980">
            <v>0</v>
          </cell>
          <cell r="U1980">
            <v>0</v>
          </cell>
          <cell r="V1980">
            <v>0</v>
          </cell>
          <cell r="W1980">
            <v>71400</v>
          </cell>
          <cell r="X1980" t="str">
            <v/>
          </cell>
          <cell r="Y1980" t="str">
            <v/>
          </cell>
          <cell r="Z1980" t="str">
            <v/>
          </cell>
          <cell r="AA1980" t="str">
            <v/>
          </cell>
          <cell r="AB1980" t="str">
            <v/>
          </cell>
          <cell r="AC1980" t="str">
            <v/>
          </cell>
          <cell r="AD1980" t="str">
            <v/>
          </cell>
          <cell r="AE1980" t="str">
            <v/>
          </cell>
          <cell r="AF1980" t="str">
            <v/>
          </cell>
          <cell r="AG1980" t="str">
            <v/>
          </cell>
          <cell r="AH1980" t="str">
            <v/>
          </cell>
          <cell r="AI1980" t="str">
            <v>③</v>
          </cell>
        </row>
        <row r="1981">
          <cell r="B1981">
            <v>11401</v>
          </cell>
          <cell r="C1981">
            <v>114</v>
          </cell>
          <cell r="D1981">
            <v>1</v>
          </cell>
          <cell r="F1981" t="str">
            <v>大分</v>
          </cell>
          <cell r="G1981" t="str">
            <v>立体駐車場装置保守</v>
          </cell>
          <cell r="H1981" t="str">
            <v>三菱重工ﾊﾟｰｷﾝｸﾞ建設</v>
          </cell>
          <cell r="I1981">
            <v>204000</v>
          </cell>
          <cell r="J1981">
            <v>208080</v>
          </cell>
          <cell r="K1981">
            <v>12</v>
          </cell>
          <cell r="L1981">
            <v>208080</v>
          </cell>
          <cell r="M1981">
            <v>208080</v>
          </cell>
          <cell r="N1981">
            <v>208080</v>
          </cell>
          <cell r="O1981">
            <v>208080</v>
          </cell>
          <cell r="P1981">
            <v>208080</v>
          </cell>
          <cell r="Q1981">
            <v>208080</v>
          </cell>
          <cell r="R1981">
            <v>208080</v>
          </cell>
          <cell r="S1981">
            <v>208080</v>
          </cell>
          <cell r="T1981">
            <v>208080</v>
          </cell>
          <cell r="U1981">
            <v>208080</v>
          </cell>
          <cell r="V1981">
            <v>208080</v>
          </cell>
          <cell r="W1981">
            <v>208080</v>
          </cell>
          <cell r="X1981" t="str">
            <v>④</v>
          </cell>
          <cell r="Y1981" t="str">
            <v>⑤</v>
          </cell>
          <cell r="Z1981" t="str">
            <v>⑥</v>
          </cell>
          <cell r="AA1981" t="str">
            <v>⑦</v>
          </cell>
          <cell r="AB1981" t="str">
            <v>⑧</v>
          </cell>
          <cell r="AC1981" t="str">
            <v>⑨</v>
          </cell>
          <cell r="AD1981" t="str">
            <v>⑩</v>
          </cell>
          <cell r="AE1981" t="str">
            <v>⑪</v>
          </cell>
          <cell r="AF1981" t="str">
            <v>⑫</v>
          </cell>
          <cell r="AG1981" t="str">
            <v>①</v>
          </cell>
          <cell r="AH1981" t="str">
            <v>②</v>
          </cell>
          <cell r="AI1981" t="str">
            <v>③</v>
          </cell>
        </row>
        <row r="1982">
          <cell r="B1982">
            <v>11402</v>
          </cell>
          <cell r="C1982">
            <v>114</v>
          </cell>
          <cell r="D1982">
            <v>2</v>
          </cell>
          <cell r="F1982" t="str">
            <v>大分</v>
          </cell>
          <cell r="G1982" t="str">
            <v>エレベーター保守</v>
          </cell>
          <cell r="H1982" t="str">
            <v>三菱電機ﾋﾞﾙﾃｸﾉｻｰﾋﾞｽ</v>
          </cell>
          <cell r="I1982">
            <v>138800</v>
          </cell>
          <cell r="J1982">
            <v>141576</v>
          </cell>
          <cell r="K1982">
            <v>12</v>
          </cell>
          <cell r="L1982">
            <v>141576</v>
          </cell>
          <cell r="M1982">
            <v>141576</v>
          </cell>
          <cell r="N1982">
            <v>141576</v>
          </cell>
          <cell r="O1982">
            <v>141576</v>
          </cell>
          <cell r="P1982">
            <v>141576</v>
          </cell>
          <cell r="Q1982">
            <v>141576</v>
          </cell>
          <cell r="R1982">
            <v>141576</v>
          </cell>
          <cell r="S1982">
            <v>141576</v>
          </cell>
          <cell r="T1982">
            <v>141576</v>
          </cell>
          <cell r="U1982">
            <v>141576</v>
          </cell>
          <cell r="V1982">
            <v>141576</v>
          </cell>
          <cell r="W1982">
            <v>141576</v>
          </cell>
          <cell r="X1982" t="str">
            <v>④</v>
          </cell>
          <cell r="Y1982" t="str">
            <v>⑤</v>
          </cell>
          <cell r="Z1982" t="str">
            <v>⑥</v>
          </cell>
          <cell r="AA1982" t="str">
            <v>⑦</v>
          </cell>
          <cell r="AB1982" t="str">
            <v>⑧</v>
          </cell>
          <cell r="AC1982" t="str">
            <v>⑨</v>
          </cell>
          <cell r="AD1982" t="str">
            <v>⑩</v>
          </cell>
          <cell r="AE1982" t="str">
            <v>⑪</v>
          </cell>
          <cell r="AF1982" t="str">
            <v>⑫</v>
          </cell>
          <cell r="AG1982" t="str">
            <v>①</v>
          </cell>
          <cell r="AH1982" t="str">
            <v>②</v>
          </cell>
          <cell r="AI1982" t="str">
            <v>③</v>
          </cell>
        </row>
        <row r="1983">
          <cell r="B1983">
            <v>11403</v>
          </cell>
          <cell r="C1983">
            <v>114</v>
          </cell>
          <cell r="D1983">
            <v>3</v>
          </cell>
          <cell r="F1983" t="str">
            <v>大分</v>
          </cell>
          <cell r="G1983" t="str">
            <v>消防設備点検保守</v>
          </cell>
          <cell r="H1983" t="str">
            <v>西日本綜合ﾒﾝﾃﾅﾝｽ</v>
          </cell>
          <cell r="I1983">
            <v>348000</v>
          </cell>
          <cell r="J1983">
            <v>368280</v>
          </cell>
          <cell r="K1983">
            <v>2</v>
          </cell>
          <cell r="L1983">
            <v>0</v>
          </cell>
          <cell r="M1983">
            <v>368280</v>
          </cell>
          <cell r="N1983">
            <v>0</v>
          </cell>
          <cell r="O1983">
            <v>0</v>
          </cell>
          <cell r="P1983">
            <v>0</v>
          </cell>
          <cell r="Q1983">
            <v>0</v>
          </cell>
          <cell r="R1983">
            <v>0</v>
          </cell>
          <cell r="S1983">
            <v>368280</v>
          </cell>
          <cell r="T1983">
            <v>0</v>
          </cell>
          <cell r="U1983">
            <v>0</v>
          </cell>
          <cell r="V1983">
            <v>0</v>
          </cell>
          <cell r="W1983">
            <v>0</v>
          </cell>
          <cell r="X1983" t="str">
            <v/>
          </cell>
          <cell r="Y1983" t="str">
            <v>⑤</v>
          </cell>
          <cell r="Z1983" t="str">
            <v/>
          </cell>
          <cell r="AA1983" t="str">
            <v/>
          </cell>
          <cell r="AB1983" t="str">
            <v/>
          </cell>
          <cell r="AC1983" t="str">
            <v/>
          </cell>
          <cell r="AD1983" t="str">
            <v/>
          </cell>
          <cell r="AE1983" t="str">
            <v>⑪</v>
          </cell>
          <cell r="AF1983" t="str">
            <v/>
          </cell>
          <cell r="AG1983" t="str">
            <v/>
          </cell>
          <cell r="AH1983" t="str">
            <v/>
          </cell>
          <cell r="AI1983" t="str">
            <v/>
          </cell>
          <cell r="AJ1983" t="str">
            <v>変</v>
          </cell>
        </row>
        <row r="1984">
          <cell r="B1984">
            <v>11404</v>
          </cell>
          <cell r="C1984">
            <v>114</v>
          </cell>
          <cell r="D1984">
            <v>4</v>
          </cell>
          <cell r="F1984" t="str">
            <v>大分</v>
          </cell>
          <cell r="G1984" t="str">
            <v>害虫駆除</v>
          </cell>
          <cell r="H1984" t="str">
            <v>西日本綜合ﾒﾝﾃﾅﾝｽ</v>
          </cell>
          <cell r="I1984">
            <v>90000</v>
          </cell>
          <cell r="J1984">
            <v>104200</v>
          </cell>
          <cell r="K1984">
            <v>2</v>
          </cell>
          <cell r="L1984">
            <v>0</v>
          </cell>
          <cell r="M1984">
            <v>0</v>
          </cell>
          <cell r="N1984">
            <v>104200</v>
          </cell>
          <cell r="O1984">
            <v>0</v>
          </cell>
          <cell r="P1984">
            <v>0</v>
          </cell>
          <cell r="Q1984">
            <v>0</v>
          </cell>
          <cell r="R1984">
            <v>0</v>
          </cell>
          <cell r="S1984">
            <v>104200</v>
          </cell>
          <cell r="T1984">
            <v>0</v>
          </cell>
          <cell r="U1984">
            <v>0</v>
          </cell>
          <cell r="V1984">
            <v>0</v>
          </cell>
          <cell r="W1984">
            <v>0</v>
          </cell>
          <cell r="X1984" t="str">
            <v/>
          </cell>
          <cell r="Y1984" t="str">
            <v/>
          </cell>
          <cell r="Z1984" t="str">
            <v>⑥</v>
          </cell>
          <cell r="AA1984" t="str">
            <v/>
          </cell>
          <cell r="AB1984" t="str">
            <v/>
          </cell>
          <cell r="AC1984" t="str">
            <v/>
          </cell>
          <cell r="AD1984" t="str">
            <v/>
          </cell>
          <cell r="AE1984" t="str">
            <v>⑪</v>
          </cell>
          <cell r="AF1984" t="str">
            <v/>
          </cell>
          <cell r="AG1984" t="str">
            <v/>
          </cell>
          <cell r="AH1984" t="str">
            <v/>
          </cell>
          <cell r="AI1984" t="str">
            <v/>
          </cell>
          <cell r="AJ1984" t="str">
            <v>変</v>
          </cell>
        </row>
        <row r="1985">
          <cell r="B1985">
            <v>11405</v>
          </cell>
          <cell r="C1985">
            <v>114</v>
          </cell>
          <cell r="D1985">
            <v>5</v>
          </cell>
          <cell r="F1985" t="str">
            <v>大分</v>
          </cell>
          <cell r="G1985" t="str">
            <v>貯水槽清掃</v>
          </cell>
          <cell r="H1985" t="str">
            <v>西日本綜合ﾒﾝﾃﾅﾝｽ</v>
          </cell>
          <cell r="I1985">
            <v>80000</v>
          </cell>
          <cell r="J1985">
            <v>98450</v>
          </cell>
          <cell r="K1985">
            <v>1</v>
          </cell>
          <cell r="L1985">
            <v>0</v>
          </cell>
          <cell r="M1985">
            <v>0</v>
          </cell>
          <cell r="N1985">
            <v>98450</v>
          </cell>
          <cell r="O1985">
            <v>0</v>
          </cell>
          <cell r="P1985">
            <v>0</v>
          </cell>
          <cell r="Q1985">
            <v>0</v>
          </cell>
          <cell r="R1985">
            <v>0</v>
          </cell>
          <cell r="S1985">
            <v>0</v>
          </cell>
          <cell r="T1985">
            <v>0</v>
          </cell>
          <cell r="U1985">
            <v>0</v>
          </cell>
          <cell r="V1985">
            <v>0</v>
          </cell>
          <cell r="W1985">
            <v>0</v>
          </cell>
          <cell r="X1985" t="str">
            <v/>
          </cell>
          <cell r="Y1985" t="str">
            <v/>
          </cell>
          <cell r="Z1985" t="str">
            <v>⑥</v>
          </cell>
          <cell r="AA1985" t="str">
            <v/>
          </cell>
          <cell r="AB1985" t="str">
            <v/>
          </cell>
          <cell r="AC1985" t="str">
            <v/>
          </cell>
          <cell r="AD1985" t="str">
            <v/>
          </cell>
          <cell r="AE1985" t="str">
            <v/>
          </cell>
          <cell r="AF1985" t="str">
            <v/>
          </cell>
          <cell r="AG1985" t="str">
            <v/>
          </cell>
          <cell r="AH1985" t="str">
            <v/>
          </cell>
          <cell r="AI1985" t="str">
            <v/>
          </cell>
          <cell r="AJ1985" t="str">
            <v>変</v>
          </cell>
        </row>
        <row r="1986">
          <cell r="B1986">
            <v>11406</v>
          </cell>
          <cell r="C1986">
            <v>114</v>
          </cell>
          <cell r="D1986">
            <v>6</v>
          </cell>
          <cell r="F1986" t="str">
            <v>大分</v>
          </cell>
          <cell r="G1986" t="str">
            <v>自動ドアー保守</v>
          </cell>
          <cell r="H1986" t="str">
            <v>大分ナブコ</v>
          </cell>
          <cell r="I1986">
            <v>111000</v>
          </cell>
          <cell r="J1986">
            <v>113220</v>
          </cell>
          <cell r="K1986">
            <v>1</v>
          </cell>
          <cell r="L1986">
            <v>0</v>
          </cell>
          <cell r="M1986">
            <v>113220</v>
          </cell>
          <cell r="N1986">
            <v>0</v>
          </cell>
          <cell r="O1986">
            <v>0</v>
          </cell>
          <cell r="P1986">
            <v>0</v>
          </cell>
          <cell r="Q1986">
            <v>0</v>
          </cell>
          <cell r="R1986">
            <v>0</v>
          </cell>
          <cell r="S1986">
            <v>0</v>
          </cell>
          <cell r="T1986">
            <v>0</v>
          </cell>
          <cell r="U1986">
            <v>0</v>
          </cell>
          <cell r="V1986">
            <v>0</v>
          </cell>
          <cell r="W1986">
            <v>0</v>
          </cell>
          <cell r="X1986" t="str">
            <v/>
          </cell>
          <cell r="Y1986" t="str">
            <v>⑤</v>
          </cell>
          <cell r="Z1986" t="str">
            <v/>
          </cell>
          <cell r="AA1986" t="str">
            <v/>
          </cell>
          <cell r="AB1986" t="str">
            <v/>
          </cell>
          <cell r="AC1986" t="str">
            <v/>
          </cell>
          <cell r="AD1986" t="str">
            <v/>
          </cell>
          <cell r="AE1986" t="str">
            <v/>
          </cell>
          <cell r="AF1986" t="str">
            <v/>
          </cell>
          <cell r="AG1986" t="str">
            <v/>
          </cell>
          <cell r="AH1986" t="str">
            <v/>
          </cell>
          <cell r="AI1986" t="str">
            <v/>
          </cell>
        </row>
        <row r="1987">
          <cell r="B1987">
            <v>11407</v>
          </cell>
          <cell r="C1987">
            <v>114</v>
          </cell>
          <cell r="D1987">
            <v>7</v>
          </cell>
          <cell r="F1987" t="str">
            <v>大分</v>
          </cell>
          <cell r="G1987" t="str">
            <v>空調機設備保守</v>
          </cell>
          <cell r="H1987" t="str">
            <v>菱熱</v>
          </cell>
          <cell r="I1987">
            <v>393000</v>
          </cell>
          <cell r="J1987">
            <v>412620</v>
          </cell>
          <cell r="K1987">
            <v>2</v>
          </cell>
          <cell r="L1987">
            <v>0</v>
          </cell>
          <cell r="M1987">
            <v>0</v>
          </cell>
          <cell r="N1987">
            <v>0</v>
          </cell>
          <cell r="O1987">
            <v>412620</v>
          </cell>
          <cell r="P1987">
            <v>0</v>
          </cell>
          <cell r="Q1987">
            <v>0</v>
          </cell>
          <cell r="R1987">
            <v>0</v>
          </cell>
          <cell r="S1987">
            <v>0</v>
          </cell>
          <cell r="T1987">
            <v>0</v>
          </cell>
          <cell r="U1987">
            <v>412620</v>
          </cell>
          <cell r="V1987">
            <v>0</v>
          </cell>
          <cell r="W1987">
            <v>0</v>
          </cell>
          <cell r="AA1987" t="str">
            <v>⑦</v>
          </cell>
          <cell r="AG1987" t="str">
            <v>①</v>
          </cell>
          <cell r="AJ1987" t="str">
            <v>変</v>
          </cell>
        </row>
        <row r="1988">
          <cell r="B1988">
            <v>11408</v>
          </cell>
          <cell r="C1988">
            <v>114</v>
          </cell>
          <cell r="D1988">
            <v>8</v>
          </cell>
          <cell r="F1988" t="str">
            <v>大分</v>
          </cell>
          <cell r="G1988" t="str">
            <v>マルチ系水質管理保守</v>
          </cell>
          <cell r="H1988" t="str">
            <v>日本空調サービス</v>
          </cell>
          <cell r="I1988">
            <v>64000</v>
          </cell>
          <cell r="J1988">
            <v>65280</v>
          </cell>
          <cell r="K1988">
            <v>2</v>
          </cell>
          <cell r="L1988">
            <v>0</v>
          </cell>
          <cell r="M1988">
            <v>0</v>
          </cell>
          <cell r="N1988">
            <v>0</v>
          </cell>
          <cell r="O1988">
            <v>0</v>
          </cell>
          <cell r="P1988">
            <v>0</v>
          </cell>
          <cell r="Q1988">
            <v>65280</v>
          </cell>
          <cell r="R1988">
            <v>0</v>
          </cell>
          <cell r="S1988">
            <v>0</v>
          </cell>
          <cell r="T1988">
            <v>0</v>
          </cell>
          <cell r="U1988">
            <v>0</v>
          </cell>
          <cell r="V1988">
            <v>0</v>
          </cell>
          <cell r="W1988">
            <v>65280</v>
          </cell>
          <cell r="X1988" t="str">
            <v/>
          </cell>
          <cell r="Y1988" t="str">
            <v/>
          </cell>
          <cell r="Z1988" t="str">
            <v/>
          </cell>
          <cell r="AA1988" t="str">
            <v/>
          </cell>
          <cell r="AB1988" t="str">
            <v/>
          </cell>
          <cell r="AC1988" t="str">
            <v>⑨</v>
          </cell>
          <cell r="AD1988" t="str">
            <v/>
          </cell>
          <cell r="AE1988" t="str">
            <v/>
          </cell>
          <cell r="AF1988" t="str">
            <v/>
          </cell>
          <cell r="AG1988" t="str">
            <v/>
          </cell>
          <cell r="AH1988" t="str">
            <v/>
          </cell>
          <cell r="AI1988" t="str">
            <v>③</v>
          </cell>
        </row>
        <row r="1989">
          <cell r="B1989">
            <v>11409</v>
          </cell>
          <cell r="C1989">
            <v>114</v>
          </cell>
          <cell r="D1989">
            <v>9</v>
          </cell>
          <cell r="F1989" t="str">
            <v>大分</v>
          </cell>
          <cell r="G1989" t="str">
            <v>電気集塵機点検･整備</v>
          </cell>
          <cell r="H1989" t="str">
            <v>㈱菱熱</v>
          </cell>
          <cell r="I1989">
            <v>120000</v>
          </cell>
          <cell r="J1989">
            <v>138000</v>
          </cell>
          <cell r="K1989">
            <v>1</v>
          </cell>
          <cell r="L1989">
            <v>0</v>
          </cell>
          <cell r="M1989">
            <v>0</v>
          </cell>
          <cell r="N1989">
            <v>0</v>
          </cell>
          <cell r="O1989">
            <v>0</v>
          </cell>
          <cell r="P1989">
            <v>0</v>
          </cell>
          <cell r="Q1989">
            <v>0</v>
          </cell>
          <cell r="R1989">
            <v>0</v>
          </cell>
          <cell r="S1989">
            <v>138000</v>
          </cell>
          <cell r="T1989">
            <v>0</v>
          </cell>
          <cell r="U1989">
            <v>0</v>
          </cell>
          <cell r="V1989">
            <v>0</v>
          </cell>
          <cell r="W1989">
            <v>0</v>
          </cell>
          <cell r="X1989" t="str">
            <v/>
          </cell>
          <cell r="Y1989" t="str">
            <v/>
          </cell>
          <cell r="Z1989" t="str">
            <v/>
          </cell>
          <cell r="AA1989" t="str">
            <v/>
          </cell>
          <cell r="AB1989" t="str">
            <v/>
          </cell>
          <cell r="AC1989" t="str">
            <v/>
          </cell>
          <cell r="AD1989" t="str">
            <v/>
          </cell>
          <cell r="AE1989" t="str">
            <v>⑪</v>
          </cell>
          <cell r="AF1989" t="str">
            <v/>
          </cell>
          <cell r="AG1989" t="str">
            <v/>
          </cell>
          <cell r="AH1989" t="str">
            <v/>
          </cell>
          <cell r="AI1989" t="str">
            <v/>
          </cell>
          <cell r="AJ1989" t="str">
            <v>追</v>
          </cell>
        </row>
        <row r="1990">
          <cell r="B1990">
            <v>11410</v>
          </cell>
          <cell r="C1990">
            <v>114</v>
          </cell>
          <cell r="D1990">
            <v>10</v>
          </cell>
          <cell r="F1990" t="str">
            <v>大分</v>
          </cell>
          <cell r="G1990" t="str">
            <v>湧水槽点検･整備･清掃</v>
          </cell>
          <cell r="H1990" t="str">
            <v>西日本綜合メンテナンス</v>
          </cell>
          <cell r="I1990">
            <v>120000</v>
          </cell>
          <cell r="J1990">
            <v>138000</v>
          </cell>
          <cell r="K1990">
            <v>1</v>
          </cell>
          <cell r="L1990">
            <v>0</v>
          </cell>
          <cell r="M1990">
            <v>0</v>
          </cell>
          <cell r="N1990">
            <v>0</v>
          </cell>
          <cell r="O1990">
            <v>0</v>
          </cell>
          <cell r="P1990">
            <v>0</v>
          </cell>
          <cell r="Q1990">
            <v>0</v>
          </cell>
          <cell r="R1990">
            <v>0</v>
          </cell>
          <cell r="S1990">
            <v>138000</v>
          </cell>
          <cell r="T1990">
            <v>0</v>
          </cell>
          <cell r="U1990">
            <v>0</v>
          </cell>
          <cell r="V1990">
            <v>0</v>
          </cell>
          <cell r="W1990">
            <v>0</v>
          </cell>
          <cell r="X1990" t="str">
            <v/>
          </cell>
          <cell r="Y1990" t="str">
            <v/>
          </cell>
          <cell r="Z1990" t="str">
            <v/>
          </cell>
          <cell r="AA1990" t="str">
            <v/>
          </cell>
          <cell r="AB1990" t="str">
            <v/>
          </cell>
          <cell r="AC1990" t="str">
            <v/>
          </cell>
          <cell r="AD1990" t="str">
            <v/>
          </cell>
          <cell r="AE1990" t="str">
            <v>⑪</v>
          </cell>
          <cell r="AF1990" t="str">
            <v/>
          </cell>
          <cell r="AG1990" t="str">
            <v/>
          </cell>
          <cell r="AH1990" t="str">
            <v/>
          </cell>
          <cell r="AI1990" t="str">
            <v/>
          </cell>
          <cell r="AJ1990" t="str">
            <v>追</v>
          </cell>
        </row>
        <row r="1991">
          <cell r="B1991">
            <v>11411</v>
          </cell>
          <cell r="C1991">
            <v>114</v>
          </cell>
          <cell r="D1991">
            <v>11</v>
          </cell>
          <cell r="F1991" t="str">
            <v>大分</v>
          </cell>
          <cell r="G1991" t="str">
            <v>シャッター設備点検整備</v>
          </cell>
          <cell r="H1991" t="str">
            <v>文化シャッター</v>
          </cell>
          <cell r="I1991">
            <v>125000</v>
          </cell>
          <cell r="J1991">
            <v>143750</v>
          </cell>
          <cell r="K1991">
            <v>1</v>
          </cell>
          <cell r="L1991">
            <v>0</v>
          </cell>
          <cell r="M1991">
            <v>0</v>
          </cell>
          <cell r="N1991">
            <v>0</v>
          </cell>
          <cell r="O1991">
            <v>0</v>
          </cell>
          <cell r="P1991">
            <v>0</v>
          </cell>
          <cell r="Q1991">
            <v>0</v>
          </cell>
          <cell r="R1991">
            <v>143750</v>
          </cell>
          <cell r="S1991">
            <v>0</v>
          </cell>
          <cell r="T1991">
            <v>0</v>
          </cell>
          <cell r="U1991">
            <v>0</v>
          </cell>
          <cell r="V1991">
            <v>0</v>
          </cell>
          <cell r="W1991">
            <v>0</v>
          </cell>
          <cell r="X1991" t="str">
            <v/>
          </cell>
          <cell r="Y1991" t="str">
            <v/>
          </cell>
          <cell r="Z1991" t="str">
            <v/>
          </cell>
          <cell r="AA1991" t="str">
            <v/>
          </cell>
          <cell r="AB1991" t="str">
            <v/>
          </cell>
          <cell r="AC1991" t="str">
            <v/>
          </cell>
          <cell r="AD1991" t="str">
            <v>⑩</v>
          </cell>
          <cell r="AE1991" t="str">
            <v/>
          </cell>
          <cell r="AF1991" t="str">
            <v/>
          </cell>
          <cell r="AG1991" t="str">
            <v/>
          </cell>
          <cell r="AH1991" t="str">
            <v/>
          </cell>
          <cell r="AI1991" t="str">
            <v/>
          </cell>
          <cell r="AJ1991" t="str">
            <v>追</v>
          </cell>
        </row>
        <row r="1992">
          <cell r="B1992">
            <v>11412</v>
          </cell>
          <cell r="C1992">
            <v>114</v>
          </cell>
          <cell r="D1992">
            <v>12</v>
          </cell>
          <cell r="F1992" t="str">
            <v>大分</v>
          </cell>
          <cell r="G1992" t="str">
            <v>ボイラー設備点検･整備</v>
          </cell>
          <cell r="H1992" t="str">
            <v>㈱菱熱</v>
          </cell>
          <cell r="I1992">
            <v>200000</v>
          </cell>
          <cell r="J1992">
            <v>230000</v>
          </cell>
          <cell r="K1992">
            <v>1</v>
          </cell>
          <cell r="L1992">
            <v>0</v>
          </cell>
          <cell r="M1992">
            <v>0</v>
          </cell>
          <cell r="N1992">
            <v>0</v>
          </cell>
          <cell r="O1992">
            <v>0</v>
          </cell>
          <cell r="P1992">
            <v>0</v>
          </cell>
          <cell r="Q1992">
            <v>0</v>
          </cell>
          <cell r="R1992">
            <v>0</v>
          </cell>
          <cell r="S1992">
            <v>230000</v>
          </cell>
          <cell r="T1992">
            <v>0</v>
          </cell>
          <cell r="U1992">
            <v>0</v>
          </cell>
          <cell r="V1992">
            <v>0</v>
          </cell>
          <cell r="W1992">
            <v>0</v>
          </cell>
          <cell r="X1992" t="str">
            <v/>
          </cell>
          <cell r="Y1992" t="str">
            <v/>
          </cell>
          <cell r="Z1992" t="str">
            <v/>
          </cell>
          <cell r="AA1992" t="str">
            <v/>
          </cell>
          <cell r="AB1992" t="str">
            <v/>
          </cell>
          <cell r="AC1992" t="str">
            <v/>
          </cell>
          <cell r="AD1992" t="str">
            <v/>
          </cell>
          <cell r="AE1992" t="str">
            <v>⑪</v>
          </cell>
          <cell r="AF1992" t="str">
            <v/>
          </cell>
          <cell r="AG1992" t="str">
            <v/>
          </cell>
          <cell r="AH1992" t="str">
            <v/>
          </cell>
          <cell r="AI1992" t="str">
            <v/>
          </cell>
          <cell r="AJ1992" t="str">
            <v>追</v>
          </cell>
        </row>
        <row r="1993">
          <cell r="B1993">
            <v>11413</v>
          </cell>
          <cell r="C1993">
            <v>114</v>
          </cell>
          <cell r="D1993">
            <v>13</v>
          </cell>
          <cell r="F1993" t="str">
            <v>大分</v>
          </cell>
          <cell r="G1993" t="str">
            <v>ﾛｰﾙフィルタ-取替</v>
          </cell>
          <cell r="H1993" t="str">
            <v>㈱菱熱</v>
          </cell>
          <cell r="I1993">
            <v>256000</v>
          </cell>
          <cell r="J1993">
            <v>294400</v>
          </cell>
          <cell r="K1993">
            <v>1</v>
          </cell>
          <cell r="L1993">
            <v>0</v>
          </cell>
          <cell r="M1993">
            <v>0</v>
          </cell>
          <cell r="N1993">
            <v>0</v>
          </cell>
          <cell r="O1993">
            <v>0</v>
          </cell>
          <cell r="P1993">
            <v>0</v>
          </cell>
          <cell r="Q1993">
            <v>0</v>
          </cell>
          <cell r="R1993">
            <v>0</v>
          </cell>
          <cell r="S1993">
            <v>294400</v>
          </cell>
          <cell r="T1993">
            <v>0</v>
          </cell>
          <cell r="U1993">
            <v>0</v>
          </cell>
          <cell r="V1993">
            <v>0</v>
          </cell>
          <cell r="W1993">
            <v>0</v>
          </cell>
          <cell r="X1993" t="str">
            <v/>
          </cell>
          <cell r="Y1993" t="str">
            <v/>
          </cell>
          <cell r="Z1993" t="str">
            <v/>
          </cell>
          <cell r="AA1993" t="str">
            <v/>
          </cell>
          <cell r="AB1993" t="str">
            <v/>
          </cell>
          <cell r="AC1993" t="str">
            <v/>
          </cell>
          <cell r="AD1993" t="str">
            <v/>
          </cell>
          <cell r="AE1993" t="str">
            <v>⑪</v>
          </cell>
          <cell r="AF1993" t="str">
            <v/>
          </cell>
          <cell r="AG1993" t="str">
            <v/>
          </cell>
          <cell r="AH1993" t="str">
            <v/>
          </cell>
          <cell r="AI1993" t="str">
            <v/>
          </cell>
          <cell r="AJ1993" t="str">
            <v>追</v>
          </cell>
        </row>
        <row r="1994">
          <cell r="B1994">
            <v>11414</v>
          </cell>
          <cell r="C1994">
            <v>114</v>
          </cell>
          <cell r="D1994">
            <v>14</v>
          </cell>
          <cell r="F1994" t="str">
            <v>大分</v>
          </cell>
          <cell r="G1994" t="str">
            <v>植栽管理</v>
          </cell>
          <cell r="H1994" t="str">
            <v>西日本綜合メンテナンス</v>
          </cell>
          <cell r="I1994">
            <v>70000</v>
          </cell>
          <cell r="J1994">
            <v>80500</v>
          </cell>
          <cell r="K1994">
            <v>1</v>
          </cell>
          <cell r="L1994">
            <v>0</v>
          </cell>
          <cell r="M1994">
            <v>80500</v>
          </cell>
          <cell r="N1994">
            <v>0</v>
          </cell>
          <cell r="O1994">
            <v>0</v>
          </cell>
          <cell r="P1994">
            <v>0</v>
          </cell>
          <cell r="Q1994">
            <v>0</v>
          </cell>
          <cell r="R1994">
            <v>0</v>
          </cell>
          <cell r="S1994">
            <v>0</v>
          </cell>
          <cell r="T1994">
            <v>0</v>
          </cell>
          <cell r="U1994">
            <v>0</v>
          </cell>
          <cell r="V1994">
            <v>0</v>
          </cell>
          <cell r="W1994">
            <v>0</v>
          </cell>
          <cell r="X1994" t="str">
            <v/>
          </cell>
          <cell r="Y1994" t="str">
            <v>⑤</v>
          </cell>
          <cell r="Z1994" t="str">
            <v/>
          </cell>
          <cell r="AA1994" t="str">
            <v/>
          </cell>
          <cell r="AB1994" t="str">
            <v/>
          </cell>
          <cell r="AC1994" t="str">
            <v/>
          </cell>
          <cell r="AD1994" t="str">
            <v/>
          </cell>
          <cell r="AE1994" t="str">
            <v/>
          </cell>
          <cell r="AF1994" t="str">
            <v/>
          </cell>
          <cell r="AG1994" t="str">
            <v/>
          </cell>
          <cell r="AH1994" t="str">
            <v/>
          </cell>
          <cell r="AI1994" t="str">
            <v/>
          </cell>
          <cell r="AJ1994" t="str">
            <v>追</v>
          </cell>
        </row>
        <row r="1995">
          <cell r="B1995">
            <v>11601</v>
          </cell>
          <cell r="C1995">
            <v>116</v>
          </cell>
          <cell r="D1995">
            <v>1</v>
          </cell>
          <cell r="F1995" t="str">
            <v>宮崎</v>
          </cell>
          <cell r="G1995" t="str">
            <v>ＮＫＫパズルタワー保守</v>
          </cell>
          <cell r="H1995" t="str">
            <v>日本鋼管</v>
          </cell>
          <cell r="I1995">
            <v>200000</v>
          </cell>
          <cell r="J1995">
            <v>207600</v>
          </cell>
          <cell r="K1995">
            <v>12</v>
          </cell>
          <cell r="L1995">
            <v>207600</v>
          </cell>
          <cell r="M1995">
            <v>207600</v>
          </cell>
          <cell r="N1995">
            <v>207600</v>
          </cell>
          <cell r="O1995">
            <v>207600</v>
          </cell>
          <cell r="P1995">
            <v>207600</v>
          </cell>
          <cell r="Q1995">
            <v>207600</v>
          </cell>
          <cell r="R1995">
            <v>207600</v>
          </cell>
          <cell r="S1995">
            <v>207600</v>
          </cell>
          <cell r="T1995">
            <v>207600</v>
          </cell>
          <cell r="U1995">
            <v>207600</v>
          </cell>
          <cell r="V1995">
            <v>207600</v>
          </cell>
          <cell r="W1995">
            <v>207600</v>
          </cell>
          <cell r="X1995" t="str">
            <v>④</v>
          </cell>
          <cell r="Y1995" t="str">
            <v>⑤</v>
          </cell>
          <cell r="Z1995" t="str">
            <v>⑥</v>
          </cell>
          <cell r="AA1995" t="str">
            <v>⑦</v>
          </cell>
          <cell r="AB1995" t="str">
            <v>⑧</v>
          </cell>
          <cell r="AC1995" t="str">
            <v>⑨</v>
          </cell>
          <cell r="AD1995" t="str">
            <v>⑩</v>
          </cell>
          <cell r="AE1995" t="str">
            <v>⑪</v>
          </cell>
          <cell r="AF1995" t="str">
            <v>⑫</v>
          </cell>
          <cell r="AG1995" t="str">
            <v>①</v>
          </cell>
          <cell r="AH1995" t="str">
            <v>②</v>
          </cell>
          <cell r="AI1995" t="str">
            <v>③</v>
          </cell>
        </row>
        <row r="1996">
          <cell r="B1996">
            <v>11602</v>
          </cell>
          <cell r="C1996">
            <v>116</v>
          </cell>
          <cell r="D1996">
            <v>2</v>
          </cell>
          <cell r="F1996" t="str">
            <v>宮崎</v>
          </cell>
          <cell r="G1996" t="str">
            <v>エレベーター保守</v>
          </cell>
          <cell r="H1996" t="str">
            <v>三菱電機ﾋﾞﾙﾃｸﾉｻｰﾋﾞｽ</v>
          </cell>
          <cell r="I1996">
            <v>153000</v>
          </cell>
          <cell r="J1996">
            <v>156060</v>
          </cell>
          <cell r="K1996">
            <v>12</v>
          </cell>
          <cell r="L1996">
            <v>156060</v>
          </cell>
          <cell r="M1996">
            <v>156060</v>
          </cell>
          <cell r="N1996">
            <v>156060</v>
          </cell>
          <cell r="O1996">
            <v>156060</v>
          </cell>
          <cell r="P1996">
            <v>156060</v>
          </cell>
          <cell r="Q1996">
            <v>156060</v>
          </cell>
          <cell r="R1996">
            <v>156060</v>
          </cell>
          <cell r="S1996">
            <v>156060</v>
          </cell>
          <cell r="T1996">
            <v>156060</v>
          </cell>
          <cell r="U1996">
            <v>156060</v>
          </cell>
          <cell r="V1996">
            <v>156060</v>
          </cell>
          <cell r="W1996">
            <v>156060</v>
          </cell>
          <cell r="X1996" t="str">
            <v>④</v>
          </cell>
          <cell r="Y1996" t="str">
            <v>⑤</v>
          </cell>
          <cell r="Z1996" t="str">
            <v>⑥</v>
          </cell>
          <cell r="AA1996" t="str">
            <v>⑦</v>
          </cell>
          <cell r="AB1996" t="str">
            <v>⑧</v>
          </cell>
          <cell r="AC1996" t="str">
            <v>⑨</v>
          </cell>
          <cell r="AD1996" t="str">
            <v>⑩</v>
          </cell>
          <cell r="AE1996" t="str">
            <v>⑪</v>
          </cell>
          <cell r="AF1996" t="str">
            <v>⑫</v>
          </cell>
          <cell r="AG1996" t="str">
            <v>①</v>
          </cell>
          <cell r="AH1996" t="str">
            <v>②</v>
          </cell>
          <cell r="AI1996" t="str">
            <v>③</v>
          </cell>
        </row>
        <row r="1997">
          <cell r="B1997">
            <v>11603</v>
          </cell>
          <cell r="C1997">
            <v>116</v>
          </cell>
          <cell r="D1997">
            <v>3</v>
          </cell>
          <cell r="F1997" t="str">
            <v>宮崎</v>
          </cell>
          <cell r="G1997" t="str">
            <v>ゴンドラ設備(定期)</v>
          </cell>
          <cell r="H1997" t="str">
            <v>日本ビソー</v>
          </cell>
          <cell r="I1997">
            <v>80000</v>
          </cell>
          <cell r="J1997">
            <v>88800</v>
          </cell>
          <cell r="K1997">
            <v>6</v>
          </cell>
          <cell r="L1997">
            <v>0</v>
          </cell>
          <cell r="M1997">
            <v>88800</v>
          </cell>
          <cell r="N1997">
            <v>0</v>
          </cell>
          <cell r="O1997">
            <v>88800</v>
          </cell>
          <cell r="P1997">
            <v>0</v>
          </cell>
          <cell r="Q1997">
            <v>88800</v>
          </cell>
          <cell r="R1997">
            <v>0</v>
          </cell>
          <cell r="S1997">
            <v>88800</v>
          </cell>
          <cell r="T1997">
            <v>0</v>
          </cell>
          <cell r="U1997">
            <v>88800</v>
          </cell>
          <cell r="V1997">
            <v>0</v>
          </cell>
          <cell r="W1997">
            <v>88800</v>
          </cell>
          <cell r="Y1997" t="str">
            <v>⑤</v>
          </cell>
          <cell r="AA1997" t="str">
            <v>⑦</v>
          </cell>
          <cell r="AC1997" t="str">
            <v>⑨</v>
          </cell>
          <cell r="AE1997" t="str">
            <v>⑪</v>
          </cell>
          <cell r="AG1997" t="str">
            <v>①</v>
          </cell>
          <cell r="AI1997" t="str">
            <v>③</v>
          </cell>
          <cell r="AJ1997" t="str">
            <v>変</v>
          </cell>
        </row>
        <row r="1998">
          <cell r="B1998">
            <v>11604</v>
          </cell>
          <cell r="C1998">
            <v>116</v>
          </cell>
          <cell r="D1998">
            <v>4</v>
          </cell>
          <cell r="F1998" t="str">
            <v>宮崎</v>
          </cell>
          <cell r="G1998" t="str">
            <v>ゴンドラ設備(年次)</v>
          </cell>
          <cell r="H1998" t="str">
            <v>日本ビソー</v>
          </cell>
          <cell r="I1998">
            <v>40000</v>
          </cell>
          <cell r="J1998">
            <v>45600</v>
          </cell>
          <cell r="K1998">
            <v>1</v>
          </cell>
          <cell r="L1998">
            <v>0</v>
          </cell>
          <cell r="M1998">
            <v>0</v>
          </cell>
          <cell r="N1998">
            <v>0</v>
          </cell>
          <cell r="O1998">
            <v>0</v>
          </cell>
          <cell r="P1998">
            <v>0</v>
          </cell>
          <cell r="Q1998">
            <v>0</v>
          </cell>
          <cell r="R1998">
            <v>0</v>
          </cell>
          <cell r="S1998">
            <v>0</v>
          </cell>
          <cell r="T1998">
            <v>0</v>
          </cell>
          <cell r="U1998">
            <v>0</v>
          </cell>
          <cell r="V1998">
            <v>45600</v>
          </cell>
          <cell r="W1998">
            <v>0</v>
          </cell>
          <cell r="X1998" t="str">
            <v/>
          </cell>
          <cell r="Y1998" t="str">
            <v/>
          </cell>
          <cell r="Z1998" t="str">
            <v/>
          </cell>
          <cell r="AA1998" t="str">
            <v/>
          </cell>
          <cell r="AB1998" t="str">
            <v/>
          </cell>
          <cell r="AC1998" t="str">
            <v/>
          </cell>
          <cell r="AD1998" t="str">
            <v/>
          </cell>
          <cell r="AE1998" t="str">
            <v/>
          </cell>
          <cell r="AF1998" t="str">
            <v/>
          </cell>
          <cell r="AG1998" t="str">
            <v/>
          </cell>
          <cell r="AH1998" t="str">
            <v>②</v>
          </cell>
          <cell r="AI1998" t="str">
            <v/>
          </cell>
          <cell r="AJ1998" t="str">
            <v>変</v>
          </cell>
        </row>
        <row r="1999">
          <cell r="B1999">
            <v>11605</v>
          </cell>
          <cell r="C1999">
            <v>116</v>
          </cell>
          <cell r="D1999">
            <v>5</v>
          </cell>
          <cell r="F1999" t="str">
            <v>宮崎</v>
          </cell>
          <cell r="G1999" t="str">
            <v>シャッター設備保守</v>
          </cell>
          <cell r="H1999" t="str">
            <v>文化シャッターｻｰﾋﾞｽ</v>
          </cell>
          <cell r="I1999">
            <v>76000</v>
          </cell>
          <cell r="J1999">
            <v>79800</v>
          </cell>
          <cell r="K1999">
            <v>2</v>
          </cell>
          <cell r="L1999">
            <v>0</v>
          </cell>
          <cell r="M1999">
            <v>0</v>
          </cell>
          <cell r="N1999">
            <v>0</v>
          </cell>
          <cell r="O1999">
            <v>0</v>
          </cell>
          <cell r="P1999">
            <v>79800</v>
          </cell>
          <cell r="Q1999">
            <v>0</v>
          </cell>
          <cell r="R1999">
            <v>0</v>
          </cell>
          <cell r="S1999">
            <v>0</v>
          </cell>
          <cell r="T1999">
            <v>0</v>
          </cell>
          <cell r="U1999">
            <v>0</v>
          </cell>
          <cell r="V1999">
            <v>79800</v>
          </cell>
          <cell r="W1999">
            <v>0</v>
          </cell>
          <cell r="X1999" t="str">
            <v/>
          </cell>
          <cell r="Y1999" t="str">
            <v/>
          </cell>
          <cell r="Z1999" t="str">
            <v/>
          </cell>
          <cell r="AA1999" t="str">
            <v/>
          </cell>
          <cell r="AB1999" t="str">
            <v>⑧</v>
          </cell>
          <cell r="AC1999" t="str">
            <v/>
          </cell>
          <cell r="AD1999" t="str">
            <v/>
          </cell>
          <cell r="AE1999" t="str">
            <v/>
          </cell>
          <cell r="AF1999" t="str">
            <v/>
          </cell>
          <cell r="AG1999" t="str">
            <v/>
          </cell>
          <cell r="AH1999" t="str">
            <v>②</v>
          </cell>
          <cell r="AI1999" t="str">
            <v/>
          </cell>
          <cell r="AJ1999" t="str">
            <v>変</v>
          </cell>
        </row>
        <row r="2000">
          <cell r="B2000">
            <v>11606</v>
          </cell>
          <cell r="C2000">
            <v>116</v>
          </cell>
          <cell r="D2000">
            <v>6</v>
          </cell>
          <cell r="F2000" t="str">
            <v>宮崎</v>
          </cell>
          <cell r="G2000" t="str">
            <v>消防設備点検保守(外観)</v>
          </cell>
          <cell r="H2000" t="str">
            <v>中村消防防災</v>
          </cell>
          <cell r="I2000">
            <v>300000</v>
          </cell>
          <cell r="J2000">
            <v>306000</v>
          </cell>
          <cell r="K2000">
            <v>1</v>
          </cell>
          <cell r="L2000">
            <v>0</v>
          </cell>
          <cell r="M2000">
            <v>0</v>
          </cell>
          <cell r="N2000">
            <v>0</v>
          </cell>
          <cell r="O2000">
            <v>0</v>
          </cell>
          <cell r="P2000">
            <v>0</v>
          </cell>
          <cell r="Q2000">
            <v>0</v>
          </cell>
          <cell r="R2000">
            <v>0</v>
          </cell>
          <cell r="S2000">
            <v>0</v>
          </cell>
          <cell r="T2000">
            <v>306000</v>
          </cell>
          <cell r="U2000">
            <v>0</v>
          </cell>
          <cell r="V2000">
            <v>0</v>
          </cell>
          <cell r="W2000">
            <v>0</v>
          </cell>
          <cell r="X2000" t="str">
            <v/>
          </cell>
          <cell r="Y2000" t="str">
            <v/>
          </cell>
          <cell r="Z2000" t="str">
            <v/>
          </cell>
          <cell r="AA2000" t="str">
            <v/>
          </cell>
          <cell r="AB2000" t="str">
            <v/>
          </cell>
          <cell r="AC2000" t="str">
            <v/>
          </cell>
          <cell r="AD2000" t="str">
            <v/>
          </cell>
          <cell r="AE2000" t="str">
            <v/>
          </cell>
          <cell r="AF2000" t="str">
            <v>⑫</v>
          </cell>
          <cell r="AH2000" t="str">
            <v/>
          </cell>
          <cell r="AI2000" t="str">
            <v/>
          </cell>
        </row>
        <row r="2001">
          <cell r="B2001">
            <v>11607</v>
          </cell>
          <cell r="C2001">
            <v>116</v>
          </cell>
          <cell r="D2001">
            <v>7</v>
          </cell>
          <cell r="F2001" t="str">
            <v>宮崎</v>
          </cell>
          <cell r="G2001" t="str">
            <v>消防設備点検保守(総合)</v>
          </cell>
          <cell r="H2001" t="str">
            <v>中村消防防災</v>
          </cell>
          <cell r="I2001">
            <v>350000</v>
          </cell>
          <cell r="J2001">
            <v>357000</v>
          </cell>
          <cell r="K2001">
            <v>1</v>
          </cell>
          <cell r="L2001">
            <v>0</v>
          </cell>
          <cell r="M2001">
            <v>0</v>
          </cell>
          <cell r="N2001">
            <v>357000</v>
          </cell>
          <cell r="O2001">
            <v>0</v>
          </cell>
          <cell r="P2001">
            <v>0</v>
          </cell>
          <cell r="Q2001">
            <v>0</v>
          </cell>
          <cell r="R2001">
            <v>0</v>
          </cell>
          <cell r="S2001">
            <v>0</v>
          </cell>
          <cell r="T2001">
            <v>0</v>
          </cell>
          <cell r="U2001">
            <v>0</v>
          </cell>
          <cell r="V2001">
            <v>0</v>
          </cell>
          <cell r="W2001">
            <v>0</v>
          </cell>
          <cell r="X2001" t="str">
            <v/>
          </cell>
          <cell r="Y2001" t="str">
            <v/>
          </cell>
          <cell r="Z2001" t="str">
            <v>⑥</v>
          </cell>
          <cell r="AB2001" t="str">
            <v/>
          </cell>
          <cell r="AC2001" t="str">
            <v/>
          </cell>
          <cell r="AD2001" t="str">
            <v/>
          </cell>
          <cell r="AE2001" t="str">
            <v/>
          </cell>
          <cell r="AF2001" t="str">
            <v/>
          </cell>
          <cell r="AG2001" t="str">
            <v/>
          </cell>
          <cell r="AH2001" t="str">
            <v/>
          </cell>
          <cell r="AI2001" t="str">
            <v/>
          </cell>
        </row>
        <row r="2002">
          <cell r="B2002">
            <v>11608</v>
          </cell>
          <cell r="C2002">
            <v>116</v>
          </cell>
          <cell r="D2002">
            <v>8</v>
          </cell>
          <cell r="F2002" t="str">
            <v>宮崎</v>
          </cell>
          <cell r="G2002" t="str">
            <v>害虫駆除</v>
          </cell>
          <cell r="H2002" t="str">
            <v>宮崎ビルサービス</v>
          </cell>
          <cell r="I2002">
            <v>208600</v>
          </cell>
          <cell r="J2002">
            <v>243740</v>
          </cell>
          <cell r="K2002">
            <v>2</v>
          </cell>
          <cell r="L2002">
            <v>0</v>
          </cell>
          <cell r="M2002">
            <v>0</v>
          </cell>
          <cell r="N2002">
            <v>0</v>
          </cell>
          <cell r="O2002">
            <v>0</v>
          </cell>
          <cell r="P2002">
            <v>243740</v>
          </cell>
          <cell r="Q2002">
            <v>0</v>
          </cell>
          <cell r="R2002">
            <v>0</v>
          </cell>
          <cell r="S2002">
            <v>0</v>
          </cell>
          <cell r="T2002">
            <v>0</v>
          </cell>
          <cell r="U2002">
            <v>0</v>
          </cell>
          <cell r="V2002">
            <v>243740</v>
          </cell>
          <cell r="W2002">
            <v>0</v>
          </cell>
          <cell r="X2002" t="str">
            <v/>
          </cell>
          <cell r="Y2002" t="str">
            <v/>
          </cell>
          <cell r="Z2002" t="str">
            <v/>
          </cell>
          <cell r="AA2002" t="str">
            <v/>
          </cell>
          <cell r="AB2002" t="str">
            <v>⑧</v>
          </cell>
          <cell r="AC2002" t="str">
            <v/>
          </cell>
          <cell r="AD2002" t="str">
            <v/>
          </cell>
          <cell r="AE2002" t="str">
            <v/>
          </cell>
          <cell r="AF2002" t="str">
            <v/>
          </cell>
          <cell r="AG2002" t="str">
            <v/>
          </cell>
          <cell r="AH2002" t="str">
            <v>②</v>
          </cell>
          <cell r="AI2002" t="str">
            <v/>
          </cell>
          <cell r="AJ2002" t="str">
            <v>変</v>
          </cell>
        </row>
        <row r="2003">
          <cell r="B2003">
            <v>11609</v>
          </cell>
          <cell r="C2003">
            <v>116</v>
          </cell>
          <cell r="D2003">
            <v>9</v>
          </cell>
          <cell r="F2003" t="str">
            <v>宮崎</v>
          </cell>
          <cell r="G2003" t="str">
            <v>駐車場防火ｼｬｯﾀｰ点検整備</v>
          </cell>
          <cell r="H2003" t="str">
            <v>鈴木シャッター</v>
          </cell>
          <cell r="I2003">
            <v>18000</v>
          </cell>
          <cell r="J2003">
            <v>20700</v>
          </cell>
          <cell r="K2003">
            <v>2</v>
          </cell>
          <cell r="L2003">
            <v>0</v>
          </cell>
          <cell r="M2003">
            <v>0</v>
          </cell>
          <cell r="N2003">
            <v>20700</v>
          </cell>
          <cell r="O2003">
            <v>0</v>
          </cell>
          <cell r="P2003">
            <v>0</v>
          </cell>
          <cell r="Q2003">
            <v>0</v>
          </cell>
          <cell r="R2003">
            <v>0</v>
          </cell>
          <cell r="S2003">
            <v>0</v>
          </cell>
          <cell r="T2003">
            <v>20700</v>
          </cell>
          <cell r="U2003">
            <v>0</v>
          </cell>
          <cell r="V2003">
            <v>0</v>
          </cell>
          <cell r="W2003">
            <v>0</v>
          </cell>
          <cell r="X2003" t="str">
            <v/>
          </cell>
          <cell r="Y2003" t="str">
            <v/>
          </cell>
          <cell r="Z2003" t="str">
            <v>⑥</v>
          </cell>
          <cell r="AA2003" t="str">
            <v/>
          </cell>
          <cell r="AB2003" t="str">
            <v/>
          </cell>
          <cell r="AC2003" t="str">
            <v/>
          </cell>
          <cell r="AD2003" t="str">
            <v/>
          </cell>
          <cell r="AE2003" t="str">
            <v/>
          </cell>
          <cell r="AF2003" t="str">
            <v>⑫</v>
          </cell>
          <cell r="AG2003" t="str">
            <v/>
          </cell>
          <cell r="AH2003" t="str">
            <v/>
          </cell>
          <cell r="AI2003" t="str">
            <v/>
          </cell>
        </row>
        <row r="2004">
          <cell r="B2004">
            <v>11610</v>
          </cell>
          <cell r="C2004">
            <v>116</v>
          </cell>
          <cell r="D2004">
            <v>10</v>
          </cell>
          <cell r="F2004" t="str">
            <v>宮崎</v>
          </cell>
          <cell r="G2004" t="str">
            <v>受水槽清掃(含む高架水槽)</v>
          </cell>
          <cell r="H2004" t="str">
            <v>宮崎ビルサービス</v>
          </cell>
          <cell r="I2004">
            <v>55700</v>
          </cell>
          <cell r="J2004">
            <v>66690</v>
          </cell>
          <cell r="K2004">
            <v>1</v>
          </cell>
          <cell r="L2004">
            <v>0</v>
          </cell>
          <cell r="M2004">
            <v>0</v>
          </cell>
          <cell r="N2004">
            <v>0</v>
          </cell>
          <cell r="O2004">
            <v>0</v>
          </cell>
          <cell r="P2004">
            <v>0</v>
          </cell>
          <cell r="Q2004">
            <v>0</v>
          </cell>
          <cell r="R2004">
            <v>0</v>
          </cell>
          <cell r="S2004">
            <v>0</v>
          </cell>
          <cell r="T2004">
            <v>0</v>
          </cell>
          <cell r="U2004">
            <v>0</v>
          </cell>
          <cell r="V2004">
            <v>66690</v>
          </cell>
          <cell r="W2004">
            <v>0</v>
          </cell>
          <cell r="X2004" t="str">
            <v/>
          </cell>
          <cell r="Y2004" t="str">
            <v/>
          </cell>
          <cell r="Z2004" t="str">
            <v/>
          </cell>
          <cell r="AA2004" t="str">
            <v/>
          </cell>
          <cell r="AB2004" t="str">
            <v/>
          </cell>
          <cell r="AC2004" t="str">
            <v/>
          </cell>
          <cell r="AD2004" t="str">
            <v/>
          </cell>
          <cell r="AE2004" t="str">
            <v/>
          </cell>
          <cell r="AF2004" t="str">
            <v/>
          </cell>
          <cell r="AG2004" t="str">
            <v/>
          </cell>
          <cell r="AH2004" t="str">
            <v>②</v>
          </cell>
          <cell r="AI2004" t="str">
            <v/>
          </cell>
          <cell r="AJ2004" t="str">
            <v>変</v>
          </cell>
        </row>
        <row r="2005">
          <cell r="B2005">
            <v>11611</v>
          </cell>
          <cell r="C2005">
            <v>116</v>
          </cell>
          <cell r="D2005">
            <v>11</v>
          </cell>
          <cell r="F2005" t="str">
            <v>宮崎</v>
          </cell>
          <cell r="G2005" t="str">
            <v>自動ドアー保守</v>
          </cell>
          <cell r="H2005" t="str">
            <v>オリエント産業</v>
          </cell>
          <cell r="I2005">
            <v>111400</v>
          </cell>
          <cell r="J2005">
            <v>117060</v>
          </cell>
          <cell r="K2005">
            <v>2</v>
          </cell>
          <cell r="L2005">
            <v>0</v>
          </cell>
          <cell r="M2005">
            <v>0</v>
          </cell>
          <cell r="N2005">
            <v>0</v>
          </cell>
          <cell r="O2005">
            <v>0</v>
          </cell>
          <cell r="P2005">
            <v>117060</v>
          </cell>
          <cell r="Q2005">
            <v>0</v>
          </cell>
          <cell r="R2005">
            <v>0</v>
          </cell>
          <cell r="S2005">
            <v>0</v>
          </cell>
          <cell r="T2005">
            <v>0</v>
          </cell>
          <cell r="U2005">
            <v>0</v>
          </cell>
          <cell r="V2005">
            <v>117060</v>
          </cell>
          <cell r="W2005">
            <v>0</v>
          </cell>
          <cell r="X2005" t="str">
            <v/>
          </cell>
          <cell r="Y2005" t="str">
            <v/>
          </cell>
          <cell r="Z2005" t="str">
            <v/>
          </cell>
          <cell r="AA2005" t="str">
            <v/>
          </cell>
          <cell r="AB2005" t="str">
            <v>⑧</v>
          </cell>
          <cell r="AC2005" t="str">
            <v/>
          </cell>
          <cell r="AD2005" t="str">
            <v/>
          </cell>
          <cell r="AE2005" t="str">
            <v/>
          </cell>
          <cell r="AF2005" t="str">
            <v/>
          </cell>
          <cell r="AG2005" t="str">
            <v/>
          </cell>
          <cell r="AH2005" t="str">
            <v>②</v>
          </cell>
          <cell r="AI2005" t="str">
            <v/>
          </cell>
          <cell r="AJ2005" t="str">
            <v>変</v>
          </cell>
        </row>
        <row r="2006">
          <cell r="B2006">
            <v>11612</v>
          </cell>
          <cell r="C2006">
            <v>116</v>
          </cell>
          <cell r="D2006">
            <v>12</v>
          </cell>
          <cell r="F2006" t="str">
            <v>宮崎</v>
          </cell>
          <cell r="G2006" t="str">
            <v>空調機設備保守</v>
          </cell>
          <cell r="H2006" t="str">
            <v>菱熱</v>
          </cell>
          <cell r="I2006">
            <v>853000</v>
          </cell>
          <cell r="J2006">
            <v>905100</v>
          </cell>
          <cell r="K2006">
            <v>2</v>
          </cell>
          <cell r="L2006">
            <v>0</v>
          </cell>
          <cell r="M2006">
            <v>0</v>
          </cell>
          <cell r="N2006">
            <v>905100</v>
          </cell>
          <cell r="O2006">
            <v>0</v>
          </cell>
          <cell r="P2006">
            <v>0</v>
          </cell>
          <cell r="Q2006">
            <v>0</v>
          </cell>
          <cell r="R2006">
            <v>0</v>
          </cell>
          <cell r="S2006">
            <v>0</v>
          </cell>
          <cell r="T2006">
            <v>905100</v>
          </cell>
          <cell r="U2006">
            <v>0</v>
          </cell>
          <cell r="V2006">
            <v>0</v>
          </cell>
          <cell r="W2006">
            <v>0</v>
          </cell>
          <cell r="X2006" t="str">
            <v/>
          </cell>
          <cell r="Y2006" t="str">
            <v/>
          </cell>
          <cell r="Z2006" t="str">
            <v>⑥</v>
          </cell>
          <cell r="AA2006" t="str">
            <v/>
          </cell>
          <cell r="AB2006" t="str">
            <v/>
          </cell>
          <cell r="AC2006" t="str">
            <v/>
          </cell>
          <cell r="AD2006" t="str">
            <v/>
          </cell>
          <cell r="AE2006" t="str">
            <v/>
          </cell>
          <cell r="AF2006" t="str">
            <v>⑫</v>
          </cell>
          <cell r="AG2006" t="str">
            <v/>
          </cell>
          <cell r="AH2006" t="str">
            <v/>
          </cell>
          <cell r="AI2006" t="str">
            <v/>
          </cell>
        </row>
        <row r="2007">
          <cell r="B2007">
            <v>11613</v>
          </cell>
          <cell r="C2007">
            <v>116</v>
          </cell>
          <cell r="D2007">
            <v>13</v>
          </cell>
          <cell r="F2007" t="str">
            <v>宮崎</v>
          </cell>
          <cell r="G2007" t="str">
            <v>電気湯沸器点検整備</v>
          </cell>
          <cell r="H2007" t="str">
            <v>九州東管サービス</v>
          </cell>
          <cell r="I2007">
            <v>45000</v>
          </cell>
          <cell r="J2007">
            <v>51750</v>
          </cell>
          <cell r="K2007">
            <v>1</v>
          </cell>
          <cell r="L2007">
            <v>0</v>
          </cell>
          <cell r="M2007">
            <v>0</v>
          </cell>
          <cell r="N2007">
            <v>0</v>
          </cell>
          <cell r="O2007">
            <v>0</v>
          </cell>
          <cell r="P2007">
            <v>0</v>
          </cell>
          <cell r="Q2007">
            <v>0</v>
          </cell>
          <cell r="R2007">
            <v>0</v>
          </cell>
          <cell r="S2007">
            <v>51750</v>
          </cell>
          <cell r="T2007">
            <v>0</v>
          </cell>
          <cell r="U2007">
            <v>0</v>
          </cell>
          <cell r="V2007">
            <v>0</v>
          </cell>
          <cell r="W2007">
            <v>0</v>
          </cell>
          <cell r="X2007" t="str">
            <v/>
          </cell>
          <cell r="Y2007" t="str">
            <v/>
          </cell>
          <cell r="Z2007" t="str">
            <v/>
          </cell>
          <cell r="AA2007" t="str">
            <v/>
          </cell>
          <cell r="AB2007" t="str">
            <v/>
          </cell>
          <cell r="AC2007" t="str">
            <v/>
          </cell>
          <cell r="AE2007" t="str">
            <v>⑪</v>
          </cell>
          <cell r="AF2007" t="str">
            <v/>
          </cell>
          <cell r="AG2007" t="str">
            <v/>
          </cell>
          <cell r="AH2007" t="str">
            <v/>
          </cell>
          <cell r="AI2007" t="str">
            <v/>
          </cell>
          <cell r="AJ2007" t="str">
            <v>追</v>
          </cell>
        </row>
        <row r="2008">
          <cell r="B2008">
            <v>11614</v>
          </cell>
          <cell r="C2008">
            <v>116</v>
          </cell>
          <cell r="D2008">
            <v>14</v>
          </cell>
          <cell r="F2008" t="str">
            <v>宮崎</v>
          </cell>
          <cell r="G2008" t="str">
            <v>花壇樹木剪定･消毒</v>
          </cell>
          <cell r="H2008" t="str">
            <v>宮崎建設開発</v>
          </cell>
          <cell r="I2008">
            <v>51500</v>
          </cell>
          <cell r="J2008">
            <v>59225</v>
          </cell>
          <cell r="K2008">
            <v>2</v>
          </cell>
          <cell r="L2008">
            <v>59225</v>
          </cell>
          <cell r="M2008">
            <v>0</v>
          </cell>
          <cell r="N2008">
            <v>0</v>
          </cell>
          <cell r="O2008">
            <v>0</v>
          </cell>
          <cell r="P2008">
            <v>0</v>
          </cell>
          <cell r="Q2008">
            <v>0</v>
          </cell>
          <cell r="R2008">
            <v>59225</v>
          </cell>
          <cell r="S2008">
            <v>0</v>
          </cell>
          <cell r="T2008">
            <v>0</v>
          </cell>
          <cell r="U2008">
            <v>0</v>
          </cell>
          <cell r="V2008">
            <v>0</v>
          </cell>
          <cell r="W2008">
            <v>0</v>
          </cell>
          <cell r="X2008" t="str">
            <v>④</v>
          </cell>
          <cell r="Y2008" t="str">
            <v/>
          </cell>
          <cell r="Z2008" t="str">
            <v/>
          </cell>
          <cell r="AA2008" t="str">
            <v/>
          </cell>
          <cell r="AB2008" t="str">
            <v/>
          </cell>
          <cell r="AC2008" t="str">
            <v/>
          </cell>
          <cell r="AD2008" t="str">
            <v>⑩</v>
          </cell>
          <cell r="AE2008" t="str">
            <v/>
          </cell>
          <cell r="AF2008" t="str">
            <v/>
          </cell>
          <cell r="AG2008" t="str">
            <v/>
          </cell>
          <cell r="AH2008" t="str">
            <v/>
          </cell>
          <cell r="AI2008" t="str">
            <v/>
          </cell>
          <cell r="AJ2008" t="str">
            <v>追</v>
          </cell>
        </row>
        <row r="2009">
          <cell r="B2009">
            <v>11701</v>
          </cell>
          <cell r="C2009">
            <v>117</v>
          </cell>
          <cell r="D2009">
            <v>1</v>
          </cell>
          <cell r="F2009" t="str">
            <v>鹿児島</v>
          </cell>
          <cell r="G2009" t="str">
            <v>機械式立体駐車設備保守</v>
          </cell>
          <cell r="H2009" t="str">
            <v>三菱重工ﾊﾟｰｷﾝｸﾞ建設</v>
          </cell>
          <cell r="I2009">
            <v>309000</v>
          </cell>
          <cell r="J2009">
            <v>315180</v>
          </cell>
          <cell r="K2009">
            <v>12</v>
          </cell>
          <cell r="L2009">
            <v>315180</v>
          </cell>
          <cell r="M2009">
            <v>315180</v>
          </cell>
          <cell r="N2009">
            <v>315180</v>
          </cell>
          <cell r="O2009">
            <v>315180</v>
          </cell>
          <cell r="P2009">
            <v>315180</v>
          </cell>
          <cell r="Q2009">
            <v>315180</v>
          </cell>
          <cell r="R2009">
            <v>315180</v>
          </cell>
          <cell r="S2009">
            <v>315180</v>
          </cell>
          <cell r="T2009">
            <v>315180</v>
          </cell>
          <cell r="U2009">
            <v>315180</v>
          </cell>
          <cell r="V2009">
            <v>315180</v>
          </cell>
          <cell r="W2009">
            <v>315180</v>
          </cell>
          <cell r="X2009" t="str">
            <v>④</v>
          </cell>
          <cell r="Y2009" t="str">
            <v>⑤</v>
          </cell>
          <cell r="Z2009" t="str">
            <v>⑥</v>
          </cell>
          <cell r="AA2009" t="str">
            <v>⑦</v>
          </cell>
          <cell r="AB2009" t="str">
            <v>⑧</v>
          </cell>
          <cell r="AC2009" t="str">
            <v>⑨</v>
          </cell>
          <cell r="AD2009" t="str">
            <v>⑩</v>
          </cell>
          <cell r="AE2009" t="str">
            <v>⑪</v>
          </cell>
          <cell r="AF2009" t="str">
            <v>⑫</v>
          </cell>
          <cell r="AG2009" t="str">
            <v>①</v>
          </cell>
          <cell r="AH2009" t="str">
            <v>②</v>
          </cell>
          <cell r="AI2009" t="str">
            <v>③</v>
          </cell>
        </row>
        <row r="2010">
          <cell r="B2010">
            <v>11702</v>
          </cell>
          <cell r="C2010">
            <v>117</v>
          </cell>
          <cell r="D2010">
            <v>2</v>
          </cell>
          <cell r="F2010" t="str">
            <v>鹿児島</v>
          </cell>
          <cell r="G2010" t="str">
            <v>エレベーター保守</v>
          </cell>
          <cell r="H2010" t="str">
            <v>三菱電機ﾋﾞﾙﾃｸﾉｻｰﾋﾞｽ</v>
          </cell>
          <cell r="I2010">
            <v>154500</v>
          </cell>
          <cell r="J2010">
            <v>157590</v>
          </cell>
          <cell r="K2010">
            <v>12</v>
          </cell>
          <cell r="L2010">
            <v>157590</v>
          </cell>
          <cell r="M2010">
            <v>157590</v>
          </cell>
          <cell r="N2010">
            <v>157590</v>
          </cell>
          <cell r="O2010">
            <v>157590</v>
          </cell>
          <cell r="P2010">
            <v>157590</v>
          </cell>
          <cell r="Q2010">
            <v>157590</v>
          </cell>
          <cell r="R2010">
            <v>157590</v>
          </cell>
          <cell r="S2010">
            <v>157590</v>
          </cell>
          <cell r="T2010">
            <v>157590</v>
          </cell>
          <cell r="U2010">
            <v>157590</v>
          </cell>
          <cell r="V2010">
            <v>157590</v>
          </cell>
          <cell r="W2010">
            <v>157590</v>
          </cell>
          <cell r="X2010" t="str">
            <v>④</v>
          </cell>
          <cell r="Y2010" t="str">
            <v>⑤</v>
          </cell>
          <cell r="Z2010" t="str">
            <v>⑥</v>
          </cell>
          <cell r="AA2010" t="str">
            <v>⑦</v>
          </cell>
          <cell r="AB2010" t="str">
            <v>⑧</v>
          </cell>
          <cell r="AC2010" t="str">
            <v>⑨</v>
          </cell>
          <cell r="AD2010" t="str">
            <v>⑩</v>
          </cell>
          <cell r="AE2010" t="str">
            <v>⑪</v>
          </cell>
          <cell r="AF2010" t="str">
            <v>⑫</v>
          </cell>
          <cell r="AG2010" t="str">
            <v>①</v>
          </cell>
          <cell r="AH2010" t="str">
            <v>②</v>
          </cell>
          <cell r="AI2010" t="str">
            <v>③</v>
          </cell>
        </row>
        <row r="2011">
          <cell r="B2011">
            <v>11703</v>
          </cell>
          <cell r="C2011">
            <v>117</v>
          </cell>
          <cell r="D2011">
            <v>3</v>
          </cell>
          <cell r="F2011" t="str">
            <v>鹿児島</v>
          </cell>
          <cell r="G2011" t="str">
            <v>ゴンドラ設備保守</v>
          </cell>
          <cell r="H2011" t="str">
            <v>九州エレベーター</v>
          </cell>
          <cell r="I2011">
            <v>37300</v>
          </cell>
          <cell r="J2011">
            <v>39570</v>
          </cell>
          <cell r="K2011">
            <v>6</v>
          </cell>
          <cell r="L2011">
            <v>0</v>
          </cell>
          <cell r="M2011">
            <v>39570</v>
          </cell>
          <cell r="N2011">
            <v>0</v>
          </cell>
          <cell r="O2011">
            <v>39570</v>
          </cell>
          <cell r="P2011">
            <v>0</v>
          </cell>
          <cell r="Q2011">
            <v>39570</v>
          </cell>
          <cell r="R2011">
            <v>0</v>
          </cell>
          <cell r="S2011">
            <v>39570</v>
          </cell>
          <cell r="T2011">
            <v>0</v>
          </cell>
          <cell r="U2011">
            <v>39570</v>
          </cell>
          <cell r="V2011">
            <v>0</v>
          </cell>
          <cell r="W2011">
            <v>39570</v>
          </cell>
          <cell r="Y2011" t="str">
            <v>⑤</v>
          </cell>
          <cell r="AA2011" t="str">
            <v>⑦</v>
          </cell>
          <cell r="AC2011" t="str">
            <v>⑨</v>
          </cell>
          <cell r="AE2011" t="str">
            <v>⑪</v>
          </cell>
          <cell r="AG2011" t="str">
            <v>①</v>
          </cell>
          <cell r="AI2011" t="str">
            <v>③</v>
          </cell>
          <cell r="AJ2011" t="str">
            <v>変</v>
          </cell>
        </row>
        <row r="2012">
          <cell r="B2012">
            <v>11704</v>
          </cell>
          <cell r="C2012">
            <v>117</v>
          </cell>
          <cell r="D2012">
            <v>4</v>
          </cell>
          <cell r="F2012" t="str">
            <v>鹿児島</v>
          </cell>
          <cell r="G2012" t="str">
            <v>シャッター設備保守</v>
          </cell>
          <cell r="H2012" t="str">
            <v>文化シャッターｻｰﾋﾞｽ</v>
          </cell>
          <cell r="I2012">
            <v>92000</v>
          </cell>
          <cell r="J2012">
            <v>96600</v>
          </cell>
          <cell r="K2012">
            <v>2</v>
          </cell>
          <cell r="L2012">
            <v>0</v>
          </cell>
          <cell r="M2012">
            <v>0</v>
          </cell>
          <cell r="N2012">
            <v>0</v>
          </cell>
          <cell r="O2012">
            <v>0</v>
          </cell>
          <cell r="P2012">
            <v>96600</v>
          </cell>
          <cell r="Q2012">
            <v>0</v>
          </cell>
          <cell r="R2012">
            <v>0</v>
          </cell>
          <cell r="S2012">
            <v>0</v>
          </cell>
          <cell r="T2012">
            <v>0</v>
          </cell>
          <cell r="U2012">
            <v>0</v>
          </cell>
          <cell r="V2012">
            <v>96600</v>
          </cell>
          <cell r="W2012">
            <v>0</v>
          </cell>
          <cell r="X2012" t="str">
            <v/>
          </cell>
          <cell r="Y2012" t="str">
            <v/>
          </cell>
          <cell r="Z2012" t="str">
            <v/>
          </cell>
          <cell r="AA2012" t="str">
            <v/>
          </cell>
          <cell r="AB2012" t="str">
            <v>⑧</v>
          </cell>
          <cell r="AD2012" t="str">
            <v/>
          </cell>
          <cell r="AE2012" t="str">
            <v/>
          </cell>
          <cell r="AF2012" t="str">
            <v/>
          </cell>
          <cell r="AG2012" t="str">
            <v/>
          </cell>
          <cell r="AH2012" t="str">
            <v>②</v>
          </cell>
          <cell r="AJ2012" t="str">
            <v>変</v>
          </cell>
        </row>
        <row r="2013">
          <cell r="B2013">
            <v>11705</v>
          </cell>
          <cell r="C2013">
            <v>117</v>
          </cell>
          <cell r="D2013">
            <v>5</v>
          </cell>
          <cell r="F2013" t="str">
            <v>鹿児島</v>
          </cell>
          <cell r="G2013" t="str">
            <v>消防設備点検保守</v>
          </cell>
          <cell r="H2013" t="str">
            <v>南和産業</v>
          </cell>
          <cell r="I2013">
            <v>475000</v>
          </cell>
          <cell r="J2013">
            <v>496500</v>
          </cell>
          <cell r="K2013">
            <v>2</v>
          </cell>
          <cell r="L2013">
            <v>0</v>
          </cell>
          <cell r="M2013">
            <v>0</v>
          </cell>
          <cell r="N2013">
            <v>0</v>
          </cell>
          <cell r="O2013">
            <v>0</v>
          </cell>
          <cell r="P2013">
            <v>496500</v>
          </cell>
          <cell r="Q2013">
            <v>0</v>
          </cell>
          <cell r="R2013">
            <v>0</v>
          </cell>
          <cell r="S2013">
            <v>0</v>
          </cell>
          <cell r="T2013">
            <v>0</v>
          </cell>
          <cell r="U2013">
            <v>0</v>
          </cell>
          <cell r="V2013">
            <v>496500</v>
          </cell>
          <cell r="W2013">
            <v>0</v>
          </cell>
          <cell r="X2013" t="str">
            <v/>
          </cell>
          <cell r="Y2013" t="str">
            <v/>
          </cell>
          <cell r="Z2013" t="str">
            <v/>
          </cell>
          <cell r="AA2013" t="str">
            <v/>
          </cell>
          <cell r="AB2013" t="str">
            <v>⑧</v>
          </cell>
          <cell r="AC2013" t="str">
            <v/>
          </cell>
          <cell r="AD2013" t="str">
            <v/>
          </cell>
          <cell r="AE2013" t="str">
            <v/>
          </cell>
          <cell r="AF2013" t="str">
            <v/>
          </cell>
          <cell r="AG2013" t="str">
            <v/>
          </cell>
          <cell r="AH2013" t="str">
            <v>②</v>
          </cell>
          <cell r="AI2013" t="str">
            <v/>
          </cell>
          <cell r="AJ2013" t="str">
            <v>変</v>
          </cell>
        </row>
        <row r="2014">
          <cell r="B2014">
            <v>11706</v>
          </cell>
          <cell r="C2014">
            <v>117</v>
          </cell>
          <cell r="D2014">
            <v>6</v>
          </cell>
          <cell r="F2014" t="str">
            <v>鹿児島</v>
          </cell>
          <cell r="G2014" t="str">
            <v>害虫駆除</v>
          </cell>
          <cell r="H2014" t="str">
            <v>南和産業</v>
          </cell>
          <cell r="I2014">
            <v>171000</v>
          </cell>
          <cell r="J2014">
            <v>195700</v>
          </cell>
          <cell r="K2014">
            <v>2</v>
          </cell>
          <cell r="L2014">
            <v>0</v>
          </cell>
          <cell r="M2014">
            <v>0</v>
          </cell>
          <cell r="N2014">
            <v>0</v>
          </cell>
          <cell r="O2014">
            <v>0</v>
          </cell>
          <cell r="P2014">
            <v>195700</v>
          </cell>
          <cell r="Q2014">
            <v>0</v>
          </cell>
          <cell r="R2014">
            <v>0</v>
          </cell>
          <cell r="S2014">
            <v>0</v>
          </cell>
          <cell r="T2014">
            <v>0</v>
          </cell>
          <cell r="U2014">
            <v>0</v>
          </cell>
          <cell r="V2014">
            <v>195700</v>
          </cell>
          <cell r="W2014">
            <v>0</v>
          </cell>
          <cell r="X2014" t="str">
            <v/>
          </cell>
          <cell r="Y2014" t="str">
            <v/>
          </cell>
          <cell r="Z2014" t="str">
            <v/>
          </cell>
          <cell r="AA2014" t="str">
            <v/>
          </cell>
          <cell r="AB2014" t="str">
            <v>⑧</v>
          </cell>
          <cell r="AC2014" t="str">
            <v/>
          </cell>
          <cell r="AD2014" t="str">
            <v/>
          </cell>
          <cell r="AE2014" t="str">
            <v/>
          </cell>
          <cell r="AF2014" t="str">
            <v/>
          </cell>
          <cell r="AG2014" t="str">
            <v/>
          </cell>
          <cell r="AH2014" t="str">
            <v>②</v>
          </cell>
          <cell r="AI2014" t="str">
            <v/>
          </cell>
          <cell r="AJ2014" t="str">
            <v>変</v>
          </cell>
        </row>
        <row r="2015">
          <cell r="B2015">
            <v>11707</v>
          </cell>
          <cell r="C2015">
            <v>117</v>
          </cell>
          <cell r="D2015">
            <v>7</v>
          </cell>
          <cell r="F2015" t="str">
            <v>鹿児島</v>
          </cell>
          <cell r="G2015" t="str">
            <v>雑排水槽清掃</v>
          </cell>
          <cell r="H2015" t="str">
            <v>南和産業</v>
          </cell>
          <cell r="I2015">
            <v>115000</v>
          </cell>
          <cell r="J2015">
            <v>130956</v>
          </cell>
          <cell r="K2015">
            <v>2</v>
          </cell>
          <cell r="L2015">
            <v>0</v>
          </cell>
          <cell r="M2015">
            <v>0</v>
          </cell>
          <cell r="N2015">
            <v>0</v>
          </cell>
          <cell r="O2015">
            <v>0</v>
          </cell>
          <cell r="P2015">
            <v>130956</v>
          </cell>
          <cell r="Q2015">
            <v>0</v>
          </cell>
          <cell r="R2015">
            <v>0</v>
          </cell>
          <cell r="S2015">
            <v>0</v>
          </cell>
          <cell r="T2015">
            <v>0</v>
          </cell>
          <cell r="U2015">
            <v>0</v>
          </cell>
          <cell r="V2015">
            <v>130956</v>
          </cell>
          <cell r="W2015">
            <v>0</v>
          </cell>
          <cell r="X2015" t="str">
            <v/>
          </cell>
          <cell r="Y2015" t="str">
            <v/>
          </cell>
          <cell r="Z2015" t="str">
            <v/>
          </cell>
          <cell r="AA2015" t="str">
            <v/>
          </cell>
          <cell r="AB2015" t="str">
            <v>⑧</v>
          </cell>
          <cell r="AC2015" t="str">
            <v/>
          </cell>
          <cell r="AD2015" t="str">
            <v/>
          </cell>
          <cell r="AE2015" t="str">
            <v/>
          </cell>
          <cell r="AF2015" t="str">
            <v/>
          </cell>
          <cell r="AG2015" t="str">
            <v/>
          </cell>
          <cell r="AH2015" t="str">
            <v>②</v>
          </cell>
          <cell r="AI2015" t="str">
            <v/>
          </cell>
          <cell r="AJ2015" t="str">
            <v>変</v>
          </cell>
        </row>
        <row r="2016">
          <cell r="B2016">
            <v>11708</v>
          </cell>
          <cell r="C2016">
            <v>117</v>
          </cell>
          <cell r="D2016">
            <v>8</v>
          </cell>
          <cell r="F2016" t="str">
            <v>鹿児島</v>
          </cell>
          <cell r="G2016" t="str">
            <v>受水槽清掃</v>
          </cell>
          <cell r="H2016" t="str">
            <v>綜合管財鹿児島</v>
          </cell>
          <cell r="I2016">
            <v>59700</v>
          </cell>
          <cell r="J2016">
            <v>70980</v>
          </cell>
          <cell r="K2016">
            <v>1</v>
          </cell>
          <cell r="L2016">
            <v>0</v>
          </cell>
          <cell r="M2016">
            <v>0</v>
          </cell>
          <cell r="N2016">
            <v>0</v>
          </cell>
          <cell r="O2016">
            <v>0</v>
          </cell>
          <cell r="P2016">
            <v>70980</v>
          </cell>
          <cell r="Q2016">
            <v>0</v>
          </cell>
          <cell r="R2016">
            <v>0</v>
          </cell>
          <cell r="S2016">
            <v>0</v>
          </cell>
          <cell r="T2016">
            <v>0</v>
          </cell>
          <cell r="U2016">
            <v>0</v>
          </cell>
          <cell r="V2016">
            <v>0</v>
          </cell>
          <cell r="W2016">
            <v>0</v>
          </cell>
          <cell r="X2016" t="str">
            <v/>
          </cell>
          <cell r="Y2016" t="str">
            <v/>
          </cell>
          <cell r="Z2016" t="str">
            <v/>
          </cell>
          <cell r="AA2016" t="str">
            <v/>
          </cell>
          <cell r="AB2016" t="str">
            <v>⑧</v>
          </cell>
          <cell r="AC2016" t="str">
            <v/>
          </cell>
          <cell r="AD2016" t="str">
            <v/>
          </cell>
          <cell r="AE2016" t="str">
            <v/>
          </cell>
          <cell r="AF2016" t="str">
            <v/>
          </cell>
          <cell r="AG2016" t="str">
            <v/>
          </cell>
          <cell r="AH2016" t="str">
            <v/>
          </cell>
          <cell r="AI2016" t="str">
            <v/>
          </cell>
          <cell r="AJ2016" t="str">
            <v>変</v>
          </cell>
        </row>
        <row r="2017">
          <cell r="B2017">
            <v>11709</v>
          </cell>
          <cell r="C2017">
            <v>117</v>
          </cell>
          <cell r="D2017">
            <v>9</v>
          </cell>
          <cell r="F2017" t="str">
            <v>鹿児島</v>
          </cell>
          <cell r="G2017" t="str">
            <v>自動ドアー保守</v>
          </cell>
          <cell r="H2017" t="str">
            <v>オリエント産業</v>
          </cell>
          <cell r="I2017">
            <v>29800</v>
          </cell>
          <cell r="J2017">
            <v>31620</v>
          </cell>
          <cell r="K2017">
            <v>2</v>
          </cell>
          <cell r="L2017">
            <v>0</v>
          </cell>
          <cell r="M2017">
            <v>0</v>
          </cell>
          <cell r="N2017">
            <v>0</v>
          </cell>
          <cell r="O2017">
            <v>0</v>
          </cell>
          <cell r="P2017">
            <v>31620</v>
          </cell>
          <cell r="Q2017">
            <v>0</v>
          </cell>
          <cell r="R2017">
            <v>0</v>
          </cell>
          <cell r="S2017">
            <v>0</v>
          </cell>
          <cell r="T2017">
            <v>0</v>
          </cell>
          <cell r="U2017">
            <v>0</v>
          </cell>
          <cell r="V2017">
            <v>31620</v>
          </cell>
          <cell r="W2017">
            <v>0</v>
          </cell>
          <cell r="Y2017" t="str">
            <v/>
          </cell>
          <cell r="Z2017" t="str">
            <v/>
          </cell>
          <cell r="AA2017" t="str">
            <v/>
          </cell>
          <cell r="AB2017" t="str">
            <v>⑧</v>
          </cell>
          <cell r="AC2017" t="str">
            <v/>
          </cell>
          <cell r="AD2017" t="str">
            <v/>
          </cell>
          <cell r="AE2017" t="str">
            <v/>
          </cell>
          <cell r="AF2017" t="str">
            <v/>
          </cell>
          <cell r="AG2017" t="str">
            <v/>
          </cell>
          <cell r="AH2017" t="str">
            <v>②</v>
          </cell>
          <cell r="AI2017" t="str">
            <v/>
          </cell>
          <cell r="AJ2017" t="str">
            <v>変</v>
          </cell>
        </row>
        <row r="2018">
          <cell r="B2018">
            <v>11710</v>
          </cell>
          <cell r="C2018">
            <v>117</v>
          </cell>
          <cell r="D2018">
            <v>10</v>
          </cell>
          <cell r="F2018" t="str">
            <v>鹿児島</v>
          </cell>
          <cell r="G2018" t="str">
            <v>空調機設備保守</v>
          </cell>
          <cell r="H2018" t="str">
            <v>三菱電機ﾋﾞﾙﾃｸﾉｻｰﾋﾞｽ</v>
          </cell>
          <cell r="I2018">
            <v>1144000</v>
          </cell>
          <cell r="J2018">
            <v>1201200</v>
          </cell>
          <cell r="K2018">
            <v>2</v>
          </cell>
          <cell r="L2018">
            <v>0</v>
          </cell>
          <cell r="M2018">
            <v>0</v>
          </cell>
          <cell r="N2018">
            <v>0</v>
          </cell>
          <cell r="O2018">
            <v>1201200</v>
          </cell>
          <cell r="P2018">
            <v>0</v>
          </cell>
          <cell r="Q2018">
            <v>0</v>
          </cell>
          <cell r="R2018">
            <v>0</v>
          </cell>
          <cell r="S2018">
            <v>0</v>
          </cell>
          <cell r="T2018">
            <v>0</v>
          </cell>
          <cell r="U2018">
            <v>1201200</v>
          </cell>
          <cell r="V2018">
            <v>0</v>
          </cell>
          <cell r="W2018">
            <v>0</v>
          </cell>
          <cell r="X2018" t="str">
            <v/>
          </cell>
          <cell r="Y2018" t="str">
            <v/>
          </cell>
          <cell r="Z2018" t="str">
            <v/>
          </cell>
          <cell r="AA2018" t="str">
            <v>⑦</v>
          </cell>
          <cell r="AC2018" t="str">
            <v/>
          </cell>
          <cell r="AD2018" t="str">
            <v/>
          </cell>
          <cell r="AE2018" t="str">
            <v/>
          </cell>
          <cell r="AF2018" t="str">
            <v/>
          </cell>
          <cell r="AG2018" t="str">
            <v>①</v>
          </cell>
          <cell r="AI2018" t="str">
            <v/>
          </cell>
        </row>
        <row r="2019">
          <cell r="B2019">
            <v>11711</v>
          </cell>
          <cell r="C2019">
            <v>117</v>
          </cell>
          <cell r="D2019">
            <v>11</v>
          </cell>
          <cell r="F2019" t="str">
            <v>鹿児島</v>
          </cell>
          <cell r="G2019" t="str">
            <v>中央監視盤･自動制御機器設備</v>
          </cell>
          <cell r="H2019" t="str">
            <v>千代田計装</v>
          </cell>
          <cell r="I2019">
            <v>650000</v>
          </cell>
          <cell r="J2019">
            <v>675000</v>
          </cell>
          <cell r="K2019">
            <v>1</v>
          </cell>
          <cell r="L2019">
            <v>0</v>
          </cell>
          <cell r="M2019">
            <v>0</v>
          </cell>
          <cell r="N2019">
            <v>0</v>
          </cell>
          <cell r="O2019">
            <v>0</v>
          </cell>
          <cell r="P2019">
            <v>0</v>
          </cell>
          <cell r="Q2019">
            <v>0</v>
          </cell>
          <cell r="R2019">
            <v>0</v>
          </cell>
          <cell r="S2019">
            <v>0</v>
          </cell>
          <cell r="T2019">
            <v>0</v>
          </cell>
          <cell r="U2019">
            <v>0</v>
          </cell>
          <cell r="V2019">
            <v>0</v>
          </cell>
          <cell r="W2019">
            <v>675000</v>
          </cell>
          <cell r="X2019" t="str">
            <v/>
          </cell>
          <cell r="Y2019" t="str">
            <v/>
          </cell>
          <cell r="Z2019" t="str">
            <v/>
          </cell>
          <cell r="AA2019" t="str">
            <v/>
          </cell>
          <cell r="AB2019" t="str">
            <v/>
          </cell>
          <cell r="AC2019" t="str">
            <v/>
          </cell>
          <cell r="AD2019" t="str">
            <v/>
          </cell>
          <cell r="AE2019" t="str">
            <v/>
          </cell>
          <cell r="AF2019" t="str">
            <v/>
          </cell>
          <cell r="AG2019" t="str">
            <v/>
          </cell>
          <cell r="AH2019" t="str">
            <v/>
          </cell>
          <cell r="AI2019" t="str">
            <v>③</v>
          </cell>
          <cell r="AJ2019" t="str">
            <v>変</v>
          </cell>
        </row>
        <row r="2020">
          <cell r="B2020">
            <v>11712</v>
          </cell>
          <cell r="C2020">
            <v>117</v>
          </cell>
          <cell r="D2020">
            <v>12</v>
          </cell>
          <cell r="F2020" t="str">
            <v>鹿児島</v>
          </cell>
          <cell r="G2020" t="str">
            <v>有線放送聴取</v>
          </cell>
          <cell r="H2020" t="str">
            <v>大阪有線放送社</v>
          </cell>
          <cell r="I2020">
            <v>64800</v>
          </cell>
          <cell r="J2020">
            <v>66960</v>
          </cell>
          <cell r="K2020">
            <v>1</v>
          </cell>
          <cell r="L2020">
            <v>66960</v>
          </cell>
          <cell r="M2020">
            <v>0</v>
          </cell>
          <cell r="N2020">
            <v>0</v>
          </cell>
          <cell r="O2020">
            <v>0</v>
          </cell>
          <cell r="P2020">
            <v>0</v>
          </cell>
          <cell r="Q2020">
            <v>0</v>
          </cell>
          <cell r="R2020">
            <v>0</v>
          </cell>
          <cell r="S2020">
            <v>0</v>
          </cell>
          <cell r="T2020">
            <v>0</v>
          </cell>
          <cell r="U2020">
            <v>0</v>
          </cell>
          <cell r="V2020">
            <v>0</v>
          </cell>
          <cell r="W2020">
            <v>0</v>
          </cell>
          <cell r="X2020" t="str">
            <v>④</v>
          </cell>
          <cell r="AJ2020" t="str">
            <v>変</v>
          </cell>
        </row>
        <row r="2021">
          <cell r="B2021">
            <v>11713</v>
          </cell>
          <cell r="C2021">
            <v>117</v>
          </cell>
          <cell r="D2021">
            <v>13</v>
          </cell>
          <cell r="F2021" t="str">
            <v>鹿児島</v>
          </cell>
          <cell r="G2021" t="str">
            <v>空調機ﾛｰﾙﾌｨﾙﾀｰ取替え(給気)</v>
          </cell>
          <cell r="H2021" t="str">
            <v>大塚商会</v>
          </cell>
          <cell r="I2021">
            <v>48000</v>
          </cell>
          <cell r="J2021">
            <v>55200</v>
          </cell>
          <cell r="K2021">
            <v>1</v>
          </cell>
          <cell r="L2021">
            <v>0</v>
          </cell>
          <cell r="M2021">
            <v>0</v>
          </cell>
          <cell r="N2021">
            <v>0</v>
          </cell>
          <cell r="O2021">
            <v>0</v>
          </cell>
          <cell r="P2021">
            <v>0</v>
          </cell>
          <cell r="Q2021">
            <v>0</v>
          </cell>
          <cell r="R2021">
            <v>55200</v>
          </cell>
          <cell r="S2021">
            <v>0</v>
          </cell>
          <cell r="T2021">
            <v>0</v>
          </cell>
          <cell r="U2021">
            <v>0</v>
          </cell>
          <cell r="V2021">
            <v>0</v>
          </cell>
          <cell r="W2021">
            <v>0</v>
          </cell>
          <cell r="X2021" t="str">
            <v/>
          </cell>
          <cell r="Y2021" t="str">
            <v/>
          </cell>
          <cell r="Z2021" t="str">
            <v/>
          </cell>
          <cell r="AA2021" t="str">
            <v/>
          </cell>
          <cell r="AB2021" t="str">
            <v/>
          </cell>
          <cell r="AC2021" t="str">
            <v/>
          </cell>
          <cell r="AD2021" t="str">
            <v>⑩</v>
          </cell>
          <cell r="AE2021" t="str">
            <v/>
          </cell>
          <cell r="AF2021" t="str">
            <v/>
          </cell>
          <cell r="AG2021" t="str">
            <v/>
          </cell>
          <cell r="AH2021" t="str">
            <v/>
          </cell>
          <cell r="AI2021" t="str">
            <v/>
          </cell>
          <cell r="AJ2021" t="str">
            <v>追</v>
          </cell>
        </row>
        <row r="2022">
          <cell r="B2022">
            <v>11714</v>
          </cell>
          <cell r="C2022">
            <v>117</v>
          </cell>
          <cell r="D2022">
            <v>14</v>
          </cell>
          <cell r="F2022" t="str">
            <v>鹿児島</v>
          </cell>
          <cell r="G2022" t="str">
            <v>空調機ﾛｰﾙﾌｨﾙﾀｰ洗浄　(排気)</v>
          </cell>
          <cell r="H2022" t="str">
            <v>大塚商会</v>
          </cell>
          <cell r="I2022">
            <v>12000</v>
          </cell>
          <cell r="J2022">
            <v>14000</v>
          </cell>
          <cell r="K2022">
            <v>1</v>
          </cell>
          <cell r="L2022">
            <v>14000</v>
          </cell>
          <cell r="M2022">
            <v>0</v>
          </cell>
          <cell r="N2022">
            <v>0</v>
          </cell>
          <cell r="O2022">
            <v>0</v>
          </cell>
          <cell r="P2022">
            <v>0</v>
          </cell>
          <cell r="Q2022">
            <v>0</v>
          </cell>
          <cell r="R2022">
            <v>0</v>
          </cell>
          <cell r="S2022">
            <v>0</v>
          </cell>
          <cell r="T2022">
            <v>0</v>
          </cell>
          <cell r="U2022">
            <v>0</v>
          </cell>
          <cell r="V2022">
            <v>0</v>
          </cell>
          <cell r="W2022">
            <v>0</v>
          </cell>
          <cell r="X2022" t="str">
            <v>④</v>
          </cell>
          <cell r="Y2022" t="str">
            <v/>
          </cell>
          <cell r="Z2022" t="str">
            <v/>
          </cell>
          <cell r="AA2022" t="str">
            <v/>
          </cell>
          <cell r="AB2022" t="str">
            <v/>
          </cell>
          <cell r="AC2022" t="str">
            <v/>
          </cell>
          <cell r="AE2022" t="str">
            <v/>
          </cell>
          <cell r="AF2022" t="str">
            <v/>
          </cell>
          <cell r="AG2022" t="str">
            <v/>
          </cell>
          <cell r="AH2022" t="str">
            <v/>
          </cell>
          <cell r="AI2022" t="str">
            <v/>
          </cell>
          <cell r="AJ2022" t="str">
            <v>追</v>
          </cell>
        </row>
        <row r="2023">
          <cell r="B2023">
            <v>11715</v>
          </cell>
          <cell r="C2023">
            <v>117</v>
          </cell>
          <cell r="D2023">
            <v>15</v>
          </cell>
          <cell r="F2023" t="str">
            <v>鹿児島</v>
          </cell>
          <cell r="G2023" t="str">
            <v>外調機点検整備(全熱交換器)</v>
          </cell>
          <cell r="H2023" t="str">
            <v>日本空調サービス</v>
          </cell>
          <cell r="I2023">
            <v>175000</v>
          </cell>
          <cell r="J2023">
            <v>201250</v>
          </cell>
          <cell r="K2023">
            <v>1</v>
          </cell>
          <cell r="L2023">
            <v>0</v>
          </cell>
          <cell r="M2023">
            <v>0</v>
          </cell>
          <cell r="N2023">
            <v>0</v>
          </cell>
          <cell r="O2023">
            <v>0</v>
          </cell>
          <cell r="P2023">
            <v>0</v>
          </cell>
          <cell r="Q2023">
            <v>0</v>
          </cell>
          <cell r="R2023">
            <v>0</v>
          </cell>
          <cell r="S2023">
            <v>201250</v>
          </cell>
          <cell r="T2023">
            <v>0</v>
          </cell>
          <cell r="U2023">
            <v>0</v>
          </cell>
          <cell r="V2023">
            <v>0</v>
          </cell>
          <cell r="W2023">
            <v>0</v>
          </cell>
          <cell r="X2023" t="str">
            <v/>
          </cell>
          <cell r="Y2023" t="str">
            <v/>
          </cell>
          <cell r="Z2023" t="str">
            <v/>
          </cell>
          <cell r="AA2023" t="str">
            <v/>
          </cell>
          <cell r="AB2023" t="str">
            <v/>
          </cell>
          <cell r="AC2023" t="str">
            <v/>
          </cell>
          <cell r="AD2023" t="str">
            <v/>
          </cell>
          <cell r="AE2023" t="str">
            <v>⑪</v>
          </cell>
          <cell r="AF2023" t="str">
            <v/>
          </cell>
          <cell r="AG2023" t="str">
            <v/>
          </cell>
          <cell r="AH2023" t="str">
            <v/>
          </cell>
          <cell r="AI2023" t="str">
            <v/>
          </cell>
          <cell r="AJ2023" t="str">
            <v>追</v>
          </cell>
        </row>
        <row r="2024">
          <cell r="B2024">
            <v>11716</v>
          </cell>
          <cell r="C2024">
            <v>117</v>
          </cell>
          <cell r="D2024">
            <v>16</v>
          </cell>
          <cell r="F2024" t="str">
            <v>鹿児島</v>
          </cell>
          <cell r="G2024" t="str">
            <v>外調機中性能ﾌｨﾙﾀｰ取替え</v>
          </cell>
          <cell r="H2024" t="str">
            <v>大塚商会</v>
          </cell>
          <cell r="I2024">
            <v>300000</v>
          </cell>
          <cell r="J2024">
            <v>345000</v>
          </cell>
          <cell r="K2024">
            <v>1</v>
          </cell>
          <cell r="L2024">
            <v>0</v>
          </cell>
          <cell r="M2024">
            <v>0</v>
          </cell>
          <cell r="N2024">
            <v>0</v>
          </cell>
          <cell r="O2024">
            <v>0</v>
          </cell>
          <cell r="P2024">
            <v>0</v>
          </cell>
          <cell r="Q2024">
            <v>0</v>
          </cell>
          <cell r="R2024">
            <v>345000</v>
          </cell>
          <cell r="S2024">
            <v>0</v>
          </cell>
          <cell r="T2024">
            <v>0</v>
          </cell>
          <cell r="U2024">
            <v>0</v>
          </cell>
          <cell r="V2024">
            <v>0</v>
          </cell>
          <cell r="W2024">
            <v>0</v>
          </cell>
          <cell r="X2024" t="str">
            <v/>
          </cell>
          <cell r="Y2024" t="str">
            <v/>
          </cell>
          <cell r="Z2024" t="str">
            <v/>
          </cell>
          <cell r="AA2024" t="str">
            <v/>
          </cell>
          <cell r="AB2024" t="str">
            <v/>
          </cell>
          <cell r="AC2024" t="str">
            <v/>
          </cell>
          <cell r="AD2024" t="str">
            <v>⑩</v>
          </cell>
          <cell r="AE2024" t="str">
            <v/>
          </cell>
          <cell r="AF2024" t="str">
            <v/>
          </cell>
          <cell r="AG2024" t="str">
            <v/>
          </cell>
          <cell r="AH2024" t="str">
            <v/>
          </cell>
          <cell r="AI2024" t="str">
            <v/>
          </cell>
          <cell r="AJ2024" t="str">
            <v>追</v>
          </cell>
        </row>
        <row r="2025">
          <cell r="B2025">
            <v>11717</v>
          </cell>
          <cell r="C2025">
            <v>117</v>
          </cell>
          <cell r="D2025">
            <v>17</v>
          </cell>
          <cell r="F2025" t="str">
            <v>鹿児島</v>
          </cell>
          <cell r="G2025" t="str">
            <v>ﾌｨﾙﾀｰ清掃</v>
          </cell>
          <cell r="H2025" t="str">
            <v>日本空調サービス</v>
          </cell>
          <cell r="I2025">
            <v>14000</v>
          </cell>
          <cell r="J2025">
            <v>16100</v>
          </cell>
          <cell r="K2025">
            <v>2</v>
          </cell>
          <cell r="L2025">
            <v>0</v>
          </cell>
          <cell r="M2025">
            <v>0</v>
          </cell>
          <cell r="N2025">
            <v>0</v>
          </cell>
          <cell r="O2025">
            <v>16100</v>
          </cell>
          <cell r="P2025">
            <v>0</v>
          </cell>
          <cell r="Q2025">
            <v>0</v>
          </cell>
          <cell r="R2025">
            <v>0</v>
          </cell>
          <cell r="S2025">
            <v>0</v>
          </cell>
          <cell r="T2025">
            <v>0</v>
          </cell>
          <cell r="U2025">
            <v>16100</v>
          </cell>
          <cell r="V2025">
            <v>0</v>
          </cell>
          <cell r="W2025">
            <v>0</v>
          </cell>
          <cell r="X2025" t="str">
            <v/>
          </cell>
          <cell r="Y2025" t="str">
            <v/>
          </cell>
          <cell r="Z2025" t="str">
            <v/>
          </cell>
          <cell r="AA2025" t="str">
            <v>⑦</v>
          </cell>
          <cell r="AB2025" t="str">
            <v/>
          </cell>
          <cell r="AC2025" t="str">
            <v/>
          </cell>
          <cell r="AD2025" t="str">
            <v/>
          </cell>
          <cell r="AE2025" t="str">
            <v/>
          </cell>
          <cell r="AF2025" t="str">
            <v/>
          </cell>
          <cell r="AG2025" t="str">
            <v>①</v>
          </cell>
          <cell r="AH2025" t="str">
            <v/>
          </cell>
          <cell r="AI2025" t="str">
            <v/>
          </cell>
          <cell r="AJ2025" t="str">
            <v>追</v>
          </cell>
        </row>
        <row r="2026">
          <cell r="B2026">
            <v>11718</v>
          </cell>
          <cell r="C2026">
            <v>117</v>
          </cell>
          <cell r="D2026">
            <v>18</v>
          </cell>
          <cell r="F2026" t="str">
            <v>鹿児島</v>
          </cell>
          <cell r="G2026" t="str">
            <v>受水槽室給排気ファン点検</v>
          </cell>
          <cell r="H2026" t="str">
            <v>日本空調サービス</v>
          </cell>
          <cell r="I2026">
            <v>24000</v>
          </cell>
          <cell r="J2026">
            <v>27600</v>
          </cell>
          <cell r="K2026">
            <v>1</v>
          </cell>
          <cell r="L2026">
            <v>0</v>
          </cell>
          <cell r="M2026">
            <v>0</v>
          </cell>
          <cell r="N2026">
            <v>0</v>
          </cell>
          <cell r="O2026">
            <v>0</v>
          </cell>
          <cell r="P2026">
            <v>0</v>
          </cell>
          <cell r="Q2026">
            <v>0</v>
          </cell>
          <cell r="R2026">
            <v>27600</v>
          </cell>
          <cell r="S2026">
            <v>0</v>
          </cell>
          <cell r="T2026">
            <v>0</v>
          </cell>
          <cell r="U2026">
            <v>0</v>
          </cell>
          <cell r="V2026">
            <v>0</v>
          </cell>
          <cell r="W2026">
            <v>0</v>
          </cell>
          <cell r="X2026" t="str">
            <v/>
          </cell>
          <cell r="Y2026" t="str">
            <v/>
          </cell>
          <cell r="Z2026" t="str">
            <v/>
          </cell>
          <cell r="AA2026" t="str">
            <v/>
          </cell>
          <cell r="AB2026" t="str">
            <v/>
          </cell>
          <cell r="AC2026" t="str">
            <v/>
          </cell>
          <cell r="AD2026" t="str">
            <v>⑩</v>
          </cell>
          <cell r="AE2026" t="str">
            <v/>
          </cell>
          <cell r="AF2026" t="str">
            <v/>
          </cell>
          <cell r="AG2026" t="str">
            <v/>
          </cell>
          <cell r="AH2026" t="str">
            <v/>
          </cell>
          <cell r="AI2026" t="str">
            <v/>
          </cell>
          <cell r="AJ2026" t="str">
            <v>追</v>
          </cell>
        </row>
        <row r="2027">
          <cell r="B2027">
            <v>11719</v>
          </cell>
          <cell r="C2027">
            <v>117</v>
          </cell>
          <cell r="D2027">
            <v>19</v>
          </cell>
          <cell r="F2027" t="str">
            <v>鹿児島</v>
          </cell>
          <cell r="G2027" t="str">
            <v>加湿ボイラー点検</v>
          </cell>
          <cell r="H2027" t="str">
            <v>荏原ボイラー</v>
          </cell>
          <cell r="I2027">
            <v>35000</v>
          </cell>
          <cell r="J2027">
            <v>40250</v>
          </cell>
          <cell r="K2027">
            <v>2</v>
          </cell>
          <cell r="L2027">
            <v>40250</v>
          </cell>
          <cell r="M2027">
            <v>0</v>
          </cell>
          <cell r="N2027">
            <v>0</v>
          </cell>
          <cell r="O2027">
            <v>0</v>
          </cell>
          <cell r="P2027">
            <v>0</v>
          </cell>
          <cell r="Q2027">
            <v>0</v>
          </cell>
          <cell r="R2027">
            <v>40250</v>
          </cell>
          <cell r="S2027">
            <v>0</v>
          </cell>
          <cell r="T2027">
            <v>0</v>
          </cell>
          <cell r="U2027">
            <v>0</v>
          </cell>
          <cell r="V2027">
            <v>0</v>
          </cell>
          <cell r="W2027">
            <v>0</v>
          </cell>
          <cell r="X2027" t="str">
            <v>④</v>
          </cell>
          <cell r="Y2027" t="str">
            <v/>
          </cell>
          <cell r="Z2027" t="str">
            <v/>
          </cell>
          <cell r="AA2027" t="str">
            <v/>
          </cell>
          <cell r="AB2027" t="str">
            <v/>
          </cell>
          <cell r="AC2027" t="str">
            <v/>
          </cell>
          <cell r="AD2027" t="str">
            <v>⑩</v>
          </cell>
          <cell r="AE2027" t="str">
            <v/>
          </cell>
          <cell r="AF2027" t="str">
            <v/>
          </cell>
          <cell r="AG2027" t="str">
            <v/>
          </cell>
          <cell r="AH2027" t="str">
            <v/>
          </cell>
          <cell r="AI2027" t="str">
            <v/>
          </cell>
          <cell r="AJ2027" t="str">
            <v>追</v>
          </cell>
        </row>
        <row r="2028">
          <cell r="B2028">
            <v>11720</v>
          </cell>
          <cell r="C2028">
            <v>117</v>
          </cell>
          <cell r="D2028">
            <v>20</v>
          </cell>
          <cell r="F2028" t="str">
            <v>鹿児島</v>
          </cell>
          <cell r="G2028" t="str">
            <v>電気湯沸器点検整備</v>
          </cell>
          <cell r="H2028" t="str">
            <v>日本空調サービス</v>
          </cell>
          <cell r="I2028">
            <v>40500</v>
          </cell>
          <cell r="J2028">
            <v>46575</v>
          </cell>
          <cell r="K2028">
            <v>1</v>
          </cell>
          <cell r="L2028">
            <v>0</v>
          </cell>
          <cell r="M2028">
            <v>0</v>
          </cell>
          <cell r="N2028">
            <v>0</v>
          </cell>
          <cell r="O2028">
            <v>0</v>
          </cell>
          <cell r="P2028">
            <v>46575</v>
          </cell>
          <cell r="Q2028">
            <v>0</v>
          </cell>
          <cell r="R2028">
            <v>0</v>
          </cell>
          <cell r="S2028">
            <v>0</v>
          </cell>
          <cell r="T2028">
            <v>0</v>
          </cell>
          <cell r="U2028">
            <v>0</v>
          </cell>
          <cell r="V2028">
            <v>0</v>
          </cell>
          <cell r="W2028">
            <v>0</v>
          </cell>
          <cell r="X2028" t="str">
            <v/>
          </cell>
          <cell r="Y2028" t="str">
            <v/>
          </cell>
          <cell r="Z2028" t="str">
            <v/>
          </cell>
          <cell r="AA2028" t="str">
            <v/>
          </cell>
          <cell r="AB2028" t="str">
            <v>⑧</v>
          </cell>
          <cell r="AC2028" t="str">
            <v/>
          </cell>
          <cell r="AD2028" t="str">
            <v/>
          </cell>
          <cell r="AE2028" t="str">
            <v/>
          </cell>
          <cell r="AF2028" t="str">
            <v/>
          </cell>
          <cell r="AG2028" t="str">
            <v/>
          </cell>
          <cell r="AH2028" t="str">
            <v/>
          </cell>
          <cell r="AI2028" t="str">
            <v/>
          </cell>
          <cell r="AJ2028" t="str">
            <v>追</v>
          </cell>
        </row>
        <row r="2029">
          <cell r="B2029">
            <v>11721</v>
          </cell>
          <cell r="C2029">
            <v>117</v>
          </cell>
          <cell r="D2029">
            <v>21</v>
          </cell>
          <cell r="F2029" t="str">
            <v>鹿児島</v>
          </cell>
          <cell r="G2029" t="str">
            <v>視聴覚設備点検</v>
          </cell>
          <cell r="H2029" t="str">
            <v>九州松下システム</v>
          </cell>
          <cell r="I2029">
            <v>88000</v>
          </cell>
          <cell r="J2029">
            <v>101200</v>
          </cell>
          <cell r="K2029">
            <v>1</v>
          </cell>
          <cell r="L2029">
            <v>0</v>
          </cell>
          <cell r="M2029">
            <v>0</v>
          </cell>
          <cell r="N2029">
            <v>101200</v>
          </cell>
          <cell r="O2029">
            <v>0</v>
          </cell>
          <cell r="P2029">
            <v>0</v>
          </cell>
          <cell r="Q2029">
            <v>0</v>
          </cell>
          <cell r="R2029">
            <v>0</v>
          </cell>
          <cell r="S2029">
            <v>0</v>
          </cell>
          <cell r="T2029">
            <v>0</v>
          </cell>
          <cell r="U2029">
            <v>0</v>
          </cell>
          <cell r="V2029">
            <v>0</v>
          </cell>
          <cell r="W2029">
            <v>0</v>
          </cell>
          <cell r="X2029" t="str">
            <v/>
          </cell>
          <cell r="Y2029" t="str">
            <v/>
          </cell>
          <cell r="Z2029" t="str">
            <v>⑥</v>
          </cell>
          <cell r="AA2029" t="str">
            <v/>
          </cell>
          <cell r="AB2029" t="str">
            <v/>
          </cell>
          <cell r="AC2029" t="str">
            <v/>
          </cell>
          <cell r="AD2029" t="str">
            <v/>
          </cell>
          <cell r="AE2029" t="str">
            <v/>
          </cell>
          <cell r="AF2029" t="str">
            <v/>
          </cell>
          <cell r="AG2029" t="str">
            <v/>
          </cell>
          <cell r="AH2029" t="str">
            <v/>
          </cell>
          <cell r="AI2029" t="str">
            <v/>
          </cell>
          <cell r="AJ2029" t="str">
            <v>追</v>
          </cell>
        </row>
        <row r="2030">
          <cell r="B2030">
            <v>11722</v>
          </cell>
          <cell r="C2030">
            <v>117</v>
          </cell>
          <cell r="D2030">
            <v>22</v>
          </cell>
          <cell r="F2030" t="str">
            <v>鹿児島</v>
          </cell>
          <cell r="G2030" t="str">
            <v>空気清浄機(洗浄)</v>
          </cell>
          <cell r="H2030" t="str">
            <v>山武ビルシステム</v>
          </cell>
          <cell r="I2030">
            <v>99800</v>
          </cell>
          <cell r="J2030">
            <v>114770</v>
          </cell>
          <cell r="K2030">
            <v>1</v>
          </cell>
          <cell r="L2030">
            <v>0</v>
          </cell>
          <cell r="M2030">
            <v>0</v>
          </cell>
          <cell r="N2030">
            <v>114770</v>
          </cell>
          <cell r="O2030">
            <v>0</v>
          </cell>
          <cell r="P2030">
            <v>0</v>
          </cell>
          <cell r="Q2030">
            <v>0</v>
          </cell>
          <cell r="R2030">
            <v>0</v>
          </cell>
          <cell r="S2030">
            <v>0</v>
          </cell>
          <cell r="T2030">
            <v>0</v>
          </cell>
          <cell r="U2030">
            <v>0</v>
          </cell>
          <cell r="V2030">
            <v>0</v>
          </cell>
          <cell r="W2030">
            <v>0</v>
          </cell>
          <cell r="X2030" t="str">
            <v/>
          </cell>
          <cell r="Y2030" t="str">
            <v/>
          </cell>
          <cell r="Z2030" t="str">
            <v>⑥</v>
          </cell>
          <cell r="AA2030" t="str">
            <v/>
          </cell>
          <cell r="AB2030" t="str">
            <v/>
          </cell>
          <cell r="AC2030" t="str">
            <v/>
          </cell>
          <cell r="AD2030" t="str">
            <v/>
          </cell>
          <cell r="AE2030" t="str">
            <v/>
          </cell>
          <cell r="AH2030" t="str">
            <v/>
          </cell>
          <cell r="AI2030" t="str">
            <v/>
          </cell>
          <cell r="AJ2030" t="str">
            <v>追</v>
          </cell>
        </row>
        <row r="2031">
          <cell r="B2031">
            <v>11723</v>
          </cell>
          <cell r="C2031">
            <v>117</v>
          </cell>
          <cell r="D2031">
            <v>23</v>
          </cell>
          <cell r="F2031" t="str">
            <v>鹿児島</v>
          </cell>
          <cell r="G2031" t="str">
            <v>空気清浄機(ﾌｨﾙﾀｰ交換)</v>
          </cell>
          <cell r="H2031" t="str">
            <v>山武ビルシステム</v>
          </cell>
          <cell r="I2031">
            <v>147700</v>
          </cell>
          <cell r="J2031">
            <v>169855</v>
          </cell>
          <cell r="K2031">
            <v>1</v>
          </cell>
          <cell r="L2031">
            <v>0</v>
          </cell>
          <cell r="M2031">
            <v>0</v>
          </cell>
          <cell r="N2031">
            <v>0</v>
          </cell>
          <cell r="O2031">
            <v>0</v>
          </cell>
          <cell r="P2031">
            <v>0</v>
          </cell>
          <cell r="Q2031">
            <v>0</v>
          </cell>
          <cell r="R2031">
            <v>0</v>
          </cell>
          <cell r="S2031">
            <v>0</v>
          </cell>
          <cell r="T2031">
            <v>169855</v>
          </cell>
          <cell r="U2031">
            <v>0</v>
          </cell>
          <cell r="V2031">
            <v>0</v>
          </cell>
          <cell r="W2031">
            <v>0</v>
          </cell>
          <cell r="X2031" t="str">
            <v/>
          </cell>
          <cell r="Y2031" t="str">
            <v/>
          </cell>
          <cell r="AA2031" t="str">
            <v/>
          </cell>
          <cell r="AB2031" t="str">
            <v/>
          </cell>
          <cell r="AC2031" t="str">
            <v/>
          </cell>
          <cell r="AD2031" t="str">
            <v/>
          </cell>
          <cell r="AE2031" t="str">
            <v/>
          </cell>
          <cell r="AF2031" t="str">
            <v>⑫</v>
          </cell>
          <cell r="AH2031" t="str">
            <v/>
          </cell>
          <cell r="AI2031" t="str">
            <v/>
          </cell>
          <cell r="AJ2031" t="str">
            <v>追</v>
          </cell>
        </row>
        <row r="2032">
          <cell r="B2032">
            <v>11801</v>
          </cell>
          <cell r="C2032">
            <v>118</v>
          </cell>
          <cell r="D2032">
            <v>1</v>
          </cell>
          <cell r="F2032" t="str">
            <v>市川</v>
          </cell>
          <cell r="G2032" t="str">
            <v>空調用ボイラー設備保守</v>
          </cell>
          <cell r="H2032" t="str">
            <v>タクマ汎用機械</v>
          </cell>
          <cell r="I2032">
            <v>66000</v>
          </cell>
          <cell r="J2032">
            <v>67320</v>
          </cell>
          <cell r="K2032">
            <v>2</v>
          </cell>
          <cell r="L2032">
            <v>0</v>
          </cell>
          <cell r="M2032">
            <v>0</v>
          </cell>
          <cell r="N2032">
            <v>0</v>
          </cell>
          <cell r="O2032">
            <v>0</v>
          </cell>
          <cell r="P2032">
            <v>0</v>
          </cell>
          <cell r="Q2032">
            <v>67320</v>
          </cell>
          <cell r="R2032">
            <v>0</v>
          </cell>
          <cell r="S2032">
            <v>0</v>
          </cell>
          <cell r="T2032">
            <v>0</v>
          </cell>
          <cell r="U2032">
            <v>0</v>
          </cell>
          <cell r="V2032">
            <v>0</v>
          </cell>
          <cell r="W2032">
            <v>67320</v>
          </cell>
          <cell r="X2032" t="str">
            <v/>
          </cell>
          <cell r="Y2032" t="str">
            <v/>
          </cell>
          <cell r="Z2032" t="str">
            <v/>
          </cell>
          <cell r="AA2032" t="str">
            <v/>
          </cell>
          <cell r="AB2032" t="str">
            <v/>
          </cell>
          <cell r="AC2032" t="str">
            <v>⑨</v>
          </cell>
          <cell r="AD2032" t="str">
            <v/>
          </cell>
          <cell r="AE2032" t="str">
            <v/>
          </cell>
          <cell r="AF2032" t="str">
            <v/>
          </cell>
          <cell r="AG2032" t="str">
            <v/>
          </cell>
          <cell r="AH2032" t="str">
            <v/>
          </cell>
          <cell r="AI2032" t="str">
            <v>③</v>
          </cell>
        </row>
        <row r="2033">
          <cell r="B2033">
            <v>11802</v>
          </cell>
          <cell r="C2033">
            <v>118</v>
          </cell>
          <cell r="D2033">
            <v>2</v>
          </cell>
          <cell r="F2033" t="str">
            <v>市川</v>
          </cell>
          <cell r="G2033" t="str">
            <v>浄化槽設備保守</v>
          </cell>
          <cell r="H2033" t="str">
            <v>クリタス東京</v>
          </cell>
          <cell r="I2033">
            <v>113500</v>
          </cell>
          <cell r="J2033">
            <v>115770</v>
          </cell>
          <cell r="K2033">
            <v>12</v>
          </cell>
          <cell r="L2033">
            <v>115770</v>
          </cell>
          <cell r="M2033">
            <v>115770</v>
          </cell>
          <cell r="N2033">
            <v>115770</v>
          </cell>
          <cell r="O2033">
            <v>115770</v>
          </cell>
          <cell r="P2033">
            <v>115770</v>
          </cell>
          <cell r="Q2033">
            <v>115770</v>
          </cell>
          <cell r="R2033">
            <v>115770</v>
          </cell>
          <cell r="S2033">
            <v>115770</v>
          </cell>
          <cell r="T2033">
            <v>115770</v>
          </cell>
          <cell r="U2033">
            <v>115770</v>
          </cell>
          <cell r="V2033">
            <v>115770</v>
          </cell>
          <cell r="W2033">
            <v>115770</v>
          </cell>
          <cell r="X2033" t="str">
            <v>④</v>
          </cell>
          <cell r="Y2033" t="str">
            <v>⑤</v>
          </cell>
          <cell r="Z2033" t="str">
            <v>⑥</v>
          </cell>
          <cell r="AA2033" t="str">
            <v>⑦</v>
          </cell>
          <cell r="AB2033" t="str">
            <v>⑧</v>
          </cell>
          <cell r="AC2033" t="str">
            <v>⑨</v>
          </cell>
          <cell r="AD2033" t="str">
            <v>⑩</v>
          </cell>
          <cell r="AE2033" t="str">
            <v>⑪</v>
          </cell>
          <cell r="AF2033" t="str">
            <v>⑫</v>
          </cell>
          <cell r="AG2033" t="str">
            <v>①</v>
          </cell>
          <cell r="AH2033" t="str">
            <v>②</v>
          </cell>
          <cell r="AI2033" t="str">
            <v>③</v>
          </cell>
        </row>
        <row r="2034">
          <cell r="B2034">
            <v>11803</v>
          </cell>
          <cell r="C2034">
            <v>118</v>
          </cell>
          <cell r="D2034">
            <v>3</v>
          </cell>
          <cell r="F2034" t="str">
            <v>市川</v>
          </cell>
          <cell r="G2034" t="str">
            <v>昇降機設備保守</v>
          </cell>
          <cell r="H2034" t="str">
            <v>三菱電機ﾋﾞﾙﾃｸﾉｻｰﾋﾞｽ</v>
          </cell>
          <cell r="I2034">
            <v>125800</v>
          </cell>
          <cell r="J2034">
            <v>128316</v>
          </cell>
          <cell r="K2034">
            <v>12</v>
          </cell>
          <cell r="L2034">
            <v>128316</v>
          </cell>
          <cell r="M2034">
            <v>128316</v>
          </cell>
          <cell r="N2034">
            <v>128316</v>
          </cell>
          <cell r="O2034">
            <v>128316</v>
          </cell>
          <cell r="P2034">
            <v>128316</v>
          </cell>
          <cell r="Q2034">
            <v>128316</v>
          </cell>
          <cell r="R2034">
            <v>128316</v>
          </cell>
          <cell r="S2034">
            <v>128316</v>
          </cell>
          <cell r="T2034">
            <v>128316</v>
          </cell>
          <cell r="U2034">
            <v>128316</v>
          </cell>
          <cell r="V2034">
            <v>128316</v>
          </cell>
          <cell r="W2034">
            <v>128316</v>
          </cell>
          <cell r="X2034" t="str">
            <v>④</v>
          </cell>
          <cell r="Y2034" t="str">
            <v>⑤</v>
          </cell>
          <cell r="Z2034" t="str">
            <v>⑥</v>
          </cell>
          <cell r="AA2034" t="str">
            <v>⑦</v>
          </cell>
          <cell r="AB2034" t="str">
            <v>⑧</v>
          </cell>
          <cell r="AC2034" t="str">
            <v>⑨</v>
          </cell>
          <cell r="AD2034" t="str">
            <v>⑩</v>
          </cell>
          <cell r="AE2034" t="str">
            <v>⑪</v>
          </cell>
          <cell r="AF2034" t="str">
            <v>⑫</v>
          </cell>
          <cell r="AG2034" t="str">
            <v>①</v>
          </cell>
          <cell r="AH2034" t="str">
            <v>②</v>
          </cell>
          <cell r="AI2034" t="str">
            <v>③</v>
          </cell>
        </row>
        <row r="2035">
          <cell r="B2035">
            <v>11804</v>
          </cell>
          <cell r="C2035">
            <v>118</v>
          </cell>
          <cell r="D2035">
            <v>4</v>
          </cell>
          <cell r="F2035" t="str">
            <v>市川</v>
          </cell>
          <cell r="G2035" t="str">
            <v>ガス漏火災警報(外観)</v>
          </cell>
          <cell r="H2035" t="str">
            <v>能美防災</v>
          </cell>
          <cell r="I2035">
            <v>17000</v>
          </cell>
          <cell r="J2035">
            <v>17340</v>
          </cell>
          <cell r="K2035">
            <v>1</v>
          </cell>
          <cell r="L2035">
            <v>0</v>
          </cell>
          <cell r="M2035">
            <v>0</v>
          </cell>
          <cell r="N2035">
            <v>0</v>
          </cell>
          <cell r="O2035">
            <v>0</v>
          </cell>
          <cell r="P2035">
            <v>0</v>
          </cell>
          <cell r="Q2035">
            <v>0</v>
          </cell>
          <cell r="R2035">
            <v>0</v>
          </cell>
          <cell r="S2035">
            <v>0</v>
          </cell>
          <cell r="T2035">
            <v>0</v>
          </cell>
          <cell r="U2035">
            <v>0</v>
          </cell>
          <cell r="V2035">
            <v>0</v>
          </cell>
          <cell r="W2035">
            <v>17340</v>
          </cell>
          <cell r="X2035" t="str">
            <v/>
          </cell>
          <cell r="Y2035" t="str">
            <v/>
          </cell>
          <cell r="Z2035" t="str">
            <v/>
          </cell>
          <cell r="AA2035" t="str">
            <v/>
          </cell>
          <cell r="AB2035" t="str">
            <v/>
          </cell>
          <cell r="AC2035" t="str">
            <v/>
          </cell>
          <cell r="AD2035" t="str">
            <v/>
          </cell>
          <cell r="AE2035" t="str">
            <v/>
          </cell>
          <cell r="AF2035" t="str">
            <v/>
          </cell>
          <cell r="AG2035" t="str">
            <v/>
          </cell>
          <cell r="AH2035" t="str">
            <v/>
          </cell>
          <cell r="AI2035" t="str">
            <v>③</v>
          </cell>
        </row>
        <row r="2036">
          <cell r="B2036">
            <v>11805</v>
          </cell>
          <cell r="C2036">
            <v>118</v>
          </cell>
          <cell r="D2036">
            <v>5</v>
          </cell>
          <cell r="F2036" t="str">
            <v>市川</v>
          </cell>
          <cell r="G2036" t="str">
            <v>ガス漏火災警報(総合)</v>
          </cell>
          <cell r="H2036" t="str">
            <v>能美防災</v>
          </cell>
          <cell r="I2036">
            <v>43000</v>
          </cell>
          <cell r="J2036">
            <v>43860</v>
          </cell>
          <cell r="K2036">
            <v>1</v>
          </cell>
          <cell r="L2036">
            <v>0</v>
          </cell>
          <cell r="M2036">
            <v>0</v>
          </cell>
          <cell r="N2036">
            <v>0</v>
          </cell>
          <cell r="O2036">
            <v>0</v>
          </cell>
          <cell r="P2036">
            <v>0</v>
          </cell>
          <cell r="Q2036">
            <v>43860</v>
          </cell>
          <cell r="R2036">
            <v>0</v>
          </cell>
          <cell r="S2036">
            <v>0</v>
          </cell>
          <cell r="T2036">
            <v>0</v>
          </cell>
          <cell r="U2036">
            <v>0</v>
          </cell>
          <cell r="V2036">
            <v>0</v>
          </cell>
          <cell r="W2036">
            <v>0</v>
          </cell>
          <cell r="X2036" t="str">
            <v/>
          </cell>
          <cell r="Y2036" t="str">
            <v/>
          </cell>
          <cell r="Z2036" t="str">
            <v/>
          </cell>
          <cell r="AA2036" t="str">
            <v/>
          </cell>
          <cell r="AB2036" t="str">
            <v/>
          </cell>
          <cell r="AC2036" t="str">
            <v>⑨</v>
          </cell>
          <cell r="AD2036" t="str">
            <v/>
          </cell>
          <cell r="AE2036" t="str">
            <v/>
          </cell>
          <cell r="AF2036" t="str">
            <v/>
          </cell>
          <cell r="AG2036" t="str">
            <v/>
          </cell>
          <cell r="AH2036" t="str">
            <v/>
          </cell>
          <cell r="AI2036" t="str">
            <v/>
          </cell>
        </row>
        <row r="2037">
          <cell r="B2037">
            <v>11806</v>
          </cell>
          <cell r="C2037">
            <v>118</v>
          </cell>
          <cell r="D2037">
            <v>6</v>
          </cell>
          <cell r="F2037" t="str">
            <v>市川</v>
          </cell>
          <cell r="G2037" t="str">
            <v>自動火災報知設備(外観)</v>
          </cell>
          <cell r="H2037" t="str">
            <v>能美防災</v>
          </cell>
          <cell r="I2037">
            <v>98000</v>
          </cell>
          <cell r="J2037">
            <v>99960</v>
          </cell>
          <cell r="K2037">
            <v>1</v>
          </cell>
          <cell r="L2037">
            <v>0</v>
          </cell>
          <cell r="M2037">
            <v>0</v>
          </cell>
          <cell r="N2037">
            <v>0</v>
          </cell>
          <cell r="O2037">
            <v>0</v>
          </cell>
          <cell r="P2037">
            <v>0</v>
          </cell>
          <cell r="Q2037">
            <v>0</v>
          </cell>
          <cell r="R2037">
            <v>0</v>
          </cell>
          <cell r="S2037">
            <v>0</v>
          </cell>
          <cell r="T2037">
            <v>0</v>
          </cell>
          <cell r="U2037">
            <v>0</v>
          </cell>
          <cell r="V2037">
            <v>0</v>
          </cell>
          <cell r="W2037">
            <v>99960</v>
          </cell>
          <cell r="X2037" t="str">
            <v/>
          </cell>
          <cell r="Y2037" t="str">
            <v/>
          </cell>
          <cell r="Z2037" t="str">
            <v/>
          </cell>
          <cell r="AA2037" t="str">
            <v/>
          </cell>
          <cell r="AB2037" t="str">
            <v/>
          </cell>
          <cell r="AC2037" t="str">
            <v/>
          </cell>
          <cell r="AD2037" t="str">
            <v/>
          </cell>
          <cell r="AE2037" t="str">
            <v/>
          </cell>
          <cell r="AF2037" t="str">
            <v/>
          </cell>
          <cell r="AG2037" t="str">
            <v/>
          </cell>
          <cell r="AH2037" t="str">
            <v/>
          </cell>
          <cell r="AI2037" t="str">
            <v>③</v>
          </cell>
        </row>
        <row r="2038">
          <cell r="B2038">
            <v>11807</v>
          </cell>
          <cell r="C2038">
            <v>118</v>
          </cell>
          <cell r="D2038">
            <v>7</v>
          </cell>
          <cell r="F2038" t="str">
            <v>市川</v>
          </cell>
          <cell r="G2038" t="str">
            <v>自動火災報知設備(総合)</v>
          </cell>
          <cell r="H2038" t="str">
            <v>能美防災</v>
          </cell>
          <cell r="I2038">
            <v>247000</v>
          </cell>
          <cell r="J2038">
            <v>251940</v>
          </cell>
          <cell r="K2038">
            <v>1</v>
          </cell>
          <cell r="L2038">
            <v>0</v>
          </cell>
          <cell r="M2038">
            <v>0</v>
          </cell>
          <cell r="N2038">
            <v>0</v>
          </cell>
          <cell r="O2038">
            <v>0</v>
          </cell>
          <cell r="P2038">
            <v>0</v>
          </cell>
          <cell r="Q2038">
            <v>251940</v>
          </cell>
          <cell r="R2038">
            <v>0</v>
          </cell>
          <cell r="S2038">
            <v>0</v>
          </cell>
          <cell r="T2038">
            <v>0</v>
          </cell>
          <cell r="U2038">
            <v>0</v>
          </cell>
          <cell r="V2038">
            <v>0</v>
          </cell>
          <cell r="W2038">
            <v>0</v>
          </cell>
          <cell r="X2038" t="str">
            <v/>
          </cell>
          <cell r="Y2038" t="str">
            <v/>
          </cell>
          <cell r="Z2038" t="str">
            <v/>
          </cell>
          <cell r="AA2038" t="str">
            <v/>
          </cell>
          <cell r="AB2038" t="str">
            <v/>
          </cell>
          <cell r="AC2038" t="str">
            <v>⑨</v>
          </cell>
          <cell r="AD2038" t="str">
            <v/>
          </cell>
          <cell r="AE2038" t="str">
            <v/>
          </cell>
          <cell r="AF2038" t="str">
            <v/>
          </cell>
          <cell r="AG2038" t="str">
            <v/>
          </cell>
          <cell r="AH2038" t="str">
            <v/>
          </cell>
          <cell r="AI2038" t="str">
            <v/>
          </cell>
        </row>
        <row r="2039">
          <cell r="B2039">
            <v>11808</v>
          </cell>
          <cell r="C2039">
            <v>118</v>
          </cell>
          <cell r="D2039">
            <v>8</v>
          </cell>
          <cell r="F2039" t="str">
            <v>市川</v>
          </cell>
          <cell r="G2039" t="str">
            <v>消火器設備保守(外観)</v>
          </cell>
          <cell r="H2039" t="str">
            <v>能美防災</v>
          </cell>
          <cell r="I2039">
            <v>32000</v>
          </cell>
          <cell r="J2039">
            <v>32640</v>
          </cell>
          <cell r="K2039">
            <v>2</v>
          </cell>
          <cell r="L2039">
            <v>0</v>
          </cell>
          <cell r="M2039">
            <v>0</v>
          </cell>
          <cell r="N2039">
            <v>0</v>
          </cell>
          <cell r="O2039">
            <v>0</v>
          </cell>
          <cell r="P2039">
            <v>0</v>
          </cell>
          <cell r="Q2039">
            <v>32640</v>
          </cell>
          <cell r="R2039">
            <v>0</v>
          </cell>
          <cell r="S2039">
            <v>0</v>
          </cell>
          <cell r="T2039">
            <v>0</v>
          </cell>
          <cell r="U2039">
            <v>0</v>
          </cell>
          <cell r="V2039">
            <v>0</v>
          </cell>
          <cell r="W2039">
            <v>32640</v>
          </cell>
          <cell r="X2039" t="str">
            <v/>
          </cell>
          <cell r="Y2039" t="str">
            <v/>
          </cell>
          <cell r="Z2039" t="str">
            <v/>
          </cell>
          <cell r="AA2039" t="str">
            <v/>
          </cell>
          <cell r="AB2039" t="str">
            <v/>
          </cell>
          <cell r="AC2039" t="str">
            <v>⑨</v>
          </cell>
          <cell r="AD2039" t="str">
            <v/>
          </cell>
          <cell r="AE2039" t="str">
            <v/>
          </cell>
          <cell r="AF2039" t="str">
            <v/>
          </cell>
          <cell r="AG2039" t="str">
            <v/>
          </cell>
          <cell r="AH2039" t="str">
            <v/>
          </cell>
          <cell r="AI2039" t="str">
            <v>③</v>
          </cell>
        </row>
        <row r="2040">
          <cell r="B2040">
            <v>11809</v>
          </cell>
          <cell r="C2040">
            <v>118</v>
          </cell>
          <cell r="D2040">
            <v>9</v>
          </cell>
          <cell r="F2040" t="str">
            <v>市川</v>
          </cell>
          <cell r="G2040" t="str">
            <v>消火栓設備保守(外観)</v>
          </cell>
          <cell r="H2040" t="str">
            <v>能美防災</v>
          </cell>
          <cell r="I2040">
            <v>59000</v>
          </cell>
          <cell r="J2040">
            <v>60180</v>
          </cell>
          <cell r="K2040">
            <v>1</v>
          </cell>
          <cell r="L2040">
            <v>0</v>
          </cell>
          <cell r="M2040">
            <v>0</v>
          </cell>
          <cell r="N2040">
            <v>0</v>
          </cell>
          <cell r="O2040">
            <v>0</v>
          </cell>
          <cell r="P2040">
            <v>0</v>
          </cell>
          <cell r="Q2040">
            <v>0</v>
          </cell>
          <cell r="R2040">
            <v>0</v>
          </cell>
          <cell r="S2040">
            <v>0</v>
          </cell>
          <cell r="T2040">
            <v>0</v>
          </cell>
          <cell r="U2040">
            <v>0</v>
          </cell>
          <cell r="V2040">
            <v>0</v>
          </cell>
          <cell r="W2040">
            <v>60180</v>
          </cell>
          <cell r="X2040" t="str">
            <v/>
          </cell>
          <cell r="Y2040" t="str">
            <v/>
          </cell>
          <cell r="Z2040" t="str">
            <v/>
          </cell>
          <cell r="AA2040" t="str">
            <v/>
          </cell>
          <cell r="AB2040" t="str">
            <v/>
          </cell>
          <cell r="AC2040" t="str">
            <v/>
          </cell>
          <cell r="AD2040" t="str">
            <v/>
          </cell>
          <cell r="AE2040" t="str">
            <v/>
          </cell>
          <cell r="AF2040" t="str">
            <v/>
          </cell>
          <cell r="AG2040" t="str">
            <v/>
          </cell>
          <cell r="AH2040" t="str">
            <v/>
          </cell>
          <cell r="AI2040" t="str">
            <v>③</v>
          </cell>
        </row>
        <row r="2041">
          <cell r="B2041">
            <v>11810</v>
          </cell>
          <cell r="C2041">
            <v>118</v>
          </cell>
          <cell r="D2041">
            <v>10</v>
          </cell>
          <cell r="F2041" t="str">
            <v>市川</v>
          </cell>
          <cell r="G2041" t="str">
            <v>消火栓設備保守(総合)</v>
          </cell>
          <cell r="H2041" t="str">
            <v>能美防災</v>
          </cell>
          <cell r="I2041">
            <v>79000</v>
          </cell>
          <cell r="J2041">
            <v>80580</v>
          </cell>
          <cell r="K2041">
            <v>1</v>
          </cell>
          <cell r="L2041">
            <v>0</v>
          </cell>
          <cell r="M2041">
            <v>0</v>
          </cell>
          <cell r="N2041">
            <v>0</v>
          </cell>
          <cell r="O2041">
            <v>0</v>
          </cell>
          <cell r="P2041">
            <v>0</v>
          </cell>
          <cell r="Q2041">
            <v>80580</v>
          </cell>
          <cell r="R2041">
            <v>0</v>
          </cell>
          <cell r="S2041">
            <v>0</v>
          </cell>
          <cell r="T2041">
            <v>0</v>
          </cell>
          <cell r="U2041">
            <v>0</v>
          </cell>
          <cell r="V2041">
            <v>0</v>
          </cell>
          <cell r="W2041">
            <v>0</v>
          </cell>
          <cell r="X2041" t="str">
            <v/>
          </cell>
          <cell r="Y2041" t="str">
            <v/>
          </cell>
          <cell r="Z2041" t="str">
            <v/>
          </cell>
          <cell r="AA2041" t="str">
            <v/>
          </cell>
          <cell r="AB2041" t="str">
            <v/>
          </cell>
          <cell r="AC2041" t="str">
            <v>⑨</v>
          </cell>
          <cell r="AD2041" t="str">
            <v/>
          </cell>
          <cell r="AE2041" t="str">
            <v/>
          </cell>
          <cell r="AF2041" t="str">
            <v/>
          </cell>
          <cell r="AG2041" t="str">
            <v/>
          </cell>
          <cell r="AH2041" t="str">
            <v/>
          </cell>
          <cell r="AI2041" t="str">
            <v/>
          </cell>
        </row>
        <row r="2042">
          <cell r="B2042">
            <v>11811</v>
          </cell>
          <cell r="C2042">
            <v>118</v>
          </cell>
          <cell r="D2042">
            <v>11</v>
          </cell>
          <cell r="F2042" t="str">
            <v>市川</v>
          </cell>
          <cell r="G2042" t="str">
            <v>防排煙設備保守(外観)</v>
          </cell>
          <cell r="H2042" t="str">
            <v>能美防災</v>
          </cell>
          <cell r="I2042">
            <v>53000</v>
          </cell>
          <cell r="J2042">
            <v>54060</v>
          </cell>
          <cell r="K2042">
            <v>1</v>
          </cell>
          <cell r="L2042">
            <v>0</v>
          </cell>
          <cell r="M2042">
            <v>0</v>
          </cell>
          <cell r="N2042">
            <v>0</v>
          </cell>
          <cell r="O2042">
            <v>0</v>
          </cell>
          <cell r="P2042">
            <v>0</v>
          </cell>
          <cell r="Q2042">
            <v>0</v>
          </cell>
          <cell r="R2042">
            <v>0</v>
          </cell>
          <cell r="S2042">
            <v>0</v>
          </cell>
          <cell r="T2042">
            <v>0</v>
          </cell>
          <cell r="U2042">
            <v>0</v>
          </cell>
          <cell r="V2042">
            <v>0</v>
          </cell>
          <cell r="W2042">
            <v>54060</v>
          </cell>
          <cell r="X2042" t="str">
            <v/>
          </cell>
          <cell r="Y2042" t="str">
            <v/>
          </cell>
          <cell r="Z2042" t="str">
            <v/>
          </cell>
          <cell r="AA2042" t="str">
            <v/>
          </cell>
          <cell r="AB2042" t="str">
            <v/>
          </cell>
          <cell r="AC2042" t="str">
            <v/>
          </cell>
          <cell r="AD2042" t="str">
            <v/>
          </cell>
          <cell r="AE2042" t="str">
            <v/>
          </cell>
          <cell r="AF2042" t="str">
            <v/>
          </cell>
          <cell r="AG2042" t="str">
            <v/>
          </cell>
          <cell r="AH2042" t="str">
            <v/>
          </cell>
          <cell r="AI2042" t="str">
            <v>③</v>
          </cell>
        </row>
        <row r="2043">
          <cell r="B2043">
            <v>11812</v>
          </cell>
          <cell r="C2043">
            <v>118</v>
          </cell>
          <cell r="D2043">
            <v>12</v>
          </cell>
          <cell r="F2043" t="str">
            <v>市川</v>
          </cell>
          <cell r="G2043" t="str">
            <v>防排煙設備保守(総合)</v>
          </cell>
          <cell r="H2043" t="str">
            <v>能美防災</v>
          </cell>
          <cell r="I2043">
            <v>68000</v>
          </cell>
          <cell r="J2043">
            <v>69360</v>
          </cell>
          <cell r="K2043">
            <v>1</v>
          </cell>
          <cell r="L2043">
            <v>0</v>
          </cell>
          <cell r="M2043">
            <v>0</v>
          </cell>
          <cell r="N2043">
            <v>0</v>
          </cell>
          <cell r="O2043">
            <v>0</v>
          </cell>
          <cell r="P2043">
            <v>0</v>
          </cell>
          <cell r="Q2043">
            <v>69360</v>
          </cell>
          <cell r="R2043">
            <v>0</v>
          </cell>
          <cell r="S2043">
            <v>0</v>
          </cell>
          <cell r="T2043">
            <v>0</v>
          </cell>
          <cell r="U2043">
            <v>0</v>
          </cell>
          <cell r="V2043">
            <v>0</v>
          </cell>
          <cell r="W2043">
            <v>0</v>
          </cell>
          <cell r="X2043" t="str">
            <v/>
          </cell>
          <cell r="Y2043" t="str">
            <v/>
          </cell>
          <cell r="Z2043" t="str">
            <v/>
          </cell>
          <cell r="AA2043" t="str">
            <v/>
          </cell>
          <cell r="AB2043" t="str">
            <v/>
          </cell>
          <cell r="AC2043" t="str">
            <v>⑨</v>
          </cell>
          <cell r="AD2043" t="str">
            <v/>
          </cell>
          <cell r="AE2043" t="str">
            <v/>
          </cell>
          <cell r="AF2043" t="str">
            <v/>
          </cell>
          <cell r="AG2043" t="str">
            <v/>
          </cell>
          <cell r="AH2043" t="str">
            <v/>
          </cell>
          <cell r="AI2043" t="str">
            <v/>
          </cell>
        </row>
        <row r="2044">
          <cell r="B2044">
            <v>11813</v>
          </cell>
          <cell r="C2044">
            <v>118</v>
          </cell>
          <cell r="D2044">
            <v>13</v>
          </cell>
          <cell r="F2044" t="str">
            <v>市川</v>
          </cell>
          <cell r="G2044" t="str">
            <v>誘導灯設備保守(外観)</v>
          </cell>
          <cell r="H2044" t="str">
            <v>能美防災</v>
          </cell>
          <cell r="I2044">
            <v>31000</v>
          </cell>
          <cell r="J2044">
            <v>31620</v>
          </cell>
          <cell r="K2044">
            <v>1</v>
          </cell>
          <cell r="L2044">
            <v>0</v>
          </cell>
          <cell r="M2044">
            <v>0</v>
          </cell>
          <cell r="N2044">
            <v>0</v>
          </cell>
          <cell r="O2044">
            <v>0</v>
          </cell>
          <cell r="P2044">
            <v>0</v>
          </cell>
          <cell r="Q2044">
            <v>0</v>
          </cell>
          <cell r="R2044">
            <v>0</v>
          </cell>
          <cell r="S2044">
            <v>0</v>
          </cell>
          <cell r="T2044">
            <v>0</v>
          </cell>
          <cell r="U2044">
            <v>0</v>
          </cell>
          <cell r="V2044">
            <v>0</v>
          </cell>
          <cell r="W2044">
            <v>31620</v>
          </cell>
          <cell r="X2044" t="str">
            <v/>
          </cell>
          <cell r="Y2044" t="str">
            <v/>
          </cell>
          <cell r="Z2044" t="str">
            <v/>
          </cell>
          <cell r="AA2044" t="str">
            <v/>
          </cell>
          <cell r="AB2044" t="str">
            <v/>
          </cell>
          <cell r="AC2044" t="str">
            <v/>
          </cell>
          <cell r="AD2044" t="str">
            <v/>
          </cell>
          <cell r="AE2044" t="str">
            <v/>
          </cell>
          <cell r="AF2044" t="str">
            <v/>
          </cell>
          <cell r="AG2044" t="str">
            <v/>
          </cell>
          <cell r="AH2044" t="str">
            <v/>
          </cell>
          <cell r="AI2044" t="str">
            <v>③</v>
          </cell>
        </row>
        <row r="2045">
          <cell r="B2045">
            <v>11814</v>
          </cell>
          <cell r="C2045">
            <v>118</v>
          </cell>
          <cell r="D2045">
            <v>14</v>
          </cell>
          <cell r="F2045" t="str">
            <v>市川</v>
          </cell>
          <cell r="G2045" t="str">
            <v>誘導灯設備保守(外観)</v>
          </cell>
          <cell r="H2045" t="str">
            <v>能美防災</v>
          </cell>
          <cell r="I2045">
            <v>33000</v>
          </cell>
          <cell r="J2045">
            <v>33660</v>
          </cell>
          <cell r="K2045">
            <v>1</v>
          </cell>
          <cell r="L2045">
            <v>0</v>
          </cell>
          <cell r="M2045">
            <v>0</v>
          </cell>
          <cell r="N2045">
            <v>0</v>
          </cell>
          <cell r="O2045">
            <v>0</v>
          </cell>
          <cell r="P2045">
            <v>0</v>
          </cell>
          <cell r="Q2045">
            <v>33660</v>
          </cell>
          <cell r="R2045">
            <v>0</v>
          </cell>
          <cell r="S2045">
            <v>0</v>
          </cell>
          <cell r="T2045">
            <v>0</v>
          </cell>
          <cell r="U2045">
            <v>0</v>
          </cell>
          <cell r="V2045">
            <v>0</v>
          </cell>
          <cell r="W2045">
            <v>0</v>
          </cell>
          <cell r="X2045" t="str">
            <v/>
          </cell>
          <cell r="Y2045" t="str">
            <v/>
          </cell>
          <cell r="Z2045" t="str">
            <v/>
          </cell>
          <cell r="AA2045" t="str">
            <v/>
          </cell>
          <cell r="AB2045" t="str">
            <v/>
          </cell>
          <cell r="AC2045" t="str">
            <v>⑨</v>
          </cell>
          <cell r="AD2045" t="str">
            <v/>
          </cell>
          <cell r="AE2045" t="str">
            <v/>
          </cell>
          <cell r="AF2045" t="str">
            <v/>
          </cell>
          <cell r="AG2045" t="str">
            <v/>
          </cell>
          <cell r="AH2045" t="str">
            <v/>
          </cell>
          <cell r="AI2045" t="str">
            <v/>
          </cell>
        </row>
        <row r="2046">
          <cell r="B2046">
            <v>11815</v>
          </cell>
          <cell r="C2046">
            <v>118</v>
          </cell>
          <cell r="D2046">
            <v>15</v>
          </cell>
          <cell r="F2046" t="str">
            <v>市川</v>
          </cell>
          <cell r="G2046" t="str">
            <v>非常発電機設備保守(外観)</v>
          </cell>
          <cell r="H2046" t="str">
            <v>能美防災</v>
          </cell>
          <cell r="I2046">
            <v>59000</v>
          </cell>
          <cell r="J2046">
            <v>60180</v>
          </cell>
          <cell r="K2046">
            <v>1</v>
          </cell>
          <cell r="L2046">
            <v>0</v>
          </cell>
          <cell r="M2046">
            <v>0</v>
          </cell>
          <cell r="N2046">
            <v>0</v>
          </cell>
          <cell r="O2046">
            <v>0</v>
          </cell>
          <cell r="P2046">
            <v>0</v>
          </cell>
          <cell r="Q2046">
            <v>0</v>
          </cell>
          <cell r="R2046">
            <v>0</v>
          </cell>
          <cell r="S2046">
            <v>0</v>
          </cell>
          <cell r="T2046">
            <v>0</v>
          </cell>
          <cell r="U2046">
            <v>0</v>
          </cell>
          <cell r="V2046">
            <v>0</v>
          </cell>
          <cell r="W2046">
            <v>60180</v>
          </cell>
          <cell r="X2046" t="str">
            <v/>
          </cell>
          <cell r="Y2046" t="str">
            <v/>
          </cell>
          <cell r="Z2046" t="str">
            <v/>
          </cell>
          <cell r="AA2046" t="str">
            <v/>
          </cell>
          <cell r="AB2046" t="str">
            <v/>
          </cell>
          <cell r="AC2046" t="str">
            <v/>
          </cell>
          <cell r="AD2046" t="str">
            <v/>
          </cell>
          <cell r="AE2046" t="str">
            <v/>
          </cell>
          <cell r="AF2046" t="str">
            <v/>
          </cell>
          <cell r="AG2046" t="str">
            <v/>
          </cell>
          <cell r="AH2046" t="str">
            <v/>
          </cell>
          <cell r="AI2046" t="str">
            <v>③</v>
          </cell>
        </row>
        <row r="2047">
          <cell r="B2047">
            <v>11816</v>
          </cell>
          <cell r="C2047">
            <v>118</v>
          </cell>
          <cell r="D2047">
            <v>16</v>
          </cell>
          <cell r="F2047" t="str">
            <v>市川</v>
          </cell>
          <cell r="G2047" t="str">
            <v>非常発電機設備保守(総合)</v>
          </cell>
          <cell r="H2047" t="str">
            <v>能美防災</v>
          </cell>
          <cell r="I2047">
            <v>61000</v>
          </cell>
          <cell r="J2047">
            <v>62220</v>
          </cell>
          <cell r="K2047">
            <v>1</v>
          </cell>
          <cell r="L2047">
            <v>0</v>
          </cell>
          <cell r="M2047">
            <v>0</v>
          </cell>
          <cell r="N2047">
            <v>0</v>
          </cell>
          <cell r="O2047">
            <v>0</v>
          </cell>
          <cell r="P2047">
            <v>0</v>
          </cell>
          <cell r="Q2047">
            <v>62220</v>
          </cell>
          <cell r="R2047">
            <v>0</v>
          </cell>
          <cell r="S2047">
            <v>0</v>
          </cell>
          <cell r="T2047">
            <v>0</v>
          </cell>
          <cell r="U2047">
            <v>0</v>
          </cell>
          <cell r="V2047">
            <v>0</v>
          </cell>
          <cell r="W2047">
            <v>0</v>
          </cell>
          <cell r="X2047" t="str">
            <v/>
          </cell>
          <cell r="Y2047" t="str">
            <v/>
          </cell>
          <cell r="Z2047" t="str">
            <v/>
          </cell>
          <cell r="AA2047" t="str">
            <v/>
          </cell>
          <cell r="AB2047" t="str">
            <v/>
          </cell>
          <cell r="AC2047" t="str">
            <v>⑨</v>
          </cell>
          <cell r="AD2047" t="str">
            <v/>
          </cell>
          <cell r="AE2047" t="str">
            <v/>
          </cell>
          <cell r="AF2047" t="str">
            <v/>
          </cell>
          <cell r="AG2047" t="str">
            <v/>
          </cell>
          <cell r="AH2047" t="str">
            <v/>
          </cell>
          <cell r="AI2047" t="str">
            <v/>
          </cell>
        </row>
        <row r="2048">
          <cell r="B2048">
            <v>11817</v>
          </cell>
          <cell r="C2048">
            <v>118</v>
          </cell>
          <cell r="D2048">
            <v>17</v>
          </cell>
          <cell r="F2048" t="str">
            <v>市川</v>
          </cell>
          <cell r="G2048" t="str">
            <v>非常放送設備保守(外観)</v>
          </cell>
          <cell r="H2048" t="str">
            <v>能美防災</v>
          </cell>
          <cell r="I2048">
            <v>54000</v>
          </cell>
          <cell r="J2048">
            <v>55080</v>
          </cell>
          <cell r="K2048">
            <v>1</v>
          </cell>
          <cell r="L2048">
            <v>0</v>
          </cell>
          <cell r="M2048">
            <v>0</v>
          </cell>
          <cell r="N2048">
            <v>0</v>
          </cell>
          <cell r="O2048">
            <v>0</v>
          </cell>
          <cell r="P2048">
            <v>0</v>
          </cell>
          <cell r="Q2048">
            <v>0</v>
          </cell>
          <cell r="R2048">
            <v>0</v>
          </cell>
          <cell r="S2048">
            <v>0</v>
          </cell>
          <cell r="T2048">
            <v>0</v>
          </cell>
          <cell r="U2048">
            <v>0</v>
          </cell>
          <cell r="V2048">
            <v>0</v>
          </cell>
          <cell r="W2048">
            <v>55080</v>
          </cell>
          <cell r="X2048" t="str">
            <v/>
          </cell>
          <cell r="Y2048" t="str">
            <v/>
          </cell>
          <cell r="Z2048" t="str">
            <v/>
          </cell>
          <cell r="AA2048" t="str">
            <v/>
          </cell>
          <cell r="AB2048" t="str">
            <v/>
          </cell>
          <cell r="AC2048" t="str">
            <v/>
          </cell>
          <cell r="AD2048" t="str">
            <v/>
          </cell>
          <cell r="AE2048" t="str">
            <v/>
          </cell>
          <cell r="AF2048" t="str">
            <v/>
          </cell>
          <cell r="AG2048" t="str">
            <v/>
          </cell>
          <cell r="AH2048" t="str">
            <v/>
          </cell>
          <cell r="AI2048" t="str">
            <v>③</v>
          </cell>
        </row>
        <row r="2049">
          <cell r="B2049">
            <v>11818</v>
          </cell>
          <cell r="C2049">
            <v>118</v>
          </cell>
          <cell r="D2049">
            <v>18</v>
          </cell>
          <cell r="F2049" t="str">
            <v>市川</v>
          </cell>
          <cell r="G2049" t="str">
            <v>非常放送設備保守(総合)</v>
          </cell>
          <cell r="H2049" t="str">
            <v>能美防災</v>
          </cell>
          <cell r="I2049">
            <v>70000</v>
          </cell>
          <cell r="J2049">
            <v>71400</v>
          </cell>
          <cell r="K2049">
            <v>1</v>
          </cell>
          <cell r="L2049">
            <v>0</v>
          </cell>
          <cell r="M2049">
            <v>0</v>
          </cell>
          <cell r="N2049">
            <v>0</v>
          </cell>
          <cell r="O2049">
            <v>0</v>
          </cell>
          <cell r="P2049">
            <v>0</v>
          </cell>
          <cell r="Q2049">
            <v>71400</v>
          </cell>
          <cell r="R2049">
            <v>0</v>
          </cell>
          <cell r="S2049">
            <v>0</v>
          </cell>
          <cell r="T2049">
            <v>0</v>
          </cell>
          <cell r="U2049">
            <v>0</v>
          </cell>
          <cell r="V2049">
            <v>0</v>
          </cell>
          <cell r="W2049">
            <v>0</v>
          </cell>
          <cell r="X2049" t="str">
            <v/>
          </cell>
          <cell r="Y2049" t="str">
            <v/>
          </cell>
          <cell r="Z2049" t="str">
            <v/>
          </cell>
          <cell r="AA2049" t="str">
            <v/>
          </cell>
          <cell r="AB2049" t="str">
            <v/>
          </cell>
          <cell r="AC2049" t="str">
            <v>⑨</v>
          </cell>
          <cell r="AD2049" t="str">
            <v/>
          </cell>
          <cell r="AE2049" t="str">
            <v/>
          </cell>
          <cell r="AF2049" t="str">
            <v/>
          </cell>
          <cell r="AG2049" t="str">
            <v/>
          </cell>
          <cell r="AH2049" t="str">
            <v/>
          </cell>
          <cell r="AI2049" t="str">
            <v/>
          </cell>
        </row>
        <row r="2050">
          <cell r="B2050">
            <v>11819</v>
          </cell>
          <cell r="C2050">
            <v>118</v>
          </cell>
          <cell r="D2050">
            <v>19</v>
          </cell>
          <cell r="F2050" t="str">
            <v>市川</v>
          </cell>
          <cell r="G2050" t="str">
            <v>避難器具保守(外観)</v>
          </cell>
          <cell r="H2050" t="str">
            <v>能美防災</v>
          </cell>
          <cell r="I2050">
            <v>7000</v>
          </cell>
          <cell r="J2050">
            <v>7140</v>
          </cell>
          <cell r="K2050">
            <v>1</v>
          </cell>
          <cell r="L2050">
            <v>0</v>
          </cell>
          <cell r="M2050">
            <v>0</v>
          </cell>
          <cell r="N2050">
            <v>0</v>
          </cell>
          <cell r="O2050">
            <v>0</v>
          </cell>
          <cell r="P2050">
            <v>0</v>
          </cell>
          <cell r="Q2050">
            <v>0</v>
          </cell>
          <cell r="R2050">
            <v>0</v>
          </cell>
          <cell r="S2050">
            <v>0</v>
          </cell>
          <cell r="T2050">
            <v>0</v>
          </cell>
          <cell r="U2050">
            <v>0</v>
          </cell>
          <cell r="V2050">
            <v>0</v>
          </cell>
          <cell r="W2050">
            <v>7140</v>
          </cell>
          <cell r="X2050" t="str">
            <v/>
          </cell>
          <cell r="Y2050" t="str">
            <v/>
          </cell>
          <cell r="Z2050" t="str">
            <v/>
          </cell>
          <cell r="AA2050" t="str">
            <v/>
          </cell>
          <cell r="AB2050" t="str">
            <v/>
          </cell>
          <cell r="AC2050" t="str">
            <v/>
          </cell>
          <cell r="AD2050" t="str">
            <v/>
          </cell>
          <cell r="AE2050" t="str">
            <v/>
          </cell>
          <cell r="AF2050" t="str">
            <v/>
          </cell>
          <cell r="AG2050" t="str">
            <v/>
          </cell>
          <cell r="AH2050" t="str">
            <v/>
          </cell>
          <cell r="AI2050" t="str">
            <v>③</v>
          </cell>
        </row>
        <row r="2051">
          <cell r="B2051">
            <v>11820</v>
          </cell>
          <cell r="C2051">
            <v>118</v>
          </cell>
          <cell r="D2051">
            <v>20</v>
          </cell>
          <cell r="F2051" t="str">
            <v>市川</v>
          </cell>
          <cell r="G2051" t="str">
            <v>避難器具保守(総合)</v>
          </cell>
          <cell r="H2051" t="str">
            <v>能美防災</v>
          </cell>
          <cell r="I2051">
            <v>7000</v>
          </cell>
          <cell r="J2051">
            <v>7140</v>
          </cell>
          <cell r="K2051">
            <v>1</v>
          </cell>
          <cell r="L2051">
            <v>0</v>
          </cell>
          <cell r="M2051">
            <v>0</v>
          </cell>
          <cell r="N2051">
            <v>0</v>
          </cell>
          <cell r="O2051">
            <v>0</v>
          </cell>
          <cell r="P2051">
            <v>0</v>
          </cell>
          <cell r="Q2051">
            <v>7140</v>
          </cell>
          <cell r="R2051">
            <v>0</v>
          </cell>
          <cell r="S2051">
            <v>0</v>
          </cell>
          <cell r="T2051">
            <v>0</v>
          </cell>
          <cell r="U2051">
            <v>0</v>
          </cell>
          <cell r="V2051">
            <v>0</v>
          </cell>
          <cell r="W2051">
            <v>0</v>
          </cell>
          <cell r="X2051" t="str">
            <v/>
          </cell>
          <cell r="Y2051" t="str">
            <v/>
          </cell>
          <cell r="Z2051" t="str">
            <v/>
          </cell>
          <cell r="AA2051" t="str">
            <v/>
          </cell>
          <cell r="AB2051" t="str">
            <v/>
          </cell>
          <cell r="AC2051" t="str">
            <v>⑨</v>
          </cell>
          <cell r="AD2051" t="str">
            <v/>
          </cell>
          <cell r="AE2051" t="str">
            <v/>
          </cell>
          <cell r="AF2051" t="str">
            <v/>
          </cell>
          <cell r="AG2051" t="str">
            <v/>
          </cell>
          <cell r="AH2051" t="str">
            <v/>
          </cell>
          <cell r="AI2051" t="str">
            <v/>
          </cell>
        </row>
        <row r="2052">
          <cell r="B2052">
            <v>11821</v>
          </cell>
          <cell r="C2052">
            <v>118</v>
          </cell>
          <cell r="D2052">
            <v>21</v>
          </cell>
          <cell r="F2052" t="str">
            <v>市川</v>
          </cell>
          <cell r="G2052" t="str">
            <v>害虫駆除</v>
          </cell>
          <cell r="H2052" t="str">
            <v>ｴｰﾑﾌｧｼﾘﾃｨｻｰﾋﾞｽ</v>
          </cell>
          <cell r="I2052">
            <v>186000</v>
          </cell>
          <cell r="J2052">
            <v>204600</v>
          </cell>
          <cell r="K2052">
            <v>2</v>
          </cell>
          <cell r="L2052">
            <v>0</v>
          </cell>
          <cell r="M2052">
            <v>0</v>
          </cell>
          <cell r="N2052">
            <v>0</v>
          </cell>
          <cell r="O2052">
            <v>0</v>
          </cell>
          <cell r="P2052">
            <v>204600</v>
          </cell>
          <cell r="Q2052">
            <v>0</v>
          </cell>
          <cell r="R2052">
            <v>0</v>
          </cell>
          <cell r="S2052">
            <v>0</v>
          </cell>
          <cell r="T2052">
            <v>0</v>
          </cell>
          <cell r="U2052">
            <v>0</v>
          </cell>
          <cell r="V2052">
            <v>204600</v>
          </cell>
          <cell r="W2052">
            <v>0</v>
          </cell>
          <cell r="X2052" t="str">
            <v/>
          </cell>
          <cell r="Y2052" t="str">
            <v/>
          </cell>
          <cell r="Z2052" t="str">
            <v/>
          </cell>
          <cell r="AA2052" t="str">
            <v/>
          </cell>
          <cell r="AB2052" t="str">
            <v>⑧</v>
          </cell>
          <cell r="AC2052" t="str">
            <v/>
          </cell>
          <cell r="AD2052" t="str">
            <v/>
          </cell>
          <cell r="AE2052" t="str">
            <v/>
          </cell>
          <cell r="AF2052" t="str">
            <v/>
          </cell>
          <cell r="AG2052" t="str">
            <v/>
          </cell>
          <cell r="AH2052" t="str">
            <v>②</v>
          </cell>
          <cell r="AI2052" t="str">
            <v/>
          </cell>
        </row>
        <row r="2053">
          <cell r="B2053">
            <v>11822</v>
          </cell>
          <cell r="C2053">
            <v>118</v>
          </cell>
          <cell r="D2053">
            <v>22</v>
          </cell>
          <cell r="F2053" t="str">
            <v>市川</v>
          </cell>
          <cell r="G2053" t="str">
            <v>受水槽清掃</v>
          </cell>
          <cell r="H2053" t="str">
            <v>杉田商工</v>
          </cell>
          <cell r="I2053">
            <v>66000</v>
          </cell>
          <cell r="J2053">
            <v>74580</v>
          </cell>
          <cell r="K2053">
            <v>1</v>
          </cell>
          <cell r="L2053">
            <v>0</v>
          </cell>
          <cell r="M2053">
            <v>0</v>
          </cell>
          <cell r="N2053">
            <v>0</v>
          </cell>
          <cell r="O2053">
            <v>0</v>
          </cell>
          <cell r="P2053">
            <v>0</v>
          </cell>
          <cell r="Q2053">
            <v>0</v>
          </cell>
          <cell r="R2053">
            <v>74580</v>
          </cell>
          <cell r="S2053">
            <v>0</v>
          </cell>
          <cell r="T2053">
            <v>0</v>
          </cell>
          <cell r="U2053">
            <v>0</v>
          </cell>
          <cell r="V2053">
            <v>0</v>
          </cell>
          <cell r="W2053">
            <v>0</v>
          </cell>
          <cell r="X2053" t="str">
            <v/>
          </cell>
          <cell r="Y2053" t="str">
            <v/>
          </cell>
          <cell r="Z2053" t="str">
            <v/>
          </cell>
          <cell r="AA2053" t="str">
            <v/>
          </cell>
          <cell r="AB2053" t="str">
            <v/>
          </cell>
          <cell r="AC2053" t="str">
            <v/>
          </cell>
          <cell r="AD2053" t="str">
            <v>⑩</v>
          </cell>
          <cell r="AE2053" t="str">
            <v/>
          </cell>
          <cell r="AF2053" t="str">
            <v/>
          </cell>
          <cell r="AG2053" t="str">
            <v/>
          </cell>
          <cell r="AH2053" t="str">
            <v/>
          </cell>
          <cell r="AI2053" t="str">
            <v/>
          </cell>
        </row>
        <row r="2054">
          <cell r="B2054">
            <v>11823</v>
          </cell>
          <cell r="C2054">
            <v>118</v>
          </cell>
          <cell r="D2054">
            <v>23</v>
          </cell>
          <cell r="F2054" t="str">
            <v>市川</v>
          </cell>
          <cell r="G2054" t="str">
            <v>冷温水発生機設備保守</v>
          </cell>
          <cell r="H2054" t="str">
            <v>三菱重工冷熱システム</v>
          </cell>
          <cell r="I2054">
            <v>750000</v>
          </cell>
          <cell r="J2054">
            <v>765000</v>
          </cell>
          <cell r="K2054">
            <v>2</v>
          </cell>
          <cell r="L2054">
            <v>0</v>
          </cell>
          <cell r="M2054">
            <v>765000</v>
          </cell>
          <cell r="N2054">
            <v>0</v>
          </cell>
          <cell r="O2054">
            <v>0</v>
          </cell>
          <cell r="P2054">
            <v>0</v>
          </cell>
          <cell r="Q2054">
            <v>0</v>
          </cell>
          <cell r="R2054">
            <v>0</v>
          </cell>
          <cell r="S2054">
            <v>765000</v>
          </cell>
          <cell r="T2054">
            <v>0</v>
          </cell>
          <cell r="U2054">
            <v>0</v>
          </cell>
          <cell r="V2054">
            <v>0</v>
          </cell>
          <cell r="W2054">
            <v>0</v>
          </cell>
          <cell r="X2054" t="str">
            <v/>
          </cell>
          <cell r="Y2054" t="str">
            <v>⑤</v>
          </cell>
          <cell r="Z2054" t="str">
            <v/>
          </cell>
          <cell r="AA2054" t="str">
            <v/>
          </cell>
          <cell r="AB2054" t="str">
            <v/>
          </cell>
          <cell r="AC2054" t="str">
            <v/>
          </cell>
          <cell r="AD2054" t="str">
            <v/>
          </cell>
          <cell r="AE2054" t="str">
            <v>⑪</v>
          </cell>
          <cell r="AF2054" t="str">
            <v/>
          </cell>
          <cell r="AG2054" t="str">
            <v/>
          </cell>
          <cell r="AH2054" t="str">
            <v/>
          </cell>
          <cell r="AI2054" t="str">
            <v/>
          </cell>
        </row>
        <row r="2055">
          <cell r="B2055">
            <v>11824</v>
          </cell>
          <cell r="C2055">
            <v>118</v>
          </cell>
          <cell r="D2055">
            <v>24</v>
          </cell>
          <cell r="F2055" t="str">
            <v>市川</v>
          </cell>
          <cell r="G2055" t="str">
            <v>空調用自動制御機器保守</v>
          </cell>
          <cell r="H2055" t="str">
            <v>日本電技</v>
          </cell>
          <cell r="I2055">
            <v>900000</v>
          </cell>
          <cell r="J2055">
            <v>918000</v>
          </cell>
          <cell r="K2055">
            <v>2</v>
          </cell>
          <cell r="L2055">
            <v>0</v>
          </cell>
          <cell r="M2055">
            <v>918000</v>
          </cell>
          <cell r="N2055">
            <v>0</v>
          </cell>
          <cell r="O2055">
            <v>0</v>
          </cell>
          <cell r="P2055">
            <v>0</v>
          </cell>
          <cell r="Q2055">
            <v>0</v>
          </cell>
          <cell r="R2055">
            <v>0</v>
          </cell>
          <cell r="S2055">
            <v>918000</v>
          </cell>
          <cell r="T2055">
            <v>0</v>
          </cell>
          <cell r="U2055">
            <v>0</v>
          </cell>
          <cell r="V2055">
            <v>0</v>
          </cell>
          <cell r="W2055">
            <v>0</v>
          </cell>
          <cell r="X2055" t="str">
            <v/>
          </cell>
          <cell r="Y2055" t="str">
            <v>⑤</v>
          </cell>
          <cell r="Z2055" t="str">
            <v/>
          </cell>
          <cell r="AA2055" t="str">
            <v/>
          </cell>
          <cell r="AB2055" t="str">
            <v/>
          </cell>
          <cell r="AC2055" t="str">
            <v/>
          </cell>
          <cell r="AD2055" t="str">
            <v/>
          </cell>
          <cell r="AE2055" t="str">
            <v>⑪</v>
          </cell>
          <cell r="AF2055" t="str">
            <v/>
          </cell>
          <cell r="AG2055" t="str">
            <v/>
          </cell>
          <cell r="AH2055" t="str">
            <v/>
          </cell>
          <cell r="AI2055" t="str">
            <v/>
          </cell>
        </row>
        <row r="2056">
          <cell r="B2056">
            <v>11825</v>
          </cell>
          <cell r="C2056">
            <v>118</v>
          </cell>
          <cell r="D2056">
            <v>25</v>
          </cell>
          <cell r="F2056" t="str">
            <v>市川</v>
          </cell>
          <cell r="G2056" t="str">
            <v>給排水ポンプ設備保守点検</v>
          </cell>
          <cell r="H2056" t="str">
            <v>荏原テクノサーブ</v>
          </cell>
          <cell r="I2056">
            <v>155000</v>
          </cell>
          <cell r="J2056">
            <v>161700</v>
          </cell>
          <cell r="K2056">
            <v>1</v>
          </cell>
          <cell r="L2056">
            <v>0</v>
          </cell>
          <cell r="M2056">
            <v>0</v>
          </cell>
          <cell r="N2056">
            <v>0</v>
          </cell>
          <cell r="O2056">
            <v>0</v>
          </cell>
          <cell r="P2056">
            <v>0</v>
          </cell>
          <cell r="Q2056">
            <v>161700</v>
          </cell>
          <cell r="R2056">
            <v>0</v>
          </cell>
          <cell r="S2056">
            <v>0</v>
          </cell>
          <cell r="T2056">
            <v>0</v>
          </cell>
          <cell r="U2056">
            <v>0</v>
          </cell>
          <cell r="V2056">
            <v>0</v>
          </cell>
          <cell r="W2056">
            <v>0</v>
          </cell>
          <cell r="X2056" t="str">
            <v/>
          </cell>
          <cell r="Y2056" t="str">
            <v/>
          </cell>
          <cell r="Z2056" t="str">
            <v/>
          </cell>
          <cell r="AA2056" t="str">
            <v/>
          </cell>
          <cell r="AB2056" t="str">
            <v/>
          </cell>
          <cell r="AC2056" t="str">
            <v>⑨</v>
          </cell>
          <cell r="AD2056" t="str">
            <v/>
          </cell>
          <cell r="AE2056" t="str">
            <v/>
          </cell>
          <cell r="AF2056" t="str">
            <v/>
          </cell>
          <cell r="AG2056" t="str">
            <v/>
          </cell>
          <cell r="AH2056" t="str">
            <v/>
          </cell>
          <cell r="AJ2056" t="str">
            <v>変</v>
          </cell>
        </row>
        <row r="2057">
          <cell r="B2057">
            <v>11826</v>
          </cell>
          <cell r="C2057">
            <v>118</v>
          </cell>
          <cell r="D2057">
            <v>26</v>
          </cell>
          <cell r="F2057" t="str">
            <v>市川</v>
          </cell>
          <cell r="G2057" t="str">
            <v>植栽管理</v>
          </cell>
          <cell r="H2057" t="str">
            <v>昭立造園</v>
          </cell>
          <cell r="I2057">
            <v>685000</v>
          </cell>
          <cell r="J2057">
            <v>698700</v>
          </cell>
          <cell r="K2057">
            <v>2</v>
          </cell>
          <cell r="L2057">
            <v>0</v>
          </cell>
          <cell r="M2057">
            <v>0</v>
          </cell>
          <cell r="N2057">
            <v>0</v>
          </cell>
          <cell r="O2057">
            <v>698700</v>
          </cell>
          <cell r="P2057">
            <v>0</v>
          </cell>
          <cell r="Q2057">
            <v>0</v>
          </cell>
          <cell r="R2057">
            <v>0</v>
          </cell>
          <cell r="S2057">
            <v>0</v>
          </cell>
          <cell r="T2057">
            <v>0</v>
          </cell>
          <cell r="U2057">
            <v>0</v>
          </cell>
          <cell r="V2057">
            <v>698700</v>
          </cell>
          <cell r="W2057">
            <v>0</v>
          </cell>
          <cell r="X2057" t="str">
            <v/>
          </cell>
          <cell r="Y2057" t="str">
            <v/>
          </cell>
          <cell r="Z2057" t="str">
            <v/>
          </cell>
          <cell r="AA2057" t="str">
            <v>⑦</v>
          </cell>
          <cell r="AB2057" t="str">
            <v/>
          </cell>
          <cell r="AC2057" t="str">
            <v/>
          </cell>
          <cell r="AD2057" t="str">
            <v/>
          </cell>
          <cell r="AE2057" t="str">
            <v/>
          </cell>
          <cell r="AF2057" t="str">
            <v/>
          </cell>
          <cell r="AG2057" t="str">
            <v/>
          </cell>
          <cell r="AH2057" t="str">
            <v>②</v>
          </cell>
          <cell r="AI2057" t="str">
            <v/>
          </cell>
        </row>
        <row r="2058">
          <cell r="B2058">
            <v>11827</v>
          </cell>
          <cell r="C2058">
            <v>118</v>
          </cell>
          <cell r="D2058">
            <v>27</v>
          </cell>
          <cell r="F2058" t="str">
            <v>市川</v>
          </cell>
          <cell r="G2058" t="str">
            <v>貯湯槽清掃</v>
          </cell>
          <cell r="H2058" t="str">
            <v>キョーエー</v>
          </cell>
          <cell r="I2058">
            <v>143000</v>
          </cell>
          <cell r="J2058">
            <v>164450</v>
          </cell>
          <cell r="K2058">
            <v>1</v>
          </cell>
          <cell r="L2058">
            <v>0</v>
          </cell>
          <cell r="M2058">
            <v>0</v>
          </cell>
          <cell r="N2058">
            <v>0</v>
          </cell>
          <cell r="O2058">
            <v>0</v>
          </cell>
          <cell r="P2058">
            <v>0</v>
          </cell>
          <cell r="Q2058">
            <v>0</v>
          </cell>
          <cell r="R2058">
            <v>0</v>
          </cell>
          <cell r="S2058">
            <v>0</v>
          </cell>
          <cell r="T2058">
            <v>164450</v>
          </cell>
          <cell r="U2058">
            <v>0</v>
          </cell>
          <cell r="V2058">
            <v>0</v>
          </cell>
          <cell r="W2058">
            <v>0</v>
          </cell>
          <cell r="X2058" t="str">
            <v/>
          </cell>
          <cell r="Y2058" t="str">
            <v/>
          </cell>
          <cell r="Z2058" t="str">
            <v/>
          </cell>
          <cell r="AA2058" t="str">
            <v/>
          </cell>
          <cell r="AB2058" t="str">
            <v/>
          </cell>
          <cell r="AC2058" t="str">
            <v/>
          </cell>
          <cell r="AD2058" t="str">
            <v/>
          </cell>
          <cell r="AE2058" t="str">
            <v/>
          </cell>
          <cell r="AF2058" t="str">
            <v>⑫</v>
          </cell>
          <cell r="AG2058" t="str">
            <v/>
          </cell>
          <cell r="AH2058" t="str">
            <v/>
          </cell>
          <cell r="AI2058" t="str">
            <v/>
          </cell>
          <cell r="AJ2058" t="str">
            <v>追</v>
          </cell>
        </row>
        <row r="2059">
          <cell r="B2059">
            <v>11828</v>
          </cell>
          <cell r="C2059">
            <v>118</v>
          </cell>
          <cell r="D2059">
            <v>28</v>
          </cell>
          <cell r="F2059" t="str">
            <v>市川</v>
          </cell>
          <cell r="G2059" t="str">
            <v>厨房ダクト清掃</v>
          </cell>
          <cell r="H2059" t="str">
            <v>八州興業</v>
          </cell>
          <cell r="I2059">
            <v>300000</v>
          </cell>
          <cell r="J2059">
            <v>345000</v>
          </cell>
          <cell r="K2059">
            <v>1</v>
          </cell>
          <cell r="L2059">
            <v>0</v>
          </cell>
          <cell r="M2059">
            <v>0</v>
          </cell>
          <cell r="N2059">
            <v>0</v>
          </cell>
          <cell r="O2059">
            <v>0</v>
          </cell>
          <cell r="P2059">
            <v>345000</v>
          </cell>
          <cell r="Q2059">
            <v>0</v>
          </cell>
          <cell r="R2059">
            <v>0</v>
          </cell>
          <cell r="S2059">
            <v>0</v>
          </cell>
          <cell r="T2059">
            <v>0</v>
          </cell>
          <cell r="U2059">
            <v>0</v>
          </cell>
          <cell r="V2059">
            <v>0</v>
          </cell>
          <cell r="W2059">
            <v>0</v>
          </cell>
          <cell r="X2059" t="str">
            <v/>
          </cell>
          <cell r="Y2059" t="str">
            <v/>
          </cell>
          <cell r="Z2059" t="str">
            <v/>
          </cell>
          <cell r="AA2059" t="str">
            <v/>
          </cell>
          <cell r="AB2059" t="str">
            <v>⑧</v>
          </cell>
          <cell r="AC2059" t="str">
            <v/>
          </cell>
          <cell r="AD2059" t="str">
            <v/>
          </cell>
          <cell r="AF2059" t="str">
            <v/>
          </cell>
          <cell r="AG2059" t="str">
            <v/>
          </cell>
          <cell r="AH2059" t="str">
            <v/>
          </cell>
          <cell r="AI2059" t="str">
            <v/>
          </cell>
          <cell r="AJ2059" t="str">
            <v>追</v>
          </cell>
        </row>
        <row r="2060">
          <cell r="B2060">
            <v>11829</v>
          </cell>
          <cell r="C2060">
            <v>118</v>
          </cell>
          <cell r="D2060">
            <v>29</v>
          </cell>
          <cell r="F2060" t="str">
            <v>市川</v>
          </cell>
          <cell r="G2060" t="str">
            <v>シャッター点検</v>
          </cell>
          <cell r="H2060" t="str">
            <v>三和シャッター工業</v>
          </cell>
          <cell r="I2060">
            <v>80000</v>
          </cell>
          <cell r="J2060">
            <v>92000</v>
          </cell>
          <cell r="K2060">
            <v>1</v>
          </cell>
          <cell r="L2060">
            <v>0</v>
          </cell>
          <cell r="M2060">
            <v>0</v>
          </cell>
          <cell r="N2060">
            <v>0</v>
          </cell>
          <cell r="O2060">
            <v>0</v>
          </cell>
          <cell r="P2060">
            <v>0</v>
          </cell>
          <cell r="Q2060">
            <v>0</v>
          </cell>
          <cell r="R2060">
            <v>0</v>
          </cell>
          <cell r="S2060">
            <v>0</v>
          </cell>
          <cell r="T2060">
            <v>0</v>
          </cell>
          <cell r="U2060">
            <v>0</v>
          </cell>
          <cell r="V2060">
            <v>92000</v>
          </cell>
          <cell r="W2060">
            <v>0</v>
          </cell>
          <cell r="X2060" t="str">
            <v/>
          </cell>
          <cell r="Y2060" t="str">
            <v/>
          </cell>
          <cell r="Z2060" t="str">
            <v/>
          </cell>
          <cell r="AA2060" t="str">
            <v/>
          </cell>
          <cell r="AB2060" t="str">
            <v/>
          </cell>
          <cell r="AC2060" t="str">
            <v/>
          </cell>
          <cell r="AD2060" t="str">
            <v/>
          </cell>
          <cell r="AE2060" t="str">
            <v/>
          </cell>
          <cell r="AF2060" t="str">
            <v/>
          </cell>
          <cell r="AG2060" t="str">
            <v/>
          </cell>
          <cell r="AH2060" t="str">
            <v>②</v>
          </cell>
          <cell r="AI2060" t="str">
            <v/>
          </cell>
          <cell r="AJ2060" t="str">
            <v>追</v>
          </cell>
        </row>
        <row r="2061">
          <cell r="B2061">
            <v>11901</v>
          </cell>
          <cell r="C2061">
            <v>119</v>
          </cell>
          <cell r="D2061">
            <v>1</v>
          </cell>
          <cell r="F2061" t="str">
            <v>東日本</v>
          </cell>
          <cell r="G2061" t="str">
            <v>昇降機設備保守</v>
          </cell>
          <cell r="H2061" t="str">
            <v>三菱電機ﾋﾞﾙﾃｸﾉｻｰﾋﾞｽ</v>
          </cell>
          <cell r="I2061">
            <v>130100</v>
          </cell>
          <cell r="J2061">
            <v>132702</v>
          </cell>
          <cell r="K2061">
            <v>12</v>
          </cell>
          <cell r="L2061">
            <v>132702</v>
          </cell>
          <cell r="M2061">
            <v>132702</v>
          </cell>
          <cell r="N2061">
            <v>132702</v>
          </cell>
          <cell r="O2061">
            <v>132702</v>
          </cell>
          <cell r="P2061">
            <v>132702</v>
          </cell>
          <cell r="Q2061">
            <v>132702</v>
          </cell>
          <cell r="R2061">
            <v>132702</v>
          </cell>
          <cell r="S2061">
            <v>132702</v>
          </cell>
          <cell r="T2061">
            <v>132702</v>
          </cell>
          <cell r="U2061">
            <v>132702</v>
          </cell>
          <cell r="V2061">
            <v>132702</v>
          </cell>
          <cell r="W2061">
            <v>132702</v>
          </cell>
          <cell r="X2061" t="str">
            <v>④</v>
          </cell>
          <cell r="Y2061" t="str">
            <v>⑤</v>
          </cell>
          <cell r="Z2061" t="str">
            <v>⑥</v>
          </cell>
          <cell r="AA2061" t="str">
            <v>⑦</v>
          </cell>
          <cell r="AB2061" t="str">
            <v>⑧</v>
          </cell>
          <cell r="AC2061" t="str">
            <v>⑨</v>
          </cell>
          <cell r="AD2061" t="str">
            <v>⑩</v>
          </cell>
          <cell r="AE2061" t="str">
            <v>⑪</v>
          </cell>
          <cell r="AF2061" t="str">
            <v>⑫</v>
          </cell>
          <cell r="AG2061" t="str">
            <v>①</v>
          </cell>
          <cell r="AH2061" t="str">
            <v>②</v>
          </cell>
          <cell r="AI2061" t="str">
            <v>③</v>
          </cell>
        </row>
        <row r="2062">
          <cell r="B2062">
            <v>11902</v>
          </cell>
          <cell r="C2062">
            <v>119</v>
          </cell>
          <cell r="D2062">
            <v>2</v>
          </cell>
          <cell r="F2062" t="str">
            <v>東日本</v>
          </cell>
          <cell r="G2062" t="str">
            <v>消火器(外観)</v>
          </cell>
          <cell r="H2062" t="str">
            <v>ホーチキ</v>
          </cell>
          <cell r="I2062">
            <v>36000</v>
          </cell>
          <cell r="J2062">
            <v>36720</v>
          </cell>
          <cell r="K2062">
            <v>2</v>
          </cell>
          <cell r="L2062">
            <v>0</v>
          </cell>
          <cell r="M2062">
            <v>0</v>
          </cell>
          <cell r="N2062">
            <v>0</v>
          </cell>
          <cell r="O2062">
            <v>0</v>
          </cell>
          <cell r="P2062">
            <v>0</v>
          </cell>
          <cell r="Q2062">
            <v>36720</v>
          </cell>
          <cell r="R2062">
            <v>0</v>
          </cell>
          <cell r="S2062">
            <v>0</v>
          </cell>
          <cell r="T2062">
            <v>0</v>
          </cell>
          <cell r="U2062">
            <v>0</v>
          </cell>
          <cell r="V2062">
            <v>0</v>
          </cell>
          <cell r="W2062">
            <v>36720</v>
          </cell>
          <cell r="X2062" t="str">
            <v/>
          </cell>
          <cell r="Y2062" t="str">
            <v/>
          </cell>
          <cell r="Z2062" t="str">
            <v/>
          </cell>
          <cell r="AA2062" t="str">
            <v/>
          </cell>
          <cell r="AB2062" t="str">
            <v/>
          </cell>
          <cell r="AC2062" t="str">
            <v>⑨</v>
          </cell>
          <cell r="AD2062" t="str">
            <v/>
          </cell>
          <cell r="AE2062" t="str">
            <v/>
          </cell>
          <cell r="AF2062" t="str">
            <v/>
          </cell>
          <cell r="AG2062" t="str">
            <v/>
          </cell>
          <cell r="AH2062" t="str">
            <v/>
          </cell>
          <cell r="AI2062" t="str">
            <v>③</v>
          </cell>
        </row>
        <row r="2063">
          <cell r="B2063">
            <v>11903</v>
          </cell>
          <cell r="C2063">
            <v>119</v>
          </cell>
          <cell r="D2063">
            <v>3</v>
          </cell>
          <cell r="F2063" t="str">
            <v>東日本</v>
          </cell>
          <cell r="G2063" t="str">
            <v>屋内消火栓(外観)</v>
          </cell>
          <cell r="H2063" t="str">
            <v>ホーチキ</v>
          </cell>
          <cell r="I2063">
            <v>49500</v>
          </cell>
          <cell r="J2063">
            <v>50490</v>
          </cell>
          <cell r="K2063">
            <v>1</v>
          </cell>
          <cell r="L2063">
            <v>0</v>
          </cell>
          <cell r="M2063">
            <v>0</v>
          </cell>
          <cell r="N2063">
            <v>0</v>
          </cell>
          <cell r="O2063">
            <v>0</v>
          </cell>
          <cell r="P2063">
            <v>0</v>
          </cell>
          <cell r="Q2063">
            <v>50490</v>
          </cell>
          <cell r="R2063">
            <v>0</v>
          </cell>
          <cell r="S2063">
            <v>0</v>
          </cell>
          <cell r="T2063">
            <v>0</v>
          </cell>
          <cell r="U2063">
            <v>0</v>
          </cell>
          <cell r="V2063">
            <v>0</v>
          </cell>
          <cell r="W2063">
            <v>0</v>
          </cell>
          <cell r="X2063" t="str">
            <v/>
          </cell>
          <cell r="Y2063" t="str">
            <v/>
          </cell>
          <cell r="Z2063" t="str">
            <v/>
          </cell>
          <cell r="AA2063" t="str">
            <v/>
          </cell>
          <cell r="AB2063" t="str">
            <v/>
          </cell>
          <cell r="AC2063" t="str">
            <v>⑨</v>
          </cell>
          <cell r="AD2063" t="str">
            <v/>
          </cell>
          <cell r="AE2063" t="str">
            <v/>
          </cell>
          <cell r="AF2063" t="str">
            <v/>
          </cell>
          <cell r="AG2063" t="str">
            <v/>
          </cell>
          <cell r="AH2063" t="str">
            <v/>
          </cell>
          <cell r="AI2063" t="str">
            <v/>
          </cell>
        </row>
        <row r="2064">
          <cell r="B2064">
            <v>11904</v>
          </cell>
          <cell r="C2064">
            <v>119</v>
          </cell>
          <cell r="D2064">
            <v>4</v>
          </cell>
          <cell r="F2064" t="str">
            <v>東日本</v>
          </cell>
          <cell r="G2064" t="str">
            <v>屋内消火栓(総合)</v>
          </cell>
          <cell r="H2064" t="str">
            <v>ホーチキ</v>
          </cell>
          <cell r="I2064">
            <v>72000</v>
          </cell>
          <cell r="J2064">
            <v>73440</v>
          </cell>
          <cell r="K2064">
            <v>1</v>
          </cell>
          <cell r="L2064">
            <v>0</v>
          </cell>
          <cell r="M2064">
            <v>0</v>
          </cell>
          <cell r="N2064">
            <v>0</v>
          </cell>
          <cell r="O2064">
            <v>0</v>
          </cell>
          <cell r="P2064">
            <v>0</v>
          </cell>
          <cell r="Q2064">
            <v>0</v>
          </cell>
          <cell r="R2064">
            <v>0</v>
          </cell>
          <cell r="S2064">
            <v>0</v>
          </cell>
          <cell r="T2064">
            <v>0</v>
          </cell>
          <cell r="U2064">
            <v>0</v>
          </cell>
          <cell r="V2064">
            <v>0</v>
          </cell>
          <cell r="W2064">
            <v>73440</v>
          </cell>
          <cell r="X2064" t="str">
            <v/>
          </cell>
          <cell r="Y2064" t="str">
            <v/>
          </cell>
          <cell r="Z2064" t="str">
            <v/>
          </cell>
          <cell r="AA2064" t="str">
            <v/>
          </cell>
          <cell r="AB2064" t="str">
            <v/>
          </cell>
          <cell r="AC2064" t="str">
            <v/>
          </cell>
          <cell r="AD2064" t="str">
            <v/>
          </cell>
          <cell r="AE2064" t="str">
            <v/>
          </cell>
          <cell r="AF2064" t="str">
            <v/>
          </cell>
          <cell r="AG2064" t="str">
            <v/>
          </cell>
          <cell r="AH2064" t="str">
            <v/>
          </cell>
          <cell r="AI2064" t="str">
            <v>③</v>
          </cell>
        </row>
        <row r="2065">
          <cell r="B2065">
            <v>11905</v>
          </cell>
          <cell r="C2065">
            <v>119</v>
          </cell>
          <cell r="D2065">
            <v>5</v>
          </cell>
          <cell r="F2065" t="str">
            <v>東日本</v>
          </cell>
          <cell r="G2065" t="str">
            <v>非常放送(外観)</v>
          </cell>
          <cell r="H2065" t="str">
            <v>ホーチキ</v>
          </cell>
          <cell r="I2065">
            <v>54000</v>
          </cell>
          <cell r="J2065">
            <v>55080</v>
          </cell>
          <cell r="K2065">
            <v>1</v>
          </cell>
          <cell r="L2065">
            <v>0</v>
          </cell>
          <cell r="M2065">
            <v>0</v>
          </cell>
          <cell r="N2065">
            <v>0</v>
          </cell>
          <cell r="O2065">
            <v>0</v>
          </cell>
          <cell r="P2065">
            <v>0</v>
          </cell>
          <cell r="Q2065">
            <v>55080</v>
          </cell>
          <cell r="R2065">
            <v>0</v>
          </cell>
          <cell r="S2065">
            <v>0</v>
          </cell>
          <cell r="T2065">
            <v>0</v>
          </cell>
          <cell r="U2065">
            <v>0</v>
          </cell>
          <cell r="V2065">
            <v>0</v>
          </cell>
          <cell r="W2065">
            <v>0</v>
          </cell>
          <cell r="X2065" t="str">
            <v/>
          </cell>
          <cell r="Y2065" t="str">
            <v/>
          </cell>
          <cell r="Z2065" t="str">
            <v/>
          </cell>
          <cell r="AA2065" t="str">
            <v/>
          </cell>
          <cell r="AB2065" t="str">
            <v/>
          </cell>
          <cell r="AC2065" t="str">
            <v>⑨</v>
          </cell>
          <cell r="AD2065" t="str">
            <v/>
          </cell>
          <cell r="AE2065" t="str">
            <v/>
          </cell>
          <cell r="AF2065" t="str">
            <v/>
          </cell>
          <cell r="AG2065" t="str">
            <v/>
          </cell>
          <cell r="AH2065" t="str">
            <v/>
          </cell>
          <cell r="AI2065" t="str">
            <v/>
          </cell>
        </row>
        <row r="2066">
          <cell r="B2066">
            <v>11906</v>
          </cell>
          <cell r="C2066">
            <v>119</v>
          </cell>
          <cell r="D2066">
            <v>6</v>
          </cell>
          <cell r="F2066" t="str">
            <v>東日本</v>
          </cell>
          <cell r="G2066" t="str">
            <v>非常放送(総合)</v>
          </cell>
          <cell r="H2066" t="str">
            <v>ホーチキ</v>
          </cell>
          <cell r="I2066">
            <v>108000</v>
          </cell>
          <cell r="J2066">
            <v>110160</v>
          </cell>
          <cell r="K2066">
            <v>1</v>
          </cell>
          <cell r="L2066">
            <v>0</v>
          </cell>
          <cell r="M2066">
            <v>0</v>
          </cell>
          <cell r="N2066">
            <v>0</v>
          </cell>
          <cell r="O2066">
            <v>0</v>
          </cell>
          <cell r="P2066">
            <v>0</v>
          </cell>
          <cell r="Q2066">
            <v>0</v>
          </cell>
          <cell r="R2066">
            <v>0</v>
          </cell>
          <cell r="S2066">
            <v>0</v>
          </cell>
          <cell r="T2066">
            <v>0</v>
          </cell>
          <cell r="U2066">
            <v>0</v>
          </cell>
          <cell r="V2066">
            <v>0</v>
          </cell>
          <cell r="W2066">
            <v>110160</v>
          </cell>
          <cell r="X2066" t="str">
            <v/>
          </cell>
          <cell r="Y2066" t="str">
            <v/>
          </cell>
          <cell r="Z2066" t="str">
            <v/>
          </cell>
          <cell r="AA2066" t="str">
            <v/>
          </cell>
          <cell r="AB2066" t="str">
            <v/>
          </cell>
          <cell r="AC2066" t="str">
            <v/>
          </cell>
          <cell r="AD2066" t="str">
            <v/>
          </cell>
          <cell r="AE2066" t="str">
            <v/>
          </cell>
          <cell r="AF2066" t="str">
            <v/>
          </cell>
          <cell r="AG2066" t="str">
            <v/>
          </cell>
          <cell r="AH2066" t="str">
            <v/>
          </cell>
          <cell r="AI2066" t="str">
            <v>③</v>
          </cell>
        </row>
        <row r="2067">
          <cell r="B2067">
            <v>11907</v>
          </cell>
          <cell r="C2067">
            <v>119</v>
          </cell>
          <cell r="D2067">
            <v>7</v>
          </cell>
          <cell r="F2067" t="str">
            <v>東日本</v>
          </cell>
          <cell r="G2067" t="str">
            <v>誘導灯(外観)</v>
          </cell>
          <cell r="H2067" t="str">
            <v>ホーチキ</v>
          </cell>
          <cell r="I2067">
            <v>64800</v>
          </cell>
          <cell r="J2067">
            <v>66096</v>
          </cell>
          <cell r="K2067">
            <v>1</v>
          </cell>
          <cell r="L2067">
            <v>0</v>
          </cell>
          <cell r="M2067">
            <v>0</v>
          </cell>
          <cell r="N2067">
            <v>0</v>
          </cell>
          <cell r="O2067">
            <v>0</v>
          </cell>
          <cell r="P2067">
            <v>0</v>
          </cell>
          <cell r="Q2067">
            <v>66096</v>
          </cell>
          <cell r="R2067">
            <v>0</v>
          </cell>
          <cell r="S2067">
            <v>0</v>
          </cell>
          <cell r="T2067">
            <v>0</v>
          </cell>
          <cell r="U2067">
            <v>0</v>
          </cell>
          <cell r="V2067">
            <v>0</v>
          </cell>
          <cell r="W2067">
            <v>0</v>
          </cell>
          <cell r="X2067" t="str">
            <v/>
          </cell>
          <cell r="Y2067" t="str">
            <v/>
          </cell>
          <cell r="Z2067" t="str">
            <v/>
          </cell>
          <cell r="AA2067" t="str">
            <v/>
          </cell>
          <cell r="AB2067" t="str">
            <v/>
          </cell>
          <cell r="AC2067" t="str">
            <v>⑨</v>
          </cell>
          <cell r="AD2067" t="str">
            <v/>
          </cell>
          <cell r="AE2067" t="str">
            <v/>
          </cell>
          <cell r="AF2067" t="str">
            <v/>
          </cell>
          <cell r="AG2067" t="str">
            <v/>
          </cell>
          <cell r="AH2067" t="str">
            <v/>
          </cell>
          <cell r="AI2067" t="str">
            <v/>
          </cell>
        </row>
        <row r="2068">
          <cell r="B2068">
            <v>11908</v>
          </cell>
          <cell r="C2068">
            <v>119</v>
          </cell>
          <cell r="D2068">
            <v>8</v>
          </cell>
          <cell r="F2068" t="str">
            <v>東日本</v>
          </cell>
          <cell r="G2068" t="str">
            <v>誘導灯(総合)</v>
          </cell>
          <cell r="H2068" t="str">
            <v>ホーチキ</v>
          </cell>
          <cell r="I2068">
            <v>67500</v>
          </cell>
          <cell r="J2068">
            <v>68850</v>
          </cell>
          <cell r="K2068">
            <v>1</v>
          </cell>
          <cell r="L2068">
            <v>0</v>
          </cell>
          <cell r="M2068">
            <v>0</v>
          </cell>
          <cell r="N2068">
            <v>0</v>
          </cell>
          <cell r="O2068">
            <v>0</v>
          </cell>
          <cell r="P2068">
            <v>0</v>
          </cell>
          <cell r="Q2068">
            <v>0</v>
          </cell>
          <cell r="R2068">
            <v>0</v>
          </cell>
          <cell r="S2068">
            <v>0</v>
          </cell>
          <cell r="T2068">
            <v>0</v>
          </cell>
          <cell r="U2068">
            <v>0</v>
          </cell>
          <cell r="V2068">
            <v>0</v>
          </cell>
          <cell r="W2068">
            <v>68850</v>
          </cell>
          <cell r="X2068" t="str">
            <v/>
          </cell>
          <cell r="Y2068" t="str">
            <v/>
          </cell>
          <cell r="Z2068" t="str">
            <v/>
          </cell>
          <cell r="AA2068" t="str">
            <v/>
          </cell>
          <cell r="AB2068" t="str">
            <v/>
          </cell>
          <cell r="AC2068" t="str">
            <v/>
          </cell>
          <cell r="AD2068" t="str">
            <v/>
          </cell>
          <cell r="AE2068" t="str">
            <v/>
          </cell>
          <cell r="AF2068" t="str">
            <v/>
          </cell>
          <cell r="AG2068" t="str">
            <v/>
          </cell>
          <cell r="AH2068" t="str">
            <v/>
          </cell>
          <cell r="AI2068" t="str">
            <v>③</v>
          </cell>
        </row>
        <row r="2069">
          <cell r="B2069">
            <v>11909</v>
          </cell>
          <cell r="C2069">
            <v>119</v>
          </cell>
          <cell r="D2069">
            <v>9</v>
          </cell>
          <cell r="F2069" t="str">
            <v>東日本</v>
          </cell>
          <cell r="G2069" t="str">
            <v>Ｐ型防排煙制御(外観)</v>
          </cell>
          <cell r="H2069" t="str">
            <v>ホーチキ</v>
          </cell>
          <cell r="I2069">
            <v>72000</v>
          </cell>
          <cell r="J2069">
            <v>73440</v>
          </cell>
          <cell r="K2069">
            <v>1</v>
          </cell>
          <cell r="L2069">
            <v>0</v>
          </cell>
          <cell r="M2069">
            <v>0</v>
          </cell>
          <cell r="N2069">
            <v>0</v>
          </cell>
          <cell r="O2069">
            <v>0</v>
          </cell>
          <cell r="P2069">
            <v>0</v>
          </cell>
          <cell r="Q2069">
            <v>73440</v>
          </cell>
          <cell r="R2069">
            <v>0</v>
          </cell>
          <cell r="S2069">
            <v>0</v>
          </cell>
          <cell r="T2069">
            <v>0</v>
          </cell>
          <cell r="U2069">
            <v>0</v>
          </cell>
          <cell r="V2069">
            <v>0</v>
          </cell>
          <cell r="W2069">
            <v>0</v>
          </cell>
          <cell r="X2069" t="str">
            <v/>
          </cell>
          <cell r="Y2069" t="str">
            <v/>
          </cell>
          <cell r="Z2069" t="str">
            <v/>
          </cell>
          <cell r="AA2069" t="str">
            <v/>
          </cell>
          <cell r="AB2069" t="str">
            <v/>
          </cell>
          <cell r="AC2069" t="str">
            <v>⑨</v>
          </cell>
          <cell r="AD2069" t="str">
            <v/>
          </cell>
          <cell r="AE2069" t="str">
            <v/>
          </cell>
          <cell r="AF2069" t="str">
            <v/>
          </cell>
          <cell r="AG2069" t="str">
            <v/>
          </cell>
          <cell r="AH2069" t="str">
            <v/>
          </cell>
          <cell r="AI2069" t="str">
            <v/>
          </cell>
        </row>
        <row r="2070">
          <cell r="B2070">
            <v>11910</v>
          </cell>
          <cell r="C2070">
            <v>119</v>
          </cell>
          <cell r="D2070">
            <v>10</v>
          </cell>
          <cell r="F2070" t="str">
            <v>東日本</v>
          </cell>
          <cell r="G2070" t="str">
            <v>Ｐ型防排煙制御(総合)</v>
          </cell>
          <cell r="H2070" t="str">
            <v>ホーチキ</v>
          </cell>
          <cell r="I2070">
            <v>92700</v>
          </cell>
          <cell r="J2070">
            <v>94554</v>
          </cell>
          <cell r="K2070">
            <v>1</v>
          </cell>
          <cell r="L2070">
            <v>0</v>
          </cell>
          <cell r="M2070">
            <v>0</v>
          </cell>
          <cell r="N2070">
            <v>0</v>
          </cell>
          <cell r="O2070">
            <v>0</v>
          </cell>
          <cell r="P2070">
            <v>0</v>
          </cell>
          <cell r="Q2070">
            <v>0</v>
          </cell>
          <cell r="R2070">
            <v>0</v>
          </cell>
          <cell r="S2070">
            <v>0</v>
          </cell>
          <cell r="T2070">
            <v>0</v>
          </cell>
          <cell r="U2070">
            <v>0</v>
          </cell>
          <cell r="V2070">
            <v>0</v>
          </cell>
          <cell r="W2070">
            <v>94554</v>
          </cell>
          <cell r="X2070" t="str">
            <v/>
          </cell>
          <cell r="Y2070" t="str">
            <v/>
          </cell>
          <cell r="Z2070" t="str">
            <v/>
          </cell>
          <cell r="AA2070" t="str">
            <v/>
          </cell>
          <cell r="AB2070" t="str">
            <v/>
          </cell>
          <cell r="AC2070" t="str">
            <v/>
          </cell>
          <cell r="AD2070" t="str">
            <v/>
          </cell>
          <cell r="AE2070" t="str">
            <v/>
          </cell>
          <cell r="AF2070" t="str">
            <v/>
          </cell>
          <cell r="AG2070" t="str">
            <v/>
          </cell>
          <cell r="AH2070" t="str">
            <v/>
          </cell>
          <cell r="AI2070" t="str">
            <v>③</v>
          </cell>
        </row>
        <row r="2071">
          <cell r="B2071">
            <v>11911</v>
          </cell>
          <cell r="C2071">
            <v>119</v>
          </cell>
          <cell r="D2071">
            <v>11</v>
          </cell>
          <cell r="F2071" t="str">
            <v>東日本</v>
          </cell>
          <cell r="G2071" t="str">
            <v>Ｐ型ｶﾞｽ漏火災警報(外観)</v>
          </cell>
          <cell r="H2071" t="str">
            <v>ホーチキ</v>
          </cell>
          <cell r="I2071">
            <v>9900</v>
          </cell>
          <cell r="J2071">
            <v>10098</v>
          </cell>
          <cell r="K2071">
            <v>1</v>
          </cell>
          <cell r="L2071">
            <v>0</v>
          </cell>
          <cell r="M2071">
            <v>0</v>
          </cell>
          <cell r="N2071">
            <v>0</v>
          </cell>
          <cell r="O2071">
            <v>0</v>
          </cell>
          <cell r="P2071">
            <v>0</v>
          </cell>
          <cell r="Q2071">
            <v>10098</v>
          </cell>
          <cell r="R2071">
            <v>0</v>
          </cell>
          <cell r="S2071">
            <v>0</v>
          </cell>
          <cell r="T2071">
            <v>0</v>
          </cell>
          <cell r="U2071">
            <v>0</v>
          </cell>
          <cell r="V2071">
            <v>0</v>
          </cell>
          <cell r="W2071">
            <v>0</v>
          </cell>
          <cell r="X2071" t="str">
            <v/>
          </cell>
          <cell r="Y2071" t="str">
            <v/>
          </cell>
          <cell r="Z2071" t="str">
            <v/>
          </cell>
          <cell r="AA2071" t="str">
            <v/>
          </cell>
          <cell r="AB2071" t="str">
            <v/>
          </cell>
          <cell r="AC2071" t="str">
            <v>⑨</v>
          </cell>
          <cell r="AD2071" t="str">
            <v/>
          </cell>
          <cell r="AE2071" t="str">
            <v/>
          </cell>
          <cell r="AF2071" t="str">
            <v/>
          </cell>
          <cell r="AG2071" t="str">
            <v/>
          </cell>
          <cell r="AH2071" t="str">
            <v/>
          </cell>
          <cell r="AI2071" t="str">
            <v/>
          </cell>
        </row>
        <row r="2072">
          <cell r="B2072">
            <v>11912</v>
          </cell>
          <cell r="C2072">
            <v>119</v>
          </cell>
          <cell r="D2072">
            <v>12</v>
          </cell>
          <cell r="F2072" t="str">
            <v>東日本</v>
          </cell>
          <cell r="G2072" t="str">
            <v>Ｐ型ｶﾞｽ漏火災警報(総合)</v>
          </cell>
          <cell r="H2072" t="str">
            <v>ホーチキ</v>
          </cell>
          <cell r="I2072">
            <v>19800</v>
          </cell>
          <cell r="J2072">
            <v>20196</v>
          </cell>
          <cell r="K2072">
            <v>1</v>
          </cell>
          <cell r="L2072">
            <v>0</v>
          </cell>
          <cell r="M2072">
            <v>0</v>
          </cell>
          <cell r="N2072">
            <v>0</v>
          </cell>
          <cell r="O2072">
            <v>0</v>
          </cell>
          <cell r="P2072">
            <v>0</v>
          </cell>
          <cell r="Q2072">
            <v>0</v>
          </cell>
          <cell r="R2072">
            <v>0</v>
          </cell>
          <cell r="S2072">
            <v>0</v>
          </cell>
          <cell r="T2072">
            <v>0</v>
          </cell>
          <cell r="U2072">
            <v>0</v>
          </cell>
          <cell r="V2072">
            <v>0</v>
          </cell>
          <cell r="W2072">
            <v>20196</v>
          </cell>
          <cell r="X2072" t="str">
            <v/>
          </cell>
          <cell r="Y2072" t="str">
            <v/>
          </cell>
          <cell r="Z2072" t="str">
            <v/>
          </cell>
          <cell r="AA2072" t="str">
            <v/>
          </cell>
          <cell r="AB2072" t="str">
            <v/>
          </cell>
          <cell r="AC2072" t="str">
            <v/>
          </cell>
          <cell r="AD2072" t="str">
            <v/>
          </cell>
          <cell r="AE2072" t="str">
            <v/>
          </cell>
          <cell r="AF2072" t="str">
            <v/>
          </cell>
          <cell r="AG2072" t="str">
            <v/>
          </cell>
          <cell r="AH2072" t="str">
            <v/>
          </cell>
          <cell r="AI2072" t="str">
            <v>③</v>
          </cell>
        </row>
        <row r="2073">
          <cell r="B2073">
            <v>11913</v>
          </cell>
          <cell r="C2073">
            <v>119</v>
          </cell>
          <cell r="D2073">
            <v>13</v>
          </cell>
          <cell r="F2073" t="str">
            <v>東日本</v>
          </cell>
          <cell r="G2073" t="str">
            <v>Ｐ型自火報(外観)</v>
          </cell>
          <cell r="H2073" t="str">
            <v>ホーチキ</v>
          </cell>
          <cell r="I2073">
            <v>105300</v>
          </cell>
          <cell r="J2073">
            <v>107406</v>
          </cell>
          <cell r="K2073">
            <v>1</v>
          </cell>
          <cell r="L2073">
            <v>0</v>
          </cell>
          <cell r="M2073">
            <v>0</v>
          </cell>
          <cell r="N2073">
            <v>0</v>
          </cell>
          <cell r="O2073">
            <v>0</v>
          </cell>
          <cell r="P2073">
            <v>0</v>
          </cell>
          <cell r="Q2073">
            <v>107406</v>
          </cell>
          <cell r="R2073">
            <v>0</v>
          </cell>
          <cell r="S2073">
            <v>0</v>
          </cell>
          <cell r="T2073">
            <v>0</v>
          </cell>
          <cell r="U2073">
            <v>0</v>
          </cell>
          <cell r="V2073">
            <v>0</v>
          </cell>
          <cell r="W2073">
            <v>0</v>
          </cell>
          <cell r="X2073" t="str">
            <v/>
          </cell>
          <cell r="Y2073" t="str">
            <v/>
          </cell>
          <cell r="Z2073" t="str">
            <v/>
          </cell>
          <cell r="AA2073" t="str">
            <v/>
          </cell>
          <cell r="AB2073" t="str">
            <v/>
          </cell>
          <cell r="AC2073" t="str">
            <v>⑨</v>
          </cell>
          <cell r="AD2073" t="str">
            <v/>
          </cell>
          <cell r="AE2073" t="str">
            <v/>
          </cell>
          <cell r="AF2073" t="str">
            <v/>
          </cell>
          <cell r="AG2073" t="str">
            <v/>
          </cell>
          <cell r="AH2073" t="str">
            <v/>
          </cell>
          <cell r="AI2073" t="str">
            <v/>
          </cell>
        </row>
        <row r="2074">
          <cell r="B2074">
            <v>11914</v>
          </cell>
          <cell r="C2074">
            <v>119</v>
          </cell>
          <cell r="D2074">
            <v>14</v>
          </cell>
          <cell r="F2074" t="str">
            <v>東日本</v>
          </cell>
          <cell r="G2074" t="str">
            <v>Ｐ型自火報(総合)</v>
          </cell>
          <cell r="H2074" t="str">
            <v>ホーチキ</v>
          </cell>
          <cell r="I2074">
            <v>171000</v>
          </cell>
          <cell r="J2074">
            <v>174420</v>
          </cell>
          <cell r="K2074">
            <v>1</v>
          </cell>
          <cell r="L2074">
            <v>0</v>
          </cell>
          <cell r="M2074">
            <v>0</v>
          </cell>
          <cell r="N2074">
            <v>0</v>
          </cell>
          <cell r="O2074">
            <v>0</v>
          </cell>
          <cell r="P2074">
            <v>0</v>
          </cell>
          <cell r="Q2074">
            <v>0</v>
          </cell>
          <cell r="R2074">
            <v>0</v>
          </cell>
          <cell r="S2074">
            <v>0</v>
          </cell>
          <cell r="T2074">
            <v>0</v>
          </cell>
          <cell r="U2074">
            <v>0</v>
          </cell>
          <cell r="V2074">
            <v>0</v>
          </cell>
          <cell r="W2074">
            <v>174420</v>
          </cell>
          <cell r="X2074" t="str">
            <v/>
          </cell>
          <cell r="Y2074" t="str">
            <v/>
          </cell>
          <cell r="Z2074" t="str">
            <v/>
          </cell>
          <cell r="AA2074" t="str">
            <v/>
          </cell>
          <cell r="AB2074" t="str">
            <v/>
          </cell>
          <cell r="AC2074" t="str">
            <v/>
          </cell>
          <cell r="AD2074" t="str">
            <v/>
          </cell>
          <cell r="AE2074" t="str">
            <v/>
          </cell>
          <cell r="AF2074" t="str">
            <v/>
          </cell>
          <cell r="AG2074" t="str">
            <v/>
          </cell>
          <cell r="AH2074" t="str">
            <v/>
          </cell>
          <cell r="AI2074" t="str">
            <v>③</v>
          </cell>
        </row>
        <row r="2075">
          <cell r="B2075">
            <v>11915</v>
          </cell>
          <cell r="C2075">
            <v>119</v>
          </cell>
          <cell r="D2075">
            <v>15</v>
          </cell>
          <cell r="F2075" t="str">
            <v>東日本</v>
          </cell>
          <cell r="G2075" t="str">
            <v>害虫駆除</v>
          </cell>
          <cell r="H2075" t="str">
            <v>三共消毒</v>
          </cell>
          <cell r="I2075">
            <v>240000</v>
          </cell>
          <cell r="J2075">
            <v>264000</v>
          </cell>
          <cell r="K2075">
            <v>2</v>
          </cell>
          <cell r="L2075">
            <v>0</v>
          </cell>
          <cell r="M2075">
            <v>0</v>
          </cell>
          <cell r="N2075">
            <v>0</v>
          </cell>
          <cell r="O2075">
            <v>0</v>
          </cell>
          <cell r="P2075">
            <v>264000</v>
          </cell>
          <cell r="Q2075">
            <v>0</v>
          </cell>
          <cell r="R2075">
            <v>0</v>
          </cell>
          <cell r="S2075">
            <v>0</v>
          </cell>
          <cell r="T2075">
            <v>0</v>
          </cell>
          <cell r="U2075">
            <v>0</v>
          </cell>
          <cell r="V2075">
            <v>264000</v>
          </cell>
          <cell r="W2075">
            <v>0</v>
          </cell>
          <cell r="X2075" t="str">
            <v/>
          </cell>
          <cell r="Y2075" t="str">
            <v/>
          </cell>
          <cell r="Z2075" t="str">
            <v/>
          </cell>
          <cell r="AA2075" t="str">
            <v/>
          </cell>
          <cell r="AB2075" t="str">
            <v>⑧</v>
          </cell>
          <cell r="AC2075" t="str">
            <v/>
          </cell>
          <cell r="AD2075" t="str">
            <v/>
          </cell>
          <cell r="AE2075" t="str">
            <v/>
          </cell>
          <cell r="AF2075" t="str">
            <v/>
          </cell>
          <cell r="AG2075" t="str">
            <v/>
          </cell>
          <cell r="AH2075" t="str">
            <v>②</v>
          </cell>
          <cell r="AI2075" t="str">
            <v/>
          </cell>
        </row>
        <row r="2076">
          <cell r="B2076">
            <v>11916</v>
          </cell>
          <cell r="C2076">
            <v>119</v>
          </cell>
          <cell r="D2076">
            <v>16</v>
          </cell>
          <cell r="F2076" t="str">
            <v>東日本</v>
          </cell>
          <cell r="G2076" t="str">
            <v>煤煙測定</v>
          </cell>
          <cell r="H2076" t="str">
            <v>タクマ汎用</v>
          </cell>
          <cell r="I2076">
            <v>140000</v>
          </cell>
          <cell r="J2076">
            <v>161000</v>
          </cell>
          <cell r="K2076">
            <v>2</v>
          </cell>
          <cell r="L2076">
            <v>0</v>
          </cell>
          <cell r="M2076">
            <v>0</v>
          </cell>
          <cell r="N2076">
            <v>0</v>
          </cell>
          <cell r="O2076">
            <v>0</v>
          </cell>
          <cell r="P2076">
            <v>0</v>
          </cell>
          <cell r="Q2076">
            <v>161000</v>
          </cell>
          <cell r="R2076">
            <v>0</v>
          </cell>
          <cell r="S2076">
            <v>0</v>
          </cell>
          <cell r="T2076">
            <v>0</v>
          </cell>
          <cell r="U2076">
            <v>0</v>
          </cell>
          <cell r="V2076">
            <v>0</v>
          </cell>
          <cell r="W2076">
            <v>161000</v>
          </cell>
          <cell r="X2076" t="str">
            <v/>
          </cell>
          <cell r="Y2076" t="str">
            <v/>
          </cell>
          <cell r="Z2076" t="str">
            <v/>
          </cell>
          <cell r="AA2076" t="str">
            <v/>
          </cell>
          <cell r="AB2076" t="str">
            <v/>
          </cell>
          <cell r="AC2076" t="str">
            <v>⑨</v>
          </cell>
          <cell r="AD2076" t="str">
            <v/>
          </cell>
          <cell r="AE2076" t="str">
            <v/>
          </cell>
          <cell r="AF2076" t="str">
            <v/>
          </cell>
          <cell r="AG2076" t="str">
            <v/>
          </cell>
          <cell r="AH2076" t="str">
            <v/>
          </cell>
          <cell r="AI2076" t="str">
            <v>③</v>
          </cell>
        </row>
        <row r="2077">
          <cell r="B2077">
            <v>11917</v>
          </cell>
          <cell r="C2077">
            <v>119</v>
          </cell>
          <cell r="D2077">
            <v>17</v>
          </cell>
          <cell r="F2077" t="str">
            <v>東日本</v>
          </cell>
          <cell r="G2077" t="str">
            <v>貯水槽清掃</v>
          </cell>
          <cell r="H2077" t="str">
            <v>東京互光</v>
          </cell>
          <cell r="I2077">
            <v>135000</v>
          </cell>
          <cell r="J2077">
            <v>152550</v>
          </cell>
          <cell r="K2077">
            <v>1</v>
          </cell>
          <cell r="L2077">
            <v>0</v>
          </cell>
          <cell r="M2077">
            <v>0</v>
          </cell>
          <cell r="N2077">
            <v>0</v>
          </cell>
          <cell r="O2077">
            <v>0</v>
          </cell>
          <cell r="P2077">
            <v>0</v>
          </cell>
          <cell r="Q2077">
            <v>0</v>
          </cell>
          <cell r="R2077">
            <v>152550</v>
          </cell>
          <cell r="S2077">
            <v>0</v>
          </cell>
          <cell r="T2077">
            <v>0</v>
          </cell>
          <cell r="U2077">
            <v>0</v>
          </cell>
          <cell r="V2077">
            <v>0</v>
          </cell>
          <cell r="W2077">
            <v>0</v>
          </cell>
          <cell r="X2077" t="str">
            <v/>
          </cell>
          <cell r="Y2077" t="str">
            <v/>
          </cell>
          <cell r="Z2077" t="str">
            <v/>
          </cell>
          <cell r="AA2077" t="str">
            <v/>
          </cell>
          <cell r="AB2077" t="str">
            <v/>
          </cell>
          <cell r="AC2077" t="str">
            <v/>
          </cell>
          <cell r="AD2077" t="str">
            <v>⑩</v>
          </cell>
          <cell r="AE2077" t="str">
            <v/>
          </cell>
          <cell r="AF2077" t="str">
            <v/>
          </cell>
          <cell r="AG2077" t="str">
            <v/>
          </cell>
          <cell r="AH2077" t="str">
            <v/>
          </cell>
          <cell r="AI2077" t="str">
            <v/>
          </cell>
        </row>
        <row r="2078">
          <cell r="B2078">
            <v>11918</v>
          </cell>
          <cell r="C2078">
            <v>119</v>
          </cell>
          <cell r="D2078">
            <v>18</v>
          </cell>
          <cell r="F2078" t="str">
            <v>東日本</v>
          </cell>
          <cell r="G2078" t="str">
            <v>植栽管理</v>
          </cell>
          <cell r="H2078" t="str">
            <v>王子緑化</v>
          </cell>
          <cell r="I2078">
            <v>119000</v>
          </cell>
          <cell r="J2078">
            <v>121380</v>
          </cell>
          <cell r="K2078">
            <v>12</v>
          </cell>
          <cell r="L2078">
            <v>121380</v>
          </cell>
          <cell r="M2078">
            <v>121380</v>
          </cell>
          <cell r="N2078">
            <v>121380</v>
          </cell>
          <cell r="O2078">
            <v>121380</v>
          </cell>
          <cell r="P2078">
            <v>121380</v>
          </cell>
          <cell r="Q2078">
            <v>121380</v>
          </cell>
          <cell r="R2078">
            <v>121380</v>
          </cell>
          <cell r="S2078">
            <v>121380</v>
          </cell>
          <cell r="T2078">
            <v>121380</v>
          </cell>
          <cell r="U2078">
            <v>121380</v>
          </cell>
          <cell r="V2078">
            <v>121380</v>
          </cell>
          <cell r="W2078">
            <v>121380</v>
          </cell>
          <cell r="X2078" t="str">
            <v>④</v>
          </cell>
          <cell r="Y2078" t="str">
            <v>⑤</v>
          </cell>
          <cell r="Z2078" t="str">
            <v>⑥</v>
          </cell>
          <cell r="AA2078" t="str">
            <v>⑦</v>
          </cell>
          <cell r="AB2078" t="str">
            <v>⑧</v>
          </cell>
          <cell r="AC2078" t="str">
            <v>⑨</v>
          </cell>
          <cell r="AD2078" t="str">
            <v>⑩</v>
          </cell>
          <cell r="AE2078" t="str">
            <v>⑪</v>
          </cell>
          <cell r="AF2078" t="str">
            <v>⑫</v>
          </cell>
          <cell r="AG2078" t="str">
            <v>①</v>
          </cell>
          <cell r="AH2078" t="str">
            <v>②</v>
          </cell>
          <cell r="AI2078" t="str">
            <v>③</v>
          </cell>
        </row>
        <row r="2079">
          <cell r="B2079">
            <v>11919</v>
          </cell>
          <cell r="C2079">
            <v>119</v>
          </cell>
          <cell r="D2079">
            <v>19</v>
          </cell>
          <cell r="F2079" t="str">
            <v>東日本</v>
          </cell>
          <cell r="G2079" t="str">
            <v>植栽管理</v>
          </cell>
          <cell r="H2079" t="str">
            <v>かたばみ興業</v>
          </cell>
          <cell r="I2079">
            <v>466500</v>
          </cell>
          <cell r="J2079">
            <v>475830</v>
          </cell>
          <cell r="K2079">
            <v>12</v>
          </cell>
          <cell r="L2079">
            <v>475830</v>
          </cell>
          <cell r="M2079">
            <v>475830</v>
          </cell>
          <cell r="N2079">
            <v>475830</v>
          </cell>
          <cell r="O2079">
            <v>475830</v>
          </cell>
          <cell r="P2079">
            <v>475830</v>
          </cell>
          <cell r="Q2079">
            <v>475830</v>
          </cell>
          <cell r="R2079">
            <v>475830</v>
          </cell>
          <cell r="S2079">
            <v>475830</v>
          </cell>
          <cell r="T2079">
            <v>475830</v>
          </cell>
          <cell r="U2079">
            <v>475830</v>
          </cell>
          <cell r="V2079">
            <v>475830</v>
          </cell>
          <cell r="W2079">
            <v>475830</v>
          </cell>
          <cell r="X2079" t="str">
            <v>④</v>
          </cell>
          <cell r="Y2079" t="str">
            <v>⑤</v>
          </cell>
          <cell r="Z2079" t="str">
            <v>⑥</v>
          </cell>
          <cell r="AA2079" t="str">
            <v>⑦</v>
          </cell>
          <cell r="AB2079" t="str">
            <v>⑧</v>
          </cell>
          <cell r="AC2079" t="str">
            <v>⑨</v>
          </cell>
          <cell r="AD2079" t="str">
            <v>⑩</v>
          </cell>
          <cell r="AE2079" t="str">
            <v>⑪</v>
          </cell>
          <cell r="AF2079" t="str">
            <v>⑫</v>
          </cell>
          <cell r="AG2079" t="str">
            <v>①</v>
          </cell>
          <cell r="AH2079" t="str">
            <v>②</v>
          </cell>
          <cell r="AI2079" t="str">
            <v>③</v>
          </cell>
        </row>
        <row r="2080">
          <cell r="B2080">
            <v>12001</v>
          </cell>
          <cell r="C2080">
            <v>120</v>
          </cell>
          <cell r="D2080">
            <v>1</v>
          </cell>
          <cell r="F2080" t="str">
            <v>伊豆山</v>
          </cell>
          <cell r="G2080" t="str">
            <v>昇降機設備保守</v>
          </cell>
          <cell r="H2080" t="str">
            <v>三菱電機ﾋﾞﾙﾃｸﾉｻｰﾋﾞｽ</v>
          </cell>
          <cell r="I2080">
            <v>70100</v>
          </cell>
          <cell r="J2080">
            <v>71502</v>
          </cell>
          <cell r="K2080">
            <v>12</v>
          </cell>
          <cell r="L2080">
            <v>71502</v>
          </cell>
          <cell r="M2080">
            <v>71502</v>
          </cell>
          <cell r="N2080">
            <v>71502</v>
          </cell>
          <cell r="O2080">
            <v>71502</v>
          </cell>
          <cell r="P2080">
            <v>71502</v>
          </cell>
          <cell r="Q2080">
            <v>71502</v>
          </cell>
          <cell r="R2080">
            <v>71502</v>
          </cell>
          <cell r="S2080">
            <v>71502</v>
          </cell>
          <cell r="T2080">
            <v>71502</v>
          </cell>
          <cell r="U2080">
            <v>71502</v>
          </cell>
          <cell r="V2080">
            <v>71502</v>
          </cell>
          <cell r="W2080">
            <v>71502</v>
          </cell>
          <cell r="X2080" t="str">
            <v>④</v>
          </cell>
          <cell r="Y2080" t="str">
            <v>⑤</v>
          </cell>
          <cell r="Z2080" t="str">
            <v>⑥</v>
          </cell>
          <cell r="AA2080" t="str">
            <v>⑦</v>
          </cell>
          <cell r="AB2080" t="str">
            <v>⑧</v>
          </cell>
          <cell r="AC2080" t="str">
            <v>⑨</v>
          </cell>
          <cell r="AD2080" t="str">
            <v>⑩</v>
          </cell>
          <cell r="AE2080" t="str">
            <v>⑪</v>
          </cell>
          <cell r="AF2080" t="str">
            <v>⑫</v>
          </cell>
          <cell r="AG2080" t="str">
            <v>①</v>
          </cell>
          <cell r="AH2080" t="str">
            <v>②</v>
          </cell>
          <cell r="AI2080" t="str">
            <v>③</v>
          </cell>
        </row>
        <row r="2081">
          <cell r="B2081">
            <v>12002</v>
          </cell>
          <cell r="C2081">
            <v>120</v>
          </cell>
          <cell r="D2081">
            <v>2</v>
          </cell>
          <cell r="F2081" t="str">
            <v>伊豆山</v>
          </cell>
          <cell r="G2081" t="str">
            <v>温水器煤煙測定</v>
          </cell>
          <cell r="H2081" t="str">
            <v>東海プラント</v>
          </cell>
          <cell r="I2081">
            <v>80000</v>
          </cell>
          <cell r="J2081">
            <v>92000</v>
          </cell>
          <cell r="K2081">
            <v>1</v>
          </cell>
          <cell r="L2081">
            <v>0</v>
          </cell>
          <cell r="M2081">
            <v>0</v>
          </cell>
          <cell r="N2081">
            <v>0</v>
          </cell>
          <cell r="O2081">
            <v>92000</v>
          </cell>
          <cell r="P2081">
            <v>0</v>
          </cell>
          <cell r="Q2081">
            <v>0</v>
          </cell>
          <cell r="R2081">
            <v>0</v>
          </cell>
          <cell r="S2081">
            <v>0</v>
          </cell>
          <cell r="T2081">
            <v>0</v>
          </cell>
          <cell r="U2081">
            <v>0</v>
          </cell>
          <cell r="V2081">
            <v>0</v>
          </cell>
          <cell r="W2081">
            <v>0</v>
          </cell>
          <cell r="X2081" t="str">
            <v/>
          </cell>
          <cell r="Y2081" t="str">
            <v/>
          </cell>
          <cell r="Z2081" t="str">
            <v/>
          </cell>
          <cell r="AA2081" t="str">
            <v>⑦</v>
          </cell>
          <cell r="AB2081" t="str">
            <v/>
          </cell>
          <cell r="AC2081" t="str">
            <v/>
          </cell>
          <cell r="AD2081" t="str">
            <v/>
          </cell>
          <cell r="AE2081" t="str">
            <v/>
          </cell>
          <cell r="AF2081" t="str">
            <v/>
          </cell>
          <cell r="AG2081" t="str">
            <v/>
          </cell>
          <cell r="AH2081" t="str">
            <v/>
          </cell>
          <cell r="AI2081" t="str">
            <v/>
          </cell>
        </row>
        <row r="2082">
          <cell r="B2082">
            <v>12003</v>
          </cell>
          <cell r="C2082">
            <v>120</v>
          </cell>
          <cell r="D2082">
            <v>3</v>
          </cell>
          <cell r="F2082" t="str">
            <v>伊豆山</v>
          </cell>
          <cell r="G2082" t="str">
            <v>グリストラップ清掃</v>
          </cell>
          <cell r="H2082" t="str">
            <v>東海プラント</v>
          </cell>
          <cell r="I2082">
            <v>50000</v>
          </cell>
          <cell r="J2082">
            <v>57500</v>
          </cell>
          <cell r="K2082">
            <v>2</v>
          </cell>
          <cell r="L2082">
            <v>0</v>
          </cell>
          <cell r="M2082">
            <v>57500</v>
          </cell>
          <cell r="N2082">
            <v>0</v>
          </cell>
          <cell r="O2082">
            <v>0</v>
          </cell>
          <cell r="P2082">
            <v>0</v>
          </cell>
          <cell r="Q2082">
            <v>0</v>
          </cell>
          <cell r="R2082">
            <v>0</v>
          </cell>
          <cell r="S2082">
            <v>57500</v>
          </cell>
          <cell r="T2082">
            <v>0</v>
          </cell>
          <cell r="U2082">
            <v>0</v>
          </cell>
          <cell r="V2082">
            <v>0</v>
          </cell>
          <cell r="W2082">
            <v>0</v>
          </cell>
          <cell r="X2082" t="str">
            <v/>
          </cell>
          <cell r="Y2082" t="str">
            <v>⑤</v>
          </cell>
          <cell r="Z2082" t="str">
            <v/>
          </cell>
          <cell r="AA2082" t="str">
            <v/>
          </cell>
          <cell r="AB2082" t="str">
            <v/>
          </cell>
          <cell r="AC2082" t="str">
            <v/>
          </cell>
          <cell r="AE2082" t="str">
            <v>⑪</v>
          </cell>
          <cell r="AF2082" t="str">
            <v/>
          </cell>
          <cell r="AG2082" t="str">
            <v/>
          </cell>
          <cell r="AH2082" t="str">
            <v/>
          </cell>
          <cell r="AI2082" t="str">
            <v/>
          </cell>
          <cell r="AJ2082" t="str">
            <v>追</v>
          </cell>
        </row>
        <row r="2083">
          <cell r="B2083">
            <v>12004</v>
          </cell>
          <cell r="C2083">
            <v>120</v>
          </cell>
          <cell r="D2083">
            <v>4</v>
          </cell>
          <cell r="F2083" t="str">
            <v>伊豆山</v>
          </cell>
          <cell r="G2083" t="str">
            <v>空調設備保守</v>
          </cell>
          <cell r="H2083" t="str">
            <v>菱和設備</v>
          </cell>
          <cell r="I2083">
            <v>350000</v>
          </cell>
          <cell r="J2083">
            <v>385000</v>
          </cell>
          <cell r="K2083">
            <v>2</v>
          </cell>
          <cell r="L2083">
            <v>0</v>
          </cell>
          <cell r="M2083">
            <v>385000</v>
          </cell>
          <cell r="N2083">
            <v>0</v>
          </cell>
          <cell r="O2083">
            <v>0</v>
          </cell>
          <cell r="P2083">
            <v>0</v>
          </cell>
          <cell r="Q2083">
            <v>0</v>
          </cell>
          <cell r="R2083">
            <v>385000</v>
          </cell>
          <cell r="S2083">
            <v>0</v>
          </cell>
          <cell r="T2083">
            <v>0</v>
          </cell>
          <cell r="U2083">
            <v>0</v>
          </cell>
          <cell r="V2083">
            <v>0</v>
          </cell>
          <cell r="W2083">
            <v>0</v>
          </cell>
          <cell r="X2083" t="str">
            <v/>
          </cell>
          <cell r="Y2083" t="str">
            <v>⑤</v>
          </cell>
          <cell r="AD2083" t="str">
            <v>⑩</v>
          </cell>
          <cell r="AI2083" t="str">
            <v/>
          </cell>
          <cell r="AJ2083" t="str">
            <v>追</v>
          </cell>
        </row>
        <row r="2084">
          <cell r="B2084">
            <v>12005</v>
          </cell>
          <cell r="C2084">
            <v>120</v>
          </cell>
          <cell r="D2084">
            <v>5</v>
          </cell>
          <cell r="F2084" t="str">
            <v>伊豆山</v>
          </cell>
          <cell r="G2084" t="str">
            <v>害虫駆除</v>
          </cell>
          <cell r="H2084" t="str">
            <v>アサンテ</v>
          </cell>
          <cell r="I2084">
            <v>170000</v>
          </cell>
          <cell r="J2084">
            <v>187000</v>
          </cell>
          <cell r="K2084">
            <v>2</v>
          </cell>
          <cell r="L2084">
            <v>0</v>
          </cell>
          <cell r="M2084">
            <v>187000</v>
          </cell>
          <cell r="N2084">
            <v>0</v>
          </cell>
          <cell r="O2084">
            <v>0</v>
          </cell>
          <cell r="P2084">
            <v>0</v>
          </cell>
          <cell r="Q2084">
            <v>0</v>
          </cell>
          <cell r="R2084">
            <v>187000</v>
          </cell>
          <cell r="S2084">
            <v>0</v>
          </cell>
          <cell r="T2084">
            <v>0</v>
          </cell>
          <cell r="U2084">
            <v>0</v>
          </cell>
          <cell r="V2084">
            <v>0</v>
          </cell>
          <cell r="W2084">
            <v>0</v>
          </cell>
          <cell r="X2084" t="str">
            <v/>
          </cell>
          <cell r="Y2084" t="str">
            <v>⑤</v>
          </cell>
          <cell r="AD2084" t="str">
            <v>⑩</v>
          </cell>
          <cell r="AI2084" t="str">
            <v/>
          </cell>
          <cell r="AJ2084" t="str">
            <v>追</v>
          </cell>
        </row>
        <row r="2085">
          <cell r="B2085">
            <v>12006</v>
          </cell>
          <cell r="C2085">
            <v>120</v>
          </cell>
          <cell r="D2085">
            <v>6</v>
          </cell>
          <cell r="F2085" t="str">
            <v>伊豆山</v>
          </cell>
          <cell r="G2085" t="str">
            <v>貯水槽清掃</v>
          </cell>
          <cell r="H2085" t="str">
            <v>東海プラント</v>
          </cell>
          <cell r="I2085">
            <v>217500</v>
          </cell>
          <cell r="J2085">
            <v>239250</v>
          </cell>
          <cell r="K2085">
            <v>1</v>
          </cell>
          <cell r="L2085">
            <v>0</v>
          </cell>
          <cell r="M2085">
            <v>0</v>
          </cell>
          <cell r="N2085">
            <v>0</v>
          </cell>
          <cell r="O2085">
            <v>0</v>
          </cell>
          <cell r="P2085">
            <v>0</v>
          </cell>
          <cell r="Q2085">
            <v>0</v>
          </cell>
          <cell r="R2085">
            <v>239250</v>
          </cell>
          <cell r="S2085">
            <v>0</v>
          </cell>
          <cell r="T2085">
            <v>0</v>
          </cell>
          <cell r="U2085">
            <v>0</v>
          </cell>
          <cell r="V2085">
            <v>0</v>
          </cell>
          <cell r="W2085">
            <v>0</v>
          </cell>
          <cell r="X2085" t="str">
            <v/>
          </cell>
          <cell r="AD2085" t="str">
            <v>⑩</v>
          </cell>
          <cell r="AI2085" t="str">
            <v/>
          </cell>
          <cell r="AJ2085" t="str">
            <v>追</v>
          </cell>
        </row>
        <row r="2086">
          <cell r="B2086">
            <v>12007</v>
          </cell>
          <cell r="C2086">
            <v>120</v>
          </cell>
          <cell r="D2086">
            <v>7</v>
          </cell>
          <cell r="F2086" t="str">
            <v>伊豆山</v>
          </cell>
          <cell r="G2086" t="str">
            <v>植栽管理</v>
          </cell>
          <cell r="H2086" t="str">
            <v>王子緑化</v>
          </cell>
          <cell r="I2086">
            <v>550000</v>
          </cell>
          <cell r="J2086">
            <v>605500</v>
          </cell>
          <cell r="K2086">
            <v>4</v>
          </cell>
          <cell r="L2086">
            <v>0</v>
          </cell>
          <cell r="M2086">
            <v>0</v>
          </cell>
          <cell r="N2086">
            <v>605500</v>
          </cell>
          <cell r="O2086">
            <v>0</v>
          </cell>
          <cell r="P2086">
            <v>0</v>
          </cell>
          <cell r="Q2086">
            <v>605500</v>
          </cell>
          <cell r="R2086">
            <v>0</v>
          </cell>
          <cell r="S2086">
            <v>0</v>
          </cell>
          <cell r="T2086">
            <v>605500</v>
          </cell>
          <cell r="U2086">
            <v>0</v>
          </cell>
          <cell r="V2086">
            <v>0</v>
          </cell>
          <cell r="W2086">
            <v>605500</v>
          </cell>
          <cell r="X2086" t="str">
            <v/>
          </cell>
          <cell r="Z2086" t="str">
            <v>⑥</v>
          </cell>
          <cell r="AC2086" t="str">
            <v>⑨</v>
          </cell>
          <cell r="AF2086" t="str">
            <v>⑫</v>
          </cell>
          <cell r="AI2086" t="str">
            <v>③</v>
          </cell>
          <cell r="AJ2086" t="str">
            <v>追</v>
          </cell>
        </row>
        <row r="2087">
          <cell r="B2087">
            <v>12008</v>
          </cell>
          <cell r="C2087">
            <v>120</v>
          </cell>
          <cell r="D2087">
            <v>8</v>
          </cell>
          <cell r="F2087" t="str">
            <v>伊豆山</v>
          </cell>
          <cell r="G2087" t="str">
            <v>自動火災報知設備(外観)</v>
          </cell>
          <cell r="H2087" t="str">
            <v>ホーチキ</v>
          </cell>
          <cell r="I2087">
            <v>65000</v>
          </cell>
          <cell r="J2087">
            <v>71500</v>
          </cell>
          <cell r="K2087">
            <v>1</v>
          </cell>
          <cell r="L2087">
            <v>0</v>
          </cell>
          <cell r="M2087">
            <v>0</v>
          </cell>
          <cell r="N2087">
            <v>71500</v>
          </cell>
          <cell r="O2087">
            <v>0</v>
          </cell>
          <cell r="P2087">
            <v>0</v>
          </cell>
          <cell r="Q2087">
            <v>0</v>
          </cell>
          <cell r="R2087">
            <v>0</v>
          </cell>
          <cell r="S2087">
            <v>0</v>
          </cell>
          <cell r="T2087">
            <v>0</v>
          </cell>
          <cell r="U2087">
            <v>0</v>
          </cell>
          <cell r="V2087">
            <v>0</v>
          </cell>
          <cell r="W2087">
            <v>0</v>
          </cell>
          <cell r="X2087" t="str">
            <v/>
          </cell>
          <cell r="Z2087" t="str">
            <v>⑥</v>
          </cell>
          <cell r="AI2087" t="str">
            <v/>
          </cell>
          <cell r="AJ2087" t="str">
            <v>追</v>
          </cell>
        </row>
        <row r="2088">
          <cell r="B2088">
            <v>12009</v>
          </cell>
          <cell r="C2088">
            <v>120</v>
          </cell>
          <cell r="D2088">
            <v>9</v>
          </cell>
          <cell r="F2088" t="str">
            <v>伊豆山</v>
          </cell>
          <cell r="G2088" t="str">
            <v>自動火災報知設備(総合)</v>
          </cell>
          <cell r="H2088" t="str">
            <v>ホーチキ</v>
          </cell>
          <cell r="I2088">
            <v>196000</v>
          </cell>
          <cell r="J2088">
            <v>215600</v>
          </cell>
          <cell r="K2088">
            <v>1</v>
          </cell>
          <cell r="L2088">
            <v>0</v>
          </cell>
          <cell r="M2088">
            <v>0</v>
          </cell>
          <cell r="N2088">
            <v>0</v>
          </cell>
          <cell r="O2088">
            <v>0</v>
          </cell>
          <cell r="P2088">
            <v>0</v>
          </cell>
          <cell r="Q2088">
            <v>0</v>
          </cell>
          <cell r="R2088">
            <v>0</v>
          </cell>
          <cell r="S2088">
            <v>0</v>
          </cell>
          <cell r="T2088">
            <v>215600</v>
          </cell>
          <cell r="U2088">
            <v>0</v>
          </cell>
          <cell r="V2088">
            <v>0</v>
          </cell>
          <cell r="W2088">
            <v>0</v>
          </cell>
          <cell r="X2088" t="str">
            <v/>
          </cell>
          <cell r="AF2088" t="str">
            <v>⑫</v>
          </cell>
          <cell r="AI2088" t="str">
            <v/>
          </cell>
          <cell r="AJ2088" t="str">
            <v>追</v>
          </cell>
        </row>
        <row r="2089">
          <cell r="B2089">
            <v>12010</v>
          </cell>
          <cell r="C2089">
            <v>120</v>
          </cell>
          <cell r="D2089">
            <v>10</v>
          </cell>
          <cell r="F2089" t="str">
            <v>伊豆山</v>
          </cell>
          <cell r="G2089" t="str">
            <v>防排煙設備(外観)</v>
          </cell>
          <cell r="H2089" t="str">
            <v>ホーチキ</v>
          </cell>
          <cell r="I2089">
            <v>137000</v>
          </cell>
          <cell r="J2089">
            <v>150700</v>
          </cell>
          <cell r="K2089">
            <v>1</v>
          </cell>
          <cell r="L2089">
            <v>0</v>
          </cell>
          <cell r="M2089">
            <v>0</v>
          </cell>
          <cell r="N2089">
            <v>150700</v>
          </cell>
          <cell r="O2089">
            <v>0</v>
          </cell>
          <cell r="P2089">
            <v>0</v>
          </cell>
          <cell r="Q2089">
            <v>0</v>
          </cell>
          <cell r="R2089">
            <v>0</v>
          </cell>
          <cell r="S2089">
            <v>0</v>
          </cell>
          <cell r="T2089">
            <v>0</v>
          </cell>
          <cell r="U2089">
            <v>0</v>
          </cell>
          <cell r="V2089">
            <v>0</v>
          </cell>
          <cell r="W2089">
            <v>0</v>
          </cell>
          <cell r="X2089" t="str">
            <v/>
          </cell>
          <cell r="Z2089" t="str">
            <v>⑥</v>
          </cell>
          <cell r="AI2089" t="str">
            <v/>
          </cell>
          <cell r="AJ2089" t="str">
            <v>追</v>
          </cell>
        </row>
        <row r="2090">
          <cell r="B2090">
            <v>12011</v>
          </cell>
          <cell r="C2090">
            <v>120</v>
          </cell>
          <cell r="D2090">
            <v>11</v>
          </cell>
          <cell r="F2090" t="str">
            <v>伊豆山</v>
          </cell>
          <cell r="G2090" t="str">
            <v>防排煙設備(総合)</v>
          </cell>
          <cell r="H2090" t="str">
            <v>ホーチキ</v>
          </cell>
          <cell r="I2090">
            <v>223000</v>
          </cell>
          <cell r="J2090">
            <v>245300</v>
          </cell>
          <cell r="K2090">
            <v>1</v>
          </cell>
          <cell r="L2090">
            <v>0</v>
          </cell>
          <cell r="M2090">
            <v>0</v>
          </cell>
          <cell r="N2090">
            <v>0</v>
          </cell>
          <cell r="O2090">
            <v>0</v>
          </cell>
          <cell r="P2090">
            <v>0</v>
          </cell>
          <cell r="Q2090">
            <v>0</v>
          </cell>
          <cell r="R2090">
            <v>0</v>
          </cell>
          <cell r="S2090">
            <v>0</v>
          </cell>
          <cell r="T2090">
            <v>245300</v>
          </cell>
          <cell r="U2090">
            <v>0</v>
          </cell>
          <cell r="V2090">
            <v>0</v>
          </cell>
          <cell r="W2090">
            <v>0</v>
          </cell>
          <cell r="X2090" t="str">
            <v/>
          </cell>
          <cell r="AF2090" t="str">
            <v>⑫</v>
          </cell>
          <cell r="AI2090" t="str">
            <v/>
          </cell>
          <cell r="AJ2090" t="str">
            <v>追</v>
          </cell>
        </row>
        <row r="2091">
          <cell r="B2091">
            <v>12012</v>
          </cell>
          <cell r="C2091">
            <v>120</v>
          </cell>
          <cell r="D2091">
            <v>12</v>
          </cell>
          <cell r="F2091" t="str">
            <v>伊豆山</v>
          </cell>
          <cell r="G2091" t="str">
            <v>非常放送設備(外観)</v>
          </cell>
          <cell r="H2091" t="str">
            <v>ホーチキ</v>
          </cell>
          <cell r="I2091">
            <v>58000</v>
          </cell>
          <cell r="J2091">
            <v>63800</v>
          </cell>
          <cell r="K2091">
            <v>1</v>
          </cell>
          <cell r="L2091">
            <v>0</v>
          </cell>
          <cell r="M2091">
            <v>0</v>
          </cell>
          <cell r="N2091">
            <v>63800</v>
          </cell>
          <cell r="O2091">
            <v>0</v>
          </cell>
          <cell r="P2091">
            <v>0</v>
          </cell>
          <cell r="Q2091">
            <v>0</v>
          </cell>
          <cell r="R2091">
            <v>0</v>
          </cell>
          <cell r="S2091">
            <v>0</v>
          </cell>
          <cell r="T2091">
            <v>0</v>
          </cell>
          <cell r="U2091">
            <v>0</v>
          </cell>
          <cell r="V2091">
            <v>0</v>
          </cell>
          <cell r="W2091">
            <v>0</v>
          </cell>
          <cell r="X2091" t="str">
            <v/>
          </cell>
          <cell r="Z2091" t="str">
            <v>⑥</v>
          </cell>
          <cell r="AI2091" t="str">
            <v/>
          </cell>
          <cell r="AJ2091" t="str">
            <v>追</v>
          </cell>
        </row>
        <row r="2092">
          <cell r="B2092">
            <v>12013</v>
          </cell>
          <cell r="C2092">
            <v>120</v>
          </cell>
          <cell r="D2092">
            <v>13</v>
          </cell>
          <cell r="F2092" t="str">
            <v>伊豆山</v>
          </cell>
          <cell r="G2092" t="str">
            <v>非常放送設備(総合)</v>
          </cell>
          <cell r="H2092" t="str">
            <v>ホーチキ</v>
          </cell>
          <cell r="I2092">
            <v>65000</v>
          </cell>
          <cell r="J2092">
            <v>71500</v>
          </cell>
          <cell r="K2092">
            <v>1</v>
          </cell>
          <cell r="L2092">
            <v>0</v>
          </cell>
          <cell r="M2092">
            <v>0</v>
          </cell>
          <cell r="N2092">
            <v>0</v>
          </cell>
          <cell r="O2092">
            <v>0</v>
          </cell>
          <cell r="P2092">
            <v>0</v>
          </cell>
          <cell r="Q2092">
            <v>0</v>
          </cell>
          <cell r="R2092">
            <v>0</v>
          </cell>
          <cell r="S2092">
            <v>0</v>
          </cell>
          <cell r="T2092">
            <v>71500</v>
          </cell>
          <cell r="U2092">
            <v>0</v>
          </cell>
          <cell r="V2092">
            <v>0</v>
          </cell>
          <cell r="W2092">
            <v>0</v>
          </cell>
          <cell r="X2092" t="str">
            <v/>
          </cell>
          <cell r="AF2092" t="str">
            <v>⑫</v>
          </cell>
          <cell r="AI2092" t="str">
            <v/>
          </cell>
          <cell r="AJ2092" t="str">
            <v>追</v>
          </cell>
        </row>
        <row r="2093">
          <cell r="B2093">
            <v>12014</v>
          </cell>
          <cell r="C2093">
            <v>120</v>
          </cell>
          <cell r="D2093">
            <v>14</v>
          </cell>
          <cell r="F2093" t="str">
            <v>伊豆山</v>
          </cell>
          <cell r="G2093" t="str">
            <v>スプリンクラー(外観)</v>
          </cell>
          <cell r="H2093" t="str">
            <v>ホーチキ</v>
          </cell>
          <cell r="I2093">
            <v>74000</v>
          </cell>
          <cell r="J2093">
            <v>81400</v>
          </cell>
          <cell r="K2093">
            <v>1</v>
          </cell>
          <cell r="L2093">
            <v>0</v>
          </cell>
          <cell r="M2093">
            <v>0</v>
          </cell>
          <cell r="N2093">
            <v>81400</v>
          </cell>
          <cell r="O2093">
            <v>0</v>
          </cell>
          <cell r="P2093">
            <v>0</v>
          </cell>
          <cell r="Q2093">
            <v>0</v>
          </cell>
          <cell r="R2093">
            <v>0</v>
          </cell>
          <cell r="S2093">
            <v>0</v>
          </cell>
          <cell r="T2093">
            <v>0</v>
          </cell>
          <cell r="U2093">
            <v>0</v>
          </cell>
          <cell r="V2093">
            <v>0</v>
          </cell>
          <cell r="W2093">
            <v>0</v>
          </cell>
          <cell r="X2093" t="str">
            <v/>
          </cell>
          <cell r="Z2093" t="str">
            <v>⑥</v>
          </cell>
          <cell r="AI2093" t="str">
            <v/>
          </cell>
          <cell r="AJ2093" t="str">
            <v>追</v>
          </cell>
        </row>
        <row r="2094">
          <cell r="B2094">
            <v>12015</v>
          </cell>
          <cell r="C2094">
            <v>120</v>
          </cell>
          <cell r="D2094">
            <v>15</v>
          </cell>
          <cell r="F2094" t="str">
            <v>伊豆山</v>
          </cell>
          <cell r="G2094" t="str">
            <v>スプリンクラー(総合)</v>
          </cell>
          <cell r="H2094" t="str">
            <v>ホーチキ</v>
          </cell>
          <cell r="I2094">
            <v>104000</v>
          </cell>
          <cell r="J2094">
            <v>114400</v>
          </cell>
          <cell r="K2094">
            <v>1</v>
          </cell>
          <cell r="L2094">
            <v>0</v>
          </cell>
          <cell r="M2094">
            <v>0</v>
          </cell>
          <cell r="N2094">
            <v>0</v>
          </cell>
          <cell r="O2094">
            <v>0</v>
          </cell>
          <cell r="P2094">
            <v>0</v>
          </cell>
          <cell r="Q2094">
            <v>0</v>
          </cell>
          <cell r="R2094">
            <v>0</v>
          </cell>
          <cell r="S2094">
            <v>0</v>
          </cell>
          <cell r="T2094">
            <v>114400</v>
          </cell>
          <cell r="U2094">
            <v>0</v>
          </cell>
          <cell r="V2094">
            <v>0</v>
          </cell>
          <cell r="W2094">
            <v>0</v>
          </cell>
          <cell r="X2094" t="str">
            <v/>
          </cell>
          <cell r="AF2094" t="str">
            <v>⑫</v>
          </cell>
          <cell r="AI2094" t="str">
            <v/>
          </cell>
          <cell r="AJ2094" t="str">
            <v>追</v>
          </cell>
        </row>
        <row r="2095">
          <cell r="B2095">
            <v>12016</v>
          </cell>
          <cell r="C2095">
            <v>120</v>
          </cell>
          <cell r="D2095">
            <v>16</v>
          </cell>
          <cell r="F2095" t="str">
            <v>伊豆山</v>
          </cell>
          <cell r="G2095" t="str">
            <v>消火器点検(外観)</v>
          </cell>
          <cell r="H2095" t="str">
            <v>東管ビルサポート</v>
          </cell>
          <cell r="I2095">
            <v>131800</v>
          </cell>
          <cell r="J2095">
            <v>144980</v>
          </cell>
          <cell r="K2095">
            <v>2</v>
          </cell>
          <cell r="L2095">
            <v>0</v>
          </cell>
          <cell r="M2095">
            <v>0</v>
          </cell>
          <cell r="N2095">
            <v>144980</v>
          </cell>
          <cell r="O2095">
            <v>0</v>
          </cell>
          <cell r="P2095">
            <v>0</v>
          </cell>
          <cell r="Q2095">
            <v>0</v>
          </cell>
          <cell r="R2095">
            <v>0</v>
          </cell>
          <cell r="S2095">
            <v>0</v>
          </cell>
          <cell r="T2095">
            <v>144980</v>
          </cell>
          <cell r="U2095">
            <v>0</v>
          </cell>
          <cell r="V2095">
            <v>0</v>
          </cell>
          <cell r="W2095">
            <v>0</v>
          </cell>
          <cell r="X2095" t="str">
            <v/>
          </cell>
          <cell r="Z2095" t="str">
            <v>⑥</v>
          </cell>
          <cell r="AF2095" t="str">
            <v>⑫</v>
          </cell>
          <cell r="AI2095" t="str">
            <v/>
          </cell>
          <cell r="AJ2095" t="str">
            <v>追</v>
          </cell>
        </row>
        <row r="2096">
          <cell r="B2096">
            <v>12017</v>
          </cell>
          <cell r="C2096">
            <v>120</v>
          </cell>
          <cell r="D2096">
            <v>17</v>
          </cell>
          <cell r="F2096" t="str">
            <v>伊豆山</v>
          </cell>
          <cell r="G2096" t="str">
            <v>非常用発電機点検</v>
          </cell>
          <cell r="H2096" t="str">
            <v>関東電気保安協会</v>
          </cell>
          <cell r="I2096">
            <v>56000</v>
          </cell>
          <cell r="J2096">
            <v>61600</v>
          </cell>
          <cell r="K2096">
            <v>1</v>
          </cell>
          <cell r="L2096">
            <v>0</v>
          </cell>
          <cell r="M2096">
            <v>0</v>
          </cell>
          <cell r="N2096">
            <v>0</v>
          </cell>
          <cell r="O2096">
            <v>0</v>
          </cell>
          <cell r="P2096">
            <v>0</v>
          </cell>
          <cell r="Q2096">
            <v>0</v>
          </cell>
          <cell r="R2096">
            <v>0</v>
          </cell>
          <cell r="S2096">
            <v>0</v>
          </cell>
          <cell r="T2096">
            <v>61600</v>
          </cell>
          <cell r="U2096">
            <v>0</v>
          </cell>
          <cell r="V2096">
            <v>0</v>
          </cell>
          <cell r="W2096">
            <v>0</v>
          </cell>
          <cell r="X2096" t="str">
            <v/>
          </cell>
          <cell r="AF2096" t="str">
            <v>⑫</v>
          </cell>
          <cell r="AI2096" t="str">
            <v/>
          </cell>
          <cell r="AJ2096" t="str">
            <v>追</v>
          </cell>
        </row>
        <row r="2097">
          <cell r="B2097">
            <v>12018</v>
          </cell>
          <cell r="C2097">
            <v>120</v>
          </cell>
          <cell r="D2097">
            <v>18</v>
          </cell>
          <cell r="F2097" t="str">
            <v>伊豆山</v>
          </cell>
          <cell r="G2097" t="str">
            <v>浄化槽清掃</v>
          </cell>
          <cell r="H2097" t="str">
            <v>東海プラント</v>
          </cell>
          <cell r="I2097">
            <v>148000</v>
          </cell>
          <cell r="J2097">
            <v>162800</v>
          </cell>
          <cell r="K2097">
            <v>12</v>
          </cell>
          <cell r="L2097">
            <v>162800</v>
          </cell>
          <cell r="M2097">
            <v>162800</v>
          </cell>
          <cell r="N2097">
            <v>162800</v>
          </cell>
          <cell r="O2097">
            <v>162800</v>
          </cell>
          <cell r="P2097">
            <v>162800</v>
          </cell>
          <cell r="Q2097">
            <v>162800</v>
          </cell>
          <cell r="R2097">
            <v>162800</v>
          </cell>
          <cell r="S2097">
            <v>162800</v>
          </cell>
          <cell r="T2097">
            <v>162800</v>
          </cell>
          <cell r="U2097">
            <v>162800</v>
          </cell>
          <cell r="V2097">
            <v>162800</v>
          </cell>
          <cell r="W2097">
            <v>162800</v>
          </cell>
          <cell r="X2097" t="str">
            <v>④</v>
          </cell>
          <cell r="Y2097" t="str">
            <v>⑤</v>
          </cell>
          <cell r="Z2097" t="str">
            <v>⑥</v>
          </cell>
          <cell r="AA2097" t="str">
            <v>⑦</v>
          </cell>
          <cell r="AB2097" t="str">
            <v>⑧</v>
          </cell>
          <cell r="AC2097" t="str">
            <v>⑨</v>
          </cell>
          <cell r="AD2097" t="str">
            <v>⑩</v>
          </cell>
          <cell r="AE2097" t="str">
            <v>⑪</v>
          </cell>
          <cell r="AF2097" t="str">
            <v>⑫</v>
          </cell>
          <cell r="AG2097" t="str">
            <v>①</v>
          </cell>
          <cell r="AH2097" t="str">
            <v>②</v>
          </cell>
          <cell r="AI2097" t="str">
            <v>③</v>
          </cell>
          <cell r="AJ2097" t="str">
            <v>追</v>
          </cell>
        </row>
        <row r="2098">
          <cell r="B2098">
            <v>12019</v>
          </cell>
          <cell r="C2098">
            <v>120</v>
          </cell>
          <cell r="D2098">
            <v>19</v>
          </cell>
          <cell r="F2098" t="str">
            <v>伊豆山</v>
          </cell>
          <cell r="G2098" t="str">
            <v>ヘヤキャッチャー清掃</v>
          </cell>
          <cell r="H2098" t="str">
            <v>東海プラント</v>
          </cell>
          <cell r="I2098">
            <v>112000</v>
          </cell>
          <cell r="J2098">
            <v>123200</v>
          </cell>
          <cell r="K2098">
            <v>3</v>
          </cell>
          <cell r="L2098">
            <v>0</v>
          </cell>
          <cell r="M2098">
            <v>0</v>
          </cell>
          <cell r="N2098">
            <v>0</v>
          </cell>
          <cell r="O2098">
            <v>123200</v>
          </cell>
          <cell r="P2098">
            <v>0</v>
          </cell>
          <cell r="Q2098">
            <v>0</v>
          </cell>
          <cell r="R2098">
            <v>0</v>
          </cell>
          <cell r="S2098">
            <v>123200</v>
          </cell>
          <cell r="T2098">
            <v>0</v>
          </cell>
          <cell r="U2098">
            <v>0</v>
          </cell>
          <cell r="V2098">
            <v>0</v>
          </cell>
          <cell r="W2098">
            <v>123200</v>
          </cell>
          <cell r="X2098" t="str">
            <v/>
          </cell>
          <cell r="AA2098" t="str">
            <v>⑦</v>
          </cell>
          <cell r="AE2098" t="str">
            <v>⑪</v>
          </cell>
          <cell r="AI2098" t="str">
            <v>③</v>
          </cell>
          <cell r="AJ2098" t="str">
            <v>追</v>
          </cell>
        </row>
        <row r="2099">
          <cell r="B2099">
            <v>12101</v>
          </cell>
          <cell r="C2099">
            <v>121</v>
          </cell>
          <cell r="D2099">
            <v>1</v>
          </cell>
          <cell r="F2099" t="str">
            <v>千里研修</v>
          </cell>
          <cell r="G2099" t="str">
            <v>駐車場設備保守</v>
          </cell>
          <cell r="H2099" t="str">
            <v>三菱重工ﾊﾟｰｷﾝｸﾞ建設</v>
          </cell>
          <cell r="I2099">
            <v>197000</v>
          </cell>
          <cell r="J2099">
            <v>200940</v>
          </cell>
          <cell r="K2099">
            <v>12</v>
          </cell>
          <cell r="L2099">
            <v>200940</v>
          </cell>
          <cell r="M2099">
            <v>200940</v>
          </cell>
          <cell r="N2099">
            <v>200940</v>
          </cell>
          <cell r="O2099">
            <v>200940</v>
          </cell>
          <cell r="P2099">
            <v>200940</v>
          </cell>
          <cell r="Q2099">
            <v>200940</v>
          </cell>
          <cell r="R2099">
            <v>200940</v>
          </cell>
          <cell r="S2099">
            <v>200940</v>
          </cell>
          <cell r="T2099">
            <v>200940</v>
          </cell>
          <cell r="U2099">
            <v>200940</v>
          </cell>
          <cell r="V2099">
            <v>200940</v>
          </cell>
          <cell r="W2099">
            <v>200940</v>
          </cell>
          <cell r="X2099" t="str">
            <v>④</v>
          </cell>
          <cell r="Y2099" t="str">
            <v>⑤</v>
          </cell>
          <cell r="Z2099" t="str">
            <v>⑥</v>
          </cell>
          <cell r="AA2099" t="str">
            <v>⑦</v>
          </cell>
          <cell r="AB2099" t="str">
            <v>⑧</v>
          </cell>
          <cell r="AC2099" t="str">
            <v>⑨</v>
          </cell>
          <cell r="AD2099" t="str">
            <v>⑩</v>
          </cell>
          <cell r="AE2099" t="str">
            <v>⑪</v>
          </cell>
          <cell r="AF2099" t="str">
            <v>⑫</v>
          </cell>
          <cell r="AG2099" t="str">
            <v>①</v>
          </cell>
          <cell r="AH2099" t="str">
            <v>②</v>
          </cell>
          <cell r="AI2099" t="str">
            <v>③</v>
          </cell>
        </row>
        <row r="2100">
          <cell r="B2100">
            <v>12102</v>
          </cell>
          <cell r="C2100">
            <v>121</v>
          </cell>
          <cell r="D2100">
            <v>2</v>
          </cell>
          <cell r="F2100" t="str">
            <v>千里研修</v>
          </cell>
          <cell r="G2100" t="str">
            <v>エレベーター保守</v>
          </cell>
          <cell r="H2100" t="str">
            <v>三菱電機ﾋﾞﾙﾃｸﾉｻｰﾋﾞｽ</v>
          </cell>
          <cell r="I2100">
            <v>194700</v>
          </cell>
          <cell r="J2100">
            <v>198594</v>
          </cell>
          <cell r="K2100">
            <v>12</v>
          </cell>
          <cell r="L2100">
            <v>198594</v>
          </cell>
          <cell r="M2100">
            <v>198594</v>
          </cell>
          <cell r="N2100">
            <v>198594</v>
          </cell>
          <cell r="O2100">
            <v>198594</v>
          </cell>
          <cell r="P2100">
            <v>198594</v>
          </cell>
          <cell r="Q2100">
            <v>198594</v>
          </cell>
          <cell r="R2100">
            <v>198594</v>
          </cell>
          <cell r="S2100">
            <v>198594</v>
          </cell>
          <cell r="T2100">
            <v>198594</v>
          </cell>
          <cell r="U2100">
            <v>198594</v>
          </cell>
          <cell r="V2100">
            <v>198594</v>
          </cell>
          <cell r="W2100">
            <v>198594</v>
          </cell>
          <cell r="X2100" t="str">
            <v>④</v>
          </cell>
          <cell r="Y2100" t="str">
            <v>⑤</v>
          </cell>
          <cell r="Z2100" t="str">
            <v>⑥</v>
          </cell>
          <cell r="AA2100" t="str">
            <v>⑦</v>
          </cell>
          <cell r="AB2100" t="str">
            <v>⑧</v>
          </cell>
          <cell r="AC2100" t="str">
            <v>⑨</v>
          </cell>
          <cell r="AD2100" t="str">
            <v>⑩</v>
          </cell>
          <cell r="AE2100" t="str">
            <v>⑪</v>
          </cell>
          <cell r="AF2100" t="str">
            <v>⑫</v>
          </cell>
          <cell r="AG2100" t="str">
            <v>①</v>
          </cell>
          <cell r="AH2100" t="str">
            <v>②</v>
          </cell>
          <cell r="AI2100" t="str">
            <v>③</v>
          </cell>
        </row>
        <row r="2101">
          <cell r="B2101">
            <v>12103</v>
          </cell>
          <cell r="C2101">
            <v>121</v>
          </cell>
          <cell r="D2101">
            <v>3</v>
          </cell>
          <cell r="F2101" t="str">
            <v>千里研修</v>
          </cell>
          <cell r="G2101" t="str">
            <v>消防設備点検保守(外観機能)</v>
          </cell>
          <cell r="H2101" t="str">
            <v>ホーチキ</v>
          </cell>
          <cell r="I2101">
            <v>477000</v>
          </cell>
          <cell r="J2101">
            <v>486540</v>
          </cell>
          <cell r="K2101">
            <v>1</v>
          </cell>
          <cell r="L2101">
            <v>0</v>
          </cell>
          <cell r="M2101">
            <v>486540</v>
          </cell>
          <cell r="N2101">
            <v>0</v>
          </cell>
          <cell r="O2101">
            <v>0</v>
          </cell>
          <cell r="P2101">
            <v>0</v>
          </cell>
          <cell r="Q2101">
            <v>0</v>
          </cell>
          <cell r="R2101">
            <v>0</v>
          </cell>
          <cell r="S2101">
            <v>0</v>
          </cell>
          <cell r="T2101">
            <v>0</v>
          </cell>
          <cell r="U2101">
            <v>0</v>
          </cell>
          <cell r="V2101">
            <v>0</v>
          </cell>
          <cell r="W2101">
            <v>0</v>
          </cell>
          <cell r="X2101" t="str">
            <v/>
          </cell>
          <cell r="Y2101" t="str">
            <v>⑤</v>
          </cell>
          <cell r="Z2101" t="str">
            <v/>
          </cell>
          <cell r="AA2101" t="str">
            <v/>
          </cell>
          <cell r="AB2101" t="str">
            <v/>
          </cell>
          <cell r="AC2101" t="str">
            <v/>
          </cell>
          <cell r="AD2101" t="str">
            <v/>
          </cell>
          <cell r="AE2101" t="str">
            <v/>
          </cell>
          <cell r="AF2101" t="str">
            <v/>
          </cell>
          <cell r="AG2101" t="str">
            <v/>
          </cell>
          <cell r="AH2101" t="str">
            <v/>
          </cell>
          <cell r="AI2101" t="str">
            <v/>
          </cell>
        </row>
        <row r="2102">
          <cell r="B2102">
            <v>12104</v>
          </cell>
          <cell r="C2102">
            <v>121</v>
          </cell>
          <cell r="D2102">
            <v>4</v>
          </cell>
          <cell r="F2102" t="str">
            <v>千里研修</v>
          </cell>
          <cell r="G2102" t="str">
            <v>消防設備点検保守(総合)</v>
          </cell>
          <cell r="H2102" t="str">
            <v>ホーチキ</v>
          </cell>
          <cell r="I2102">
            <v>783000</v>
          </cell>
          <cell r="J2102">
            <v>798660</v>
          </cell>
          <cell r="K2102">
            <v>1</v>
          </cell>
          <cell r="L2102">
            <v>0</v>
          </cell>
          <cell r="M2102">
            <v>0</v>
          </cell>
          <cell r="N2102">
            <v>0</v>
          </cell>
          <cell r="O2102">
            <v>0</v>
          </cell>
          <cell r="P2102">
            <v>0</v>
          </cell>
          <cell r="Q2102">
            <v>0</v>
          </cell>
          <cell r="R2102">
            <v>0</v>
          </cell>
          <cell r="S2102">
            <v>798660</v>
          </cell>
          <cell r="T2102">
            <v>0</v>
          </cell>
          <cell r="U2102">
            <v>0</v>
          </cell>
          <cell r="V2102">
            <v>0</v>
          </cell>
          <cell r="W2102">
            <v>0</v>
          </cell>
          <cell r="X2102" t="str">
            <v/>
          </cell>
          <cell r="Y2102" t="str">
            <v/>
          </cell>
          <cell r="Z2102" t="str">
            <v/>
          </cell>
          <cell r="AA2102" t="str">
            <v/>
          </cell>
          <cell r="AB2102" t="str">
            <v/>
          </cell>
          <cell r="AC2102" t="str">
            <v/>
          </cell>
          <cell r="AD2102" t="str">
            <v/>
          </cell>
          <cell r="AE2102" t="str">
            <v>⑪</v>
          </cell>
          <cell r="AF2102" t="str">
            <v/>
          </cell>
          <cell r="AG2102" t="str">
            <v/>
          </cell>
          <cell r="AH2102" t="str">
            <v/>
          </cell>
          <cell r="AI2102" t="str">
            <v/>
          </cell>
        </row>
        <row r="2103">
          <cell r="B2103">
            <v>12105</v>
          </cell>
          <cell r="C2103">
            <v>121</v>
          </cell>
          <cell r="D2103">
            <v>5</v>
          </cell>
          <cell r="F2103" t="str">
            <v>千里研修</v>
          </cell>
          <cell r="G2103" t="str">
            <v>ハロゲン消火(外観)</v>
          </cell>
          <cell r="H2103" t="str">
            <v>ヤマトプロテック</v>
          </cell>
          <cell r="I2103">
            <v>76000</v>
          </cell>
          <cell r="J2103">
            <v>79800</v>
          </cell>
          <cell r="K2103">
            <v>1</v>
          </cell>
          <cell r="L2103">
            <v>0</v>
          </cell>
          <cell r="M2103">
            <v>79800</v>
          </cell>
          <cell r="N2103">
            <v>0</v>
          </cell>
          <cell r="O2103">
            <v>0</v>
          </cell>
          <cell r="P2103">
            <v>0</v>
          </cell>
          <cell r="Q2103">
            <v>0</v>
          </cell>
          <cell r="R2103">
            <v>0</v>
          </cell>
          <cell r="S2103">
            <v>0</v>
          </cell>
          <cell r="T2103">
            <v>0</v>
          </cell>
          <cell r="U2103">
            <v>0</v>
          </cell>
          <cell r="V2103">
            <v>0</v>
          </cell>
          <cell r="W2103">
            <v>0</v>
          </cell>
          <cell r="X2103" t="str">
            <v/>
          </cell>
          <cell r="Y2103" t="str">
            <v>⑤</v>
          </cell>
          <cell r="Z2103" t="str">
            <v/>
          </cell>
          <cell r="AA2103" t="str">
            <v/>
          </cell>
          <cell r="AB2103" t="str">
            <v/>
          </cell>
          <cell r="AC2103" t="str">
            <v/>
          </cell>
          <cell r="AD2103" t="str">
            <v/>
          </cell>
          <cell r="AE2103" t="str">
            <v/>
          </cell>
          <cell r="AF2103" t="str">
            <v/>
          </cell>
          <cell r="AG2103" t="str">
            <v/>
          </cell>
          <cell r="AH2103" t="str">
            <v/>
          </cell>
          <cell r="AI2103" t="str">
            <v/>
          </cell>
        </row>
        <row r="2104">
          <cell r="B2104">
            <v>12106</v>
          </cell>
          <cell r="C2104">
            <v>121</v>
          </cell>
          <cell r="D2104">
            <v>6</v>
          </cell>
          <cell r="F2104" t="str">
            <v>千里研修</v>
          </cell>
          <cell r="G2104" t="str">
            <v>ハロゲン消火(総合)</v>
          </cell>
          <cell r="H2104" t="str">
            <v>ヤマトプロテック</v>
          </cell>
          <cell r="I2104">
            <v>164000</v>
          </cell>
          <cell r="J2104">
            <v>172200</v>
          </cell>
          <cell r="K2104">
            <v>1</v>
          </cell>
          <cell r="L2104">
            <v>0</v>
          </cell>
          <cell r="M2104">
            <v>0</v>
          </cell>
          <cell r="N2104">
            <v>0</v>
          </cell>
          <cell r="O2104">
            <v>0</v>
          </cell>
          <cell r="P2104">
            <v>0</v>
          </cell>
          <cell r="Q2104">
            <v>0</v>
          </cell>
          <cell r="R2104">
            <v>0</v>
          </cell>
          <cell r="S2104">
            <v>172200</v>
          </cell>
          <cell r="T2104">
            <v>0</v>
          </cell>
          <cell r="U2104">
            <v>0</v>
          </cell>
          <cell r="V2104">
            <v>0</v>
          </cell>
          <cell r="W2104">
            <v>0</v>
          </cell>
          <cell r="X2104" t="str">
            <v/>
          </cell>
          <cell r="Y2104" t="str">
            <v/>
          </cell>
          <cell r="Z2104" t="str">
            <v/>
          </cell>
          <cell r="AA2104" t="str">
            <v/>
          </cell>
          <cell r="AB2104" t="str">
            <v/>
          </cell>
          <cell r="AC2104" t="str">
            <v/>
          </cell>
          <cell r="AD2104" t="str">
            <v/>
          </cell>
          <cell r="AE2104" t="str">
            <v>⑪</v>
          </cell>
          <cell r="AF2104" t="str">
            <v/>
          </cell>
          <cell r="AG2104" t="str">
            <v/>
          </cell>
          <cell r="AH2104" t="str">
            <v/>
          </cell>
          <cell r="AI2104" t="str">
            <v/>
          </cell>
        </row>
        <row r="2105">
          <cell r="B2105">
            <v>12107</v>
          </cell>
          <cell r="C2105">
            <v>121</v>
          </cell>
          <cell r="D2105">
            <v>7</v>
          </cell>
          <cell r="F2105" t="str">
            <v>千里研修</v>
          </cell>
          <cell r="G2105" t="str">
            <v>消防設備点検保守</v>
          </cell>
          <cell r="H2105" t="str">
            <v>モリタ</v>
          </cell>
          <cell r="I2105">
            <v>13200</v>
          </cell>
          <cell r="J2105">
            <v>13464</v>
          </cell>
          <cell r="K2105">
            <v>2</v>
          </cell>
          <cell r="L2105">
            <v>0</v>
          </cell>
          <cell r="M2105">
            <v>13464</v>
          </cell>
          <cell r="N2105">
            <v>0</v>
          </cell>
          <cell r="O2105">
            <v>0</v>
          </cell>
          <cell r="P2105">
            <v>0</v>
          </cell>
          <cell r="Q2105">
            <v>0</v>
          </cell>
          <cell r="R2105">
            <v>0</v>
          </cell>
          <cell r="S2105">
            <v>13464</v>
          </cell>
          <cell r="T2105">
            <v>0</v>
          </cell>
          <cell r="U2105">
            <v>0</v>
          </cell>
          <cell r="V2105">
            <v>0</v>
          </cell>
          <cell r="W2105">
            <v>0</v>
          </cell>
          <cell r="X2105" t="str">
            <v/>
          </cell>
          <cell r="Y2105" t="str">
            <v>⑤</v>
          </cell>
          <cell r="Z2105" t="str">
            <v/>
          </cell>
          <cell r="AA2105" t="str">
            <v/>
          </cell>
          <cell r="AB2105" t="str">
            <v/>
          </cell>
          <cell r="AC2105" t="str">
            <v/>
          </cell>
          <cell r="AD2105" t="str">
            <v/>
          </cell>
          <cell r="AE2105" t="str">
            <v>⑪</v>
          </cell>
          <cell r="AF2105" t="str">
            <v/>
          </cell>
          <cell r="AG2105" t="str">
            <v/>
          </cell>
          <cell r="AH2105" t="str">
            <v/>
          </cell>
          <cell r="AI2105" t="str">
            <v/>
          </cell>
        </row>
        <row r="2106">
          <cell r="B2106">
            <v>12108</v>
          </cell>
          <cell r="C2106">
            <v>121</v>
          </cell>
          <cell r="D2106">
            <v>8</v>
          </cell>
          <cell r="F2106" t="str">
            <v>千里研修</v>
          </cell>
          <cell r="G2106" t="str">
            <v>害虫駆除</v>
          </cell>
          <cell r="H2106" t="str">
            <v>シーアイシー</v>
          </cell>
          <cell r="I2106">
            <v>125000</v>
          </cell>
          <cell r="J2106">
            <v>137500</v>
          </cell>
          <cell r="K2106">
            <v>2</v>
          </cell>
          <cell r="L2106">
            <v>0</v>
          </cell>
          <cell r="M2106">
            <v>0</v>
          </cell>
          <cell r="N2106">
            <v>0</v>
          </cell>
          <cell r="O2106">
            <v>0</v>
          </cell>
          <cell r="P2106">
            <v>0</v>
          </cell>
          <cell r="Q2106">
            <v>137500</v>
          </cell>
          <cell r="R2106">
            <v>0</v>
          </cell>
          <cell r="S2106">
            <v>0</v>
          </cell>
          <cell r="T2106">
            <v>0</v>
          </cell>
          <cell r="U2106">
            <v>0</v>
          </cell>
          <cell r="V2106">
            <v>0</v>
          </cell>
          <cell r="W2106">
            <v>137500</v>
          </cell>
          <cell r="X2106" t="str">
            <v/>
          </cell>
          <cell r="Y2106" t="str">
            <v/>
          </cell>
          <cell r="Z2106" t="str">
            <v/>
          </cell>
          <cell r="AA2106" t="str">
            <v/>
          </cell>
          <cell r="AB2106" t="str">
            <v/>
          </cell>
          <cell r="AC2106" t="str">
            <v>⑨</v>
          </cell>
          <cell r="AD2106" t="str">
            <v/>
          </cell>
          <cell r="AE2106" t="str">
            <v/>
          </cell>
          <cell r="AF2106" t="str">
            <v/>
          </cell>
          <cell r="AG2106" t="str">
            <v/>
          </cell>
          <cell r="AH2106" t="str">
            <v/>
          </cell>
          <cell r="AI2106" t="str">
            <v>③</v>
          </cell>
        </row>
        <row r="2107">
          <cell r="B2107">
            <v>12109</v>
          </cell>
          <cell r="C2107">
            <v>121</v>
          </cell>
          <cell r="D2107">
            <v>9</v>
          </cell>
          <cell r="F2107" t="str">
            <v>千里研修</v>
          </cell>
          <cell r="G2107" t="str">
            <v>汚水･雑排水槽清掃</v>
          </cell>
          <cell r="H2107" t="str">
            <v>北九州空調</v>
          </cell>
          <cell r="I2107">
            <v>278000</v>
          </cell>
          <cell r="J2107">
            <v>311360</v>
          </cell>
          <cell r="K2107">
            <v>2</v>
          </cell>
          <cell r="L2107">
            <v>0</v>
          </cell>
          <cell r="M2107">
            <v>0</v>
          </cell>
          <cell r="N2107">
            <v>0</v>
          </cell>
          <cell r="O2107">
            <v>0</v>
          </cell>
          <cell r="P2107">
            <v>0</v>
          </cell>
          <cell r="Q2107">
            <v>311360</v>
          </cell>
          <cell r="R2107">
            <v>0</v>
          </cell>
          <cell r="S2107">
            <v>0</v>
          </cell>
          <cell r="T2107">
            <v>0</v>
          </cell>
          <cell r="U2107">
            <v>0</v>
          </cell>
          <cell r="V2107">
            <v>0</v>
          </cell>
          <cell r="W2107">
            <v>311360</v>
          </cell>
          <cell r="X2107" t="str">
            <v/>
          </cell>
          <cell r="Y2107" t="str">
            <v/>
          </cell>
          <cell r="Z2107" t="str">
            <v/>
          </cell>
          <cell r="AA2107" t="str">
            <v/>
          </cell>
          <cell r="AB2107" t="str">
            <v/>
          </cell>
          <cell r="AC2107" t="str">
            <v>⑨</v>
          </cell>
          <cell r="AD2107" t="str">
            <v/>
          </cell>
          <cell r="AE2107" t="str">
            <v/>
          </cell>
          <cell r="AF2107" t="str">
            <v/>
          </cell>
          <cell r="AG2107" t="str">
            <v/>
          </cell>
          <cell r="AH2107" t="str">
            <v/>
          </cell>
          <cell r="AI2107" t="str">
            <v>③</v>
          </cell>
        </row>
        <row r="2108">
          <cell r="B2108">
            <v>12110</v>
          </cell>
          <cell r="C2108">
            <v>121</v>
          </cell>
          <cell r="D2108">
            <v>10</v>
          </cell>
          <cell r="F2108" t="str">
            <v>千里研修</v>
          </cell>
          <cell r="G2108" t="str">
            <v>高架水槽清掃</v>
          </cell>
          <cell r="H2108" t="str">
            <v>北九州空調</v>
          </cell>
          <cell r="I2108">
            <v>30000</v>
          </cell>
          <cell r="J2108">
            <v>33900</v>
          </cell>
          <cell r="K2108">
            <v>1</v>
          </cell>
          <cell r="L2108">
            <v>0</v>
          </cell>
          <cell r="M2108">
            <v>0</v>
          </cell>
          <cell r="N2108">
            <v>0</v>
          </cell>
          <cell r="O2108">
            <v>0</v>
          </cell>
          <cell r="P2108">
            <v>0</v>
          </cell>
          <cell r="Q2108">
            <v>0</v>
          </cell>
          <cell r="R2108">
            <v>0</v>
          </cell>
          <cell r="S2108">
            <v>33900</v>
          </cell>
          <cell r="T2108">
            <v>0</v>
          </cell>
          <cell r="U2108">
            <v>0</v>
          </cell>
          <cell r="V2108">
            <v>0</v>
          </cell>
          <cell r="W2108">
            <v>0</v>
          </cell>
          <cell r="X2108" t="str">
            <v/>
          </cell>
          <cell r="Y2108" t="str">
            <v/>
          </cell>
          <cell r="Z2108" t="str">
            <v/>
          </cell>
          <cell r="AA2108" t="str">
            <v/>
          </cell>
          <cell r="AB2108" t="str">
            <v/>
          </cell>
          <cell r="AC2108" t="str">
            <v/>
          </cell>
          <cell r="AD2108" t="str">
            <v/>
          </cell>
          <cell r="AE2108" t="str">
            <v>⑪</v>
          </cell>
          <cell r="AF2108" t="str">
            <v/>
          </cell>
          <cell r="AG2108" t="str">
            <v/>
          </cell>
          <cell r="AH2108" t="str">
            <v/>
          </cell>
          <cell r="AI2108" t="str">
            <v/>
          </cell>
        </row>
        <row r="2109">
          <cell r="B2109">
            <v>12111</v>
          </cell>
          <cell r="C2109">
            <v>121</v>
          </cell>
          <cell r="D2109">
            <v>11</v>
          </cell>
          <cell r="F2109" t="str">
            <v>千里研修</v>
          </cell>
          <cell r="G2109" t="str">
            <v>直流電源装置保守点検</v>
          </cell>
          <cell r="H2109" t="str">
            <v>ＧＳ電池商会</v>
          </cell>
          <cell r="I2109">
            <v>64000</v>
          </cell>
          <cell r="J2109">
            <v>66000</v>
          </cell>
          <cell r="K2109">
            <v>2</v>
          </cell>
          <cell r="L2109">
            <v>0</v>
          </cell>
          <cell r="M2109">
            <v>66000</v>
          </cell>
          <cell r="N2109">
            <v>0</v>
          </cell>
          <cell r="O2109">
            <v>0</v>
          </cell>
          <cell r="P2109">
            <v>0</v>
          </cell>
          <cell r="Q2109">
            <v>0</v>
          </cell>
          <cell r="R2109">
            <v>0</v>
          </cell>
          <cell r="S2109">
            <v>66000</v>
          </cell>
          <cell r="T2109">
            <v>0</v>
          </cell>
          <cell r="U2109">
            <v>0</v>
          </cell>
          <cell r="V2109">
            <v>0</v>
          </cell>
          <cell r="W2109">
            <v>0</v>
          </cell>
          <cell r="X2109" t="str">
            <v/>
          </cell>
          <cell r="Y2109" t="str">
            <v>⑤</v>
          </cell>
          <cell r="Z2109" t="str">
            <v/>
          </cell>
          <cell r="AA2109" t="str">
            <v/>
          </cell>
          <cell r="AB2109" t="str">
            <v/>
          </cell>
          <cell r="AC2109" t="str">
            <v/>
          </cell>
          <cell r="AD2109" t="str">
            <v/>
          </cell>
          <cell r="AE2109" t="str">
            <v>⑪</v>
          </cell>
          <cell r="AF2109" t="str">
            <v/>
          </cell>
          <cell r="AG2109" t="str">
            <v/>
          </cell>
          <cell r="AH2109" t="str">
            <v/>
          </cell>
          <cell r="AI2109" t="str">
            <v/>
          </cell>
        </row>
        <row r="2110">
          <cell r="B2110">
            <v>12112</v>
          </cell>
          <cell r="C2110">
            <v>121</v>
          </cell>
          <cell r="D2110">
            <v>12</v>
          </cell>
          <cell r="F2110" t="str">
            <v>千里研修</v>
          </cell>
          <cell r="G2110" t="str">
            <v>樹木管理保守</v>
          </cell>
          <cell r="H2110" t="str">
            <v>近鉄造園土木</v>
          </cell>
          <cell r="I2110">
            <v>126500</v>
          </cell>
          <cell r="J2110">
            <v>131370</v>
          </cell>
          <cell r="K2110">
            <v>2</v>
          </cell>
          <cell r="L2110">
            <v>0</v>
          </cell>
          <cell r="M2110">
            <v>0</v>
          </cell>
          <cell r="N2110">
            <v>0</v>
          </cell>
          <cell r="O2110">
            <v>131370</v>
          </cell>
          <cell r="P2110">
            <v>0</v>
          </cell>
          <cell r="Q2110">
            <v>0</v>
          </cell>
          <cell r="R2110">
            <v>0</v>
          </cell>
          <cell r="S2110">
            <v>0</v>
          </cell>
          <cell r="T2110">
            <v>0</v>
          </cell>
          <cell r="U2110">
            <v>0</v>
          </cell>
          <cell r="V2110">
            <v>131370</v>
          </cell>
          <cell r="W2110">
            <v>0</v>
          </cell>
          <cell r="X2110" t="str">
            <v/>
          </cell>
          <cell r="Z2110" t="str">
            <v/>
          </cell>
          <cell r="AA2110" t="str">
            <v>⑦</v>
          </cell>
          <cell r="AB2110" t="str">
            <v/>
          </cell>
          <cell r="AC2110" t="str">
            <v/>
          </cell>
          <cell r="AD2110" t="str">
            <v/>
          </cell>
          <cell r="AF2110" t="str">
            <v/>
          </cell>
          <cell r="AG2110" t="str">
            <v/>
          </cell>
          <cell r="AH2110" t="str">
            <v>②</v>
          </cell>
          <cell r="AI2110" t="str">
            <v/>
          </cell>
        </row>
        <row r="2111">
          <cell r="B2111">
            <v>12201</v>
          </cell>
          <cell r="C2111">
            <v>122</v>
          </cell>
          <cell r="D2111">
            <v>1</v>
          </cell>
          <cell r="F2111" t="str">
            <v>西日本</v>
          </cell>
          <cell r="G2111" t="str">
            <v>エレベーター保守</v>
          </cell>
          <cell r="H2111" t="str">
            <v>三菱電機ﾋﾞﾙﾃｸﾉｻｰﾋﾞｽ</v>
          </cell>
          <cell r="I2111">
            <v>188700</v>
          </cell>
          <cell r="J2111">
            <v>192474</v>
          </cell>
          <cell r="K2111">
            <v>12</v>
          </cell>
          <cell r="L2111">
            <v>192474</v>
          </cell>
          <cell r="M2111">
            <v>192474</v>
          </cell>
          <cell r="N2111">
            <v>192474</v>
          </cell>
          <cell r="O2111">
            <v>192474</v>
          </cell>
          <cell r="P2111">
            <v>192474</v>
          </cell>
          <cell r="Q2111">
            <v>192474</v>
          </cell>
          <cell r="R2111">
            <v>192474</v>
          </cell>
          <cell r="S2111">
            <v>192474</v>
          </cell>
          <cell r="T2111">
            <v>192474</v>
          </cell>
          <cell r="U2111">
            <v>192474</v>
          </cell>
          <cell r="V2111">
            <v>192474</v>
          </cell>
          <cell r="W2111">
            <v>192474</v>
          </cell>
          <cell r="X2111" t="str">
            <v>④</v>
          </cell>
          <cell r="Y2111" t="str">
            <v>⑤</v>
          </cell>
          <cell r="Z2111" t="str">
            <v>⑥</v>
          </cell>
          <cell r="AA2111" t="str">
            <v>⑦</v>
          </cell>
          <cell r="AB2111" t="str">
            <v>⑧</v>
          </cell>
          <cell r="AC2111" t="str">
            <v>⑨</v>
          </cell>
          <cell r="AD2111" t="str">
            <v>⑩</v>
          </cell>
          <cell r="AE2111" t="str">
            <v>⑪</v>
          </cell>
          <cell r="AF2111" t="str">
            <v>⑫</v>
          </cell>
          <cell r="AG2111" t="str">
            <v>①</v>
          </cell>
          <cell r="AH2111" t="str">
            <v>②</v>
          </cell>
          <cell r="AI2111" t="str">
            <v>③</v>
          </cell>
        </row>
        <row r="2112">
          <cell r="B2112">
            <v>12202</v>
          </cell>
          <cell r="C2112">
            <v>122</v>
          </cell>
          <cell r="D2112">
            <v>2</v>
          </cell>
          <cell r="F2112" t="str">
            <v>西日本</v>
          </cell>
          <cell r="G2112" t="str">
            <v>消防設備点検保守(外観)</v>
          </cell>
          <cell r="H2112" t="str">
            <v>モリタ</v>
          </cell>
          <cell r="I2112">
            <v>440000</v>
          </cell>
          <cell r="J2112">
            <v>448800</v>
          </cell>
          <cell r="K2112">
            <v>1</v>
          </cell>
          <cell r="L2112">
            <v>0</v>
          </cell>
          <cell r="M2112">
            <v>0</v>
          </cell>
          <cell r="N2112">
            <v>448800</v>
          </cell>
          <cell r="O2112">
            <v>0</v>
          </cell>
          <cell r="P2112">
            <v>0</v>
          </cell>
          <cell r="Q2112">
            <v>0</v>
          </cell>
          <cell r="R2112">
            <v>0</v>
          </cell>
          <cell r="S2112">
            <v>0</v>
          </cell>
          <cell r="T2112">
            <v>0</v>
          </cell>
          <cell r="U2112">
            <v>0</v>
          </cell>
          <cell r="V2112">
            <v>0</v>
          </cell>
          <cell r="W2112">
            <v>0</v>
          </cell>
          <cell r="X2112" t="str">
            <v/>
          </cell>
          <cell r="Y2112" t="str">
            <v/>
          </cell>
          <cell r="Z2112" t="str">
            <v>⑥</v>
          </cell>
          <cell r="AA2112" t="str">
            <v/>
          </cell>
          <cell r="AB2112" t="str">
            <v/>
          </cell>
          <cell r="AC2112" t="str">
            <v/>
          </cell>
          <cell r="AD2112" t="str">
            <v/>
          </cell>
          <cell r="AE2112" t="str">
            <v/>
          </cell>
          <cell r="AF2112" t="str">
            <v/>
          </cell>
          <cell r="AG2112" t="str">
            <v/>
          </cell>
          <cell r="AH2112" t="str">
            <v/>
          </cell>
          <cell r="AI2112" t="str">
            <v/>
          </cell>
        </row>
        <row r="2113">
          <cell r="B2113">
            <v>12203</v>
          </cell>
          <cell r="C2113">
            <v>122</v>
          </cell>
          <cell r="D2113">
            <v>3</v>
          </cell>
          <cell r="F2113" t="str">
            <v>西日本</v>
          </cell>
          <cell r="G2113" t="str">
            <v>消防設備点検保守(総合)</v>
          </cell>
          <cell r="H2113" t="str">
            <v>モリタ</v>
          </cell>
          <cell r="I2113">
            <v>610000</v>
          </cell>
          <cell r="J2113">
            <v>622200</v>
          </cell>
          <cell r="K2113">
            <v>1</v>
          </cell>
          <cell r="L2113">
            <v>0</v>
          </cell>
          <cell r="M2113">
            <v>0</v>
          </cell>
          <cell r="N2113">
            <v>0</v>
          </cell>
          <cell r="O2113">
            <v>0</v>
          </cell>
          <cell r="P2113">
            <v>0</v>
          </cell>
          <cell r="Q2113">
            <v>0</v>
          </cell>
          <cell r="R2113">
            <v>0</v>
          </cell>
          <cell r="S2113">
            <v>0</v>
          </cell>
          <cell r="T2113">
            <v>622200</v>
          </cell>
          <cell r="U2113">
            <v>0</v>
          </cell>
          <cell r="V2113">
            <v>0</v>
          </cell>
          <cell r="W2113">
            <v>0</v>
          </cell>
          <cell r="X2113" t="str">
            <v/>
          </cell>
          <cell r="Y2113" t="str">
            <v/>
          </cell>
          <cell r="Z2113" t="str">
            <v/>
          </cell>
          <cell r="AA2113" t="str">
            <v/>
          </cell>
          <cell r="AB2113" t="str">
            <v/>
          </cell>
          <cell r="AC2113" t="str">
            <v/>
          </cell>
          <cell r="AD2113" t="str">
            <v/>
          </cell>
          <cell r="AE2113" t="str">
            <v/>
          </cell>
          <cell r="AF2113" t="str">
            <v>⑫</v>
          </cell>
          <cell r="AG2113" t="str">
            <v/>
          </cell>
          <cell r="AH2113" t="str">
            <v/>
          </cell>
          <cell r="AI2113" t="str">
            <v/>
          </cell>
        </row>
        <row r="2114">
          <cell r="B2114">
            <v>12204</v>
          </cell>
          <cell r="C2114">
            <v>122</v>
          </cell>
          <cell r="D2114">
            <v>4</v>
          </cell>
          <cell r="F2114" t="str">
            <v>西日本</v>
          </cell>
          <cell r="G2114" t="str">
            <v>給湯ボイラー設備保守</v>
          </cell>
          <cell r="H2114" t="str">
            <v>タクマ汎用機械</v>
          </cell>
          <cell r="I2114">
            <v>64260</v>
          </cell>
          <cell r="J2114">
            <v>65545</v>
          </cell>
          <cell r="K2114">
            <v>4</v>
          </cell>
          <cell r="L2114">
            <v>0</v>
          </cell>
          <cell r="M2114">
            <v>0</v>
          </cell>
          <cell r="N2114">
            <v>65545</v>
          </cell>
          <cell r="O2114">
            <v>0</v>
          </cell>
          <cell r="P2114">
            <v>0</v>
          </cell>
          <cell r="Q2114">
            <v>65545</v>
          </cell>
          <cell r="R2114">
            <v>0</v>
          </cell>
          <cell r="S2114">
            <v>0</v>
          </cell>
          <cell r="T2114">
            <v>65545</v>
          </cell>
          <cell r="U2114">
            <v>0</v>
          </cell>
          <cell r="V2114">
            <v>0</v>
          </cell>
          <cell r="W2114">
            <v>65545</v>
          </cell>
          <cell r="X2114" t="str">
            <v/>
          </cell>
          <cell r="Y2114" t="str">
            <v/>
          </cell>
          <cell r="Z2114" t="str">
            <v>⑥</v>
          </cell>
          <cell r="AA2114" t="str">
            <v/>
          </cell>
          <cell r="AB2114" t="str">
            <v/>
          </cell>
          <cell r="AC2114" t="str">
            <v>⑨</v>
          </cell>
          <cell r="AD2114" t="str">
            <v/>
          </cell>
          <cell r="AE2114" t="str">
            <v/>
          </cell>
          <cell r="AF2114" t="str">
            <v>⑫</v>
          </cell>
          <cell r="AG2114" t="str">
            <v/>
          </cell>
          <cell r="AH2114" t="str">
            <v/>
          </cell>
          <cell r="AI2114" t="str">
            <v>③</v>
          </cell>
        </row>
        <row r="2115">
          <cell r="B2115">
            <v>12205</v>
          </cell>
          <cell r="C2115">
            <v>122</v>
          </cell>
          <cell r="D2115">
            <v>5</v>
          </cell>
          <cell r="F2115" t="str">
            <v>西日本</v>
          </cell>
          <cell r="G2115" t="str">
            <v>害虫駆除</v>
          </cell>
          <cell r="H2115" t="str">
            <v>シェル商事</v>
          </cell>
          <cell r="I2115">
            <v>280000</v>
          </cell>
          <cell r="J2115">
            <v>308000</v>
          </cell>
          <cell r="K2115">
            <v>2</v>
          </cell>
          <cell r="L2115">
            <v>0</v>
          </cell>
          <cell r="M2115">
            <v>0</v>
          </cell>
          <cell r="N2115">
            <v>0</v>
          </cell>
          <cell r="O2115">
            <v>0</v>
          </cell>
          <cell r="P2115">
            <v>308000</v>
          </cell>
          <cell r="Q2115">
            <v>0</v>
          </cell>
          <cell r="R2115">
            <v>0</v>
          </cell>
          <cell r="S2115">
            <v>0</v>
          </cell>
          <cell r="T2115">
            <v>0</v>
          </cell>
          <cell r="U2115">
            <v>0</v>
          </cell>
          <cell r="V2115">
            <v>308000</v>
          </cell>
          <cell r="W2115">
            <v>0</v>
          </cell>
          <cell r="X2115" t="str">
            <v/>
          </cell>
          <cell r="Y2115" t="str">
            <v/>
          </cell>
          <cell r="Z2115" t="str">
            <v/>
          </cell>
          <cell r="AA2115" t="str">
            <v/>
          </cell>
          <cell r="AB2115" t="str">
            <v>⑧</v>
          </cell>
          <cell r="AC2115" t="str">
            <v/>
          </cell>
          <cell r="AD2115" t="str">
            <v/>
          </cell>
          <cell r="AE2115" t="str">
            <v/>
          </cell>
          <cell r="AF2115" t="str">
            <v/>
          </cell>
          <cell r="AG2115" t="str">
            <v/>
          </cell>
          <cell r="AH2115" t="str">
            <v>②</v>
          </cell>
          <cell r="AI2115" t="str">
            <v/>
          </cell>
        </row>
        <row r="2116">
          <cell r="B2116">
            <v>12206</v>
          </cell>
          <cell r="C2116">
            <v>122</v>
          </cell>
          <cell r="D2116">
            <v>6</v>
          </cell>
          <cell r="F2116" t="str">
            <v>西日本</v>
          </cell>
          <cell r="G2116" t="str">
            <v>煤煙測定</v>
          </cell>
          <cell r="H2116" t="str">
            <v>メンテック</v>
          </cell>
          <cell r="I2116">
            <v>270000</v>
          </cell>
          <cell r="J2116">
            <v>313875</v>
          </cell>
          <cell r="K2116">
            <v>2</v>
          </cell>
          <cell r="L2116">
            <v>0</v>
          </cell>
          <cell r="M2116">
            <v>0</v>
          </cell>
          <cell r="N2116">
            <v>313875</v>
          </cell>
          <cell r="O2116">
            <v>0</v>
          </cell>
          <cell r="P2116">
            <v>0</v>
          </cell>
          <cell r="Q2116">
            <v>0</v>
          </cell>
          <cell r="R2116">
            <v>0</v>
          </cell>
          <cell r="S2116">
            <v>313875</v>
          </cell>
          <cell r="T2116">
            <v>0</v>
          </cell>
          <cell r="U2116">
            <v>0</v>
          </cell>
          <cell r="V2116">
            <v>0</v>
          </cell>
          <cell r="W2116">
            <v>0</v>
          </cell>
          <cell r="X2116" t="str">
            <v/>
          </cell>
          <cell r="Y2116" t="str">
            <v/>
          </cell>
          <cell r="Z2116" t="str">
            <v>⑥</v>
          </cell>
          <cell r="AA2116" t="str">
            <v/>
          </cell>
          <cell r="AB2116" t="str">
            <v/>
          </cell>
          <cell r="AC2116" t="str">
            <v/>
          </cell>
          <cell r="AE2116" t="str">
            <v>⑪</v>
          </cell>
          <cell r="AF2116" t="str">
            <v/>
          </cell>
          <cell r="AG2116" t="str">
            <v/>
          </cell>
          <cell r="AH2116" t="str">
            <v/>
          </cell>
          <cell r="AI2116" t="str">
            <v/>
          </cell>
          <cell r="AJ2116" t="str">
            <v>変</v>
          </cell>
        </row>
        <row r="2117">
          <cell r="B2117">
            <v>12207</v>
          </cell>
          <cell r="C2117">
            <v>122</v>
          </cell>
          <cell r="D2117">
            <v>7</v>
          </cell>
          <cell r="F2117" t="str">
            <v>西日本</v>
          </cell>
          <cell r="G2117" t="str">
            <v>受水槽清掃</v>
          </cell>
          <cell r="H2117" t="str">
            <v>ジャパンメンテナンス</v>
          </cell>
          <cell r="I2117">
            <v>95000</v>
          </cell>
          <cell r="J2117">
            <v>107350</v>
          </cell>
          <cell r="K2117">
            <v>1</v>
          </cell>
          <cell r="L2117">
            <v>0</v>
          </cell>
          <cell r="M2117">
            <v>0</v>
          </cell>
          <cell r="N2117">
            <v>0</v>
          </cell>
          <cell r="O2117">
            <v>0</v>
          </cell>
          <cell r="P2117">
            <v>0</v>
          </cell>
          <cell r="Q2117">
            <v>0</v>
          </cell>
          <cell r="R2117">
            <v>0</v>
          </cell>
          <cell r="S2117">
            <v>0</v>
          </cell>
          <cell r="T2117">
            <v>107350</v>
          </cell>
          <cell r="U2117">
            <v>0</v>
          </cell>
          <cell r="V2117">
            <v>0</v>
          </cell>
          <cell r="W2117">
            <v>0</v>
          </cell>
          <cell r="X2117" t="str">
            <v/>
          </cell>
          <cell r="Y2117" t="str">
            <v/>
          </cell>
          <cell r="Z2117" t="str">
            <v/>
          </cell>
          <cell r="AA2117" t="str">
            <v/>
          </cell>
          <cell r="AB2117" t="str">
            <v/>
          </cell>
          <cell r="AC2117" t="str">
            <v/>
          </cell>
          <cell r="AD2117" t="str">
            <v/>
          </cell>
          <cell r="AE2117" t="str">
            <v/>
          </cell>
          <cell r="AF2117" t="str">
            <v>⑫</v>
          </cell>
          <cell r="AG2117" t="str">
            <v/>
          </cell>
          <cell r="AH2117" t="str">
            <v/>
          </cell>
          <cell r="AI2117" t="str">
            <v/>
          </cell>
        </row>
        <row r="2118">
          <cell r="B2118">
            <v>12208</v>
          </cell>
          <cell r="C2118">
            <v>122</v>
          </cell>
          <cell r="D2118">
            <v>8</v>
          </cell>
          <cell r="F2118" t="str">
            <v>西日本</v>
          </cell>
          <cell r="G2118" t="str">
            <v>冷温水発生機設備保守</v>
          </cell>
          <cell r="H2118" t="str">
            <v>三洋電機空調システム</v>
          </cell>
          <cell r="I2118">
            <v>285000</v>
          </cell>
          <cell r="J2118">
            <v>292500</v>
          </cell>
          <cell r="K2118">
            <v>4</v>
          </cell>
          <cell r="L2118">
            <v>0</v>
          </cell>
          <cell r="M2118">
            <v>0</v>
          </cell>
          <cell r="N2118">
            <v>292500</v>
          </cell>
          <cell r="O2118">
            <v>0</v>
          </cell>
          <cell r="P2118">
            <v>292500</v>
          </cell>
          <cell r="Q2118">
            <v>0</v>
          </cell>
          <cell r="R2118">
            <v>0</v>
          </cell>
          <cell r="S2118">
            <v>292500</v>
          </cell>
          <cell r="T2118">
            <v>0</v>
          </cell>
          <cell r="U2118">
            <v>0</v>
          </cell>
          <cell r="V2118">
            <v>292500</v>
          </cell>
          <cell r="W2118">
            <v>0</v>
          </cell>
          <cell r="X2118" t="str">
            <v/>
          </cell>
          <cell r="Y2118" t="str">
            <v/>
          </cell>
          <cell r="Z2118" t="str">
            <v>⑥</v>
          </cell>
          <cell r="AA2118" t="str">
            <v/>
          </cell>
          <cell r="AB2118" t="str">
            <v>⑧</v>
          </cell>
          <cell r="AD2118" t="str">
            <v/>
          </cell>
          <cell r="AE2118" t="str">
            <v>⑪</v>
          </cell>
          <cell r="AG2118" t="str">
            <v/>
          </cell>
          <cell r="AH2118" t="str">
            <v>②</v>
          </cell>
          <cell r="AJ2118" t="str">
            <v>変</v>
          </cell>
        </row>
        <row r="2119">
          <cell r="B2119">
            <v>12209</v>
          </cell>
          <cell r="C2119">
            <v>122</v>
          </cell>
          <cell r="D2119">
            <v>9</v>
          </cell>
          <cell r="F2119" t="str">
            <v>西日本</v>
          </cell>
          <cell r="G2119" t="str">
            <v>水道水加圧ポンプ点検保守</v>
          </cell>
          <cell r="H2119" t="str">
            <v>関西テック</v>
          </cell>
          <cell r="I2119">
            <v>47500</v>
          </cell>
          <cell r="J2119">
            <v>48450</v>
          </cell>
          <cell r="K2119">
            <v>4</v>
          </cell>
          <cell r="L2119">
            <v>0</v>
          </cell>
          <cell r="M2119">
            <v>48450</v>
          </cell>
          <cell r="N2119">
            <v>0</v>
          </cell>
          <cell r="O2119">
            <v>0</v>
          </cell>
          <cell r="P2119">
            <v>48450</v>
          </cell>
          <cell r="Q2119">
            <v>0</v>
          </cell>
          <cell r="R2119">
            <v>0</v>
          </cell>
          <cell r="S2119">
            <v>48450</v>
          </cell>
          <cell r="T2119">
            <v>0</v>
          </cell>
          <cell r="U2119">
            <v>0</v>
          </cell>
          <cell r="V2119">
            <v>48450</v>
          </cell>
          <cell r="W2119">
            <v>0</v>
          </cell>
          <cell r="X2119" t="str">
            <v/>
          </cell>
          <cell r="Y2119" t="str">
            <v>⑤</v>
          </cell>
          <cell r="Z2119" t="str">
            <v/>
          </cell>
          <cell r="AA2119" t="str">
            <v/>
          </cell>
          <cell r="AB2119" t="str">
            <v>⑧</v>
          </cell>
          <cell r="AC2119" t="str">
            <v/>
          </cell>
          <cell r="AD2119" t="str">
            <v/>
          </cell>
          <cell r="AE2119" t="str">
            <v>⑪</v>
          </cell>
          <cell r="AF2119" t="str">
            <v/>
          </cell>
          <cell r="AG2119" t="str">
            <v/>
          </cell>
          <cell r="AH2119" t="str">
            <v>②</v>
          </cell>
          <cell r="AI2119" t="str">
            <v/>
          </cell>
        </row>
        <row r="2120">
          <cell r="B2120">
            <v>12210</v>
          </cell>
          <cell r="C2120">
            <v>122</v>
          </cell>
          <cell r="D2120">
            <v>10</v>
          </cell>
          <cell r="F2120" t="str">
            <v>西日本</v>
          </cell>
          <cell r="G2120" t="str">
            <v>給茶機清掃点検保守</v>
          </cell>
          <cell r="H2120" t="str">
            <v>ホシザキ京阪</v>
          </cell>
          <cell r="I2120">
            <v>60000</v>
          </cell>
          <cell r="J2120">
            <v>61200</v>
          </cell>
          <cell r="K2120">
            <v>1</v>
          </cell>
          <cell r="L2120">
            <v>0</v>
          </cell>
          <cell r="M2120">
            <v>0</v>
          </cell>
          <cell r="N2120">
            <v>61200</v>
          </cell>
          <cell r="O2120">
            <v>0</v>
          </cell>
          <cell r="P2120">
            <v>0</v>
          </cell>
          <cell r="Q2120">
            <v>0</v>
          </cell>
          <cell r="R2120">
            <v>0</v>
          </cell>
          <cell r="S2120">
            <v>0</v>
          </cell>
          <cell r="T2120">
            <v>0</v>
          </cell>
          <cell r="U2120">
            <v>0</v>
          </cell>
          <cell r="V2120">
            <v>0</v>
          </cell>
          <cell r="W2120">
            <v>0</v>
          </cell>
          <cell r="X2120" t="str">
            <v/>
          </cell>
          <cell r="Y2120" t="str">
            <v/>
          </cell>
          <cell r="Z2120" t="str">
            <v>⑥</v>
          </cell>
          <cell r="AA2120" t="str">
            <v/>
          </cell>
          <cell r="AB2120" t="str">
            <v/>
          </cell>
          <cell r="AC2120" t="str">
            <v/>
          </cell>
          <cell r="AD2120" t="str">
            <v/>
          </cell>
          <cell r="AE2120" t="str">
            <v/>
          </cell>
          <cell r="AF2120" t="str">
            <v/>
          </cell>
          <cell r="AG2120" t="str">
            <v/>
          </cell>
          <cell r="AH2120" t="str">
            <v/>
          </cell>
          <cell r="AI2120" t="str">
            <v/>
          </cell>
        </row>
        <row r="2121">
          <cell r="B2121">
            <v>12211</v>
          </cell>
          <cell r="C2121">
            <v>122</v>
          </cell>
          <cell r="D2121">
            <v>11</v>
          </cell>
          <cell r="F2121" t="str">
            <v>西日本</v>
          </cell>
          <cell r="G2121" t="str">
            <v>植栽管理</v>
          </cell>
          <cell r="H2121" t="str">
            <v>まちづくりシステム</v>
          </cell>
          <cell r="I2121">
            <v>1317000</v>
          </cell>
          <cell r="J2121">
            <v>1380300</v>
          </cell>
          <cell r="K2121">
            <v>12</v>
          </cell>
          <cell r="L2121">
            <v>1380300</v>
          </cell>
          <cell r="M2121">
            <v>1380300</v>
          </cell>
          <cell r="N2121">
            <v>1380300</v>
          </cell>
          <cell r="O2121">
            <v>1380300</v>
          </cell>
          <cell r="P2121">
            <v>1380300</v>
          </cell>
          <cell r="Q2121">
            <v>1380300</v>
          </cell>
          <cell r="R2121">
            <v>1380300</v>
          </cell>
          <cell r="S2121">
            <v>1380300</v>
          </cell>
          <cell r="T2121">
            <v>1380300</v>
          </cell>
          <cell r="U2121">
            <v>1380300</v>
          </cell>
          <cell r="V2121">
            <v>1380300</v>
          </cell>
          <cell r="W2121">
            <v>1380300</v>
          </cell>
          <cell r="X2121" t="str">
            <v>④</v>
          </cell>
          <cell r="Y2121" t="str">
            <v>⑤</v>
          </cell>
          <cell r="Z2121" t="str">
            <v>⑥</v>
          </cell>
          <cell r="AA2121" t="str">
            <v>⑦</v>
          </cell>
          <cell r="AB2121" t="str">
            <v>⑧</v>
          </cell>
          <cell r="AC2121" t="str">
            <v>⑨</v>
          </cell>
          <cell r="AD2121" t="str">
            <v>⑩</v>
          </cell>
          <cell r="AE2121" t="str">
            <v>⑪</v>
          </cell>
          <cell r="AF2121" t="str">
            <v>⑫</v>
          </cell>
          <cell r="AG2121" t="str">
            <v>①</v>
          </cell>
          <cell r="AH2121" t="str">
            <v>②</v>
          </cell>
          <cell r="AI2121" t="str">
            <v>③</v>
          </cell>
          <cell r="AJ2121" t="str">
            <v>変</v>
          </cell>
        </row>
        <row r="2122">
          <cell r="B2122">
            <v>12212</v>
          </cell>
          <cell r="C2122">
            <v>122</v>
          </cell>
          <cell r="D2122">
            <v>12</v>
          </cell>
          <cell r="F2122" t="str">
            <v>西日本</v>
          </cell>
          <cell r="G2122" t="str">
            <v>空調機フィルタ－清掃作業</v>
          </cell>
          <cell r="H2122" t="str">
            <v>大阪東管サービス</v>
          </cell>
          <cell r="I2122">
            <v>161800</v>
          </cell>
          <cell r="J2122">
            <v>186070</v>
          </cell>
          <cell r="K2122">
            <v>2</v>
          </cell>
          <cell r="L2122">
            <v>0</v>
          </cell>
          <cell r="M2122">
            <v>186070</v>
          </cell>
          <cell r="N2122">
            <v>0</v>
          </cell>
          <cell r="O2122">
            <v>0</v>
          </cell>
          <cell r="P2122">
            <v>0</v>
          </cell>
          <cell r="Q2122">
            <v>0</v>
          </cell>
          <cell r="R2122">
            <v>0</v>
          </cell>
          <cell r="S2122">
            <v>0</v>
          </cell>
          <cell r="T2122">
            <v>186070</v>
          </cell>
          <cell r="U2122">
            <v>0</v>
          </cell>
          <cell r="V2122">
            <v>0</v>
          </cell>
          <cell r="W2122">
            <v>0</v>
          </cell>
          <cell r="X2122" t="str">
            <v/>
          </cell>
          <cell r="Y2122" t="str">
            <v>⑤</v>
          </cell>
          <cell r="Z2122" t="str">
            <v/>
          </cell>
          <cell r="AA2122" t="str">
            <v/>
          </cell>
          <cell r="AB2122" t="str">
            <v/>
          </cell>
          <cell r="AD2122" t="str">
            <v/>
          </cell>
          <cell r="AE2122" t="str">
            <v/>
          </cell>
          <cell r="AF2122" t="str">
            <v>⑫</v>
          </cell>
          <cell r="AG2122" t="str">
            <v/>
          </cell>
          <cell r="AH2122" t="str">
            <v/>
          </cell>
          <cell r="AI2122" t="str">
            <v/>
          </cell>
          <cell r="AJ2122" t="str">
            <v>追</v>
          </cell>
        </row>
        <row r="2123">
          <cell r="B2123">
            <v>12301</v>
          </cell>
          <cell r="C2123">
            <v>123</v>
          </cell>
          <cell r="D2123">
            <v>1</v>
          </cell>
          <cell r="F2123" t="str">
            <v>阿蘇</v>
          </cell>
          <cell r="G2123" t="str">
            <v>エレベーター保守</v>
          </cell>
          <cell r="H2123" t="str">
            <v>三菱電機ﾋﾞﾙﾃｸﾉｻｰﾋﾞｽ</v>
          </cell>
          <cell r="I2123">
            <v>141410</v>
          </cell>
          <cell r="J2123">
            <v>144238</v>
          </cell>
          <cell r="K2123">
            <v>12</v>
          </cell>
          <cell r="L2123">
            <v>144238</v>
          </cell>
          <cell r="M2123">
            <v>144238</v>
          </cell>
          <cell r="N2123">
            <v>144238</v>
          </cell>
          <cell r="O2123">
            <v>144238</v>
          </cell>
          <cell r="P2123">
            <v>144238</v>
          </cell>
          <cell r="Q2123">
            <v>144238</v>
          </cell>
          <cell r="R2123">
            <v>144238</v>
          </cell>
          <cell r="S2123">
            <v>144238</v>
          </cell>
          <cell r="T2123">
            <v>144238</v>
          </cell>
          <cell r="U2123">
            <v>144238</v>
          </cell>
          <cell r="V2123">
            <v>144238</v>
          </cell>
          <cell r="W2123">
            <v>144238</v>
          </cell>
          <cell r="X2123" t="str">
            <v>④</v>
          </cell>
          <cell r="Y2123" t="str">
            <v>⑤</v>
          </cell>
          <cell r="Z2123" t="str">
            <v>⑥</v>
          </cell>
          <cell r="AA2123" t="str">
            <v>⑦</v>
          </cell>
          <cell r="AB2123" t="str">
            <v>⑧</v>
          </cell>
          <cell r="AC2123" t="str">
            <v>⑨</v>
          </cell>
          <cell r="AD2123" t="str">
            <v>⑩</v>
          </cell>
          <cell r="AE2123" t="str">
            <v>⑪</v>
          </cell>
          <cell r="AF2123" t="str">
            <v>⑫</v>
          </cell>
          <cell r="AG2123" t="str">
            <v>①</v>
          </cell>
          <cell r="AH2123" t="str">
            <v>②</v>
          </cell>
          <cell r="AI2123" t="str">
            <v>③</v>
          </cell>
        </row>
        <row r="2124">
          <cell r="B2124">
            <v>12302</v>
          </cell>
          <cell r="C2124">
            <v>123</v>
          </cell>
          <cell r="D2124">
            <v>2</v>
          </cell>
          <cell r="F2124" t="str">
            <v>阿蘇</v>
          </cell>
          <cell r="G2124" t="str">
            <v>消防設備点検保守(外観)</v>
          </cell>
          <cell r="H2124" t="str">
            <v>能美防災</v>
          </cell>
          <cell r="I2124">
            <v>540000</v>
          </cell>
          <cell r="J2124">
            <v>597085</v>
          </cell>
          <cell r="K2124">
            <v>1</v>
          </cell>
          <cell r="L2124">
            <v>0</v>
          </cell>
          <cell r="M2124">
            <v>0</v>
          </cell>
          <cell r="N2124">
            <v>597085</v>
          </cell>
          <cell r="O2124">
            <v>0</v>
          </cell>
          <cell r="P2124">
            <v>0</v>
          </cell>
          <cell r="Q2124">
            <v>0</v>
          </cell>
          <cell r="R2124">
            <v>0</v>
          </cell>
          <cell r="S2124">
            <v>0</v>
          </cell>
          <cell r="T2124">
            <v>0</v>
          </cell>
          <cell r="U2124">
            <v>0</v>
          </cell>
          <cell r="V2124">
            <v>0</v>
          </cell>
          <cell r="W2124">
            <v>0</v>
          </cell>
          <cell r="X2124" t="str">
            <v/>
          </cell>
          <cell r="Y2124" t="str">
            <v/>
          </cell>
          <cell r="Z2124" t="str">
            <v>⑥</v>
          </cell>
          <cell r="AA2124" t="str">
            <v/>
          </cell>
          <cell r="AB2124" t="str">
            <v/>
          </cell>
          <cell r="AC2124" t="str">
            <v/>
          </cell>
          <cell r="AD2124" t="str">
            <v/>
          </cell>
          <cell r="AE2124" t="str">
            <v/>
          </cell>
          <cell r="AF2124" t="str">
            <v/>
          </cell>
          <cell r="AG2124" t="str">
            <v/>
          </cell>
          <cell r="AH2124" t="str">
            <v/>
          </cell>
          <cell r="AI2124" t="str">
            <v/>
          </cell>
        </row>
        <row r="2125">
          <cell r="B2125">
            <v>12303</v>
          </cell>
          <cell r="C2125">
            <v>123</v>
          </cell>
          <cell r="D2125">
            <v>3</v>
          </cell>
          <cell r="F2125" t="str">
            <v>阿蘇</v>
          </cell>
          <cell r="G2125" t="str">
            <v>消防設備点検保守(総合)</v>
          </cell>
          <cell r="H2125" t="str">
            <v>能美防災</v>
          </cell>
          <cell r="I2125">
            <v>820000</v>
          </cell>
          <cell r="J2125">
            <v>906685</v>
          </cell>
          <cell r="K2125">
            <v>1</v>
          </cell>
          <cell r="L2125">
            <v>0</v>
          </cell>
          <cell r="M2125">
            <v>0</v>
          </cell>
          <cell r="N2125">
            <v>0</v>
          </cell>
          <cell r="O2125">
            <v>0</v>
          </cell>
          <cell r="P2125">
            <v>0</v>
          </cell>
          <cell r="Q2125">
            <v>0</v>
          </cell>
          <cell r="R2125">
            <v>0</v>
          </cell>
          <cell r="S2125">
            <v>906685</v>
          </cell>
          <cell r="T2125">
            <v>0</v>
          </cell>
          <cell r="U2125">
            <v>0</v>
          </cell>
          <cell r="V2125">
            <v>0</v>
          </cell>
          <cell r="W2125">
            <v>0</v>
          </cell>
          <cell r="X2125" t="str">
            <v/>
          </cell>
          <cell r="Y2125" t="str">
            <v/>
          </cell>
          <cell r="Z2125" t="str">
            <v/>
          </cell>
          <cell r="AA2125" t="str">
            <v/>
          </cell>
          <cell r="AB2125" t="str">
            <v/>
          </cell>
          <cell r="AC2125" t="str">
            <v/>
          </cell>
          <cell r="AD2125" t="str">
            <v/>
          </cell>
          <cell r="AE2125" t="str">
            <v>⑪</v>
          </cell>
          <cell r="AF2125" t="str">
            <v/>
          </cell>
          <cell r="AG2125" t="str">
            <v/>
          </cell>
          <cell r="AH2125" t="str">
            <v/>
          </cell>
          <cell r="AI2125" t="str">
            <v/>
          </cell>
        </row>
        <row r="2126">
          <cell r="B2126">
            <v>12304</v>
          </cell>
          <cell r="C2126">
            <v>123</v>
          </cell>
          <cell r="D2126">
            <v>4</v>
          </cell>
          <cell r="F2126" t="str">
            <v>阿蘇</v>
          </cell>
          <cell r="G2126" t="str">
            <v>井水処理設備保守</v>
          </cell>
          <cell r="H2126" t="str">
            <v>ダイダン</v>
          </cell>
          <cell r="I2126">
            <v>595000</v>
          </cell>
          <cell r="J2126">
            <v>637500</v>
          </cell>
          <cell r="K2126">
            <v>1</v>
          </cell>
          <cell r="L2126">
            <v>0</v>
          </cell>
          <cell r="M2126">
            <v>0</v>
          </cell>
          <cell r="N2126">
            <v>0</v>
          </cell>
          <cell r="O2126">
            <v>0</v>
          </cell>
          <cell r="P2126">
            <v>0</v>
          </cell>
          <cell r="Q2126">
            <v>0</v>
          </cell>
          <cell r="R2126">
            <v>0</v>
          </cell>
          <cell r="S2126">
            <v>0</v>
          </cell>
          <cell r="T2126">
            <v>0</v>
          </cell>
          <cell r="U2126">
            <v>0</v>
          </cell>
          <cell r="V2126">
            <v>0</v>
          </cell>
          <cell r="W2126">
            <v>637500</v>
          </cell>
          <cell r="X2126" t="str">
            <v/>
          </cell>
          <cell r="Y2126" t="str">
            <v/>
          </cell>
          <cell r="Z2126" t="str">
            <v/>
          </cell>
          <cell r="AA2126" t="str">
            <v/>
          </cell>
          <cell r="AB2126" t="str">
            <v/>
          </cell>
          <cell r="AC2126" t="str">
            <v/>
          </cell>
          <cell r="AD2126" t="str">
            <v/>
          </cell>
          <cell r="AE2126" t="str">
            <v/>
          </cell>
          <cell r="AF2126" t="str">
            <v/>
          </cell>
          <cell r="AG2126" t="str">
            <v/>
          </cell>
          <cell r="AH2126" t="str">
            <v/>
          </cell>
          <cell r="AI2126" t="str">
            <v>③</v>
          </cell>
        </row>
        <row r="2127">
          <cell r="B2127">
            <v>12305</v>
          </cell>
          <cell r="C2127">
            <v>123</v>
          </cell>
          <cell r="D2127">
            <v>5</v>
          </cell>
          <cell r="F2127" t="str">
            <v>阿蘇</v>
          </cell>
          <cell r="G2127" t="str">
            <v>浄化槽設備保守</v>
          </cell>
          <cell r="H2127" t="str">
            <v>上村商会</v>
          </cell>
          <cell r="I2127">
            <v>43500</v>
          </cell>
          <cell r="J2127">
            <v>44370</v>
          </cell>
          <cell r="K2127">
            <v>12</v>
          </cell>
          <cell r="L2127">
            <v>44370</v>
          </cell>
          <cell r="M2127">
            <v>44370</v>
          </cell>
          <cell r="N2127">
            <v>44370</v>
          </cell>
          <cell r="O2127">
            <v>44370</v>
          </cell>
          <cell r="P2127">
            <v>44370</v>
          </cell>
          <cell r="Q2127">
            <v>44370</v>
          </cell>
          <cell r="R2127">
            <v>44370</v>
          </cell>
          <cell r="S2127">
            <v>44370</v>
          </cell>
          <cell r="T2127">
            <v>44370</v>
          </cell>
          <cell r="U2127">
            <v>44370</v>
          </cell>
          <cell r="V2127">
            <v>44370</v>
          </cell>
          <cell r="W2127">
            <v>44370</v>
          </cell>
          <cell r="X2127" t="str">
            <v>④</v>
          </cell>
          <cell r="Y2127" t="str">
            <v>⑤</v>
          </cell>
          <cell r="Z2127" t="str">
            <v>⑥</v>
          </cell>
          <cell r="AA2127" t="str">
            <v>⑦</v>
          </cell>
          <cell r="AB2127" t="str">
            <v>⑧</v>
          </cell>
          <cell r="AC2127" t="str">
            <v>⑨</v>
          </cell>
          <cell r="AD2127" t="str">
            <v>⑩</v>
          </cell>
          <cell r="AE2127" t="str">
            <v>⑪</v>
          </cell>
          <cell r="AF2127" t="str">
            <v>⑫</v>
          </cell>
          <cell r="AG2127" t="str">
            <v>①</v>
          </cell>
          <cell r="AH2127" t="str">
            <v>②</v>
          </cell>
          <cell r="AI2127" t="str">
            <v>③</v>
          </cell>
        </row>
        <row r="2128">
          <cell r="B2128">
            <v>12306</v>
          </cell>
          <cell r="C2128">
            <v>123</v>
          </cell>
          <cell r="D2128">
            <v>6</v>
          </cell>
          <cell r="F2128" t="str">
            <v>阿蘇</v>
          </cell>
          <cell r="G2128" t="str">
            <v>害虫駆除</v>
          </cell>
          <cell r="H2128" t="str">
            <v>ファビルス</v>
          </cell>
          <cell r="I2128">
            <v>165000</v>
          </cell>
          <cell r="J2128">
            <v>181500</v>
          </cell>
          <cell r="K2128">
            <v>2</v>
          </cell>
          <cell r="L2128">
            <v>0</v>
          </cell>
          <cell r="M2128">
            <v>0</v>
          </cell>
          <cell r="N2128">
            <v>0</v>
          </cell>
          <cell r="O2128">
            <v>0</v>
          </cell>
          <cell r="P2128">
            <v>181500</v>
          </cell>
          <cell r="Q2128">
            <v>0</v>
          </cell>
          <cell r="R2128">
            <v>0</v>
          </cell>
          <cell r="S2128">
            <v>0</v>
          </cell>
          <cell r="T2128">
            <v>0</v>
          </cell>
          <cell r="U2128">
            <v>0</v>
          </cell>
          <cell r="V2128">
            <v>181500</v>
          </cell>
          <cell r="W2128">
            <v>0</v>
          </cell>
          <cell r="X2128" t="str">
            <v/>
          </cell>
          <cell r="Y2128" t="str">
            <v/>
          </cell>
          <cell r="Z2128" t="str">
            <v/>
          </cell>
          <cell r="AA2128" t="str">
            <v/>
          </cell>
          <cell r="AB2128" t="str">
            <v>⑧</v>
          </cell>
          <cell r="AC2128" t="str">
            <v/>
          </cell>
          <cell r="AD2128" t="str">
            <v/>
          </cell>
          <cell r="AE2128" t="str">
            <v/>
          </cell>
          <cell r="AF2128" t="str">
            <v/>
          </cell>
          <cell r="AG2128" t="str">
            <v/>
          </cell>
          <cell r="AH2128" t="str">
            <v>②</v>
          </cell>
          <cell r="AI2128" t="str">
            <v/>
          </cell>
        </row>
        <row r="2129">
          <cell r="B2129">
            <v>12307</v>
          </cell>
          <cell r="C2129">
            <v>123</v>
          </cell>
          <cell r="D2129">
            <v>7</v>
          </cell>
          <cell r="F2129" t="str">
            <v>阿蘇</v>
          </cell>
          <cell r="G2129" t="str">
            <v>煤煙測定</v>
          </cell>
          <cell r="H2129" t="str">
            <v>ファビルス</v>
          </cell>
          <cell r="I2129">
            <v>110000</v>
          </cell>
          <cell r="J2129">
            <v>126500</v>
          </cell>
          <cell r="K2129">
            <v>2</v>
          </cell>
          <cell r="L2129">
            <v>0</v>
          </cell>
          <cell r="M2129">
            <v>0</v>
          </cell>
          <cell r="N2129">
            <v>0</v>
          </cell>
          <cell r="O2129">
            <v>0</v>
          </cell>
          <cell r="P2129">
            <v>126500</v>
          </cell>
          <cell r="Q2129">
            <v>0</v>
          </cell>
          <cell r="R2129">
            <v>0</v>
          </cell>
          <cell r="S2129">
            <v>0</v>
          </cell>
          <cell r="T2129">
            <v>0</v>
          </cell>
          <cell r="U2129">
            <v>0</v>
          </cell>
          <cell r="V2129">
            <v>126500</v>
          </cell>
          <cell r="W2129">
            <v>0</v>
          </cell>
          <cell r="X2129" t="str">
            <v/>
          </cell>
          <cell r="Y2129" t="str">
            <v/>
          </cell>
          <cell r="Z2129" t="str">
            <v/>
          </cell>
          <cell r="AA2129" t="str">
            <v/>
          </cell>
          <cell r="AB2129" t="str">
            <v>⑧</v>
          </cell>
          <cell r="AC2129" t="str">
            <v/>
          </cell>
          <cell r="AD2129" t="str">
            <v/>
          </cell>
          <cell r="AE2129" t="str">
            <v/>
          </cell>
          <cell r="AF2129" t="str">
            <v/>
          </cell>
          <cell r="AG2129" t="str">
            <v/>
          </cell>
          <cell r="AH2129" t="str">
            <v>②</v>
          </cell>
          <cell r="AI2129" t="str">
            <v/>
          </cell>
        </row>
        <row r="2130">
          <cell r="B2130">
            <v>12308</v>
          </cell>
          <cell r="C2130">
            <v>123</v>
          </cell>
          <cell r="D2130">
            <v>8</v>
          </cell>
          <cell r="F2130" t="str">
            <v>阿蘇</v>
          </cell>
          <cell r="G2130" t="str">
            <v>受水槽清掃</v>
          </cell>
          <cell r="H2130" t="str">
            <v>ファビルス</v>
          </cell>
          <cell r="I2130">
            <v>85000</v>
          </cell>
          <cell r="J2130">
            <v>96050</v>
          </cell>
          <cell r="K2130">
            <v>1</v>
          </cell>
          <cell r="L2130">
            <v>0</v>
          </cell>
          <cell r="M2130">
            <v>0</v>
          </cell>
          <cell r="N2130">
            <v>0</v>
          </cell>
          <cell r="O2130">
            <v>0</v>
          </cell>
          <cell r="P2130">
            <v>0</v>
          </cell>
          <cell r="Q2130">
            <v>0</v>
          </cell>
          <cell r="R2130">
            <v>0</v>
          </cell>
          <cell r="S2130">
            <v>0</v>
          </cell>
          <cell r="T2130">
            <v>0</v>
          </cell>
          <cell r="U2130">
            <v>0</v>
          </cell>
          <cell r="V2130">
            <v>96050</v>
          </cell>
          <cell r="W2130">
            <v>0</v>
          </cell>
          <cell r="X2130" t="str">
            <v/>
          </cell>
          <cell r="Y2130" t="str">
            <v/>
          </cell>
          <cell r="Z2130" t="str">
            <v/>
          </cell>
          <cell r="AA2130" t="str">
            <v/>
          </cell>
          <cell r="AB2130" t="str">
            <v/>
          </cell>
          <cell r="AC2130" t="str">
            <v/>
          </cell>
          <cell r="AD2130" t="str">
            <v/>
          </cell>
          <cell r="AE2130" t="str">
            <v/>
          </cell>
          <cell r="AF2130" t="str">
            <v/>
          </cell>
          <cell r="AG2130" t="str">
            <v/>
          </cell>
          <cell r="AH2130" t="str">
            <v>②</v>
          </cell>
          <cell r="AI2130" t="str">
            <v/>
          </cell>
        </row>
        <row r="2131">
          <cell r="B2131">
            <v>12309</v>
          </cell>
          <cell r="C2131">
            <v>123</v>
          </cell>
          <cell r="D2131">
            <v>9</v>
          </cell>
          <cell r="F2131" t="str">
            <v>阿蘇</v>
          </cell>
          <cell r="G2131" t="str">
            <v>浄化槽点検</v>
          </cell>
          <cell r="H2131" t="str">
            <v>熊本県浄化槽協会</v>
          </cell>
          <cell r="I2131">
            <v>15000</v>
          </cell>
          <cell r="J2131">
            <v>16800</v>
          </cell>
          <cell r="K2131">
            <v>1</v>
          </cell>
          <cell r="L2131">
            <v>0</v>
          </cell>
          <cell r="M2131">
            <v>0</v>
          </cell>
          <cell r="N2131">
            <v>0</v>
          </cell>
          <cell r="O2131">
            <v>0</v>
          </cell>
          <cell r="P2131">
            <v>0</v>
          </cell>
          <cell r="Q2131">
            <v>0</v>
          </cell>
          <cell r="R2131">
            <v>0</v>
          </cell>
          <cell r="S2131">
            <v>0</v>
          </cell>
          <cell r="T2131">
            <v>16800</v>
          </cell>
          <cell r="U2131">
            <v>0</v>
          </cell>
          <cell r="V2131">
            <v>0</v>
          </cell>
          <cell r="W2131">
            <v>0</v>
          </cell>
          <cell r="X2131" t="str">
            <v/>
          </cell>
          <cell r="Y2131" t="str">
            <v/>
          </cell>
          <cell r="Z2131" t="str">
            <v/>
          </cell>
          <cell r="AA2131" t="str">
            <v/>
          </cell>
          <cell r="AB2131" t="str">
            <v/>
          </cell>
          <cell r="AC2131" t="str">
            <v/>
          </cell>
          <cell r="AD2131" t="str">
            <v/>
          </cell>
          <cell r="AE2131" t="str">
            <v/>
          </cell>
          <cell r="AF2131" t="str">
            <v>⑫</v>
          </cell>
          <cell r="AG2131" t="str">
            <v/>
          </cell>
          <cell r="AH2131" t="str">
            <v/>
          </cell>
          <cell r="AI2131" t="str">
            <v/>
          </cell>
        </row>
        <row r="2132">
          <cell r="B2132">
            <v>12310</v>
          </cell>
          <cell r="C2132">
            <v>123</v>
          </cell>
          <cell r="D2132">
            <v>10</v>
          </cell>
          <cell r="F2132" t="str">
            <v>阿蘇</v>
          </cell>
          <cell r="G2132" t="str">
            <v>自動ドアー保守</v>
          </cell>
          <cell r="H2132" t="str">
            <v>熊本ナブコ</v>
          </cell>
          <cell r="I2132">
            <v>37500</v>
          </cell>
          <cell r="J2132">
            <v>39750</v>
          </cell>
          <cell r="K2132">
            <v>4</v>
          </cell>
          <cell r="L2132">
            <v>0</v>
          </cell>
          <cell r="M2132">
            <v>0</v>
          </cell>
          <cell r="N2132">
            <v>39750</v>
          </cell>
          <cell r="O2132">
            <v>0</v>
          </cell>
          <cell r="P2132">
            <v>0</v>
          </cell>
          <cell r="Q2132">
            <v>39750</v>
          </cell>
          <cell r="R2132">
            <v>0</v>
          </cell>
          <cell r="S2132">
            <v>0</v>
          </cell>
          <cell r="T2132">
            <v>39750</v>
          </cell>
          <cell r="U2132">
            <v>0</v>
          </cell>
          <cell r="V2132">
            <v>0</v>
          </cell>
          <cell r="W2132">
            <v>39750</v>
          </cell>
          <cell r="X2132" t="str">
            <v/>
          </cell>
          <cell r="Y2132" t="str">
            <v/>
          </cell>
          <cell r="Z2132" t="str">
            <v>⑥</v>
          </cell>
          <cell r="AA2132" t="str">
            <v/>
          </cell>
          <cell r="AB2132" t="str">
            <v/>
          </cell>
          <cell r="AC2132" t="str">
            <v>⑨</v>
          </cell>
          <cell r="AD2132" t="str">
            <v/>
          </cell>
          <cell r="AE2132" t="str">
            <v/>
          </cell>
          <cell r="AF2132" t="str">
            <v>⑫</v>
          </cell>
          <cell r="AG2132" t="str">
            <v/>
          </cell>
          <cell r="AH2132" t="str">
            <v/>
          </cell>
          <cell r="AI2132" t="str">
            <v>③</v>
          </cell>
        </row>
        <row r="2133">
          <cell r="B2133">
            <v>12311</v>
          </cell>
          <cell r="C2133">
            <v>123</v>
          </cell>
          <cell r="D2133">
            <v>11</v>
          </cell>
          <cell r="F2133" t="str">
            <v>阿蘇</v>
          </cell>
          <cell r="G2133" t="str">
            <v>空調･冷温水発生機設備保守</v>
          </cell>
          <cell r="H2133" t="str">
            <v>高砂熱学工業</v>
          </cell>
          <cell r="I2133">
            <v>1140000</v>
          </cell>
          <cell r="J2133">
            <v>1218000</v>
          </cell>
          <cell r="K2133">
            <v>2</v>
          </cell>
          <cell r="L2133">
            <v>0</v>
          </cell>
          <cell r="M2133">
            <v>0</v>
          </cell>
          <cell r="N2133">
            <v>0</v>
          </cell>
          <cell r="O2133">
            <v>0</v>
          </cell>
          <cell r="P2133">
            <v>0</v>
          </cell>
          <cell r="Q2133">
            <v>1218000</v>
          </cell>
          <cell r="R2133">
            <v>0</v>
          </cell>
          <cell r="S2133">
            <v>0</v>
          </cell>
          <cell r="T2133">
            <v>0</v>
          </cell>
          <cell r="U2133">
            <v>0</v>
          </cell>
          <cell r="V2133">
            <v>0</v>
          </cell>
          <cell r="W2133">
            <v>1218000</v>
          </cell>
          <cell r="X2133" t="str">
            <v/>
          </cell>
          <cell r="Y2133" t="str">
            <v/>
          </cell>
          <cell r="Z2133" t="str">
            <v/>
          </cell>
          <cell r="AA2133" t="str">
            <v/>
          </cell>
          <cell r="AB2133" t="str">
            <v/>
          </cell>
          <cell r="AC2133" t="str">
            <v>⑨</v>
          </cell>
          <cell r="AD2133" t="str">
            <v/>
          </cell>
          <cell r="AE2133" t="str">
            <v/>
          </cell>
          <cell r="AF2133" t="str">
            <v/>
          </cell>
          <cell r="AG2133" t="str">
            <v/>
          </cell>
          <cell r="AH2133" t="str">
            <v/>
          </cell>
          <cell r="AI2133" t="str">
            <v>③</v>
          </cell>
        </row>
        <row r="2134">
          <cell r="B2134">
            <v>12312</v>
          </cell>
          <cell r="C2134">
            <v>123</v>
          </cell>
          <cell r="D2134">
            <v>12</v>
          </cell>
          <cell r="F2134" t="str">
            <v>阿蘇</v>
          </cell>
          <cell r="G2134" t="str">
            <v>空調機設備保守</v>
          </cell>
          <cell r="H2134" t="str">
            <v>高砂熱学工業</v>
          </cell>
          <cell r="I2134">
            <v>135000</v>
          </cell>
          <cell r="J2134">
            <v>149400</v>
          </cell>
          <cell r="K2134">
            <v>2</v>
          </cell>
          <cell r="L2134">
            <v>0</v>
          </cell>
          <cell r="M2134">
            <v>0</v>
          </cell>
          <cell r="N2134">
            <v>0</v>
          </cell>
          <cell r="O2134">
            <v>0</v>
          </cell>
          <cell r="P2134">
            <v>0</v>
          </cell>
          <cell r="Q2134">
            <v>149400</v>
          </cell>
          <cell r="R2134">
            <v>0</v>
          </cell>
          <cell r="S2134">
            <v>0</v>
          </cell>
          <cell r="T2134">
            <v>0</v>
          </cell>
          <cell r="U2134">
            <v>0</v>
          </cell>
          <cell r="V2134">
            <v>0</v>
          </cell>
          <cell r="W2134">
            <v>149400</v>
          </cell>
          <cell r="X2134" t="str">
            <v/>
          </cell>
          <cell r="Y2134" t="str">
            <v/>
          </cell>
          <cell r="Z2134" t="str">
            <v/>
          </cell>
          <cell r="AA2134" t="str">
            <v/>
          </cell>
          <cell r="AB2134" t="str">
            <v/>
          </cell>
          <cell r="AC2134" t="str">
            <v>⑨</v>
          </cell>
          <cell r="AD2134" t="str">
            <v/>
          </cell>
          <cell r="AE2134" t="str">
            <v/>
          </cell>
          <cell r="AF2134" t="str">
            <v/>
          </cell>
          <cell r="AG2134" t="str">
            <v/>
          </cell>
          <cell r="AH2134" t="str">
            <v/>
          </cell>
          <cell r="AI2134" t="str">
            <v>③</v>
          </cell>
        </row>
        <row r="2135">
          <cell r="B2135">
            <v>12313</v>
          </cell>
          <cell r="C2135">
            <v>123</v>
          </cell>
          <cell r="D2135">
            <v>13</v>
          </cell>
          <cell r="F2135" t="str">
            <v>阿蘇</v>
          </cell>
          <cell r="G2135" t="str">
            <v>自動制御機器設備保守</v>
          </cell>
          <cell r="H2135" t="str">
            <v>千代田計装</v>
          </cell>
          <cell r="I2135">
            <v>105000</v>
          </cell>
          <cell r="J2135">
            <v>112500</v>
          </cell>
          <cell r="K2135">
            <v>12</v>
          </cell>
          <cell r="L2135">
            <v>112500</v>
          </cell>
          <cell r="M2135">
            <v>112500</v>
          </cell>
          <cell r="N2135">
            <v>112500</v>
          </cell>
          <cell r="O2135">
            <v>112500</v>
          </cell>
          <cell r="P2135">
            <v>112500</v>
          </cell>
          <cell r="Q2135">
            <v>112500</v>
          </cell>
          <cell r="R2135">
            <v>112500</v>
          </cell>
          <cell r="S2135">
            <v>112500</v>
          </cell>
          <cell r="T2135">
            <v>112500</v>
          </cell>
          <cell r="U2135">
            <v>112500</v>
          </cell>
          <cell r="V2135">
            <v>112500</v>
          </cell>
          <cell r="W2135">
            <v>112500</v>
          </cell>
          <cell r="X2135" t="str">
            <v>④</v>
          </cell>
          <cell r="Y2135" t="str">
            <v>⑤</v>
          </cell>
          <cell r="Z2135" t="str">
            <v>⑥</v>
          </cell>
          <cell r="AA2135" t="str">
            <v>⑦</v>
          </cell>
          <cell r="AB2135" t="str">
            <v>⑧</v>
          </cell>
          <cell r="AC2135" t="str">
            <v>⑨</v>
          </cell>
          <cell r="AD2135" t="str">
            <v>⑩</v>
          </cell>
          <cell r="AE2135" t="str">
            <v>⑪</v>
          </cell>
          <cell r="AF2135" t="str">
            <v>⑫</v>
          </cell>
          <cell r="AG2135" t="str">
            <v>①</v>
          </cell>
          <cell r="AH2135" t="str">
            <v>②</v>
          </cell>
          <cell r="AI2135" t="str">
            <v>③</v>
          </cell>
        </row>
        <row r="2136">
          <cell r="B2136">
            <v>12314</v>
          </cell>
          <cell r="C2136">
            <v>123</v>
          </cell>
          <cell r="D2136">
            <v>14</v>
          </cell>
          <cell r="F2136" t="str">
            <v>阿蘇</v>
          </cell>
          <cell r="G2136" t="str">
            <v>視聴覚設備保守</v>
          </cell>
          <cell r="H2136" t="str">
            <v>九州松下システム</v>
          </cell>
          <cell r="I2136">
            <v>115500</v>
          </cell>
          <cell r="J2136">
            <v>123750</v>
          </cell>
          <cell r="K2136">
            <v>1</v>
          </cell>
          <cell r="L2136">
            <v>0</v>
          </cell>
          <cell r="M2136">
            <v>0</v>
          </cell>
          <cell r="N2136">
            <v>0</v>
          </cell>
          <cell r="O2136">
            <v>0</v>
          </cell>
          <cell r="P2136">
            <v>0</v>
          </cell>
          <cell r="Q2136">
            <v>0</v>
          </cell>
          <cell r="R2136">
            <v>0</v>
          </cell>
          <cell r="S2136">
            <v>0</v>
          </cell>
          <cell r="T2136">
            <v>0</v>
          </cell>
          <cell r="U2136">
            <v>123750</v>
          </cell>
          <cell r="V2136">
            <v>0</v>
          </cell>
          <cell r="W2136">
            <v>0</v>
          </cell>
          <cell r="X2136" t="str">
            <v/>
          </cell>
          <cell r="Y2136" t="str">
            <v/>
          </cell>
          <cell r="Z2136" t="str">
            <v/>
          </cell>
          <cell r="AA2136" t="str">
            <v/>
          </cell>
          <cell r="AB2136" t="str">
            <v/>
          </cell>
          <cell r="AC2136" t="str">
            <v/>
          </cell>
          <cell r="AD2136" t="str">
            <v/>
          </cell>
          <cell r="AE2136" t="str">
            <v/>
          </cell>
          <cell r="AF2136" t="str">
            <v/>
          </cell>
          <cell r="AG2136" t="str">
            <v>①</v>
          </cell>
          <cell r="AH2136" t="str">
            <v/>
          </cell>
          <cell r="AI2136" t="str">
            <v/>
          </cell>
        </row>
        <row r="2137">
          <cell r="B2137">
            <v>12315</v>
          </cell>
          <cell r="C2137">
            <v>123</v>
          </cell>
          <cell r="D2137">
            <v>15</v>
          </cell>
          <cell r="F2137" t="str">
            <v>阿蘇</v>
          </cell>
          <cell r="G2137" t="str">
            <v>植栽管理</v>
          </cell>
          <cell r="H2137" t="str">
            <v>西部造園</v>
          </cell>
          <cell r="I2137">
            <v>562500</v>
          </cell>
          <cell r="J2137">
            <v>602250</v>
          </cell>
          <cell r="K2137">
            <v>12</v>
          </cell>
          <cell r="L2137">
            <v>602250</v>
          </cell>
          <cell r="M2137">
            <v>602250</v>
          </cell>
          <cell r="N2137">
            <v>602250</v>
          </cell>
          <cell r="O2137">
            <v>602250</v>
          </cell>
          <cell r="P2137">
            <v>602250</v>
          </cell>
          <cell r="Q2137">
            <v>602250</v>
          </cell>
          <cell r="R2137">
            <v>602250</v>
          </cell>
          <cell r="S2137">
            <v>602250</v>
          </cell>
          <cell r="T2137">
            <v>602250</v>
          </cell>
          <cell r="U2137">
            <v>602250</v>
          </cell>
          <cell r="V2137">
            <v>602250</v>
          </cell>
          <cell r="W2137">
            <v>602250</v>
          </cell>
          <cell r="X2137" t="str">
            <v>④</v>
          </cell>
          <cell r="Y2137" t="str">
            <v>⑤</v>
          </cell>
          <cell r="Z2137" t="str">
            <v>⑥</v>
          </cell>
          <cell r="AA2137" t="str">
            <v>⑦</v>
          </cell>
          <cell r="AB2137" t="str">
            <v>⑧</v>
          </cell>
          <cell r="AC2137" t="str">
            <v>⑨</v>
          </cell>
          <cell r="AD2137" t="str">
            <v>⑩</v>
          </cell>
          <cell r="AE2137" t="str">
            <v>⑪</v>
          </cell>
          <cell r="AF2137" t="str">
            <v>⑫</v>
          </cell>
          <cell r="AG2137" t="str">
            <v>①</v>
          </cell>
          <cell r="AH2137" t="str">
            <v>②</v>
          </cell>
          <cell r="AI2137" t="str">
            <v>③</v>
          </cell>
        </row>
        <row r="2138">
          <cell r="B2138">
            <v>12316</v>
          </cell>
          <cell r="C2138">
            <v>123</v>
          </cell>
          <cell r="D2138">
            <v>16</v>
          </cell>
          <cell r="F2138" t="str">
            <v>阿蘇</v>
          </cell>
          <cell r="G2138" t="str">
            <v>電気湯沸器点検整備</v>
          </cell>
          <cell r="H2138" t="str">
            <v>九州東管サービス</v>
          </cell>
          <cell r="I2138">
            <v>29000</v>
          </cell>
          <cell r="J2138">
            <v>33350</v>
          </cell>
          <cell r="K2138">
            <v>2</v>
          </cell>
          <cell r="L2138">
            <v>0</v>
          </cell>
          <cell r="M2138">
            <v>33350</v>
          </cell>
          <cell r="N2138">
            <v>0</v>
          </cell>
          <cell r="O2138">
            <v>0</v>
          </cell>
          <cell r="P2138">
            <v>0</v>
          </cell>
          <cell r="Q2138">
            <v>0</v>
          </cell>
          <cell r="R2138">
            <v>0</v>
          </cell>
          <cell r="S2138">
            <v>33350</v>
          </cell>
          <cell r="T2138">
            <v>0</v>
          </cell>
          <cell r="U2138">
            <v>0</v>
          </cell>
          <cell r="V2138">
            <v>0</v>
          </cell>
          <cell r="W2138">
            <v>0</v>
          </cell>
          <cell r="X2138" t="str">
            <v/>
          </cell>
          <cell r="Y2138" t="str">
            <v>⑤</v>
          </cell>
          <cell r="Z2138" t="str">
            <v/>
          </cell>
          <cell r="AA2138" t="str">
            <v/>
          </cell>
          <cell r="AB2138" t="str">
            <v/>
          </cell>
          <cell r="AC2138" t="str">
            <v/>
          </cell>
          <cell r="AD2138" t="str">
            <v/>
          </cell>
          <cell r="AE2138" t="str">
            <v>⑪</v>
          </cell>
          <cell r="AF2138" t="str">
            <v/>
          </cell>
          <cell r="AG2138" t="str">
            <v/>
          </cell>
          <cell r="AH2138" t="str">
            <v/>
          </cell>
          <cell r="AI2138" t="str">
            <v/>
          </cell>
          <cell r="AJ2138" t="str">
            <v>追</v>
          </cell>
        </row>
        <row r="2139">
          <cell r="B2139">
            <v>12317</v>
          </cell>
          <cell r="C2139">
            <v>123</v>
          </cell>
          <cell r="D2139">
            <v>17</v>
          </cell>
          <cell r="F2139" t="str">
            <v>阿蘇</v>
          </cell>
          <cell r="G2139" t="str">
            <v>冷温水ポンプ点検整備工事</v>
          </cell>
          <cell r="H2139" t="str">
            <v>高砂熱学工業</v>
          </cell>
          <cell r="I2139">
            <v>90500</v>
          </cell>
          <cell r="J2139">
            <v>104075</v>
          </cell>
          <cell r="K2139">
            <v>2</v>
          </cell>
          <cell r="L2139">
            <v>0</v>
          </cell>
          <cell r="M2139">
            <v>104075</v>
          </cell>
          <cell r="N2139">
            <v>0</v>
          </cell>
          <cell r="O2139">
            <v>0</v>
          </cell>
          <cell r="P2139">
            <v>0</v>
          </cell>
          <cell r="Q2139">
            <v>0</v>
          </cell>
          <cell r="R2139">
            <v>0</v>
          </cell>
          <cell r="S2139">
            <v>104075</v>
          </cell>
          <cell r="T2139">
            <v>0</v>
          </cell>
          <cell r="U2139">
            <v>0</v>
          </cell>
          <cell r="V2139">
            <v>0</v>
          </cell>
          <cell r="W2139">
            <v>0</v>
          </cell>
          <cell r="X2139" t="str">
            <v/>
          </cell>
          <cell r="Y2139" t="str">
            <v>⑤</v>
          </cell>
          <cell r="Z2139" t="str">
            <v/>
          </cell>
          <cell r="AA2139" t="str">
            <v/>
          </cell>
          <cell r="AB2139" t="str">
            <v/>
          </cell>
          <cell r="AC2139" t="str">
            <v/>
          </cell>
          <cell r="AD2139" t="str">
            <v/>
          </cell>
          <cell r="AE2139" t="str">
            <v>⑪</v>
          </cell>
          <cell r="AF2139" t="str">
            <v/>
          </cell>
          <cell r="AG2139" t="str">
            <v/>
          </cell>
          <cell r="AH2139" t="str">
            <v/>
          </cell>
          <cell r="AI2139" t="str">
            <v/>
          </cell>
          <cell r="AJ2139" t="str">
            <v>追</v>
          </cell>
        </row>
        <row r="2140">
          <cell r="B2140">
            <v>12318</v>
          </cell>
          <cell r="C2140">
            <v>123</v>
          </cell>
          <cell r="D2140">
            <v>18</v>
          </cell>
          <cell r="F2140" t="str">
            <v>阿蘇</v>
          </cell>
          <cell r="G2140" t="str">
            <v>給排気ファン点検整備工事</v>
          </cell>
          <cell r="H2140" t="str">
            <v>高砂熱学工業</v>
          </cell>
          <cell r="I2140">
            <v>75500</v>
          </cell>
          <cell r="J2140">
            <v>86825</v>
          </cell>
          <cell r="K2140">
            <v>2</v>
          </cell>
          <cell r="L2140">
            <v>0</v>
          </cell>
          <cell r="M2140">
            <v>86825</v>
          </cell>
          <cell r="N2140">
            <v>0</v>
          </cell>
          <cell r="O2140">
            <v>0</v>
          </cell>
          <cell r="P2140">
            <v>0</v>
          </cell>
          <cell r="Q2140">
            <v>0</v>
          </cell>
          <cell r="R2140">
            <v>0</v>
          </cell>
          <cell r="S2140">
            <v>86825</v>
          </cell>
          <cell r="T2140">
            <v>0</v>
          </cell>
          <cell r="U2140">
            <v>0</v>
          </cell>
          <cell r="V2140">
            <v>0</v>
          </cell>
          <cell r="W2140">
            <v>0</v>
          </cell>
          <cell r="X2140" t="str">
            <v/>
          </cell>
          <cell r="Y2140" t="str">
            <v>⑤</v>
          </cell>
          <cell r="Z2140" t="str">
            <v/>
          </cell>
          <cell r="AA2140" t="str">
            <v/>
          </cell>
          <cell r="AB2140" t="str">
            <v/>
          </cell>
          <cell r="AC2140" t="str">
            <v/>
          </cell>
          <cell r="AD2140" t="str">
            <v/>
          </cell>
          <cell r="AE2140" t="str">
            <v>⑪</v>
          </cell>
          <cell r="AF2140" t="str">
            <v/>
          </cell>
          <cell r="AG2140" t="str">
            <v/>
          </cell>
          <cell r="AH2140" t="str">
            <v/>
          </cell>
          <cell r="AI2140" t="str">
            <v/>
          </cell>
          <cell r="AJ2140" t="str">
            <v>追</v>
          </cell>
        </row>
        <row r="2141">
          <cell r="B2141">
            <v>12319</v>
          </cell>
          <cell r="C2141">
            <v>123</v>
          </cell>
          <cell r="D2141">
            <v>19</v>
          </cell>
          <cell r="F2141" t="str">
            <v>阿蘇</v>
          </cell>
          <cell r="G2141" t="str">
            <v>ファンコイル点検整備工事</v>
          </cell>
          <cell r="H2141" t="str">
            <v>高砂熱学工業</v>
          </cell>
          <cell r="I2141">
            <v>800000</v>
          </cell>
          <cell r="J2141">
            <v>920000</v>
          </cell>
          <cell r="K2141">
            <v>2</v>
          </cell>
          <cell r="L2141">
            <v>0</v>
          </cell>
          <cell r="M2141">
            <v>920000</v>
          </cell>
          <cell r="N2141">
            <v>0</v>
          </cell>
          <cell r="O2141">
            <v>0</v>
          </cell>
          <cell r="P2141">
            <v>0</v>
          </cell>
          <cell r="Q2141">
            <v>0</v>
          </cell>
          <cell r="R2141">
            <v>0</v>
          </cell>
          <cell r="S2141">
            <v>920000</v>
          </cell>
          <cell r="T2141">
            <v>0</v>
          </cell>
          <cell r="U2141">
            <v>0</v>
          </cell>
          <cell r="V2141">
            <v>0</v>
          </cell>
          <cell r="W2141">
            <v>0</v>
          </cell>
          <cell r="X2141" t="str">
            <v/>
          </cell>
          <cell r="Y2141" t="str">
            <v>⑤</v>
          </cell>
          <cell r="Z2141" t="str">
            <v/>
          </cell>
          <cell r="AA2141" t="str">
            <v/>
          </cell>
          <cell r="AB2141" t="str">
            <v/>
          </cell>
          <cell r="AC2141" t="str">
            <v/>
          </cell>
          <cell r="AD2141" t="str">
            <v/>
          </cell>
          <cell r="AE2141" t="str">
            <v>⑪</v>
          </cell>
          <cell r="AF2141" t="str">
            <v/>
          </cell>
          <cell r="AG2141" t="str">
            <v/>
          </cell>
          <cell r="AH2141" t="str">
            <v/>
          </cell>
          <cell r="AI2141" t="str">
            <v/>
          </cell>
          <cell r="AJ2141" t="str">
            <v>追</v>
          </cell>
        </row>
        <row r="2142">
          <cell r="B2142">
            <v>12320</v>
          </cell>
          <cell r="C2142">
            <v>123</v>
          </cell>
          <cell r="D2142">
            <v>20</v>
          </cell>
          <cell r="F2142" t="str">
            <v>阿蘇</v>
          </cell>
          <cell r="G2142" t="str">
            <v>ﾊﾟｯｹｰｼﾞｴｱｺﾝ点検整備工事</v>
          </cell>
          <cell r="H2142" t="str">
            <v>高砂熱学工業</v>
          </cell>
          <cell r="I2142">
            <v>230000</v>
          </cell>
          <cell r="J2142">
            <v>264500</v>
          </cell>
          <cell r="K2142">
            <v>2</v>
          </cell>
          <cell r="L2142">
            <v>0</v>
          </cell>
          <cell r="M2142">
            <v>264500</v>
          </cell>
          <cell r="N2142">
            <v>0</v>
          </cell>
          <cell r="O2142">
            <v>0</v>
          </cell>
          <cell r="P2142">
            <v>0</v>
          </cell>
          <cell r="Q2142">
            <v>0</v>
          </cell>
          <cell r="R2142">
            <v>0</v>
          </cell>
          <cell r="S2142">
            <v>264500</v>
          </cell>
          <cell r="T2142">
            <v>0</v>
          </cell>
          <cell r="U2142">
            <v>0</v>
          </cell>
          <cell r="V2142">
            <v>0</v>
          </cell>
          <cell r="W2142">
            <v>0</v>
          </cell>
          <cell r="X2142" t="str">
            <v/>
          </cell>
          <cell r="Y2142" t="str">
            <v>⑤</v>
          </cell>
          <cell r="Z2142" t="str">
            <v/>
          </cell>
          <cell r="AA2142" t="str">
            <v/>
          </cell>
          <cell r="AB2142" t="str">
            <v/>
          </cell>
          <cell r="AC2142" t="str">
            <v/>
          </cell>
          <cell r="AD2142" t="str">
            <v/>
          </cell>
          <cell r="AE2142" t="str">
            <v>⑪</v>
          </cell>
          <cell r="AF2142" t="str">
            <v/>
          </cell>
          <cell r="AG2142" t="str">
            <v/>
          </cell>
          <cell r="AH2142" t="str">
            <v/>
          </cell>
          <cell r="AI2142" t="str">
            <v/>
          </cell>
          <cell r="AJ2142" t="str">
            <v>追</v>
          </cell>
        </row>
        <row r="2143">
          <cell r="B2143">
            <v>12321</v>
          </cell>
          <cell r="C2143">
            <v>123</v>
          </cell>
          <cell r="D2143">
            <v>21</v>
          </cell>
          <cell r="F2143" t="str">
            <v>阿蘇</v>
          </cell>
          <cell r="G2143" t="str">
            <v>冷却塔点検整備</v>
          </cell>
          <cell r="H2143" t="str">
            <v>高砂熱学工業</v>
          </cell>
          <cell r="I2143">
            <v>168000</v>
          </cell>
          <cell r="J2143">
            <v>193200</v>
          </cell>
          <cell r="K2143">
            <v>1</v>
          </cell>
          <cell r="L2143">
            <v>0</v>
          </cell>
          <cell r="M2143">
            <v>193200</v>
          </cell>
          <cell r="N2143">
            <v>0</v>
          </cell>
          <cell r="O2143">
            <v>0</v>
          </cell>
          <cell r="P2143">
            <v>0</v>
          </cell>
          <cell r="Q2143">
            <v>0</v>
          </cell>
          <cell r="R2143">
            <v>0</v>
          </cell>
          <cell r="S2143">
            <v>0</v>
          </cell>
          <cell r="T2143">
            <v>0</v>
          </cell>
          <cell r="U2143">
            <v>0</v>
          </cell>
          <cell r="V2143">
            <v>0</v>
          </cell>
          <cell r="W2143">
            <v>0</v>
          </cell>
          <cell r="X2143" t="str">
            <v/>
          </cell>
          <cell r="Y2143" t="str">
            <v>⑤</v>
          </cell>
          <cell r="Z2143" t="str">
            <v/>
          </cell>
          <cell r="AA2143" t="str">
            <v/>
          </cell>
          <cell r="AB2143" t="str">
            <v/>
          </cell>
          <cell r="AC2143" t="str">
            <v/>
          </cell>
          <cell r="AD2143" t="str">
            <v/>
          </cell>
          <cell r="AE2143" t="str">
            <v/>
          </cell>
          <cell r="AF2143" t="str">
            <v/>
          </cell>
          <cell r="AG2143" t="str">
            <v/>
          </cell>
          <cell r="AH2143" t="str">
            <v/>
          </cell>
          <cell r="AI2143" t="str">
            <v/>
          </cell>
          <cell r="AJ2143" t="str">
            <v>追</v>
          </cell>
        </row>
        <row r="2144">
          <cell r="B2144">
            <v>12322</v>
          </cell>
          <cell r="C2144">
            <v>123</v>
          </cell>
          <cell r="D2144">
            <v>22</v>
          </cell>
          <cell r="F2144" t="str">
            <v>阿蘇</v>
          </cell>
          <cell r="G2144" t="str">
            <v>揚水ポンプ点検整備工事</v>
          </cell>
          <cell r="H2144" t="str">
            <v>ダイダン</v>
          </cell>
          <cell r="I2144">
            <v>302000</v>
          </cell>
          <cell r="J2144">
            <v>347300</v>
          </cell>
          <cell r="K2144">
            <v>1</v>
          </cell>
          <cell r="L2144">
            <v>0</v>
          </cell>
          <cell r="M2144">
            <v>347300</v>
          </cell>
          <cell r="N2144">
            <v>0</v>
          </cell>
          <cell r="O2144">
            <v>0</v>
          </cell>
          <cell r="P2144">
            <v>0</v>
          </cell>
          <cell r="Q2144">
            <v>0</v>
          </cell>
          <cell r="R2144">
            <v>0</v>
          </cell>
          <cell r="S2144">
            <v>0</v>
          </cell>
          <cell r="T2144">
            <v>0</v>
          </cell>
          <cell r="U2144">
            <v>0</v>
          </cell>
          <cell r="V2144">
            <v>0</v>
          </cell>
          <cell r="W2144">
            <v>0</v>
          </cell>
          <cell r="X2144" t="str">
            <v/>
          </cell>
          <cell r="Y2144" t="str">
            <v>⑤</v>
          </cell>
          <cell r="Z2144" t="str">
            <v/>
          </cell>
          <cell r="AA2144" t="str">
            <v/>
          </cell>
          <cell r="AB2144" t="str">
            <v/>
          </cell>
          <cell r="AC2144" t="str">
            <v/>
          </cell>
          <cell r="AD2144" t="str">
            <v/>
          </cell>
          <cell r="AE2144" t="str">
            <v/>
          </cell>
          <cell r="AF2144" t="str">
            <v/>
          </cell>
          <cell r="AG2144" t="str">
            <v/>
          </cell>
          <cell r="AH2144" t="str">
            <v/>
          </cell>
          <cell r="AI2144" t="str">
            <v/>
          </cell>
          <cell r="AJ2144" t="str">
            <v>追</v>
          </cell>
        </row>
        <row r="2145">
          <cell r="B2145">
            <v>12323</v>
          </cell>
          <cell r="C2145">
            <v>123</v>
          </cell>
          <cell r="D2145">
            <v>23</v>
          </cell>
          <cell r="F2145" t="str">
            <v>阿蘇</v>
          </cell>
          <cell r="G2145" t="str">
            <v>ボイラー点検整備工事</v>
          </cell>
          <cell r="H2145" t="str">
            <v>ダイダン</v>
          </cell>
          <cell r="I2145">
            <v>184000</v>
          </cell>
          <cell r="J2145">
            <v>211600</v>
          </cell>
          <cell r="K2145">
            <v>3</v>
          </cell>
          <cell r="L2145">
            <v>0</v>
          </cell>
          <cell r="M2145">
            <v>211600</v>
          </cell>
          <cell r="N2145">
            <v>0</v>
          </cell>
          <cell r="O2145">
            <v>0</v>
          </cell>
          <cell r="P2145">
            <v>0</v>
          </cell>
          <cell r="Q2145">
            <v>0</v>
          </cell>
          <cell r="R2145">
            <v>0</v>
          </cell>
          <cell r="S2145">
            <v>211600</v>
          </cell>
          <cell r="T2145">
            <v>0</v>
          </cell>
          <cell r="U2145">
            <v>0</v>
          </cell>
          <cell r="V2145">
            <v>0</v>
          </cell>
          <cell r="W2145">
            <v>211600</v>
          </cell>
          <cell r="X2145" t="str">
            <v/>
          </cell>
          <cell r="Y2145" t="str">
            <v>⑤</v>
          </cell>
          <cell r="Z2145" t="str">
            <v/>
          </cell>
          <cell r="AA2145" t="str">
            <v/>
          </cell>
          <cell r="AB2145" t="str">
            <v/>
          </cell>
          <cell r="AC2145" t="str">
            <v/>
          </cell>
          <cell r="AD2145" t="str">
            <v/>
          </cell>
          <cell r="AE2145" t="str">
            <v>⑪</v>
          </cell>
          <cell r="AF2145" t="str">
            <v/>
          </cell>
          <cell r="AG2145" t="str">
            <v/>
          </cell>
          <cell r="AH2145" t="str">
            <v/>
          </cell>
          <cell r="AI2145" t="str">
            <v>②</v>
          </cell>
          <cell r="AJ2145" t="str">
            <v>追</v>
          </cell>
        </row>
        <row r="2146">
          <cell r="B2146">
            <v>12324</v>
          </cell>
          <cell r="C2146">
            <v>123</v>
          </cell>
          <cell r="D2146">
            <v>24</v>
          </cell>
          <cell r="F2146" t="str">
            <v>阿蘇</v>
          </cell>
          <cell r="G2146" t="str">
            <v>温泉ろ過器点検整備工事</v>
          </cell>
          <cell r="H2146" t="str">
            <v>ダイダン</v>
          </cell>
          <cell r="I2146">
            <v>218000</v>
          </cell>
          <cell r="J2146">
            <v>250700</v>
          </cell>
          <cell r="K2146">
            <v>3</v>
          </cell>
          <cell r="L2146">
            <v>0</v>
          </cell>
          <cell r="M2146">
            <v>0</v>
          </cell>
          <cell r="N2146">
            <v>250700</v>
          </cell>
          <cell r="O2146">
            <v>0</v>
          </cell>
          <cell r="P2146">
            <v>0</v>
          </cell>
          <cell r="Q2146">
            <v>0</v>
          </cell>
          <cell r="R2146">
            <v>250700</v>
          </cell>
          <cell r="S2146">
            <v>0</v>
          </cell>
          <cell r="T2146">
            <v>0</v>
          </cell>
          <cell r="U2146">
            <v>0</v>
          </cell>
          <cell r="V2146">
            <v>250700</v>
          </cell>
          <cell r="W2146">
            <v>0</v>
          </cell>
          <cell r="X2146" t="str">
            <v/>
          </cell>
          <cell r="Y2146" t="str">
            <v/>
          </cell>
          <cell r="Z2146" t="str">
            <v>⑥</v>
          </cell>
          <cell r="AA2146" t="str">
            <v/>
          </cell>
          <cell r="AB2146" t="str">
            <v/>
          </cell>
          <cell r="AC2146" t="str">
            <v/>
          </cell>
          <cell r="AD2146" t="str">
            <v>⑩</v>
          </cell>
          <cell r="AE2146" t="str">
            <v/>
          </cell>
          <cell r="AF2146" t="str">
            <v/>
          </cell>
          <cell r="AG2146" t="str">
            <v/>
          </cell>
          <cell r="AH2146" t="str">
            <v>②</v>
          </cell>
          <cell r="AI2146" t="str">
            <v/>
          </cell>
          <cell r="AJ2146" t="str">
            <v>追</v>
          </cell>
        </row>
        <row r="2147">
          <cell r="B2147">
            <v>12325</v>
          </cell>
          <cell r="C2147">
            <v>123</v>
          </cell>
          <cell r="D2147">
            <v>25</v>
          </cell>
          <cell r="F2147" t="str">
            <v>阿蘇</v>
          </cell>
          <cell r="G2147" t="str">
            <v>温泉配管洗浄工事</v>
          </cell>
          <cell r="H2147" t="str">
            <v>ダイダン</v>
          </cell>
          <cell r="I2147">
            <v>241500</v>
          </cell>
          <cell r="J2147">
            <v>277725</v>
          </cell>
          <cell r="K2147">
            <v>2</v>
          </cell>
          <cell r="L2147">
            <v>0</v>
          </cell>
          <cell r="M2147">
            <v>277725</v>
          </cell>
          <cell r="N2147">
            <v>0</v>
          </cell>
          <cell r="O2147">
            <v>0</v>
          </cell>
          <cell r="P2147">
            <v>0</v>
          </cell>
          <cell r="Q2147">
            <v>0</v>
          </cell>
          <cell r="R2147">
            <v>0</v>
          </cell>
          <cell r="S2147">
            <v>277725</v>
          </cell>
          <cell r="T2147">
            <v>0</v>
          </cell>
          <cell r="U2147">
            <v>0</v>
          </cell>
          <cell r="V2147">
            <v>0</v>
          </cell>
          <cell r="W2147">
            <v>0</v>
          </cell>
          <cell r="X2147" t="str">
            <v/>
          </cell>
          <cell r="Y2147" t="str">
            <v>⑤</v>
          </cell>
          <cell r="Z2147" t="str">
            <v/>
          </cell>
          <cell r="AA2147" t="str">
            <v/>
          </cell>
          <cell r="AB2147" t="str">
            <v/>
          </cell>
          <cell r="AC2147" t="str">
            <v/>
          </cell>
          <cell r="AD2147" t="str">
            <v/>
          </cell>
          <cell r="AE2147" t="str">
            <v>⑪</v>
          </cell>
          <cell r="AF2147" t="str">
            <v/>
          </cell>
          <cell r="AG2147" t="str">
            <v/>
          </cell>
          <cell r="AH2147" t="str">
            <v/>
          </cell>
          <cell r="AI2147" t="str">
            <v/>
          </cell>
          <cell r="AJ2147" t="str">
            <v>追</v>
          </cell>
        </row>
        <row r="2148">
          <cell r="B2148">
            <v>12326</v>
          </cell>
          <cell r="C2148">
            <v>123</v>
          </cell>
          <cell r="D2148">
            <v>26</v>
          </cell>
          <cell r="F2148" t="str">
            <v>阿蘇</v>
          </cell>
          <cell r="G2148" t="str">
            <v>温泉熱交換器洗浄工事</v>
          </cell>
          <cell r="H2148" t="str">
            <v>ダイダン</v>
          </cell>
          <cell r="I2148">
            <v>178750</v>
          </cell>
          <cell r="J2148">
            <v>205562</v>
          </cell>
          <cell r="K2148">
            <v>4</v>
          </cell>
          <cell r="L2148">
            <v>0</v>
          </cell>
          <cell r="M2148">
            <v>205562</v>
          </cell>
          <cell r="N2148">
            <v>0</v>
          </cell>
          <cell r="O2148">
            <v>0</v>
          </cell>
          <cell r="P2148">
            <v>205562</v>
          </cell>
          <cell r="Q2148">
            <v>0</v>
          </cell>
          <cell r="R2148">
            <v>0</v>
          </cell>
          <cell r="S2148">
            <v>205562</v>
          </cell>
          <cell r="T2148">
            <v>0</v>
          </cell>
          <cell r="U2148">
            <v>0</v>
          </cell>
          <cell r="V2148">
            <v>205562</v>
          </cell>
          <cell r="W2148">
            <v>0</v>
          </cell>
          <cell r="X2148" t="str">
            <v/>
          </cell>
          <cell r="Y2148" t="str">
            <v>⑤</v>
          </cell>
          <cell r="AB2148" t="str">
            <v>⑧</v>
          </cell>
          <cell r="AE2148" t="str">
            <v>⑪</v>
          </cell>
          <cell r="AH2148" t="str">
            <v>②</v>
          </cell>
          <cell r="AI2148" t="str">
            <v/>
          </cell>
          <cell r="AJ2148" t="str">
            <v>追</v>
          </cell>
        </row>
        <row r="2149">
          <cell r="B2149">
            <v>12327</v>
          </cell>
          <cell r="C2149">
            <v>123</v>
          </cell>
          <cell r="D2149">
            <v>27</v>
          </cell>
          <cell r="F2149" t="str">
            <v>阿蘇</v>
          </cell>
          <cell r="G2149" t="str">
            <v>浴槽排水管洗浄作業</v>
          </cell>
          <cell r="H2149" t="str">
            <v>ダイダン</v>
          </cell>
          <cell r="I2149">
            <v>242000</v>
          </cell>
          <cell r="J2149">
            <v>278300</v>
          </cell>
          <cell r="K2149">
            <v>1</v>
          </cell>
          <cell r="L2149">
            <v>0</v>
          </cell>
          <cell r="M2149">
            <v>278300</v>
          </cell>
          <cell r="N2149">
            <v>0</v>
          </cell>
          <cell r="O2149">
            <v>0</v>
          </cell>
          <cell r="P2149">
            <v>0</v>
          </cell>
          <cell r="Q2149">
            <v>0</v>
          </cell>
          <cell r="R2149">
            <v>0</v>
          </cell>
          <cell r="S2149">
            <v>0</v>
          </cell>
          <cell r="T2149">
            <v>0</v>
          </cell>
          <cell r="U2149">
            <v>0</v>
          </cell>
          <cell r="V2149">
            <v>0</v>
          </cell>
          <cell r="W2149">
            <v>0</v>
          </cell>
          <cell r="X2149" t="str">
            <v/>
          </cell>
          <cell r="Y2149" t="str">
            <v>⑤</v>
          </cell>
          <cell r="Z2149" t="str">
            <v/>
          </cell>
          <cell r="AA2149" t="str">
            <v/>
          </cell>
          <cell r="AB2149" t="str">
            <v/>
          </cell>
          <cell r="AC2149" t="str">
            <v/>
          </cell>
          <cell r="AD2149" t="str">
            <v/>
          </cell>
          <cell r="AE2149" t="str">
            <v/>
          </cell>
          <cell r="AF2149" t="str">
            <v/>
          </cell>
          <cell r="AG2149" t="str">
            <v/>
          </cell>
          <cell r="AH2149" t="str">
            <v/>
          </cell>
          <cell r="AI2149" t="str">
            <v/>
          </cell>
          <cell r="AJ2149" t="str">
            <v>追</v>
          </cell>
        </row>
        <row r="2150">
          <cell r="B2150">
            <v>12328</v>
          </cell>
          <cell r="C2150">
            <v>123</v>
          </cell>
          <cell r="D2150">
            <v>28</v>
          </cell>
          <cell r="F2150" t="str">
            <v>阿蘇</v>
          </cell>
          <cell r="G2150" t="str">
            <v>温泉ポンプ引き上げ整備工事</v>
          </cell>
          <cell r="H2150" t="str">
            <v>ダイダン</v>
          </cell>
          <cell r="I2150">
            <v>420000</v>
          </cell>
          <cell r="J2150">
            <v>483000</v>
          </cell>
          <cell r="K2150">
            <v>1</v>
          </cell>
          <cell r="L2150">
            <v>0</v>
          </cell>
          <cell r="M2150">
            <v>0</v>
          </cell>
          <cell r="N2150">
            <v>0</v>
          </cell>
          <cell r="O2150">
            <v>0</v>
          </cell>
          <cell r="P2150">
            <v>0</v>
          </cell>
          <cell r="Q2150">
            <v>0</v>
          </cell>
          <cell r="R2150">
            <v>0</v>
          </cell>
          <cell r="S2150">
            <v>483000</v>
          </cell>
          <cell r="T2150">
            <v>0</v>
          </cell>
          <cell r="U2150">
            <v>0</v>
          </cell>
          <cell r="V2150">
            <v>0</v>
          </cell>
          <cell r="W2150">
            <v>0</v>
          </cell>
          <cell r="X2150" t="str">
            <v/>
          </cell>
          <cell r="Y2150" t="str">
            <v/>
          </cell>
          <cell r="Z2150" t="str">
            <v/>
          </cell>
          <cell r="AA2150" t="str">
            <v/>
          </cell>
          <cell r="AB2150" t="str">
            <v/>
          </cell>
          <cell r="AC2150" t="str">
            <v/>
          </cell>
          <cell r="AD2150" t="str">
            <v/>
          </cell>
          <cell r="AE2150" t="str">
            <v>⑪</v>
          </cell>
          <cell r="AF2150" t="str">
            <v/>
          </cell>
          <cell r="AG2150" t="str">
            <v/>
          </cell>
          <cell r="AH2150" t="str">
            <v/>
          </cell>
          <cell r="AI2150" t="str">
            <v/>
          </cell>
          <cell r="AJ2150" t="str">
            <v>追</v>
          </cell>
        </row>
        <row r="2151">
          <cell r="B2151">
            <v>12329</v>
          </cell>
          <cell r="C2151">
            <v>123</v>
          </cell>
          <cell r="D2151">
            <v>29</v>
          </cell>
          <cell r="F2151" t="str">
            <v>阿蘇</v>
          </cell>
          <cell r="G2151" t="str">
            <v>温泉受水槽清掃作業</v>
          </cell>
          <cell r="H2151" t="str">
            <v>ファビルス</v>
          </cell>
          <cell r="I2151">
            <v>126000</v>
          </cell>
          <cell r="J2151">
            <v>144900</v>
          </cell>
          <cell r="K2151">
            <v>1</v>
          </cell>
          <cell r="L2151">
            <v>0</v>
          </cell>
          <cell r="M2151">
            <v>0</v>
          </cell>
          <cell r="N2151">
            <v>0</v>
          </cell>
          <cell r="O2151">
            <v>0</v>
          </cell>
          <cell r="P2151">
            <v>0</v>
          </cell>
          <cell r="Q2151">
            <v>0</v>
          </cell>
          <cell r="R2151">
            <v>0</v>
          </cell>
          <cell r="S2151">
            <v>0</v>
          </cell>
          <cell r="T2151">
            <v>0</v>
          </cell>
          <cell r="U2151">
            <v>0</v>
          </cell>
          <cell r="V2151">
            <v>144900</v>
          </cell>
          <cell r="W2151">
            <v>0</v>
          </cell>
          <cell r="X2151" t="str">
            <v/>
          </cell>
          <cell r="Y2151" t="str">
            <v/>
          </cell>
          <cell r="Z2151" t="str">
            <v/>
          </cell>
          <cell r="AA2151" t="str">
            <v/>
          </cell>
          <cell r="AB2151" t="str">
            <v/>
          </cell>
          <cell r="AC2151" t="str">
            <v/>
          </cell>
          <cell r="AD2151" t="str">
            <v/>
          </cell>
          <cell r="AE2151" t="str">
            <v/>
          </cell>
          <cell r="AF2151" t="str">
            <v/>
          </cell>
          <cell r="AG2151" t="str">
            <v/>
          </cell>
          <cell r="AH2151" t="str">
            <v>②</v>
          </cell>
          <cell r="AI2151" t="str">
            <v/>
          </cell>
          <cell r="AJ2151" t="str">
            <v>追</v>
          </cell>
        </row>
        <row r="2152">
          <cell r="B2152">
            <v>12330</v>
          </cell>
          <cell r="C2152">
            <v>123</v>
          </cell>
          <cell r="D2152">
            <v>30</v>
          </cell>
          <cell r="F2152" t="str">
            <v>阿蘇</v>
          </cell>
          <cell r="G2152" t="str">
            <v>シャッター設備点検整備</v>
          </cell>
          <cell r="H2152" t="str">
            <v>文化シャッターサービス</v>
          </cell>
          <cell r="I2152">
            <v>36000</v>
          </cell>
          <cell r="J2152">
            <v>41400</v>
          </cell>
          <cell r="K2152">
            <v>2</v>
          </cell>
          <cell r="L2152">
            <v>0</v>
          </cell>
          <cell r="M2152">
            <v>41400</v>
          </cell>
          <cell r="N2152">
            <v>0</v>
          </cell>
          <cell r="O2152">
            <v>0</v>
          </cell>
          <cell r="P2152">
            <v>0</v>
          </cell>
          <cell r="Q2152">
            <v>0</v>
          </cell>
          <cell r="R2152">
            <v>0</v>
          </cell>
          <cell r="S2152">
            <v>41400</v>
          </cell>
          <cell r="T2152">
            <v>0</v>
          </cell>
          <cell r="U2152">
            <v>0</v>
          </cell>
          <cell r="V2152">
            <v>0</v>
          </cell>
          <cell r="W2152">
            <v>0</v>
          </cell>
          <cell r="X2152" t="str">
            <v/>
          </cell>
          <cell r="Y2152" t="str">
            <v>⑤</v>
          </cell>
          <cell r="Z2152" t="str">
            <v/>
          </cell>
          <cell r="AA2152" t="str">
            <v/>
          </cell>
          <cell r="AB2152" t="str">
            <v/>
          </cell>
          <cell r="AC2152" t="str">
            <v/>
          </cell>
          <cell r="AD2152" t="str">
            <v/>
          </cell>
          <cell r="AE2152" t="str">
            <v>⑪</v>
          </cell>
          <cell r="AF2152" t="str">
            <v/>
          </cell>
          <cell r="AG2152" t="str">
            <v/>
          </cell>
          <cell r="AI2152" t="str">
            <v/>
          </cell>
          <cell r="AJ2152" t="str">
            <v>追</v>
          </cell>
        </row>
        <row r="2153">
          <cell r="B2153">
            <v>12401</v>
          </cell>
          <cell r="C2153">
            <v>124</v>
          </cell>
          <cell r="D2153">
            <v>1</v>
          </cell>
          <cell r="F2153" t="str">
            <v>市川帳票</v>
          </cell>
          <cell r="G2153" t="str">
            <v>昇降機設備保守</v>
          </cell>
          <cell r="H2153" t="str">
            <v>三菱電機ﾋﾞﾙﾃｸﾉｻｰﾋﾞｽ</v>
          </cell>
          <cell r="I2153">
            <v>52200</v>
          </cell>
          <cell r="J2153">
            <v>53244</v>
          </cell>
          <cell r="K2153">
            <v>12</v>
          </cell>
          <cell r="L2153">
            <v>53244</v>
          </cell>
          <cell r="M2153">
            <v>53244</v>
          </cell>
          <cell r="N2153">
            <v>53244</v>
          </cell>
          <cell r="O2153">
            <v>53244</v>
          </cell>
          <cell r="P2153">
            <v>53244</v>
          </cell>
          <cell r="Q2153">
            <v>53244</v>
          </cell>
          <cell r="R2153">
            <v>53244</v>
          </cell>
          <cell r="S2153">
            <v>53244</v>
          </cell>
          <cell r="T2153">
            <v>53244</v>
          </cell>
          <cell r="U2153">
            <v>53244</v>
          </cell>
          <cell r="V2153">
            <v>53244</v>
          </cell>
          <cell r="W2153">
            <v>53244</v>
          </cell>
          <cell r="X2153" t="str">
            <v>④</v>
          </cell>
          <cell r="Y2153" t="str">
            <v>⑤</v>
          </cell>
          <cell r="Z2153" t="str">
            <v>⑥</v>
          </cell>
          <cell r="AA2153" t="str">
            <v>⑦</v>
          </cell>
          <cell r="AB2153" t="str">
            <v>⑧</v>
          </cell>
          <cell r="AC2153" t="str">
            <v>⑨</v>
          </cell>
          <cell r="AD2153" t="str">
            <v>⑩</v>
          </cell>
          <cell r="AE2153" t="str">
            <v>⑪</v>
          </cell>
          <cell r="AF2153" t="str">
            <v>⑫</v>
          </cell>
          <cell r="AG2153" t="str">
            <v>①</v>
          </cell>
          <cell r="AH2153" t="str">
            <v>②</v>
          </cell>
          <cell r="AI2153" t="str">
            <v>③</v>
          </cell>
        </row>
        <row r="2154">
          <cell r="B2154">
            <v>12402</v>
          </cell>
          <cell r="C2154">
            <v>124</v>
          </cell>
          <cell r="D2154">
            <v>2</v>
          </cell>
          <cell r="F2154" t="str">
            <v>市川帳票</v>
          </cell>
          <cell r="G2154" t="str">
            <v>消火器(外観)</v>
          </cell>
          <cell r="H2154" t="str">
            <v>ホーチキ</v>
          </cell>
          <cell r="I2154">
            <v>21000</v>
          </cell>
          <cell r="J2154">
            <v>21420</v>
          </cell>
          <cell r="K2154">
            <v>2</v>
          </cell>
          <cell r="L2154">
            <v>0</v>
          </cell>
          <cell r="M2154">
            <v>0</v>
          </cell>
          <cell r="N2154">
            <v>0</v>
          </cell>
          <cell r="O2154">
            <v>21420</v>
          </cell>
          <cell r="P2154">
            <v>0</v>
          </cell>
          <cell r="Q2154">
            <v>0</v>
          </cell>
          <cell r="R2154">
            <v>0</v>
          </cell>
          <cell r="S2154">
            <v>0</v>
          </cell>
          <cell r="T2154">
            <v>0</v>
          </cell>
          <cell r="U2154">
            <v>21420</v>
          </cell>
          <cell r="V2154">
            <v>0</v>
          </cell>
          <cell r="W2154">
            <v>0</v>
          </cell>
          <cell r="X2154" t="str">
            <v/>
          </cell>
          <cell r="Y2154" t="str">
            <v/>
          </cell>
          <cell r="Z2154" t="str">
            <v/>
          </cell>
          <cell r="AA2154" t="str">
            <v>⑦</v>
          </cell>
          <cell r="AB2154" t="str">
            <v/>
          </cell>
          <cell r="AC2154" t="str">
            <v/>
          </cell>
          <cell r="AD2154" t="str">
            <v/>
          </cell>
          <cell r="AE2154" t="str">
            <v/>
          </cell>
          <cell r="AF2154" t="str">
            <v/>
          </cell>
          <cell r="AG2154" t="str">
            <v>①</v>
          </cell>
          <cell r="AH2154" t="str">
            <v/>
          </cell>
          <cell r="AI2154" t="str">
            <v/>
          </cell>
        </row>
        <row r="2155">
          <cell r="B2155">
            <v>12403</v>
          </cell>
          <cell r="C2155">
            <v>124</v>
          </cell>
          <cell r="D2155">
            <v>3</v>
          </cell>
          <cell r="F2155" t="str">
            <v>市川帳票</v>
          </cell>
          <cell r="G2155" t="str">
            <v>ｽﾌﾟﾘﾝｸﾗｰ設備(外観)</v>
          </cell>
          <cell r="H2155" t="str">
            <v>ホーチキ</v>
          </cell>
          <cell r="I2155">
            <v>61000</v>
          </cell>
          <cell r="J2155">
            <v>62220</v>
          </cell>
          <cell r="K2155">
            <v>1</v>
          </cell>
          <cell r="L2155">
            <v>0</v>
          </cell>
          <cell r="M2155">
            <v>0</v>
          </cell>
          <cell r="N2155">
            <v>0</v>
          </cell>
          <cell r="O2155">
            <v>62220</v>
          </cell>
          <cell r="P2155">
            <v>0</v>
          </cell>
          <cell r="Q2155">
            <v>0</v>
          </cell>
          <cell r="R2155">
            <v>0</v>
          </cell>
          <cell r="S2155">
            <v>0</v>
          </cell>
          <cell r="T2155">
            <v>0</v>
          </cell>
          <cell r="U2155">
            <v>0</v>
          </cell>
          <cell r="V2155">
            <v>0</v>
          </cell>
          <cell r="W2155">
            <v>0</v>
          </cell>
          <cell r="X2155" t="str">
            <v/>
          </cell>
          <cell r="Y2155" t="str">
            <v/>
          </cell>
          <cell r="Z2155" t="str">
            <v/>
          </cell>
          <cell r="AA2155" t="str">
            <v>⑦</v>
          </cell>
          <cell r="AB2155" t="str">
            <v/>
          </cell>
          <cell r="AC2155" t="str">
            <v/>
          </cell>
          <cell r="AD2155" t="str">
            <v/>
          </cell>
          <cell r="AE2155" t="str">
            <v/>
          </cell>
          <cell r="AF2155" t="str">
            <v/>
          </cell>
          <cell r="AG2155" t="str">
            <v/>
          </cell>
          <cell r="AH2155" t="str">
            <v/>
          </cell>
          <cell r="AI2155" t="str">
            <v/>
          </cell>
        </row>
        <row r="2156">
          <cell r="B2156">
            <v>12404</v>
          </cell>
          <cell r="C2156">
            <v>124</v>
          </cell>
          <cell r="D2156">
            <v>4</v>
          </cell>
          <cell r="F2156" t="str">
            <v>市川帳票</v>
          </cell>
          <cell r="G2156" t="str">
            <v>ｽﾌﾟﾘﾝｸﾗｰ設備(総合)</v>
          </cell>
          <cell r="H2156" t="str">
            <v>ホーチキ</v>
          </cell>
          <cell r="I2156">
            <v>87000</v>
          </cell>
          <cell r="J2156">
            <v>88740</v>
          </cell>
          <cell r="K2156">
            <v>1</v>
          </cell>
          <cell r="L2156">
            <v>0</v>
          </cell>
          <cell r="M2156">
            <v>0</v>
          </cell>
          <cell r="N2156">
            <v>0</v>
          </cell>
          <cell r="O2156">
            <v>0</v>
          </cell>
          <cell r="P2156">
            <v>0</v>
          </cell>
          <cell r="Q2156">
            <v>0</v>
          </cell>
          <cell r="R2156">
            <v>0</v>
          </cell>
          <cell r="S2156">
            <v>0</v>
          </cell>
          <cell r="T2156">
            <v>0</v>
          </cell>
          <cell r="U2156">
            <v>88740</v>
          </cell>
          <cell r="V2156">
            <v>0</v>
          </cell>
          <cell r="W2156">
            <v>0</v>
          </cell>
          <cell r="X2156" t="str">
            <v/>
          </cell>
          <cell r="Y2156" t="str">
            <v/>
          </cell>
          <cell r="Z2156" t="str">
            <v/>
          </cell>
          <cell r="AA2156" t="str">
            <v/>
          </cell>
          <cell r="AB2156" t="str">
            <v/>
          </cell>
          <cell r="AC2156" t="str">
            <v/>
          </cell>
          <cell r="AD2156" t="str">
            <v/>
          </cell>
          <cell r="AE2156" t="str">
            <v/>
          </cell>
          <cell r="AF2156" t="str">
            <v/>
          </cell>
          <cell r="AG2156" t="str">
            <v>①</v>
          </cell>
          <cell r="AH2156" t="str">
            <v/>
          </cell>
          <cell r="AI2156" t="str">
            <v/>
          </cell>
        </row>
        <row r="2157">
          <cell r="B2157">
            <v>12405</v>
          </cell>
          <cell r="C2157">
            <v>124</v>
          </cell>
          <cell r="D2157">
            <v>5</v>
          </cell>
          <cell r="F2157" t="str">
            <v>市川帳票</v>
          </cell>
          <cell r="G2157" t="str">
            <v>屋外消火栓(外観)</v>
          </cell>
          <cell r="H2157" t="str">
            <v>ホーチキ</v>
          </cell>
          <cell r="I2157">
            <v>28000</v>
          </cell>
          <cell r="J2157">
            <v>28560</v>
          </cell>
          <cell r="K2157">
            <v>1</v>
          </cell>
          <cell r="L2157">
            <v>0</v>
          </cell>
          <cell r="M2157">
            <v>0</v>
          </cell>
          <cell r="N2157">
            <v>0</v>
          </cell>
          <cell r="O2157">
            <v>28560</v>
          </cell>
          <cell r="P2157">
            <v>0</v>
          </cell>
          <cell r="Q2157">
            <v>0</v>
          </cell>
          <cell r="R2157">
            <v>0</v>
          </cell>
          <cell r="S2157">
            <v>0</v>
          </cell>
          <cell r="T2157">
            <v>0</v>
          </cell>
          <cell r="U2157">
            <v>0</v>
          </cell>
          <cell r="V2157">
            <v>0</v>
          </cell>
          <cell r="W2157">
            <v>0</v>
          </cell>
          <cell r="X2157" t="str">
            <v/>
          </cell>
          <cell r="Y2157" t="str">
            <v/>
          </cell>
          <cell r="Z2157" t="str">
            <v/>
          </cell>
          <cell r="AA2157" t="str">
            <v>⑦</v>
          </cell>
          <cell r="AB2157" t="str">
            <v/>
          </cell>
          <cell r="AC2157" t="str">
            <v/>
          </cell>
          <cell r="AD2157" t="str">
            <v/>
          </cell>
          <cell r="AE2157" t="str">
            <v/>
          </cell>
          <cell r="AF2157" t="str">
            <v/>
          </cell>
          <cell r="AG2157" t="str">
            <v/>
          </cell>
          <cell r="AH2157" t="str">
            <v/>
          </cell>
          <cell r="AI2157" t="str">
            <v/>
          </cell>
        </row>
        <row r="2158">
          <cell r="B2158">
            <v>12406</v>
          </cell>
          <cell r="C2158">
            <v>124</v>
          </cell>
          <cell r="D2158">
            <v>6</v>
          </cell>
          <cell r="F2158" t="str">
            <v>市川帳票</v>
          </cell>
          <cell r="G2158" t="str">
            <v>屋外消火栓(総合)</v>
          </cell>
          <cell r="H2158" t="str">
            <v>ホーチキ</v>
          </cell>
          <cell r="I2158">
            <v>55000</v>
          </cell>
          <cell r="J2158">
            <v>56100</v>
          </cell>
          <cell r="K2158">
            <v>1</v>
          </cell>
          <cell r="L2158">
            <v>0</v>
          </cell>
          <cell r="M2158">
            <v>0</v>
          </cell>
          <cell r="N2158">
            <v>0</v>
          </cell>
          <cell r="O2158">
            <v>0</v>
          </cell>
          <cell r="P2158">
            <v>0</v>
          </cell>
          <cell r="Q2158">
            <v>0</v>
          </cell>
          <cell r="R2158">
            <v>0</v>
          </cell>
          <cell r="S2158">
            <v>0</v>
          </cell>
          <cell r="T2158">
            <v>0</v>
          </cell>
          <cell r="U2158">
            <v>56100</v>
          </cell>
          <cell r="V2158">
            <v>0</v>
          </cell>
          <cell r="W2158">
            <v>0</v>
          </cell>
          <cell r="X2158" t="str">
            <v/>
          </cell>
          <cell r="Y2158" t="str">
            <v/>
          </cell>
          <cell r="Z2158" t="str">
            <v/>
          </cell>
          <cell r="AA2158" t="str">
            <v/>
          </cell>
          <cell r="AB2158" t="str">
            <v/>
          </cell>
          <cell r="AC2158" t="str">
            <v/>
          </cell>
          <cell r="AD2158" t="str">
            <v/>
          </cell>
          <cell r="AE2158" t="str">
            <v/>
          </cell>
          <cell r="AF2158" t="str">
            <v/>
          </cell>
          <cell r="AG2158" t="str">
            <v>①</v>
          </cell>
          <cell r="AH2158" t="str">
            <v/>
          </cell>
          <cell r="AI2158" t="str">
            <v/>
          </cell>
        </row>
        <row r="2159">
          <cell r="B2159">
            <v>12407</v>
          </cell>
          <cell r="C2159">
            <v>124</v>
          </cell>
          <cell r="D2159">
            <v>7</v>
          </cell>
          <cell r="F2159" t="str">
            <v>市川帳票</v>
          </cell>
          <cell r="G2159" t="str">
            <v>自動火災報知設備(外観)</v>
          </cell>
          <cell r="H2159" t="str">
            <v>ホーチキ</v>
          </cell>
          <cell r="I2159">
            <v>86000</v>
          </cell>
          <cell r="J2159">
            <v>87720</v>
          </cell>
          <cell r="K2159">
            <v>1</v>
          </cell>
          <cell r="L2159">
            <v>0</v>
          </cell>
          <cell r="M2159">
            <v>0</v>
          </cell>
          <cell r="N2159">
            <v>0</v>
          </cell>
          <cell r="O2159">
            <v>87720</v>
          </cell>
          <cell r="P2159">
            <v>0</v>
          </cell>
          <cell r="Q2159">
            <v>0</v>
          </cell>
          <cell r="R2159">
            <v>0</v>
          </cell>
          <cell r="S2159">
            <v>0</v>
          </cell>
          <cell r="T2159">
            <v>0</v>
          </cell>
          <cell r="U2159">
            <v>0</v>
          </cell>
          <cell r="V2159">
            <v>0</v>
          </cell>
          <cell r="W2159">
            <v>0</v>
          </cell>
          <cell r="X2159" t="str">
            <v/>
          </cell>
          <cell r="Y2159" t="str">
            <v/>
          </cell>
          <cell r="Z2159" t="str">
            <v/>
          </cell>
          <cell r="AA2159" t="str">
            <v>⑦</v>
          </cell>
          <cell r="AB2159" t="str">
            <v/>
          </cell>
          <cell r="AC2159" t="str">
            <v/>
          </cell>
          <cell r="AD2159" t="str">
            <v/>
          </cell>
          <cell r="AE2159" t="str">
            <v/>
          </cell>
          <cell r="AF2159" t="str">
            <v/>
          </cell>
          <cell r="AG2159" t="str">
            <v/>
          </cell>
          <cell r="AH2159" t="str">
            <v/>
          </cell>
          <cell r="AI2159" t="str">
            <v/>
          </cell>
        </row>
        <row r="2160">
          <cell r="B2160">
            <v>12408</v>
          </cell>
          <cell r="C2160">
            <v>124</v>
          </cell>
          <cell r="D2160">
            <v>8</v>
          </cell>
          <cell r="F2160" t="str">
            <v>市川帳票</v>
          </cell>
          <cell r="G2160" t="str">
            <v>自動火災報知設備(総合)</v>
          </cell>
          <cell r="H2160" t="str">
            <v>ホーチキ</v>
          </cell>
          <cell r="I2160">
            <v>196000</v>
          </cell>
          <cell r="J2160">
            <v>199920</v>
          </cell>
          <cell r="K2160">
            <v>1</v>
          </cell>
          <cell r="L2160">
            <v>0</v>
          </cell>
          <cell r="M2160">
            <v>0</v>
          </cell>
          <cell r="N2160">
            <v>0</v>
          </cell>
          <cell r="O2160">
            <v>0</v>
          </cell>
          <cell r="P2160">
            <v>0</v>
          </cell>
          <cell r="Q2160">
            <v>0</v>
          </cell>
          <cell r="R2160">
            <v>0</v>
          </cell>
          <cell r="S2160">
            <v>0</v>
          </cell>
          <cell r="T2160">
            <v>0</v>
          </cell>
          <cell r="U2160">
            <v>199920</v>
          </cell>
          <cell r="V2160">
            <v>0</v>
          </cell>
          <cell r="W2160">
            <v>0</v>
          </cell>
          <cell r="X2160" t="str">
            <v/>
          </cell>
          <cell r="Y2160" t="str">
            <v/>
          </cell>
          <cell r="Z2160" t="str">
            <v/>
          </cell>
          <cell r="AA2160" t="str">
            <v/>
          </cell>
          <cell r="AB2160" t="str">
            <v/>
          </cell>
          <cell r="AC2160" t="str">
            <v/>
          </cell>
          <cell r="AD2160" t="str">
            <v/>
          </cell>
          <cell r="AE2160" t="str">
            <v/>
          </cell>
          <cell r="AF2160" t="str">
            <v/>
          </cell>
          <cell r="AG2160" t="str">
            <v>①</v>
          </cell>
          <cell r="AH2160" t="str">
            <v/>
          </cell>
          <cell r="AI2160" t="str">
            <v/>
          </cell>
        </row>
        <row r="2161">
          <cell r="B2161">
            <v>12409</v>
          </cell>
          <cell r="C2161">
            <v>124</v>
          </cell>
          <cell r="D2161">
            <v>9</v>
          </cell>
          <cell r="F2161" t="str">
            <v>市川帳票</v>
          </cell>
          <cell r="G2161" t="str">
            <v>非常放送(外観)</v>
          </cell>
          <cell r="H2161" t="str">
            <v>ホーチキ</v>
          </cell>
          <cell r="I2161">
            <v>19000</v>
          </cell>
          <cell r="J2161">
            <v>19380</v>
          </cell>
          <cell r="K2161">
            <v>1</v>
          </cell>
          <cell r="L2161">
            <v>0</v>
          </cell>
          <cell r="M2161">
            <v>0</v>
          </cell>
          <cell r="N2161">
            <v>0</v>
          </cell>
          <cell r="O2161">
            <v>19380</v>
          </cell>
          <cell r="P2161">
            <v>0</v>
          </cell>
          <cell r="Q2161">
            <v>0</v>
          </cell>
          <cell r="R2161">
            <v>0</v>
          </cell>
          <cell r="S2161">
            <v>0</v>
          </cell>
          <cell r="T2161">
            <v>0</v>
          </cell>
          <cell r="U2161">
            <v>0</v>
          </cell>
          <cell r="V2161">
            <v>0</v>
          </cell>
          <cell r="W2161">
            <v>0</v>
          </cell>
          <cell r="X2161" t="str">
            <v/>
          </cell>
          <cell r="Y2161" t="str">
            <v/>
          </cell>
          <cell r="Z2161" t="str">
            <v/>
          </cell>
          <cell r="AA2161" t="str">
            <v>⑦</v>
          </cell>
          <cell r="AB2161" t="str">
            <v/>
          </cell>
          <cell r="AC2161" t="str">
            <v/>
          </cell>
          <cell r="AD2161" t="str">
            <v/>
          </cell>
          <cell r="AE2161" t="str">
            <v/>
          </cell>
          <cell r="AF2161" t="str">
            <v/>
          </cell>
          <cell r="AG2161" t="str">
            <v/>
          </cell>
          <cell r="AH2161" t="str">
            <v/>
          </cell>
          <cell r="AI2161" t="str">
            <v/>
          </cell>
        </row>
        <row r="2162">
          <cell r="B2162">
            <v>12410</v>
          </cell>
          <cell r="C2162">
            <v>124</v>
          </cell>
          <cell r="D2162">
            <v>10</v>
          </cell>
          <cell r="F2162" t="str">
            <v>市川帳票</v>
          </cell>
          <cell r="G2162" t="str">
            <v>非常放送(総合)</v>
          </cell>
          <cell r="H2162" t="str">
            <v>ホーチキ</v>
          </cell>
          <cell r="I2162">
            <v>31000</v>
          </cell>
          <cell r="J2162">
            <v>31620</v>
          </cell>
          <cell r="K2162">
            <v>1</v>
          </cell>
          <cell r="L2162">
            <v>0</v>
          </cell>
          <cell r="M2162">
            <v>0</v>
          </cell>
          <cell r="N2162">
            <v>0</v>
          </cell>
          <cell r="O2162">
            <v>0</v>
          </cell>
          <cell r="P2162">
            <v>0</v>
          </cell>
          <cell r="Q2162">
            <v>0</v>
          </cell>
          <cell r="R2162">
            <v>0</v>
          </cell>
          <cell r="S2162">
            <v>0</v>
          </cell>
          <cell r="T2162">
            <v>0</v>
          </cell>
          <cell r="U2162">
            <v>31620</v>
          </cell>
          <cell r="V2162">
            <v>0</v>
          </cell>
          <cell r="W2162">
            <v>0</v>
          </cell>
          <cell r="X2162" t="str">
            <v/>
          </cell>
          <cell r="Y2162" t="str">
            <v/>
          </cell>
          <cell r="Z2162" t="str">
            <v/>
          </cell>
          <cell r="AA2162" t="str">
            <v/>
          </cell>
          <cell r="AB2162" t="str">
            <v/>
          </cell>
          <cell r="AC2162" t="str">
            <v/>
          </cell>
          <cell r="AD2162" t="str">
            <v/>
          </cell>
          <cell r="AE2162" t="str">
            <v/>
          </cell>
          <cell r="AF2162" t="str">
            <v/>
          </cell>
          <cell r="AG2162" t="str">
            <v>①</v>
          </cell>
          <cell r="AH2162" t="str">
            <v/>
          </cell>
          <cell r="AI2162" t="str">
            <v/>
          </cell>
        </row>
        <row r="2163">
          <cell r="B2163">
            <v>12411</v>
          </cell>
          <cell r="C2163">
            <v>124</v>
          </cell>
          <cell r="D2163">
            <v>11</v>
          </cell>
          <cell r="F2163" t="str">
            <v>市川帳票</v>
          </cell>
          <cell r="G2163" t="str">
            <v>誘導灯(外観)</v>
          </cell>
          <cell r="H2163" t="str">
            <v>ホーチキ</v>
          </cell>
          <cell r="I2163">
            <v>24000</v>
          </cell>
          <cell r="J2163">
            <v>24480</v>
          </cell>
          <cell r="K2163">
            <v>2</v>
          </cell>
          <cell r="L2163">
            <v>0</v>
          </cell>
          <cell r="M2163">
            <v>0</v>
          </cell>
          <cell r="N2163">
            <v>0</v>
          </cell>
          <cell r="O2163">
            <v>24480</v>
          </cell>
          <cell r="P2163">
            <v>0</v>
          </cell>
          <cell r="Q2163">
            <v>0</v>
          </cell>
          <cell r="R2163">
            <v>0</v>
          </cell>
          <cell r="S2163">
            <v>0</v>
          </cell>
          <cell r="T2163">
            <v>0</v>
          </cell>
          <cell r="U2163">
            <v>24480</v>
          </cell>
          <cell r="V2163">
            <v>0</v>
          </cell>
          <cell r="W2163">
            <v>0</v>
          </cell>
          <cell r="X2163" t="str">
            <v/>
          </cell>
          <cell r="Y2163" t="str">
            <v/>
          </cell>
          <cell r="Z2163" t="str">
            <v/>
          </cell>
          <cell r="AA2163" t="str">
            <v>⑦</v>
          </cell>
          <cell r="AB2163" t="str">
            <v/>
          </cell>
          <cell r="AC2163" t="str">
            <v/>
          </cell>
          <cell r="AD2163" t="str">
            <v/>
          </cell>
          <cell r="AE2163" t="str">
            <v/>
          </cell>
          <cell r="AF2163" t="str">
            <v/>
          </cell>
          <cell r="AG2163" t="str">
            <v>①</v>
          </cell>
          <cell r="AH2163" t="str">
            <v/>
          </cell>
          <cell r="AI2163" t="str">
            <v/>
          </cell>
        </row>
        <row r="2164">
          <cell r="B2164">
            <v>12412</v>
          </cell>
          <cell r="C2164">
            <v>124</v>
          </cell>
          <cell r="D2164">
            <v>12</v>
          </cell>
          <cell r="F2164" t="str">
            <v>市川帳票</v>
          </cell>
          <cell r="G2164" t="str">
            <v>防排煙制御(外観)</v>
          </cell>
          <cell r="H2164" t="str">
            <v>ホーチキ</v>
          </cell>
          <cell r="I2164">
            <v>32000</v>
          </cell>
          <cell r="J2164">
            <v>32640</v>
          </cell>
          <cell r="K2164">
            <v>1</v>
          </cell>
          <cell r="L2164">
            <v>0</v>
          </cell>
          <cell r="M2164">
            <v>0</v>
          </cell>
          <cell r="N2164">
            <v>0</v>
          </cell>
          <cell r="O2164">
            <v>32640</v>
          </cell>
          <cell r="P2164">
            <v>0</v>
          </cell>
          <cell r="Q2164">
            <v>0</v>
          </cell>
          <cell r="R2164">
            <v>0</v>
          </cell>
          <cell r="S2164">
            <v>0</v>
          </cell>
          <cell r="T2164">
            <v>0</v>
          </cell>
          <cell r="U2164">
            <v>0</v>
          </cell>
          <cell r="V2164">
            <v>0</v>
          </cell>
          <cell r="W2164">
            <v>0</v>
          </cell>
          <cell r="X2164" t="str">
            <v/>
          </cell>
          <cell r="Y2164" t="str">
            <v/>
          </cell>
          <cell r="Z2164" t="str">
            <v/>
          </cell>
          <cell r="AA2164" t="str">
            <v>⑦</v>
          </cell>
          <cell r="AB2164" t="str">
            <v/>
          </cell>
          <cell r="AC2164" t="str">
            <v/>
          </cell>
          <cell r="AD2164" t="str">
            <v/>
          </cell>
          <cell r="AE2164" t="str">
            <v/>
          </cell>
          <cell r="AF2164" t="str">
            <v/>
          </cell>
          <cell r="AG2164" t="str">
            <v/>
          </cell>
          <cell r="AH2164" t="str">
            <v/>
          </cell>
          <cell r="AI2164" t="str">
            <v/>
          </cell>
        </row>
        <row r="2165">
          <cell r="B2165">
            <v>12413</v>
          </cell>
          <cell r="C2165">
            <v>124</v>
          </cell>
          <cell r="D2165">
            <v>13</v>
          </cell>
          <cell r="F2165" t="str">
            <v>市川帳票</v>
          </cell>
          <cell r="G2165" t="str">
            <v>防排煙制御(総合)</v>
          </cell>
          <cell r="H2165" t="str">
            <v>ホーチキ</v>
          </cell>
          <cell r="I2165">
            <v>47000</v>
          </cell>
          <cell r="J2165">
            <v>47940</v>
          </cell>
          <cell r="K2165">
            <v>1</v>
          </cell>
          <cell r="L2165">
            <v>0</v>
          </cell>
          <cell r="M2165">
            <v>0</v>
          </cell>
          <cell r="N2165">
            <v>0</v>
          </cell>
          <cell r="O2165">
            <v>0</v>
          </cell>
          <cell r="P2165">
            <v>0</v>
          </cell>
          <cell r="Q2165">
            <v>0</v>
          </cell>
          <cell r="R2165">
            <v>0</v>
          </cell>
          <cell r="S2165">
            <v>0</v>
          </cell>
          <cell r="T2165">
            <v>0</v>
          </cell>
          <cell r="U2165">
            <v>47940</v>
          </cell>
          <cell r="V2165">
            <v>0</v>
          </cell>
          <cell r="W2165">
            <v>0</v>
          </cell>
          <cell r="X2165" t="str">
            <v/>
          </cell>
          <cell r="Y2165" t="str">
            <v/>
          </cell>
          <cell r="Z2165" t="str">
            <v/>
          </cell>
          <cell r="AA2165" t="str">
            <v/>
          </cell>
          <cell r="AB2165" t="str">
            <v/>
          </cell>
          <cell r="AC2165" t="str">
            <v/>
          </cell>
          <cell r="AD2165" t="str">
            <v/>
          </cell>
          <cell r="AE2165" t="str">
            <v/>
          </cell>
          <cell r="AF2165" t="str">
            <v/>
          </cell>
          <cell r="AG2165" t="str">
            <v>①</v>
          </cell>
          <cell r="AH2165" t="str">
            <v/>
          </cell>
          <cell r="AI2165" t="str">
            <v/>
          </cell>
        </row>
        <row r="2166">
          <cell r="B2166">
            <v>12414</v>
          </cell>
          <cell r="C2166">
            <v>124</v>
          </cell>
          <cell r="D2166">
            <v>14</v>
          </cell>
          <cell r="F2166" t="str">
            <v>市川帳票</v>
          </cell>
          <cell r="G2166" t="str">
            <v>シャッター設備保守</v>
          </cell>
          <cell r="H2166" t="str">
            <v>三和シャッター工業</v>
          </cell>
          <cell r="I2166">
            <v>100000</v>
          </cell>
          <cell r="J2166">
            <v>102000</v>
          </cell>
          <cell r="K2166">
            <v>2</v>
          </cell>
          <cell r="L2166">
            <v>0</v>
          </cell>
          <cell r="M2166">
            <v>0</v>
          </cell>
          <cell r="N2166">
            <v>0</v>
          </cell>
          <cell r="O2166">
            <v>102000</v>
          </cell>
          <cell r="P2166">
            <v>0</v>
          </cell>
          <cell r="Q2166">
            <v>0</v>
          </cell>
          <cell r="R2166">
            <v>0</v>
          </cell>
          <cell r="S2166">
            <v>0</v>
          </cell>
          <cell r="T2166">
            <v>0</v>
          </cell>
          <cell r="U2166">
            <v>102000</v>
          </cell>
          <cell r="V2166">
            <v>0</v>
          </cell>
          <cell r="W2166">
            <v>0</v>
          </cell>
          <cell r="X2166" t="str">
            <v/>
          </cell>
          <cell r="Y2166" t="str">
            <v/>
          </cell>
          <cell r="Z2166" t="str">
            <v/>
          </cell>
          <cell r="AA2166" t="str">
            <v>⑦</v>
          </cell>
          <cell r="AB2166" t="str">
            <v/>
          </cell>
          <cell r="AC2166" t="str">
            <v/>
          </cell>
          <cell r="AD2166" t="str">
            <v/>
          </cell>
          <cell r="AE2166" t="str">
            <v/>
          </cell>
          <cell r="AF2166" t="str">
            <v/>
          </cell>
          <cell r="AG2166" t="str">
            <v>①</v>
          </cell>
          <cell r="AH2166" t="str">
            <v/>
          </cell>
          <cell r="AI2166" t="str">
            <v/>
          </cell>
        </row>
        <row r="2167">
          <cell r="B2167">
            <v>12415</v>
          </cell>
          <cell r="C2167">
            <v>124</v>
          </cell>
          <cell r="D2167">
            <v>15</v>
          </cell>
          <cell r="F2167" t="str">
            <v>市川帳票</v>
          </cell>
          <cell r="G2167" t="str">
            <v>ＣＶＣＦ保守点検</v>
          </cell>
          <cell r="H2167" t="str">
            <v>富士電エンジ</v>
          </cell>
          <cell r="I2167">
            <v>460000</v>
          </cell>
          <cell r="J2167">
            <v>469200</v>
          </cell>
          <cell r="K2167">
            <v>1</v>
          </cell>
          <cell r="L2167">
            <v>0</v>
          </cell>
          <cell r="M2167">
            <v>0</v>
          </cell>
          <cell r="N2167">
            <v>0</v>
          </cell>
          <cell r="O2167">
            <v>0</v>
          </cell>
          <cell r="P2167">
            <v>0</v>
          </cell>
          <cell r="Q2167">
            <v>0</v>
          </cell>
          <cell r="R2167">
            <v>0</v>
          </cell>
          <cell r="S2167">
            <v>0</v>
          </cell>
          <cell r="T2167">
            <v>0</v>
          </cell>
          <cell r="U2167">
            <v>0</v>
          </cell>
          <cell r="V2167">
            <v>0</v>
          </cell>
          <cell r="W2167">
            <v>469200</v>
          </cell>
          <cell r="X2167" t="str">
            <v/>
          </cell>
          <cell r="Y2167" t="str">
            <v/>
          </cell>
          <cell r="Z2167" t="str">
            <v/>
          </cell>
          <cell r="AA2167" t="str">
            <v/>
          </cell>
          <cell r="AB2167" t="str">
            <v/>
          </cell>
          <cell r="AC2167" t="str">
            <v/>
          </cell>
          <cell r="AD2167" t="str">
            <v/>
          </cell>
          <cell r="AE2167" t="str">
            <v/>
          </cell>
          <cell r="AF2167" t="str">
            <v/>
          </cell>
          <cell r="AG2167" t="str">
            <v/>
          </cell>
          <cell r="AH2167" t="str">
            <v/>
          </cell>
          <cell r="AI2167" t="str">
            <v>③</v>
          </cell>
        </row>
        <row r="2168">
          <cell r="B2168">
            <v>12416</v>
          </cell>
          <cell r="C2168">
            <v>124</v>
          </cell>
          <cell r="D2168">
            <v>16</v>
          </cell>
          <cell r="F2168" t="str">
            <v>市川帳票</v>
          </cell>
          <cell r="G2168" t="str">
            <v>非常発電機設備保守</v>
          </cell>
          <cell r="H2168" t="str">
            <v>三菱重工汎用機械</v>
          </cell>
          <cell r="I2168">
            <v>165000</v>
          </cell>
          <cell r="J2168">
            <v>168300</v>
          </cell>
          <cell r="K2168">
            <v>1</v>
          </cell>
          <cell r="L2168">
            <v>0</v>
          </cell>
          <cell r="M2168">
            <v>0</v>
          </cell>
          <cell r="N2168">
            <v>0</v>
          </cell>
          <cell r="O2168">
            <v>0</v>
          </cell>
          <cell r="P2168">
            <v>0</v>
          </cell>
          <cell r="Q2168">
            <v>0</v>
          </cell>
          <cell r="R2168">
            <v>0</v>
          </cell>
          <cell r="S2168">
            <v>0</v>
          </cell>
          <cell r="T2168">
            <v>0</v>
          </cell>
          <cell r="U2168">
            <v>0</v>
          </cell>
          <cell r="V2168">
            <v>0</v>
          </cell>
          <cell r="W2168">
            <v>168300</v>
          </cell>
          <cell r="X2168" t="str">
            <v/>
          </cell>
          <cell r="Y2168" t="str">
            <v/>
          </cell>
          <cell r="Z2168" t="str">
            <v/>
          </cell>
          <cell r="AA2168" t="str">
            <v/>
          </cell>
          <cell r="AB2168" t="str">
            <v/>
          </cell>
          <cell r="AC2168" t="str">
            <v/>
          </cell>
          <cell r="AD2168" t="str">
            <v/>
          </cell>
          <cell r="AE2168" t="str">
            <v/>
          </cell>
          <cell r="AF2168" t="str">
            <v/>
          </cell>
          <cell r="AG2168" t="str">
            <v/>
          </cell>
          <cell r="AH2168" t="str">
            <v/>
          </cell>
          <cell r="AI2168" t="str">
            <v>③</v>
          </cell>
        </row>
        <row r="2169">
          <cell r="B2169">
            <v>12417</v>
          </cell>
          <cell r="C2169">
            <v>124</v>
          </cell>
          <cell r="D2169">
            <v>17</v>
          </cell>
          <cell r="F2169" t="str">
            <v>市川帳票</v>
          </cell>
          <cell r="G2169" t="str">
            <v>害虫駆除</v>
          </cell>
          <cell r="H2169" t="str">
            <v>ｴｰﾑﾌｧｼﾘﾃｨｻｰﾋﾞｽ</v>
          </cell>
          <cell r="I2169">
            <v>70000</v>
          </cell>
          <cell r="J2169">
            <v>77000</v>
          </cell>
          <cell r="K2169">
            <v>2</v>
          </cell>
          <cell r="L2169">
            <v>0</v>
          </cell>
          <cell r="M2169">
            <v>0</v>
          </cell>
          <cell r="N2169">
            <v>0</v>
          </cell>
          <cell r="O2169">
            <v>0</v>
          </cell>
          <cell r="P2169">
            <v>77000</v>
          </cell>
          <cell r="Q2169">
            <v>0</v>
          </cell>
          <cell r="R2169">
            <v>0</v>
          </cell>
          <cell r="S2169">
            <v>0</v>
          </cell>
          <cell r="T2169">
            <v>0</v>
          </cell>
          <cell r="U2169">
            <v>0</v>
          </cell>
          <cell r="V2169">
            <v>77000</v>
          </cell>
          <cell r="W2169">
            <v>0</v>
          </cell>
          <cell r="X2169" t="str">
            <v/>
          </cell>
          <cell r="Y2169" t="str">
            <v/>
          </cell>
          <cell r="Z2169" t="str">
            <v/>
          </cell>
          <cell r="AA2169" t="str">
            <v/>
          </cell>
          <cell r="AB2169" t="str">
            <v>⑧</v>
          </cell>
          <cell r="AC2169" t="str">
            <v/>
          </cell>
          <cell r="AD2169" t="str">
            <v/>
          </cell>
          <cell r="AE2169" t="str">
            <v/>
          </cell>
          <cell r="AF2169" t="str">
            <v/>
          </cell>
          <cell r="AG2169" t="str">
            <v/>
          </cell>
          <cell r="AH2169" t="str">
            <v>②</v>
          </cell>
          <cell r="AI2169" t="str">
            <v/>
          </cell>
        </row>
        <row r="2170">
          <cell r="B2170">
            <v>12418</v>
          </cell>
          <cell r="C2170">
            <v>124</v>
          </cell>
          <cell r="D2170">
            <v>18</v>
          </cell>
          <cell r="F2170" t="str">
            <v>市川帳票</v>
          </cell>
          <cell r="G2170" t="str">
            <v>受水槽清掃</v>
          </cell>
          <cell r="H2170" t="str">
            <v>杉田商工</v>
          </cell>
          <cell r="I2170">
            <v>44000</v>
          </cell>
          <cell r="J2170">
            <v>49720</v>
          </cell>
          <cell r="K2170">
            <v>1</v>
          </cell>
          <cell r="L2170">
            <v>0</v>
          </cell>
          <cell r="M2170">
            <v>0</v>
          </cell>
          <cell r="N2170">
            <v>0</v>
          </cell>
          <cell r="O2170">
            <v>0</v>
          </cell>
          <cell r="P2170">
            <v>0</v>
          </cell>
          <cell r="Q2170">
            <v>0</v>
          </cell>
          <cell r="R2170">
            <v>49720</v>
          </cell>
          <cell r="S2170">
            <v>0</v>
          </cell>
          <cell r="T2170">
            <v>0</v>
          </cell>
          <cell r="U2170">
            <v>0</v>
          </cell>
          <cell r="V2170">
            <v>0</v>
          </cell>
          <cell r="W2170">
            <v>0</v>
          </cell>
          <cell r="X2170" t="str">
            <v/>
          </cell>
          <cell r="Y2170" t="str">
            <v/>
          </cell>
          <cell r="Z2170" t="str">
            <v/>
          </cell>
          <cell r="AA2170" t="str">
            <v/>
          </cell>
          <cell r="AB2170" t="str">
            <v/>
          </cell>
          <cell r="AC2170" t="str">
            <v/>
          </cell>
          <cell r="AD2170" t="str">
            <v>⑩</v>
          </cell>
          <cell r="AE2170" t="str">
            <v/>
          </cell>
          <cell r="AF2170" t="str">
            <v/>
          </cell>
          <cell r="AG2170" t="str">
            <v/>
          </cell>
          <cell r="AH2170" t="str">
            <v/>
          </cell>
          <cell r="AI2170" t="str">
            <v/>
          </cell>
        </row>
        <row r="2171">
          <cell r="B2171">
            <v>12419</v>
          </cell>
          <cell r="C2171">
            <v>124</v>
          </cell>
          <cell r="D2171">
            <v>19</v>
          </cell>
          <cell r="F2171" t="str">
            <v>市川帳票</v>
          </cell>
          <cell r="G2171" t="str">
            <v>植栽管理</v>
          </cell>
          <cell r="H2171" t="str">
            <v>昭立造園</v>
          </cell>
          <cell r="I2171">
            <v>490000</v>
          </cell>
          <cell r="J2171">
            <v>499800</v>
          </cell>
          <cell r="K2171">
            <v>2</v>
          </cell>
          <cell r="L2171">
            <v>0</v>
          </cell>
          <cell r="M2171">
            <v>0</v>
          </cell>
          <cell r="N2171">
            <v>0</v>
          </cell>
          <cell r="O2171">
            <v>499800</v>
          </cell>
          <cell r="P2171">
            <v>0</v>
          </cell>
          <cell r="Q2171">
            <v>0</v>
          </cell>
          <cell r="R2171">
            <v>0</v>
          </cell>
          <cell r="S2171">
            <v>0</v>
          </cell>
          <cell r="T2171">
            <v>0</v>
          </cell>
          <cell r="U2171">
            <v>0</v>
          </cell>
          <cell r="V2171">
            <v>499800</v>
          </cell>
          <cell r="W2171">
            <v>0</v>
          </cell>
          <cell r="X2171" t="str">
            <v/>
          </cell>
          <cell r="Y2171" t="str">
            <v/>
          </cell>
          <cell r="Z2171" t="str">
            <v/>
          </cell>
          <cell r="AA2171" t="str">
            <v>⑦</v>
          </cell>
          <cell r="AB2171" t="str">
            <v/>
          </cell>
          <cell r="AC2171" t="str">
            <v/>
          </cell>
          <cell r="AD2171" t="str">
            <v/>
          </cell>
          <cell r="AE2171" t="str">
            <v/>
          </cell>
          <cell r="AF2171" t="str">
            <v/>
          </cell>
          <cell r="AG2171" t="str">
            <v/>
          </cell>
          <cell r="AH2171" t="str">
            <v>②</v>
          </cell>
          <cell r="AI2171" t="str">
            <v/>
          </cell>
        </row>
        <row r="2172">
          <cell r="B2172">
            <v>12501</v>
          </cell>
          <cell r="C2172">
            <v>125</v>
          </cell>
          <cell r="D2172">
            <v>1</v>
          </cell>
          <cell r="F2172" t="str">
            <v>湖北</v>
          </cell>
          <cell r="G2172" t="str">
            <v>エレベーター保守</v>
          </cell>
          <cell r="H2172" t="str">
            <v>三菱電機ﾋﾞﾙﾃｸﾉｻｰﾋﾞｽ</v>
          </cell>
          <cell r="I2172">
            <v>108600</v>
          </cell>
          <cell r="J2172">
            <v>110772</v>
          </cell>
          <cell r="K2172">
            <v>12</v>
          </cell>
          <cell r="L2172">
            <v>110772</v>
          </cell>
          <cell r="M2172">
            <v>110772</v>
          </cell>
          <cell r="N2172">
            <v>110772</v>
          </cell>
          <cell r="O2172">
            <v>110772</v>
          </cell>
          <cell r="P2172">
            <v>110772</v>
          </cell>
          <cell r="Q2172">
            <v>110772</v>
          </cell>
          <cell r="R2172">
            <v>110772</v>
          </cell>
          <cell r="S2172">
            <v>110772</v>
          </cell>
          <cell r="T2172">
            <v>110772</v>
          </cell>
          <cell r="U2172">
            <v>110772</v>
          </cell>
          <cell r="V2172">
            <v>110772</v>
          </cell>
          <cell r="W2172">
            <v>110772</v>
          </cell>
          <cell r="X2172" t="str">
            <v>④</v>
          </cell>
          <cell r="Y2172" t="str">
            <v>⑤</v>
          </cell>
          <cell r="Z2172" t="str">
            <v>⑥</v>
          </cell>
          <cell r="AA2172" t="str">
            <v>⑦</v>
          </cell>
          <cell r="AB2172" t="str">
            <v>⑧</v>
          </cell>
          <cell r="AC2172" t="str">
            <v>⑨</v>
          </cell>
          <cell r="AD2172" t="str">
            <v>⑩</v>
          </cell>
          <cell r="AE2172" t="str">
            <v>⑪</v>
          </cell>
          <cell r="AF2172" t="str">
            <v>⑫</v>
          </cell>
          <cell r="AG2172" t="str">
            <v>①</v>
          </cell>
          <cell r="AH2172" t="str">
            <v>②</v>
          </cell>
          <cell r="AI2172" t="str">
            <v>③</v>
          </cell>
        </row>
        <row r="2173">
          <cell r="B2173">
            <v>12502</v>
          </cell>
          <cell r="C2173">
            <v>125</v>
          </cell>
          <cell r="D2173">
            <v>2</v>
          </cell>
          <cell r="F2173" t="str">
            <v>湖北</v>
          </cell>
          <cell r="G2173" t="str">
            <v>消防設備点検保守(総合)</v>
          </cell>
          <cell r="H2173" t="str">
            <v>モリタ</v>
          </cell>
          <cell r="I2173">
            <v>546000</v>
          </cell>
          <cell r="J2173">
            <v>556920</v>
          </cell>
          <cell r="K2173">
            <v>1</v>
          </cell>
          <cell r="L2173">
            <v>0</v>
          </cell>
          <cell r="M2173">
            <v>0</v>
          </cell>
          <cell r="N2173">
            <v>0</v>
          </cell>
          <cell r="O2173">
            <v>556920</v>
          </cell>
          <cell r="P2173">
            <v>0</v>
          </cell>
          <cell r="Q2173">
            <v>0</v>
          </cell>
          <cell r="R2173">
            <v>0</v>
          </cell>
          <cell r="S2173">
            <v>0</v>
          </cell>
          <cell r="T2173">
            <v>0</v>
          </cell>
          <cell r="U2173">
            <v>0</v>
          </cell>
          <cell r="V2173">
            <v>0</v>
          </cell>
          <cell r="W2173">
            <v>0</v>
          </cell>
          <cell r="X2173" t="str">
            <v/>
          </cell>
          <cell r="Y2173" t="str">
            <v/>
          </cell>
          <cell r="Z2173" t="str">
            <v/>
          </cell>
          <cell r="AA2173" t="str">
            <v>⑦</v>
          </cell>
          <cell r="AB2173" t="str">
            <v/>
          </cell>
          <cell r="AC2173" t="str">
            <v/>
          </cell>
          <cell r="AD2173" t="str">
            <v/>
          </cell>
          <cell r="AE2173" t="str">
            <v/>
          </cell>
          <cell r="AF2173" t="str">
            <v/>
          </cell>
          <cell r="AG2173" t="str">
            <v/>
          </cell>
          <cell r="AH2173" t="str">
            <v/>
          </cell>
          <cell r="AI2173" t="str">
            <v/>
          </cell>
        </row>
        <row r="2174">
          <cell r="B2174">
            <v>12503</v>
          </cell>
          <cell r="C2174">
            <v>125</v>
          </cell>
          <cell r="D2174">
            <v>3</v>
          </cell>
          <cell r="F2174" t="str">
            <v>湖北</v>
          </cell>
          <cell r="G2174" t="str">
            <v>消防設備点検保守(外観)</v>
          </cell>
          <cell r="H2174" t="str">
            <v>モリタ</v>
          </cell>
          <cell r="I2174">
            <v>427000</v>
          </cell>
          <cell r="J2174">
            <v>435540</v>
          </cell>
          <cell r="K2174">
            <v>1</v>
          </cell>
          <cell r="L2174">
            <v>0</v>
          </cell>
          <cell r="M2174">
            <v>0</v>
          </cell>
          <cell r="N2174">
            <v>0</v>
          </cell>
          <cell r="O2174">
            <v>0</v>
          </cell>
          <cell r="P2174">
            <v>0</v>
          </cell>
          <cell r="Q2174">
            <v>0</v>
          </cell>
          <cell r="R2174">
            <v>0</v>
          </cell>
          <cell r="S2174">
            <v>0</v>
          </cell>
          <cell r="T2174">
            <v>0</v>
          </cell>
          <cell r="U2174">
            <v>435540</v>
          </cell>
          <cell r="V2174">
            <v>0</v>
          </cell>
          <cell r="W2174">
            <v>0</v>
          </cell>
          <cell r="X2174" t="str">
            <v/>
          </cell>
          <cell r="Y2174" t="str">
            <v/>
          </cell>
          <cell r="Z2174" t="str">
            <v/>
          </cell>
          <cell r="AA2174" t="str">
            <v/>
          </cell>
          <cell r="AB2174" t="str">
            <v/>
          </cell>
          <cell r="AC2174" t="str">
            <v/>
          </cell>
          <cell r="AD2174" t="str">
            <v/>
          </cell>
          <cell r="AE2174" t="str">
            <v/>
          </cell>
          <cell r="AF2174" t="str">
            <v/>
          </cell>
          <cell r="AG2174" t="str">
            <v>①</v>
          </cell>
          <cell r="AH2174" t="str">
            <v/>
          </cell>
          <cell r="AI2174" t="str">
            <v/>
          </cell>
        </row>
        <row r="2175">
          <cell r="B2175">
            <v>12504</v>
          </cell>
          <cell r="C2175">
            <v>125</v>
          </cell>
          <cell r="D2175">
            <v>4</v>
          </cell>
          <cell r="F2175" t="str">
            <v>湖北</v>
          </cell>
          <cell r="G2175" t="str">
            <v>浄化槽設備保守</v>
          </cell>
          <cell r="H2175" t="str">
            <v>虎姫衛生企業組合</v>
          </cell>
          <cell r="I2175">
            <v>450000</v>
          </cell>
          <cell r="J2175">
            <v>459000</v>
          </cell>
          <cell r="K2175">
            <v>1</v>
          </cell>
          <cell r="L2175">
            <v>0</v>
          </cell>
          <cell r="M2175">
            <v>0</v>
          </cell>
          <cell r="N2175">
            <v>0</v>
          </cell>
          <cell r="O2175">
            <v>0</v>
          </cell>
          <cell r="P2175">
            <v>0</v>
          </cell>
          <cell r="Q2175">
            <v>0</v>
          </cell>
          <cell r="R2175">
            <v>0</v>
          </cell>
          <cell r="S2175">
            <v>0</v>
          </cell>
          <cell r="T2175">
            <v>0</v>
          </cell>
          <cell r="U2175">
            <v>0</v>
          </cell>
          <cell r="V2175">
            <v>0</v>
          </cell>
          <cell r="W2175">
            <v>459000</v>
          </cell>
          <cell r="X2175" t="str">
            <v/>
          </cell>
          <cell r="Y2175" t="str">
            <v/>
          </cell>
          <cell r="Z2175" t="str">
            <v/>
          </cell>
          <cell r="AA2175" t="str">
            <v/>
          </cell>
          <cell r="AB2175" t="str">
            <v/>
          </cell>
          <cell r="AC2175" t="str">
            <v/>
          </cell>
          <cell r="AD2175" t="str">
            <v/>
          </cell>
          <cell r="AE2175" t="str">
            <v/>
          </cell>
          <cell r="AF2175" t="str">
            <v/>
          </cell>
          <cell r="AG2175" t="str">
            <v/>
          </cell>
          <cell r="AH2175" t="str">
            <v/>
          </cell>
          <cell r="AI2175" t="str">
            <v>③</v>
          </cell>
        </row>
        <row r="2176">
          <cell r="B2176">
            <v>12505</v>
          </cell>
          <cell r="C2176">
            <v>125</v>
          </cell>
          <cell r="D2176">
            <v>5</v>
          </cell>
          <cell r="F2176" t="str">
            <v>湖北</v>
          </cell>
          <cell r="G2176" t="str">
            <v>害虫駆除</v>
          </cell>
          <cell r="H2176" t="str">
            <v>アサンテ</v>
          </cell>
          <cell r="I2176">
            <v>158000</v>
          </cell>
          <cell r="J2176">
            <v>176000</v>
          </cell>
          <cell r="K2176">
            <v>2</v>
          </cell>
          <cell r="L2176">
            <v>0</v>
          </cell>
          <cell r="M2176">
            <v>0</v>
          </cell>
          <cell r="N2176">
            <v>176000</v>
          </cell>
          <cell r="O2176">
            <v>0</v>
          </cell>
          <cell r="P2176">
            <v>0</v>
          </cell>
          <cell r="Q2176">
            <v>0</v>
          </cell>
          <cell r="R2176">
            <v>0</v>
          </cell>
          <cell r="S2176">
            <v>176000</v>
          </cell>
          <cell r="T2176">
            <v>0</v>
          </cell>
          <cell r="U2176">
            <v>0</v>
          </cell>
          <cell r="V2176">
            <v>0</v>
          </cell>
          <cell r="W2176">
            <v>0</v>
          </cell>
          <cell r="X2176" t="str">
            <v/>
          </cell>
          <cell r="Y2176" t="str">
            <v/>
          </cell>
          <cell r="Z2176" t="str">
            <v>⑥</v>
          </cell>
          <cell r="AA2176" t="str">
            <v/>
          </cell>
          <cell r="AB2176" t="str">
            <v/>
          </cell>
          <cell r="AC2176" t="str">
            <v/>
          </cell>
          <cell r="AD2176" t="str">
            <v/>
          </cell>
          <cell r="AE2176" t="str">
            <v>⑪</v>
          </cell>
          <cell r="AF2176" t="str">
            <v/>
          </cell>
          <cell r="AG2176" t="str">
            <v/>
          </cell>
          <cell r="AH2176" t="str">
            <v/>
          </cell>
          <cell r="AI2176" t="str">
            <v/>
          </cell>
          <cell r="AJ2176" t="str">
            <v>変</v>
          </cell>
        </row>
        <row r="2177">
          <cell r="B2177">
            <v>12506</v>
          </cell>
          <cell r="C2177">
            <v>125</v>
          </cell>
          <cell r="D2177">
            <v>6</v>
          </cell>
          <cell r="F2177" t="str">
            <v>湖北</v>
          </cell>
          <cell r="G2177" t="str">
            <v>汚水･雑排水槽清掃</v>
          </cell>
          <cell r="H2177" t="str">
            <v>虎姫衛生組合</v>
          </cell>
          <cell r="I2177">
            <v>300000</v>
          </cell>
          <cell r="J2177">
            <v>336000</v>
          </cell>
          <cell r="K2177">
            <v>1</v>
          </cell>
          <cell r="L2177">
            <v>0</v>
          </cell>
          <cell r="M2177">
            <v>0</v>
          </cell>
          <cell r="N2177">
            <v>0</v>
          </cell>
          <cell r="O2177">
            <v>0</v>
          </cell>
          <cell r="P2177">
            <v>0</v>
          </cell>
          <cell r="Q2177">
            <v>0</v>
          </cell>
          <cell r="R2177">
            <v>0</v>
          </cell>
          <cell r="S2177">
            <v>0</v>
          </cell>
          <cell r="T2177">
            <v>0</v>
          </cell>
          <cell r="U2177">
            <v>0</v>
          </cell>
          <cell r="V2177">
            <v>0</v>
          </cell>
          <cell r="W2177">
            <v>336000</v>
          </cell>
          <cell r="X2177" t="str">
            <v/>
          </cell>
          <cell r="Y2177" t="str">
            <v/>
          </cell>
          <cell r="Z2177" t="str">
            <v/>
          </cell>
          <cell r="AA2177" t="str">
            <v/>
          </cell>
          <cell r="AB2177" t="str">
            <v/>
          </cell>
          <cell r="AC2177" t="str">
            <v/>
          </cell>
          <cell r="AD2177" t="str">
            <v/>
          </cell>
          <cell r="AE2177" t="str">
            <v/>
          </cell>
          <cell r="AF2177" t="str">
            <v/>
          </cell>
          <cell r="AG2177" t="str">
            <v/>
          </cell>
          <cell r="AH2177" t="str">
            <v/>
          </cell>
          <cell r="AI2177" t="str">
            <v>③</v>
          </cell>
        </row>
        <row r="2178">
          <cell r="B2178">
            <v>12507</v>
          </cell>
          <cell r="C2178">
            <v>125</v>
          </cell>
          <cell r="D2178">
            <v>7</v>
          </cell>
          <cell r="F2178" t="str">
            <v>湖北</v>
          </cell>
          <cell r="G2178" t="str">
            <v>受水槽清掃(含む高架水槽)</v>
          </cell>
          <cell r="H2178" t="str">
            <v>ダイヤサービス</v>
          </cell>
          <cell r="I2178">
            <v>47250</v>
          </cell>
          <cell r="J2178">
            <v>53392</v>
          </cell>
          <cell r="K2178">
            <v>1</v>
          </cell>
          <cell r="L2178">
            <v>0</v>
          </cell>
          <cell r="M2178">
            <v>0</v>
          </cell>
          <cell r="N2178">
            <v>0</v>
          </cell>
          <cell r="O2178">
            <v>0</v>
          </cell>
          <cell r="P2178">
            <v>0</v>
          </cell>
          <cell r="Q2178">
            <v>0</v>
          </cell>
          <cell r="R2178">
            <v>0</v>
          </cell>
          <cell r="S2178">
            <v>0</v>
          </cell>
          <cell r="T2178">
            <v>53392</v>
          </cell>
          <cell r="U2178">
            <v>0</v>
          </cell>
          <cell r="V2178">
            <v>0</v>
          </cell>
          <cell r="W2178">
            <v>0</v>
          </cell>
          <cell r="X2178" t="str">
            <v/>
          </cell>
          <cell r="Y2178" t="str">
            <v/>
          </cell>
          <cell r="Z2178" t="str">
            <v/>
          </cell>
          <cell r="AA2178" t="str">
            <v/>
          </cell>
          <cell r="AB2178" t="str">
            <v/>
          </cell>
          <cell r="AC2178" t="str">
            <v/>
          </cell>
          <cell r="AD2178" t="str">
            <v/>
          </cell>
          <cell r="AE2178" t="str">
            <v/>
          </cell>
          <cell r="AF2178" t="str">
            <v>⑫</v>
          </cell>
          <cell r="AG2178" t="str">
            <v/>
          </cell>
          <cell r="AH2178" t="str">
            <v/>
          </cell>
          <cell r="AI2178" t="str">
            <v/>
          </cell>
        </row>
        <row r="2179">
          <cell r="B2179">
            <v>12508</v>
          </cell>
          <cell r="C2179">
            <v>125</v>
          </cell>
          <cell r="D2179">
            <v>8</v>
          </cell>
          <cell r="F2179" t="str">
            <v>湖北</v>
          </cell>
          <cell r="G2179" t="str">
            <v>自動ドアー保守</v>
          </cell>
          <cell r="H2179" t="str">
            <v>ナブコドア</v>
          </cell>
          <cell r="I2179">
            <v>60000</v>
          </cell>
          <cell r="J2179">
            <v>64320</v>
          </cell>
          <cell r="K2179">
            <v>1</v>
          </cell>
          <cell r="L2179">
            <v>64320</v>
          </cell>
          <cell r="M2179">
            <v>0</v>
          </cell>
          <cell r="N2179">
            <v>0</v>
          </cell>
          <cell r="O2179">
            <v>0</v>
          </cell>
          <cell r="P2179">
            <v>0</v>
          </cell>
          <cell r="Q2179">
            <v>0</v>
          </cell>
          <cell r="R2179">
            <v>0</v>
          </cell>
          <cell r="S2179">
            <v>0</v>
          </cell>
          <cell r="T2179">
            <v>0</v>
          </cell>
          <cell r="U2179">
            <v>0</v>
          </cell>
          <cell r="V2179">
            <v>0</v>
          </cell>
          <cell r="W2179">
            <v>0</v>
          </cell>
          <cell r="X2179" t="str">
            <v>④</v>
          </cell>
          <cell r="Y2179" t="str">
            <v/>
          </cell>
          <cell r="Z2179" t="str">
            <v/>
          </cell>
          <cell r="AA2179" t="str">
            <v/>
          </cell>
          <cell r="AB2179" t="str">
            <v/>
          </cell>
          <cell r="AC2179" t="str">
            <v/>
          </cell>
          <cell r="AD2179" t="str">
            <v/>
          </cell>
          <cell r="AE2179" t="str">
            <v/>
          </cell>
          <cell r="AF2179" t="str">
            <v/>
          </cell>
          <cell r="AG2179" t="str">
            <v/>
          </cell>
          <cell r="AH2179" t="str">
            <v/>
          </cell>
          <cell r="AI2179" t="str">
            <v/>
          </cell>
          <cell r="AJ2179" t="str">
            <v>変</v>
          </cell>
        </row>
        <row r="2180">
          <cell r="B2180">
            <v>12509</v>
          </cell>
          <cell r="C2180">
            <v>125</v>
          </cell>
          <cell r="D2180">
            <v>9</v>
          </cell>
          <cell r="F2180" t="str">
            <v>湖北</v>
          </cell>
          <cell r="G2180" t="str">
            <v>植栽管理</v>
          </cell>
          <cell r="H2180" t="str">
            <v>湖北町生きがい事業ｾﾝﾀｰ</v>
          </cell>
          <cell r="I2180">
            <v>270000</v>
          </cell>
          <cell r="J2180">
            <v>310500</v>
          </cell>
          <cell r="K2180">
            <v>3</v>
          </cell>
          <cell r="L2180">
            <v>0</v>
          </cell>
          <cell r="M2180">
            <v>0</v>
          </cell>
          <cell r="N2180">
            <v>310500</v>
          </cell>
          <cell r="O2180">
            <v>0</v>
          </cell>
          <cell r="P2180">
            <v>310500</v>
          </cell>
          <cell r="Q2180">
            <v>0</v>
          </cell>
          <cell r="R2180">
            <v>0</v>
          </cell>
          <cell r="S2180">
            <v>310500</v>
          </cell>
          <cell r="T2180">
            <v>0</v>
          </cell>
          <cell r="U2180">
            <v>0</v>
          </cell>
          <cell r="V2180">
            <v>0</v>
          </cell>
          <cell r="W2180">
            <v>0</v>
          </cell>
          <cell r="X2180" t="str">
            <v/>
          </cell>
          <cell r="Z2180" t="str">
            <v>⑥</v>
          </cell>
          <cell r="AB2180" t="str">
            <v>⑧</v>
          </cell>
          <cell r="AE2180" t="str">
            <v>⑪</v>
          </cell>
          <cell r="AJ2180" t="str">
            <v>追</v>
          </cell>
        </row>
        <row r="2181">
          <cell r="B2181">
            <v>12510</v>
          </cell>
          <cell r="C2181">
            <v>125</v>
          </cell>
          <cell r="D2181">
            <v>10</v>
          </cell>
          <cell r="F2181" t="str">
            <v>湖北</v>
          </cell>
          <cell r="G2181" t="str">
            <v>植栽管理</v>
          </cell>
          <cell r="H2181" t="str">
            <v>湖北町生きがい事業ｾﾝﾀｰ</v>
          </cell>
          <cell r="I2181">
            <v>100000</v>
          </cell>
          <cell r="J2181">
            <v>115000</v>
          </cell>
          <cell r="K2181">
            <v>1</v>
          </cell>
          <cell r="L2181">
            <v>0</v>
          </cell>
          <cell r="M2181">
            <v>0</v>
          </cell>
          <cell r="N2181">
            <v>0</v>
          </cell>
          <cell r="O2181">
            <v>0</v>
          </cell>
          <cell r="P2181">
            <v>0</v>
          </cell>
          <cell r="Q2181">
            <v>0</v>
          </cell>
          <cell r="R2181">
            <v>0</v>
          </cell>
          <cell r="S2181">
            <v>0</v>
          </cell>
          <cell r="T2181">
            <v>0</v>
          </cell>
          <cell r="U2181">
            <v>115000</v>
          </cell>
          <cell r="V2181">
            <v>0</v>
          </cell>
          <cell r="W2181">
            <v>0</v>
          </cell>
          <cell r="X2181" t="str">
            <v/>
          </cell>
          <cell r="AG2181" t="str">
            <v>①</v>
          </cell>
          <cell r="AI2181" t="str">
            <v/>
          </cell>
          <cell r="AJ2181" t="str">
            <v>追</v>
          </cell>
        </row>
        <row r="2182">
          <cell r="B2182">
            <v>12511</v>
          </cell>
          <cell r="C2182">
            <v>125</v>
          </cell>
          <cell r="D2182">
            <v>11</v>
          </cell>
          <cell r="F2182" t="str">
            <v>湖北</v>
          </cell>
          <cell r="G2182" t="str">
            <v>融雪装置設備洗浄</v>
          </cell>
          <cell r="H2182" t="str">
            <v>ダイヤサービス</v>
          </cell>
          <cell r="I2182">
            <v>100000</v>
          </cell>
          <cell r="J2182">
            <v>115000</v>
          </cell>
          <cell r="K2182">
            <v>1</v>
          </cell>
          <cell r="L2182">
            <v>0</v>
          </cell>
          <cell r="M2182">
            <v>0</v>
          </cell>
          <cell r="N2182">
            <v>0</v>
          </cell>
          <cell r="O2182">
            <v>0</v>
          </cell>
          <cell r="P2182">
            <v>0</v>
          </cell>
          <cell r="Q2182">
            <v>0</v>
          </cell>
          <cell r="R2182">
            <v>0</v>
          </cell>
          <cell r="S2182">
            <v>0</v>
          </cell>
          <cell r="T2182">
            <v>115000</v>
          </cell>
          <cell r="U2182">
            <v>0</v>
          </cell>
          <cell r="V2182">
            <v>0</v>
          </cell>
          <cell r="W2182">
            <v>0</v>
          </cell>
          <cell r="X2182" t="str">
            <v/>
          </cell>
          <cell r="AF2182" t="str">
            <v>⑫</v>
          </cell>
          <cell r="AI2182" t="str">
            <v/>
          </cell>
          <cell r="AJ2182" t="str">
            <v>追</v>
          </cell>
        </row>
        <row r="2183">
          <cell r="B2183">
            <v>12512</v>
          </cell>
          <cell r="C2183">
            <v>125</v>
          </cell>
          <cell r="D2183">
            <v>12</v>
          </cell>
          <cell r="F2183" t="str">
            <v>湖北</v>
          </cell>
          <cell r="G2183" t="str">
            <v>ムカデ駆除作業</v>
          </cell>
          <cell r="H2183" t="str">
            <v>アサンテ</v>
          </cell>
          <cell r="I2183">
            <v>42000</v>
          </cell>
          <cell r="J2183">
            <v>48300</v>
          </cell>
          <cell r="K2183">
            <v>1</v>
          </cell>
          <cell r="L2183">
            <v>0</v>
          </cell>
          <cell r="M2183">
            <v>48300</v>
          </cell>
          <cell r="N2183">
            <v>0</v>
          </cell>
          <cell r="O2183">
            <v>0</v>
          </cell>
          <cell r="P2183">
            <v>0</v>
          </cell>
          <cell r="Q2183">
            <v>0</v>
          </cell>
          <cell r="R2183">
            <v>0</v>
          </cell>
          <cell r="S2183">
            <v>0</v>
          </cell>
          <cell r="T2183">
            <v>0</v>
          </cell>
          <cell r="U2183">
            <v>0</v>
          </cell>
          <cell r="V2183">
            <v>0</v>
          </cell>
          <cell r="W2183">
            <v>0</v>
          </cell>
          <cell r="X2183" t="str">
            <v/>
          </cell>
          <cell r="Y2183" t="str">
            <v>⑤</v>
          </cell>
          <cell r="AI2183" t="str">
            <v/>
          </cell>
          <cell r="AJ2183" t="str">
            <v>追</v>
          </cell>
        </row>
        <row r="2184">
          <cell r="B2184">
            <v>12513</v>
          </cell>
          <cell r="C2184">
            <v>125</v>
          </cell>
          <cell r="D2184">
            <v>13</v>
          </cell>
          <cell r="F2184" t="str">
            <v>湖北</v>
          </cell>
          <cell r="G2184" t="str">
            <v>ムカデ駆除作業</v>
          </cell>
          <cell r="H2184" t="str">
            <v>アサンテ</v>
          </cell>
          <cell r="I2184">
            <v>38600</v>
          </cell>
          <cell r="J2184">
            <v>44390</v>
          </cell>
          <cell r="K2184">
            <v>1</v>
          </cell>
          <cell r="L2184">
            <v>0</v>
          </cell>
          <cell r="M2184">
            <v>0</v>
          </cell>
          <cell r="N2184">
            <v>0</v>
          </cell>
          <cell r="O2184">
            <v>44390</v>
          </cell>
          <cell r="P2184">
            <v>0</v>
          </cell>
          <cell r="Q2184">
            <v>0</v>
          </cell>
          <cell r="R2184">
            <v>0</v>
          </cell>
          <cell r="S2184">
            <v>0</v>
          </cell>
          <cell r="T2184">
            <v>0</v>
          </cell>
          <cell r="U2184">
            <v>0</v>
          </cell>
          <cell r="V2184">
            <v>0</v>
          </cell>
          <cell r="W2184">
            <v>0</v>
          </cell>
          <cell r="X2184" t="str">
            <v/>
          </cell>
          <cell r="AA2184" t="str">
            <v>⑦</v>
          </cell>
          <cell r="AI2184" t="str">
            <v/>
          </cell>
          <cell r="AJ2184" t="str">
            <v>追</v>
          </cell>
        </row>
        <row r="2185">
          <cell r="B2185">
            <v>12514</v>
          </cell>
          <cell r="C2185">
            <v>125</v>
          </cell>
          <cell r="D2185">
            <v>14</v>
          </cell>
          <cell r="F2185" t="str">
            <v>湖北</v>
          </cell>
          <cell r="G2185" t="str">
            <v>粉塵測定作業</v>
          </cell>
          <cell r="H2185" t="str">
            <v>ダイヤサービス</v>
          </cell>
          <cell r="I2185">
            <v>30000</v>
          </cell>
          <cell r="J2185">
            <v>34500</v>
          </cell>
          <cell r="K2185">
            <v>1</v>
          </cell>
          <cell r="L2185">
            <v>0</v>
          </cell>
          <cell r="M2185">
            <v>0</v>
          </cell>
          <cell r="N2185">
            <v>0</v>
          </cell>
          <cell r="O2185">
            <v>0</v>
          </cell>
          <cell r="P2185">
            <v>0</v>
          </cell>
          <cell r="Q2185">
            <v>0</v>
          </cell>
          <cell r="R2185">
            <v>0</v>
          </cell>
          <cell r="S2185">
            <v>0</v>
          </cell>
          <cell r="T2185">
            <v>0</v>
          </cell>
          <cell r="U2185">
            <v>0</v>
          </cell>
          <cell r="V2185">
            <v>0</v>
          </cell>
          <cell r="W2185">
            <v>34500</v>
          </cell>
          <cell r="X2185" t="str">
            <v/>
          </cell>
          <cell r="Y2185" t="str">
            <v/>
          </cell>
          <cell r="AA2185" t="str">
            <v/>
          </cell>
          <cell r="AB2185" t="str">
            <v/>
          </cell>
          <cell r="AC2185" t="str">
            <v/>
          </cell>
          <cell r="AD2185" t="str">
            <v/>
          </cell>
          <cell r="AE2185" t="str">
            <v/>
          </cell>
          <cell r="AF2185" t="str">
            <v/>
          </cell>
          <cell r="AG2185" t="str">
            <v/>
          </cell>
          <cell r="AH2185" t="str">
            <v/>
          </cell>
          <cell r="AI2185" t="str">
            <v>③</v>
          </cell>
          <cell r="AJ2185" t="str">
            <v>追</v>
          </cell>
        </row>
        <row r="2186">
          <cell r="B2186">
            <v>12601</v>
          </cell>
          <cell r="C2186">
            <v>126</v>
          </cell>
          <cell r="D2186">
            <v>1</v>
          </cell>
          <cell r="F2186" t="str">
            <v>能開</v>
          </cell>
          <cell r="G2186" t="str">
            <v>昇降機設備保守</v>
          </cell>
          <cell r="H2186" t="str">
            <v>三菱電機ﾋﾞﾙﾃｸﾉｻｰﾋﾞｽ</v>
          </cell>
          <cell r="I2186">
            <v>245700</v>
          </cell>
          <cell r="J2186">
            <v>250614</v>
          </cell>
          <cell r="K2186">
            <v>12</v>
          </cell>
          <cell r="L2186">
            <v>250614</v>
          </cell>
          <cell r="M2186">
            <v>250614</v>
          </cell>
          <cell r="N2186">
            <v>250614</v>
          </cell>
          <cell r="O2186">
            <v>250614</v>
          </cell>
          <cell r="P2186">
            <v>250614</v>
          </cell>
          <cell r="Q2186">
            <v>250614</v>
          </cell>
          <cell r="R2186">
            <v>250614</v>
          </cell>
          <cell r="S2186">
            <v>250614</v>
          </cell>
          <cell r="T2186">
            <v>250614</v>
          </cell>
          <cell r="U2186">
            <v>250614</v>
          </cell>
          <cell r="V2186">
            <v>250614</v>
          </cell>
          <cell r="W2186">
            <v>250614</v>
          </cell>
          <cell r="X2186" t="str">
            <v>④</v>
          </cell>
          <cell r="Y2186" t="str">
            <v>⑤</v>
          </cell>
          <cell r="Z2186" t="str">
            <v>⑥</v>
          </cell>
          <cell r="AA2186" t="str">
            <v>⑦</v>
          </cell>
          <cell r="AB2186" t="str">
            <v>⑧</v>
          </cell>
          <cell r="AC2186" t="str">
            <v>⑨</v>
          </cell>
          <cell r="AD2186" t="str">
            <v>⑩</v>
          </cell>
          <cell r="AE2186" t="str">
            <v>⑪</v>
          </cell>
          <cell r="AF2186" t="str">
            <v>⑫</v>
          </cell>
          <cell r="AG2186" t="str">
            <v>①</v>
          </cell>
          <cell r="AH2186" t="str">
            <v>②</v>
          </cell>
          <cell r="AI2186" t="str">
            <v>③</v>
          </cell>
        </row>
        <row r="2187">
          <cell r="B2187">
            <v>12602</v>
          </cell>
          <cell r="C2187">
            <v>126</v>
          </cell>
          <cell r="D2187">
            <v>2</v>
          </cell>
          <cell r="F2187" t="str">
            <v>能開</v>
          </cell>
          <cell r="G2187" t="str">
            <v>消火器(外観)</v>
          </cell>
          <cell r="H2187" t="str">
            <v>ホーチキ</v>
          </cell>
          <cell r="I2187">
            <v>25000</v>
          </cell>
          <cell r="J2187">
            <v>25500</v>
          </cell>
          <cell r="K2187">
            <v>2</v>
          </cell>
          <cell r="L2187">
            <v>0</v>
          </cell>
          <cell r="M2187">
            <v>25500</v>
          </cell>
          <cell r="N2187">
            <v>0</v>
          </cell>
          <cell r="O2187">
            <v>0</v>
          </cell>
          <cell r="P2187">
            <v>0</v>
          </cell>
          <cell r="Q2187">
            <v>0</v>
          </cell>
          <cell r="R2187">
            <v>0</v>
          </cell>
          <cell r="S2187">
            <v>25500</v>
          </cell>
          <cell r="T2187">
            <v>0</v>
          </cell>
          <cell r="U2187">
            <v>0</v>
          </cell>
          <cell r="V2187">
            <v>0</v>
          </cell>
          <cell r="W2187">
            <v>0</v>
          </cell>
          <cell r="X2187" t="str">
            <v/>
          </cell>
          <cell r="Y2187" t="str">
            <v>⑤</v>
          </cell>
          <cell r="Z2187" t="str">
            <v/>
          </cell>
          <cell r="AA2187" t="str">
            <v/>
          </cell>
          <cell r="AB2187" t="str">
            <v/>
          </cell>
          <cell r="AC2187" t="str">
            <v/>
          </cell>
          <cell r="AD2187" t="str">
            <v/>
          </cell>
          <cell r="AE2187" t="str">
            <v>⑪</v>
          </cell>
          <cell r="AF2187" t="str">
            <v/>
          </cell>
          <cell r="AG2187" t="str">
            <v/>
          </cell>
          <cell r="AH2187" t="str">
            <v/>
          </cell>
          <cell r="AI2187" t="str">
            <v/>
          </cell>
        </row>
        <row r="2188">
          <cell r="B2188">
            <v>12603</v>
          </cell>
          <cell r="C2188">
            <v>126</v>
          </cell>
          <cell r="D2188">
            <v>3</v>
          </cell>
          <cell r="F2188" t="str">
            <v>能開</v>
          </cell>
          <cell r="G2188" t="str">
            <v>屋内消火栓(外観)</v>
          </cell>
          <cell r="H2188" t="str">
            <v>ホーチキ</v>
          </cell>
          <cell r="I2188">
            <v>57000</v>
          </cell>
          <cell r="J2188">
            <v>58140</v>
          </cell>
          <cell r="K2188">
            <v>1</v>
          </cell>
          <cell r="L2188">
            <v>0</v>
          </cell>
          <cell r="M2188">
            <v>0</v>
          </cell>
          <cell r="N2188">
            <v>0</v>
          </cell>
          <cell r="O2188">
            <v>0</v>
          </cell>
          <cell r="P2188">
            <v>0</v>
          </cell>
          <cell r="Q2188">
            <v>0</v>
          </cell>
          <cell r="R2188">
            <v>0</v>
          </cell>
          <cell r="S2188">
            <v>58140</v>
          </cell>
          <cell r="T2188">
            <v>0</v>
          </cell>
          <cell r="U2188">
            <v>0</v>
          </cell>
          <cell r="V2188">
            <v>0</v>
          </cell>
          <cell r="W2188">
            <v>0</v>
          </cell>
          <cell r="X2188" t="str">
            <v/>
          </cell>
          <cell r="Y2188" t="str">
            <v/>
          </cell>
          <cell r="Z2188" t="str">
            <v/>
          </cell>
          <cell r="AA2188" t="str">
            <v/>
          </cell>
          <cell r="AB2188" t="str">
            <v/>
          </cell>
          <cell r="AC2188" t="str">
            <v/>
          </cell>
          <cell r="AD2188" t="str">
            <v/>
          </cell>
          <cell r="AE2188" t="str">
            <v>⑪</v>
          </cell>
          <cell r="AF2188" t="str">
            <v/>
          </cell>
          <cell r="AG2188" t="str">
            <v/>
          </cell>
          <cell r="AH2188" t="str">
            <v/>
          </cell>
          <cell r="AI2188" t="str">
            <v/>
          </cell>
        </row>
        <row r="2189">
          <cell r="B2189">
            <v>12604</v>
          </cell>
          <cell r="C2189">
            <v>126</v>
          </cell>
          <cell r="D2189">
            <v>4</v>
          </cell>
          <cell r="F2189" t="str">
            <v>能開</v>
          </cell>
          <cell r="G2189" t="str">
            <v>屋内消火栓(総合)</v>
          </cell>
          <cell r="H2189" t="str">
            <v>ホーチキ</v>
          </cell>
          <cell r="I2189">
            <v>73000</v>
          </cell>
          <cell r="J2189">
            <v>74460</v>
          </cell>
          <cell r="K2189">
            <v>1</v>
          </cell>
          <cell r="L2189">
            <v>0</v>
          </cell>
          <cell r="M2189">
            <v>74460</v>
          </cell>
          <cell r="N2189">
            <v>0</v>
          </cell>
          <cell r="O2189">
            <v>0</v>
          </cell>
          <cell r="P2189">
            <v>0</v>
          </cell>
          <cell r="Q2189">
            <v>0</v>
          </cell>
          <cell r="R2189">
            <v>0</v>
          </cell>
          <cell r="S2189">
            <v>0</v>
          </cell>
          <cell r="T2189">
            <v>0</v>
          </cell>
          <cell r="U2189">
            <v>0</v>
          </cell>
          <cell r="V2189">
            <v>0</v>
          </cell>
          <cell r="W2189">
            <v>0</v>
          </cell>
          <cell r="X2189" t="str">
            <v/>
          </cell>
          <cell r="Y2189" t="str">
            <v>⑤</v>
          </cell>
          <cell r="Z2189" t="str">
            <v/>
          </cell>
          <cell r="AA2189" t="str">
            <v/>
          </cell>
          <cell r="AB2189" t="str">
            <v/>
          </cell>
          <cell r="AC2189" t="str">
            <v/>
          </cell>
          <cell r="AD2189" t="str">
            <v/>
          </cell>
          <cell r="AE2189" t="str">
            <v/>
          </cell>
          <cell r="AF2189" t="str">
            <v/>
          </cell>
          <cell r="AG2189" t="str">
            <v/>
          </cell>
          <cell r="AH2189" t="str">
            <v/>
          </cell>
          <cell r="AI2189" t="str">
            <v/>
          </cell>
        </row>
        <row r="2190">
          <cell r="B2190">
            <v>12605</v>
          </cell>
          <cell r="C2190">
            <v>126</v>
          </cell>
          <cell r="D2190">
            <v>5</v>
          </cell>
          <cell r="F2190" t="str">
            <v>能開</v>
          </cell>
          <cell r="G2190" t="str">
            <v>ｽﾌﾟﾘﾝｸﾗｰ設備(外観)</v>
          </cell>
          <cell r="H2190" t="str">
            <v>ホーチキ</v>
          </cell>
          <cell r="I2190">
            <v>42000</v>
          </cell>
          <cell r="J2190">
            <v>42840</v>
          </cell>
          <cell r="K2190">
            <v>1</v>
          </cell>
          <cell r="L2190">
            <v>0</v>
          </cell>
          <cell r="M2190">
            <v>0</v>
          </cell>
          <cell r="N2190">
            <v>0</v>
          </cell>
          <cell r="O2190">
            <v>0</v>
          </cell>
          <cell r="P2190">
            <v>0</v>
          </cell>
          <cell r="Q2190">
            <v>0</v>
          </cell>
          <cell r="R2190">
            <v>0</v>
          </cell>
          <cell r="S2190">
            <v>42840</v>
          </cell>
          <cell r="T2190">
            <v>0</v>
          </cell>
          <cell r="U2190">
            <v>0</v>
          </cell>
          <cell r="V2190">
            <v>0</v>
          </cell>
          <cell r="W2190">
            <v>0</v>
          </cell>
          <cell r="X2190" t="str">
            <v/>
          </cell>
          <cell r="Y2190" t="str">
            <v/>
          </cell>
          <cell r="Z2190" t="str">
            <v/>
          </cell>
          <cell r="AA2190" t="str">
            <v/>
          </cell>
          <cell r="AB2190" t="str">
            <v/>
          </cell>
          <cell r="AC2190" t="str">
            <v/>
          </cell>
          <cell r="AD2190" t="str">
            <v/>
          </cell>
          <cell r="AE2190" t="str">
            <v>⑪</v>
          </cell>
          <cell r="AF2190" t="str">
            <v/>
          </cell>
          <cell r="AG2190" t="str">
            <v/>
          </cell>
          <cell r="AH2190" t="str">
            <v/>
          </cell>
          <cell r="AI2190" t="str">
            <v/>
          </cell>
        </row>
        <row r="2191">
          <cell r="B2191">
            <v>12606</v>
          </cell>
          <cell r="C2191">
            <v>126</v>
          </cell>
          <cell r="D2191">
            <v>6</v>
          </cell>
          <cell r="F2191" t="str">
            <v>能開</v>
          </cell>
          <cell r="G2191" t="str">
            <v>ｽﾌﾟﾘﾝｸﾗｰ設備(総合)</v>
          </cell>
          <cell r="H2191" t="str">
            <v>ホーチキ</v>
          </cell>
          <cell r="I2191">
            <v>45000</v>
          </cell>
          <cell r="J2191">
            <v>45900</v>
          </cell>
          <cell r="K2191">
            <v>1</v>
          </cell>
          <cell r="L2191">
            <v>0</v>
          </cell>
          <cell r="M2191">
            <v>45900</v>
          </cell>
          <cell r="N2191">
            <v>0</v>
          </cell>
          <cell r="O2191">
            <v>0</v>
          </cell>
          <cell r="P2191">
            <v>0</v>
          </cell>
          <cell r="Q2191">
            <v>0</v>
          </cell>
          <cell r="R2191">
            <v>0</v>
          </cell>
          <cell r="S2191">
            <v>0</v>
          </cell>
          <cell r="T2191">
            <v>0</v>
          </cell>
          <cell r="U2191">
            <v>0</v>
          </cell>
          <cell r="V2191">
            <v>0</v>
          </cell>
          <cell r="W2191">
            <v>0</v>
          </cell>
          <cell r="X2191" t="str">
            <v/>
          </cell>
          <cell r="Y2191" t="str">
            <v>⑤</v>
          </cell>
          <cell r="Z2191" t="str">
            <v/>
          </cell>
          <cell r="AA2191" t="str">
            <v/>
          </cell>
          <cell r="AB2191" t="str">
            <v/>
          </cell>
          <cell r="AC2191" t="str">
            <v/>
          </cell>
          <cell r="AD2191" t="str">
            <v/>
          </cell>
          <cell r="AE2191" t="str">
            <v/>
          </cell>
          <cell r="AF2191" t="str">
            <v/>
          </cell>
          <cell r="AG2191" t="str">
            <v/>
          </cell>
          <cell r="AH2191" t="str">
            <v/>
          </cell>
          <cell r="AI2191" t="str">
            <v/>
          </cell>
        </row>
        <row r="2192">
          <cell r="B2192">
            <v>12607</v>
          </cell>
          <cell r="C2192">
            <v>126</v>
          </cell>
          <cell r="D2192">
            <v>7</v>
          </cell>
          <cell r="F2192" t="str">
            <v>能開</v>
          </cell>
          <cell r="G2192" t="str">
            <v>自動火災報知設備(外観)</v>
          </cell>
          <cell r="H2192" t="str">
            <v>ホーチキ</v>
          </cell>
          <cell r="I2192">
            <v>183000</v>
          </cell>
          <cell r="J2192">
            <v>186660</v>
          </cell>
          <cell r="K2192">
            <v>1</v>
          </cell>
          <cell r="L2192">
            <v>0</v>
          </cell>
          <cell r="M2192">
            <v>0</v>
          </cell>
          <cell r="N2192">
            <v>0</v>
          </cell>
          <cell r="O2192">
            <v>0</v>
          </cell>
          <cell r="P2192">
            <v>0</v>
          </cell>
          <cell r="Q2192">
            <v>0</v>
          </cell>
          <cell r="R2192">
            <v>0</v>
          </cell>
          <cell r="S2192">
            <v>186660</v>
          </cell>
          <cell r="T2192">
            <v>0</v>
          </cell>
          <cell r="U2192">
            <v>0</v>
          </cell>
          <cell r="V2192">
            <v>0</v>
          </cell>
          <cell r="W2192">
            <v>0</v>
          </cell>
          <cell r="X2192" t="str">
            <v/>
          </cell>
          <cell r="Y2192" t="str">
            <v/>
          </cell>
          <cell r="Z2192" t="str">
            <v/>
          </cell>
          <cell r="AA2192" t="str">
            <v/>
          </cell>
          <cell r="AB2192" t="str">
            <v/>
          </cell>
          <cell r="AC2192" t="str">
            <v/>
          </cell>
          <cell r="AD2192" t="str">
            <v/>
          </cell>
          <cell r="AE2192" t="str">
            <v>⑪</v>
          </cell>
          <cell r="AF2192" t="str">
            <v/>
          </cell>
          <cell r="AG2192" t="str">
            <v/>
          </cell>
          <cell r="AH2192" t="str">
            <v/>
          </cell>
          <cell r="AI2192" t="str">
            <v/>
          </cell>
        </row>
        <row r="2193">
          <cell r="B2193">
            <v>12608</v>
          </cell>
          <cell r="C2193">
            <v>126</v>
          </cell>
          <cell r="D2193">
            <v>8</v>
          </cell>
          <cell r="F2193" t="str">
            <v>能開</v>
          </cell>
          <cell r="G2193" t="str">
            <v>自動火災報知設備(総合)</v>
          </cell>
          <cell r="H2193" t="str">
            <v>ホーチキ</v>
          </cell>
          <cell r="I2193">
            <v>490000</v>
          </cell>
          <cell r="J2193">
            <v>499800</v>
          </cell>
          <cell r="K2193">
            <v>1</v>
          </cell>
          <cell r="L2193">
            <v>0</v>
          </cell>
          <cell r="M2193">
            <v>499800</v>
          </cell>
          <cell r="N2193">
            <v>0</v>
          </cell>
          <cell r="O2193">
            <v>0</v>
          </cell>
          <cell r="P2193">
            <v>0</v>
          </cell>
          <cell r="Q2193">
            <v>0</v>
          </cell>
          <cell r="R2193">
            <v>0</v>
          </cell>
          <cell r="S2193">
            <v>0</v>
          </cell>
          <cell r="T2193">
            <v>0</v>
          </cell>
          <cell r="U2193">
            <v>0</v>
          </cell>
          <cell r="V2193">
            <v>0</v>
          </cell>
          <cell r="W2193">
            <v>0</v>
          </cell>
          <cell r="X2193" t="str">
            <v/>
          </cell>
          <cell r="Y2193" t="str">
            <v>⑤</v>
          </cell>
          <cell r="Z2193" t="str">
            <v/>
          </cell>
          <cell r="AA2193" t="str">
            <v/>
          </cell>
          <cell r="AB2193" t="str">
            <v/>
          </cell>
          <cell r="AC2193" t="str">
            <v/>
          </cell>
          <cell r="AD2193" t="str">
            <v/>
          </cell>
          <cell r="AE2193" t="str">
            <v/>
          </cell>
          <cell r="AF2193" t="str">
            <v/>
          </cell>
          <cell r="AG2193" t="str">
            <v/>
          </cell>
          <cell r="AH2193" t="str">
            <v/>
          </cell>
          <cell r="AI2193" t="str">
            <v/>
          </cell>
        </row>
        <row r="2194">
          <cell r="B2194">
            <v>12609</v>
          </cell>
          <cell r="C2194">
            <v>126</v>
          </cell>
          <cell r="D2194">
            <v>9</v>
          </cell>
          <cell r="F2194" t="str">
            <v>能開</v>
          </cell>
          <cell r="G2194" t="str">
            <v>非常放送(外観)</v>
          </cell>
          <cell r="H2194" t="str">
            <v>ホーチキ</v>
          </cell>
          <cell r="I2194">
            <v>111000</v>
          </cell>
          <cell r="J2194">
            <v>113220</v>
          </cell>
          <cell r="K2194">
            <v>1</v>
          </cell>
          <cell r="L2194">
            <v>0</v>
          </cell>
          <cell r="M2194">
            <v>0</v>
          </cell>
          <cell r="N2194">
            <v>0</v>
          </cell>
          <cell r="O2194">
            <v>0</v>
          </cell>
          <cell r="P2194">
            <v>0</v>
          </cell>
          <cell r="Q2194">
            <v>0</v>
          </cell>
          <cell r="R2194">
            <v>0</v>
          </cell>
          <cell r="S2194">
            <v>113220</v>
          </cell>
          <cell r="T2194">
            <v>0</v>
          </cell>
          <cell r="U2194">
            <v>0</v>
          </cell>
          <cell r="V2194">
            <v>0</v>
          </cell>
          <cell r="W2194">
            <v>0</v>
          </cell>
          <cell r="X2194" t="str">
            <v/>
          </cell>
          <cell r="Y2194" t="str">
            <v/>
          </cell>
          <cell r="Z2194" t="str">
            <v/>
          </cell>
          <cell r="AA2194" t="str">
            <v/>
          </cell>
          <cell r="AB2194" t="str">
            <v/>
          </cell>
          <cell r="AC2194" t="str">
            <v/>
          </cell>
          <cell r="AD2194" t="str">
            <v/>
          </cell>
          <cell r="AE2194" t="str">
            <v>⑪</v>
          </cell>
          <cell r="AF2194" t="str">
            <v/>
          </cell>
          <cell r="AG2194" t="str">
            <v/>
          </cell>
          <cell r="AH2194" t="str">
            <v/>
          </cell>
          <cell r="AI2194" t="str">
            <v/>
          </cell>
        </row>
        <row r="2195">
          <cell r="B2195">
            <v>12610</v>
          </cell>
          <cell r="C2195">
            <v>126</v>
          </cell>
          <cell r="D2195">
            <v>10</v>
          </cell>
          <cell r="F2195" t="str">
            <v>能開</v>
          </cell>
          <cell r="G2195" t="str">
            <v>非常放送(総合)</v>
          </cell>
          <cell r="H2195" t="str">
            <v>ホーチキ</v>
          </cell>
          <cell r="I2195">
            <v>234000</v>
          </cell>
          <cell r="J2195">
            <v>238680</v>
          </cell>
          <cell r="K2195">
            <v>1</v>
          </cell>
          <cell r="L2195">
            <v>0</v>
          </cell>
          <cell r="M2195">
            <v>238680</v>
          </cell>
          <cell r="N2195">
            <v>0</v>
          </cell>
          <cell r="O2195">
            <v>0</v>
          </cell>
          <cell r="P2195">
            <v>0</v>
          </cell>
          <cell r="Q2195">
            <v>0</v>
          </cell>
          <cell r="R2195">
            <v>0</v>
          </cell>
          <cell r="S2195">
            <v>0</v>
          </cell>
          <cell r="T2195">
            <v>0</v>
          </cell>
          <cell r="U2195">
            <v>0</v>
          </cell>
          <cell r="V2195">
            <v>0</v>
          </cell>
          <cell r="W2195">
            <v>0</v>
          </cell>
          <cell r="X2195" t="str">
            <v/>
          </cell>
          <cell r="Y2195" t="str">
            <v>⑤</v>
          </cell>
          <cell r="Z2195" t="str">
            <v/>
          </cell>
          <cell r="AA2195" t="str">
            <v/>
          </cell>
          <cell r="AB2195" t="str">
            <v/>
          </cell>
          <cell r="AC2195" t="str">
            <v/>
          </cell>
          <cell r="AD2195" t="str">
            <v/>
          </cell>
          <cell r="AE2195" t="str">
            <v/>
          </cell>
          <cell r="AF2195" t="str">
            <v/>
          </cell>
          <cell r="AG2195" t="str">
            <v/>
          </cell>
          <cell r="AH2195" t="str">
            <v/>
          </cell>
          <cell r="AI2195" t="str">
            <v/>
          </cell>
        </row>
        <row r="2196">
          <cell r="B2196">
            <v>12611</v>
          </cell>
          <cell r="C2196">
            <v>126</v>
          </cell>
          <cell r="D2196">
            <v>11</v>
          </cell>
          <cell r="F2196" t="str">
            <v>能開</v>
          </cell>
          <cell r="G2196" t="str">
            <v>誘導灯(外観)</v>
          </cell>
          <cell r="H2196" t="str">
            <v>ホーチキ</v>
          </cell>
          <cell r="I2196">
            <v>54000</v>
          </cell>
          <cell r="J2196">
            <v>55080</v>
          </cell>
          <cell r="K2196">
            <v>2</v>
          </cell>
          <cell r="L2196">
            <v>0</v>
          </cell>
          <cell r="M2196">
            <v>55080</v>
          </cell>
          <cell r="N2196">
            <v>0</v>
          </cell>
          <cell r="O2196">
            <v>0</v>
          </cell>
          <cell r="P2196">
            <v>0</v>
          </cell>
          <cell r="Q2196">
            <v>0</v>
          </cell>
          <cell r="R2196">
            <v>0</v>
          </cell>
          <cell r="S2196">
            <v>55080</v>
          </cell>
          <cell r="T2196">
            <v>0</v>
          </cell>
          <cell r="U2196">
            <v>0</v>
          </cell>
          <cell r="V2196">
            <v>0</v>
          </cell>
          <cell r="W2196">
            <v>0</v>
          </cell>
          <cell r="X2196" t="str">
            <v/>
          </cell>
          <cell r="Y2196" t="str">
            <v>⑤</v>
          </cell>
          <cell r="Z2196" t="str">
            <v/>
          </cell>
          <cell r="AA2196" t="str">
            <v/>
          </cell>
          <cell r="AB2196" t="str">
            <v/>
          </cell>
          <cell r="AC2196" t="str">
            <v/>
          </cell>
          <cell r="AD2196" t="str">
            <v/>
          </cell>
          <cell r="AE2196" t="str">
            <v>⑪</v>
          </cell>
          <cell r="AF2196" t="str">
            <v/>
          </cell>
          <cell r="AG2196" t="str">
            <v/>
          </cell>
          <cell r="AH2196" t="str">
            <v/>
          </cell>
          <cell r="AI2196" t="str">
            <v/>
          </cell>
        </row>
        <row r="2197">
          <cell r="B2197">
            <v>12612</v>
          </cell>
          <cell r="C2197">
            <v>126</v>
          </cell>
          <cell r="D2197">
            <v>12</v>
          </cell>
          <cell r="F2197" t="str">
            <v>能開</v>
          </cell>
          <cell r="G2197" t="str">
            <v>防排煙制御(外観)</v>
          </cell>
          <cell r="H2197" t="str">
            <v>ホーチキ</v>
          </cell>
          <cell r="I2197">
            <v>216000</v>
          </cell>
          <cell r="J2197">
            <v>220320</v>
          </cell>
          <cell r="K2197">
            <v>1</v>
          </cell>
          <cell r="L2197">
            <v>0</v>
          </cell>
          <cell r="M2197">
            <v>0</v>
          </cell>
          <cell r="N2197">
            <v>0</v>
          </cell>
          <cell r="O2197">
            <v>0</v>
          </cell>
          <cell r="P2197">
            <v>0</v>
          </cell>
          <cell r="Q2197">
            <v>0</v>
          </cell>
          <cell r="R2197">
            <v>0</v>
          </cell>
          <cell r="S2197">
            <v>220320</v>
          </cell>
          <cell r="T2197">
            <v>0</v>
          </cell>
          <cell r="U2197">
            <v>0</v>
          </cell>
          <cell r="V2197">
            <v>0</v>
          </cell>
          <cell r="W2197">
            <v>0</v>
          </cell>
          <cell r="X2197" t="str">
            <v/>
          </cell>
          <cell r="Y2197" t="str">
            <v/>
          </cell>
          <cell r="Z2197" t="str">
            <v/>
          </cell>
          <cell r="AA2197" t="str">
            <v/>
          </cell>
          <cell r="AB2197" t="str">
            <v/>
          </cell>
          <cell r="AC2197" t="str">
            <v/>
          </cell>
          <cell r="AD2197" t="str">
            <v/>
          </cell>
          <cell r="AE2197" t="str">
            <v>⑪</v>
          </cell>
          <cell r="AF2197" t="str">
            <v/>
          </cell>
          <cell r="AG2197" t="str">
            <v/>
          </cell>
          <cell r="AH2197" t="str">
            <v/>
          </cell>
          <cell r="AI2197" t="str">
            <v/>
          </cell>
        </row>
        <row r="2198">
          <cell r="B2198">
            <v>12613</v>
          </cell>
          <cell r="C2198">
            <v>126</v>
          </cell>
          <cell r="D2198">
            <v>13</v>
          </cell>
          <cell r="F2198" t="str">
            <v>能開</v>
          </cell>
          <cell r="G2198" t="str">
            <v>防排煙制御(総合)</v>
          </cell>
          <cell r="H2198" t="str">
            <v>ホーチキ</v>
          </cell>
          <cell r="I2198">
            <v>225000</v>
          </cell>
          <cell r="J2198">
            <v>229500</v>
          </cell>
          <cell r="K2198">
            <v>1</v>
          </cell>
          <cell r="L2198">
            <v>0</v>
          </cell>
          <cell r="M2198">
            <v>229500</v>
          </cell>
          <cell r="N2198">
            <v>0</v>
          </cell>
          <cell r="O2198">
            <v>0</v>
          </cell>
          <cell r="P2198">
            <v>0</v>
          </cell>
          <cell r="Q2198">
            <v>0</v>
          </cell>
          <cell r="R2198">
            <v>0</v>
          </cell>
          <cell r="S2198">
            <v>0</v>
          </cell>
          <cell r="T2198">
            <v>0</v>
          </cell>
          <cell r="U2198">
            <v>0</v>
          </cell>
          <cell r="V2198">
            <v>0</v>
          </cell>
          <cell r="W2198">
            <v>0</v>
          </cell>
          <cell r="X2198" t="str">
            <v/>
          </cell>
          <cell r="Y2198" t="str">
            <v>⑤</v>
          </cell>
          <cell r="Z2198" t="str">
            <v/>
          </cell>
          <cell r="AA2198" t="str">
            <v/>
          </cell>
          <cell r="AB2198" t="str">
            <v/>
          </cell>
          <cell r="AC2198" t="str">
            <v/>
          </cell>
          <cell r="AD2198" t="str">
            <v/>
          </cell>
          <cell r="AE2198" t="str">
            <v/>
          </cell>
          <cell r="AF2198" t="str">
            <v/>
          </cell>
          <cell r="AG2198" t="str">
            <v/>
          </cell>
          <cell r="AH2198" t="str">
            <v/>
          </cell>
          <cell r="AI2198" t="str">
            <v/>
          </cell>
        </row>
        <row r="2199">
          <cell r="B2199">
            <v>12614</v>
          </cell>
          <cell r="C2199">
            <v>126</v>
          </cell>
          <cell r="D2199">
            <v>14</v>
          </cell>
          <cell r="F2199" t="str">
            <v>能開</v>
          </cell>
          <cell r="G2199" t="str">
            <v>連結送水管(外観)</v>
          </cell>
          <cell r="H2199" t="str">
            <v>ホーチキ</v>
          </cell>
          <cell r="I2199">
            <v>7000</v>
          </cell>
          <cell r="J2199">
            <v>7140</v>
          </cell>
          <cell r="K2199">
            <v>1</v>
          </cell>
          <cell r="L2199">
            <v>0</v>
          </cell>
          <cell r="M2199">
            <v>0</v>
          </cell>
          <cell r="N2199">
            <v>0</v>
          </cell>
          <cell r="O2199">
            <v>0</v>
          </cell>
          <cell r="P2199">
            <v>0</v>
          </cell>
          <cell r="Q2199">
            <v>0</v>
          </cell>
          <cell r="R2199">
            <v>0</v>
          </cell>
          <cell r="S2199">
            <v>7140</v>
          </cell>
          <cell r="T2199">
            <v>0</v>
          </cell>
          <cell r="U2199">
            <v>0</v>
          </cell>
          <cell r="V2199">
            <v>0</v>
          </cell>
          <cell r="W2199">
            <v>0</v>
          </cell>
          <cell r="X2199" t="str">
            <v/>
          </cell>
          <cell r="Y2199" t="str">
            <v/>
          </cell>
          <cell r="Z2199" t="str">
            <v/>
          </cell>
          <cell r="AA2199" t="str">
            <v/>
          </cell>
          <cell r="AB2199" t="str">
            <v/>
          </cell>
          <cell r="AC2199" t="str">
            <v/>
          </cell>
          <cell r="AD2199" t="str">
            <v/>
          </cell>
          <cell r="AE2199" t="str">
            <v>⑪</v>
          </cell>
          <cell r="AF2199" t="str">
            <v/>
          </cell>
          <cell r="AG2199" t="str">
            <v/>
          </cell>
          <cell r="AH2199" t="str">
            <v/>
          </cell>
          <cell r="AI2199" t="str">
            <v/>
          </cell>
        </row>
        <row r="2200">
          <cell r="B2200">
            <v>12615</v>
          </cell>
          <cell r="C2200">
            <v>126</v>
          </cell>
          <cell r="D2200">
            <v>15</v>
          </cell>
          <cell r="F2200" t="str">
            <v>能開</v>
          </cell>
          <cell r="G2200" t="str">
            <v>連結送水管(総合)</v>
          </cell>
          <cell r="H2200" t="str">
            <v>ホーチキ</v>
          </cell>
          <cell r="I2200">
            <v>7000</v>
          </cell>
          <cell r="J2200">
            <v>7140</v>
          </cell>
          <cell r="K2200">
            <v>1</v>
          </cell>
          <cell r="L2200">
            <v>0</v>
          </cell>
          <cell r="M2200">
            <v>7140</v>
          </cell>
          <cell r="N2200">
            <v>0</v>
          </cell>
          <cell r="O2200">
            <v>0</v>
          </cell>
          <cell r="P2200">
            <v>0</v>
          </cell>
          <cell r="Q2200">
            <v>0</v>
          </cell>
          <cell r="R2200">
            <v>0</v>
          </cell>
          <cell r="S2200">
            <v>0</v>
          </cell>
          <cell r="T2200">
            <v>0</v>
          </cell>
          <cell r="U2200">
            <v>0</v>
          </cell>
          <cell r="V2200">
            <v>0</v>
          </cell>
          <cell r="W2200">
            <v>0</v>
          </cell>
          <cell r="X2200" t="str">
            <v/>
          </cell>
          <cell r="Y2200" t="str">
            <v>⑤</v>
          </cell>
          <cell r="Z2200" t="str">
            <v/>
          </cell>
          <cell r="AA2200" t="str">
            <v/>
          </cell>
          <cell r="AB2200" t="str">
            <v/>
          </cell>
          <cell r="AC2200" t="str">
            <v/>
          </cell>
          <cell r="AD2200" t="str">
            <v/>
          </cell>
          <cell r="AE2200" t="str">
            <v/>
          </cell>
          <cell r="AF2200" t="str">
            <v/>
          </cell>
          <cell r="AG2200" t="str">
            <v/>
          </cell>
          <cell r="AH2200" t="str">
            <v/>
          </cell>
          <cell r="AI2200" t="str">
            <v/>
          </cell>
        </row>
        <row r="2201">
          <cell r="B2201">
            <v>12616</v>
          </cell>
          <cell r="C2201">
            <v>126</v>
          </cell>
          <cell r="D2201">
            <v>16</v>
          </cell>
          <cell r="F2201" t="str">
            <v>能開</v>
          </cell>
          <cell r="G2201" t="str">
            <v>ガス漏火災警報(外観)</v>
          </cell>
          <cell r="H2201" t="str">
            <v>ホーチキ</v>
          </cell>
          <cell r="I2201">
            <v>15000</v>
          </cell>
          <cell r="J2201">
            <v>15300</v>
          </cell>
          <cell r="K2201">
            <v>1</v>
          </cell>
          <cell r="L2201">
            <v>0</v>
          </cell>
          <cell r="M2201">
            <v>0</v>
          </cell>
          <cell r="N2201">
            <v>0</v>
          </cell>
          <cell r="O2201">
            <v>0</v>
          </cell>
          <cell r="P2201">
            <v>0</v>
          </cell>
          <cell r="Q2201">
            <v>0</v>
          </cell>
          <cell r="R2201">
            <v>0</v>
          </cell>
          <cell r="S2201">
            <v>15300</v>
          </cell>
          <cell r="T2201">
            <v>0</v>
          </cell>
          <cell r="U2201">
            <v>0</v>
          </cell>
          <cell r="V2201">
            <v>0</v>
          </cell>
          <cell r="W2201">
            <v>0</v>
          </cell>
          <cell r="X2201" t="str">
            <v/>
          </cell>
          <cell r="Y2201" t="str">
            <v/>
          </cell>
          <cell r="Z2201" t="str">
            <v/>
          </cell>
          <cell r="AA2201" t="str">
            <v/>
          </cell>
          <cell r="AB2201" t="str">
            <v/>
          </cell>
          <cell r="AC2201" t="str">
            <v/>
          </cell>
          <cell r="AD2201" t="str">
            <v/>
          </cell>
          <cell r="AE2201" t="str">
            <v>⑪</v>
          </cell>
          <cell r="AF2201" t="str">
            <v/>
          </cell>
          <cell r="AG2201" t="str">
            <v/>
          </cell>
          <cell r="AH2201" t="str">
            <v/>
          </cell>
          <cell r="AI2201" t="str">
            <v/>
          </cell>
        </row>
        <row r="2202">
          <cell r="B2202">
            <v>12617</v>
          </cell>
          <cell r="C2202">
            <v>126</v>
          </cell>
          <cell r="D2202">
            <v>17</v>
          </cell>
          <cell r="F2202" t="str">
            <v>能開</v>
          </cell>
          <cell r="G2202" t="str">
            <v>ガス漏火災警報(総合)</v>
          </cell>
          <cell r="H2202" t="str">
            <v>ホーチキ</v>
          </cell>
          <cell r="I2202">
            <v>27000</v>
          </cell>
          <cell r="J2202">
            <v>27540</v>
          </cell>
          <cell r="K2202">
            <v>1</v>
          </cell>
          <cell r="L2202">
            <v>0</v>
          </cell>
          <cell r="M2202">
            <v>27540</v>
          </cell>
          <cell r="N2202">
            <v>0</v>
          </cell>
          <cell r="O2202">
            <v>0</v>
          </cell>
          <cell r="P2202">
            <v>0</v>
          </cell>
          <cell r="Q2202">
            <v>0</v>
          </cell>
          <cell r="R2202">
            <v>0</v>
          </cell>
          <cell r="S2202">
            <v>0</v>
          </cell>
          <cell r="T2202">
            <v>0</v>
          </cell>
          <cell r="U2202">
            <v>0</v>
          </cell>
          <cell r="V2202">
            <v>0</v>
          </cell>
          <cell r="W2202">
            <v>0</v>
          </cell>
          <cell r="X2202" t="str">
            <v/>
          </cell>
          <cell r="Y2202" t="str">
            <v>⑤</v>
          </cell>
          <cell r="Z2202" t="str">
            <v/>
          </cell>
          <cell r="AA2202" t="str">
            <v/>
          </cell>
          <cell r="AB2202" t="str">
            <v/>
          </cell>
          <cell r="AC2202" t="str">
            <v/>
          </cell>
          <cell r="AD2202" t="str">
            <v/>
          </cell>
          <cell r="AE2202" t="str">
            <v/>
          </cell>
          <cell r="AF2202" t="str">
            <v/>
          </cell>
          <cell r="AG2202" t="str">
            <v/>
          </cell>
          <cell r="AH2202" t="str">
            <v/>
          </cell>
          <cell r="AI2202" t="str">
            <v/>
          </cell>
        </row>
        <row r="2203">
          <cell r="B2203">
            <v>12618</v>
          </cell>
          <cell r="C2203">
            <v>126</v>
          </cell>
          <cell r="D2203">
            <v>18</v>
          </cell>
          <cell r="F2203" t="str">
            <v>能開</v>
          </cell>
          <cell r="G2203" t="str">
            <v>簡易自動消火設備保守(外観)</v>
          </cell>
          <cell r="H2203" t="str">
            <v>新成工業</v>
          </cell>
          <cell r="I2203">
            <v>22500</v>
          </cell>
          <cell r="J2203">
            <v>22950</v>
          </cell>
          <cell r="K2203">
            <v>1</v>
          </cell>
          <cell r="L2203">
            <v>0</v>
          </cell>
          <cell r="M2203">
            <v>0</v>
          </cell>
          <cell r="N2203">
            <v>0</v>
          </cell>
          <cell r="O2203">
            <v>0</v>
          </cell>
          <cell r="P2203">
            <v>0</v>
          </cell>
          <cell r="Q2203">
            <v>0</v>
          </cell>
          <cell r="R2203">
            <v>0</v>
          </cell>
          <cell r="S2203">
            <v>0</v>
          </cell>
          <cell r="T2203">
            <v>0</v>
          </cell>
          <cell r="U2203">
            <v>22950</v>
          </cell>
          <cell r="V2203">
            <v>0</v>
          </cell>
          <cell r="W2203">
            <v>0</v>
          </cell>
          <cell r="X2203" t="str">
            <v/>
          </cell>
          <cell r="Y2203" t="str">
            <v/>
          </cell>
          <cell r="Z2203" t="str">
            <v/>
          </cell>
          <cell r="AA2203" t="str">
            <v/>
          </cell>
          <cell r="AB2203" t="str">
            <v/>
          </cell>
          <cell r="AC2203" t="str">
            <v/>
          </cell>
          <cell r="AD2203" t="str">
            <v/>
          </cell>
          <cell r="AF2203" t="str">
            <v/>
          </cell>
          <cell r="AG2203" t="str">
            <v>①</v>
          </cell>
          <cell r="AH2203" t="str">
            <v/>
          </cell>
          <cell r="AI2203" t="str">
            <v/>
          </cell>
        </row>
        <row r="2204">
          <cell r="B2204">
            <v>12619</v>
          </cell>
          <cell r="C2204">
            <v>126</v>
          </cell>
          <cell r="D2204">
            <v>19</v>
          </cell>
          <cell r="F2204" t="str">
            <v>能開</v>
          </cell>
          <cell r="G2204" t="str">
            <v>簡易自動消火設備保守(総合)</v>
          </cell>
          <cell r="H2204" t="str">
            <v>新成工業</v>
          </cell>
          <cell r="I2204">
            <v>22500</v>
          </cell>
          <cell r="J2204">
            <v>22950</v>
          </cell>
          <cell r="K2204">
            <v>1</v>
          </cell>
          <cell r="L2204">
            <v>0</v>
          </cell>
          <cell r="M2204">
            <v>0</v>
          </cell>
          <cell r="N2204">
            <v>0</v>
          </cell>
          <cell r="O2204">
            <v>22950</v>
          </cell>
          <cell r="P2204">
            <v>0</v>
          </cell>
          <cell r="Q2204">
            <v>0</v>
          </cell>
          <cell r="R2204">
            <v>0</v>
          </cell>
          <cell r="S2204">
            <v>0</v>
          </cell>
          <cell r="T2204">
            <v>0</v>
          </cell>
          <cell r="U2204">
            <v>0</v>
          </cell>
          <cell r="V2204">
            <v>0</v>
          </cell>
          <cell r="W2204">
            <v>0</v>
          </cell>
          <cell r="X2204" t="str">
            <v/>
          </cell>
          <cell r="Z2204" t="str">
            <v/>
          </cell>
          <cell r="AA2204" t="str">
            <v>⑦</v>
          </cell>
          <cell r="AB2204" t="str">
            <v/>
          </cell>
          <cell r="AC2204" t="str">
            <v/>
          </cell>
          <cell r="AD2204" t="str">
            <v/>
          </cell>
          <cell r="AE2204" t="str">
            <v/>
          </cell>
          <cell r="AF2204" t="str">
            <v/>
          </cell>
          <cell r="AG2204" t="str">
            <v/>
          </cell>
          <cell r="AH2204" t="str">
            <v/>
          </cell>
          <cell r="AI2204" t="str">
            <v/>
          </cell>
        </row>
        <row r="2205">
          <cell r="B2205">
            <v>12620</v>
          </cell>
          <cell r="C2205">
            <v>126</v>
          </cell>
          <cell r="D2205">
            <v>20</v>
          </cell>
          <cell r="F2205" t="str">
            <v>能開</v>
          </cell>
          <cell r="G2205" t="str">
            <v>非常発電機設備保守(外観)</v>
          </cell>
          <cell r="H2205" t="str">
            <v>日本機工</v>
          </cell>
          <cell r="I2205">
            <v>110000</v>
          </cell>
          <cell r="J2205">
            <v>112200</v>
          </cell>
          <cell r="K2205">
            <v>1</v>
          </cell>
          <cell r="L2205">
            <v>0</v>
          </cell>
          <cell r="M2205">
            <v>0</v>
          </cell>
          <cell r="N2205">
            <v>0</v>
          </cell>
          <cell r="O2205">
            <v>0</v>
          </cell>
          <cell r="P2205">
            <v>0</v>
          </cell>
          <cell r="Q2205">
            <v>0</v>
          </cell>
          <cell r="R2205">
            <v>0</v>
          </cell>
          <cell r="S2205">
            <v>0</v>
          </cell>
          <cell r="T2205">
            <v>112200</v>
          </cell>
          <cell r="U2205">
            <v>0</v>
          </cell>
          <cell r="V2205">
            <v>0</v>
          </cell>
          <cell r="W2205">
            <v>0</v>
          </cell>
          <cell r="X2205" t="str">
            <v/>
          </cell>
          <cell r="Y2205" t="str">
            <v/>
          </cell>
          <cell r="Z2205" t="str">
            <v/>
          </cell>
          <cell r="AA2205" t="str">
            <v/>
          </cell>
          <cell r="AB2205" t="str">
            <v/>
          </cell>
          <cell r="AC2205" t="str">
            <v/>
          </cell>
          <cell r="AD2205" t="str">
            <v/>
          </cell>
          <cell r="AF2205" t="str">
            <v>⑫</v>
          </cell>
          <cell r="AG2205" t="str">
            <v/>
          </cell>
          <cell r="AH2205" t="str">
            <v/>
          </cell>
          <cell r="AI2205" t="str">
            <v/>
          </cell>
        </row>
        <row r="2206">
          <cell r="B2206">
            <v>12621</v>
          </cell>
          <cell r="C2206">
            <v>126</v>
          </cell>
          <cell r="D2206">
            <v>21</v>
          </cell>
          <cell r="F2206" t="str">
            <v>能開</v>
          </cell>
          <cell r="G2206" t="str">
            <v>非常発電機設備保守(総合)</v>
          </cell>
          <cell r="H2206" t="str">
            <v>日本機工</v>
          </cell>
          <cell r="I2206">
            <v>110000</v>
          </cell>
          <cell r="J2206">
            <v>112200</v>
          </cell>
          <cell r="K2206">
            <v>1</v>
          </cell>
          <cell r="L2206">
            <v>0</v>
          </cell>
          <cell r="M2206">
            <v>0</v>
          </cell>
          <cell r="N2206">
            <v>112200</v>
          </cell>
          <cell r="O2206">
            <v>0</v>
          </cell>
          <cell r="P2206">
            <v>0</v>
          </cell>
          <cell r="Q2206">
            <v>0</v>
          </cell>
          <cell r="R2206">
            <v>0</v>
          </cell>
          <cell r="S2206">
            <v>0</v>
          </cell>
          <cell r="T2206">
            <v>0</v>
          </cell>
          <cell r="U2206">
            <v>0</v>
          </cell>
          <cell r="V2206">
            <v>0</v>
          </cell>
          <cell r="W2206">
            <v>0</v>
          </cell>
          <cell r="X2206" t="str">
            <v/>
          </cell>
          <cell r="Z2206" t="str">
            <v>⑥</v>
          </cell>
          <cell r="AA2206" t="str">
            <v/>
          </cell>
          <cell r="AB2206" t="str">
            <v/>
          </cell>
          <cell r="AC2206" t="str">
            <v/>
          </cell>
          <cell r="AD2206" t="str">
            <v/>
          </cell>
          <cell r="AE2206" t="str">
            <v/>
          </cell>
          <cell r="AF2206" t="str">
            <v/>
          </cell>
          <cell r="AG2206" t="str">
            <v/>
          </cell>
          <cell r="AH2206" t="str">
            <v/>
          </cell>
          <cell r="AI2206" t="str">
            <v/>
          </cell>
        </row>
        <row r="2207">
          <cell r="B2207">
            <v>12622</v>
          </cell>
          <cell r="C2207">
            <v>126</v>
          </cell>
          <cell r="D2207">
            <v>22</v>
          </cell>
          <cell r="F2207" t="str">
            <v>能開</v>
          </cell>
          <cell r="G2207" t="str">
            <v>避難器具保守(外観)</v>
          </cell>
          <cell r="H2207" t="str">
            <v>中央理化工業</v>
          </cell>
          <cell r="I2207">
            <v>30000</v>
          </cell>
          <cell r="J2207">
            <v>30600</v>
          </cell>
          <cell r="K2207">
            <v>1</v>
          </cell>
          <cell r="L2207">
            <v>0</v>
          </cell>
          <cell r="M2207">
            <v>0</v>
          </cell>
          <cell r="N2207">
            <v>0</v>
          </cell>
          <cell r="O2207">
            <v>0</v>
          </cell>
          <cell r="P2207">
            <v>0</v>
          </cell>
          <cell r="Q2207">
            <v>0</v>
          </cell>
          <cell r="R2207">
            <v>0</v>
          </cell>
          <cell r="S2207">
            <v>0</v>
          </cell>
          <cell r="T2207">
            <v>0</v>
          </cell>
          <cell r="U2207">
            <v>30600</v>
          </cell>
          <cell r="V2207">
            <v>0</v>
          </cell>
          <cell r="W2207">
            <v>0</v>
          </cell>
          <cell r="X2207" t="str">
            <v/>
          </cell>
          <cell r="Y2207" t="str">
            <v/>
          </cell>
          <cell r="Z2207" t="str">
            <v/>
          </cell>
          <cell r="AA2207" t="str">
            <v/>
          </cell>
          <cell r="AB2207" t="str">
            <v/>
          </cell>
          <cell r="AC2207" t="str">
            <v/>
          </cell>
          <cell r="AD2207" t="str">
            <v/>
          </cell>
          <cell r="AF2207" t="str">
            <v/>
          </cell>
          <cell r="AG2207" t="str">
            <v>①</v>
          </cell>
          <cell r="AH2207" t="str">
            <v/>
          </cell>
          <cell r="AI2207" t="str">
            <v/>
          </cell>
        </row>
        <row r="2208">
          <cell r="B2208">
            <v>12623</v>
          </cell>
          <cell r="C2208">
            <v>126</v>
          </cell>
          <cell r="D2208">
            <v>23</v>
          </cell>
          <cell r="F2208" t="str">
            <v>能開</v>
          </cell>
          <cell r="G2208" t="str">
            <v>避難器具保守(総合)</v>
          </cell>
          <cell r="H2208" t="str">
            <v>中央理化工業</v>
          </cell>
          <cell r="I2208">
            <v>40000</v>
          </cell>
          <cell r="J2208">
            <v>40800</v>
          </cell>
          <cell r="K2208">
            <v>1</v>
          </cell>
          <cell r="L2208">
            <v>0</v>
          </cell>
          <cell r="M2208">
            <v>0</v>
          </cell>
          <cell r="N2208">
            <v>0</v>
          </cell>
          <cell r="O2208">
            <v>40800</v>
          </cell>
          <cell r="P2208">
            <v>0</v>
          </cell>
          <cell r="Q2208">
            <v>0</v>
          </cell>
          <cell r="R2208">
            <v>0</v>
          </cell>
          <cell r="S2208">
            <v>0</v>
          </cell>
          <cell r="T2208">
            <v>0</v>
          </cell>
          <cell r="U2208">
            <v>0</v>
          </cell>
          <cell r="V2208">
            <v>0</v>
          </cell>
          <cell r="W2208">
            <v>0</v>
          </cell>
          <cell r="X2208" t="str">
            <v/>
          </cell>
          <cell r="Z2208" t="str">
            <v/>
          </cell>
          <cell r="AA2208" t="str">
            <v>⑦</v>
          </cell>
          <cell r="AB2208" t="str">
            <v/>
          </cell>
          <cell r="AC2208" t="str">
            <v/>
          </cell>
          <cell r="AD2208" t="str">
            <v/>
          </cell>
          <cell r="AE2208" t="str">
            <v/>
          </cell>
          <cell r="AF2208" t="str">
            <v/>
          </cell>
          <cell r="AG2208" t="str">
            <v/>
          </cell>
          <cell r="AH2208" t="str">
            <v/>
          </cell>
          <cell r="AI2208" t="str">
            <v/>
          </cell>
        </row>
        <row r="2209">
          <cell r="B2209">
            <v>12624</v>
          </cell>
          <cell r="C2209">
            <v>126</v>
          </cell>
          <cell r="D2209">
            <v>24</v>
          </cell>
          <cell r="F2209" t="str">
            <v>能開</v>
          </cell>
          <cell r="G2209" t="str">
            <v>害虫駆除</v>
          </cell>
          <cell r="H2209" t="str">
            <v>シーアイシー</v>
          </cell>
          <cell r="I2209">
            <v>247500</v>
          </cell>
          <cell r="J2209">
            <v>272250</v>
          </cell>
          <cell r="K2209">
            <v>2</v>
          </cell>
          <cell r="L2209">
            <v>0</v>
          </cell>
          <cell r="M2209">
            <v>0</v>
          </cell>
          <cell r="N2209">
            <v>0</v>
          </cell>
          <cell r="O2209">
            <v>0</v>
          </cell>
          <cell r="P2209">
            <v>272250</v>
          </cell>
          <cell r="Q2209">
            <v>0</v>
          </cell>
          <cell r="R2209">
            <v>0</v>
          </cell>
          <cell r="S2209">
            <v>0</v>
          </cell>
          <cell r="T2209">
            <v>0</v>
          </cell>
          <cell r="U2209">
            <v>0</v>
          </cell>
          <cell r="V2209">
            <v>272250</v>
          </cell>
          <cell r="W2209">
            <v>0</v>
          </cell>
          <cell r="X2209" t="str">
            <v/>
          </cell>
          <cell r="Y2209" t="str">
            <v/>
          </cell>
          <cell r="Z2209" t="str">
            <v/>
          </cell>
          <cell r="AA2209" t="str">
            <v/>
          </cell>
          <cell r="AB2209" t="str">
            <v>⑧</v>
          </cell>
          <cell r="AC2209" t="str">
            <v/>
          </cell>
          <cell r="AD2209" t="str">
            <v/>
          </cell>
          <cell r="AE2209" t="str">
            <v/>
          </cell>
          <cell r="AF2209" t="str">
            <v/>
          </cell>
          <cell r="AG2209" t="str">
            <v/>
          </cell>
          <cell r="AH2209" t="str">
            <v>②</v>
          </cell>
          <cell r="AI2209" t="str">
            <v/>
          </cell>
        </row>
        <row r="2210">
          <cell r="B2210">
            <v>12625</v>
          </cell>
          <cell r="C2210">
            <v>126</v>
          </cell>
          <cell r="D2210">
            <v>25</v>
          </cell>
          <cell r="F2210" t="str">
            <v>能開</v>
          </cell>
          <cell r="G2210" t="str">
            <v>汚水槽清掃</v>
          </cell>
          <cell r="H2210" t="str">
            <v>日進産業</v>
          </cell>
          <cell r="I2210">
            <v>170000</v>
          </cell>
          <cell r="J2210">
            <v>190400</v>
          </cell>
          <cell r="K2210">
            <v>2</v>
          </cell>
          <cell r="L2210">
            <v>0</v>
          </cell>
          <cell r="M2210">
            <v>0</v>
          </cell>
          <cell r="N2210">
            <v>0</v>
          </cell>
          <cell r="O2210">
            <v>0</v>
          </cell>
          <cell r="P2210">
            <v>190400</v>
          </cell>
          <cell r="Q2210">
            <v>0</v>
          </cell>
          <cell r="R2210">
            <v>0</v>
          </cell>
          <cell r="S2210">
            <v>0</v>
          </cell>
          <cell r="T2210">
            <v>0</v>
          </cell>
          <cell r="U2210">
            <v>0</v>
          </cell>
          <cell r="V2210">
            <v>190400</v>
          </cell>
          <cell r="W2210">
            <v>0</v>
          </cell>
          <cell r="X2210" t="str">
            <v/>
          </cell>
          <cell r="Y2210" t="str">
            <v/>
          </cell>
          <cell r="Z2210" t="str">
            <v/>
          </cell>
          <cell r="AA2210" t="str">
            <v/>
          </cell>
          <cell r="AB2210" t="str">
            <v>⑧</v>
          </cell>
          <cell r="AC2210" t="str">
            <v/>
          </cell>
          <cell r="AD2210" t="str">
            <v/>
          </cell>
          <cell r="AE2210" t="str">
            <v/>
          </cell>
          <cell r="AF2210" t="str">
            <v/>
          </cell>
          <cell r="AG2210" t="str">
            <v/>
          </cell>
          <cell r="AH2210" t="str">
            <v>②</v>
          </cell>
          <cell r="AI2210" t="str">
            <v/>
          </cell>
        </row>
        <row r="2211">
          <cell r="B2211">
            <v>12626</v>
          </cell>
          <cell r="C2211">
            <v>126</v>
          </cell>
          <cell r="D2211">
            <v>26</v>
          </cell>
          <cell r="F2211" t="str">
            <v>能開</v>
          </cell>
          <cell r="G2211" t="str">
            <v>受水槽清掃</v>
          </cell>
          <cell r="H2211" t="str">
            <v>日進産業</v>
          </cell>
          <cell r="I2211">
            <v>131100</v>
          </cell>
          <cell r="J2211">
            <v>148143</v>
          </cell>
          <cell r="K2211">
            <v>1</v>
          </cell>
          <cell r="L2211">
            <v>0</v>
          </cell>
          <cell r="M2211">
            <v>0</v>
          </cell>
          <cell r="N2211">
            <v>0</v>
          </cell>
          <cell r="O2211">
            <v>0</v>
          </cell>
          <cell r="P2211">
            <v>0</v>
          </cell>
          <cell r="Q2211">
            <v>0</v>
          </cell>
          <cell r="R2211">
            <v>148143</v>
          </cell>
          <cell r="S2211">
            <v>0</v>
          </cell>
          <cell r="T2211">
            <v>0</v>
          </cell>
          <cell r="U2211">
            <v>0</v>
          </cell>
          <cell r="V2211">
            <v>0</v>
          </cell>
          <cell r="W2211">
            <v>0</v>
          </cell>
          <cell r="X2211" t="str">
            <v/>
          </cell>
          <cell r="Y2211" t="str">
            <v/>
          </cell>
          <cell r="Z2211" t="str">
            <v/>
          </cell>
          <cell r="AA2211" t="str">
            <v/>
          </cell>
          <cell r="AB2211" t="str">
            <v/>
          </cell>
          <cell r="AC2211" t="str">
            <v/>
          </cell>
          <cell r="AD2211" t="str">
            <v>⑩</v>
          </cell>
          <cell r="AE2211" t="str">
            <v/>
          </cell>
          <cell r="AF2211" t="str">
            <v/>
          </cell>
          <cell r="AG2211" t="str">
            <v/>
          </cell>
          <cell r="AH2211" t="str">
            <v/>
          </cell>
          <cell r="AI2211" t="str">
            <v/>
          </cell>
        </row>
        <row r="2212">
          <cell r="B2212">
            <v>12627</v>
          </cell>
          <cell r="C2212">
            <v>126</v>
          </cell>
          <cell r="D2212">
            <v>27</v>
          </cell>
          <cell r="F2212" t="str">
            <v>能開</v>
          </cell>
          <cell r="G2212" t="str">
            <v>直流電源装置保守点検</v>
          </cell>
          <cell r="H2212" t="str">
            <v>古河バッテリー</v>
          </cell>
          <cell r="I2212">
            <v>90000</v>
          </cell>
          <cell r="J2212">
            <v>91800</v>
          </cell>
          <cell r="K2212">
            <v>2</v>
          </cell>
          <cell r="L2212">
            <v>0</v>
          </cell>
          <cell r="M2212">
            <v>91800</v>
          </cell>
          <cell r="N2212">
            <v>0</v>
          </cell>
          <cell r="O2212">
            <v>0</v>
          </cell>
          <cell r="P2212">
            <v>0</v>
          </cell>
          <cell r="Q2212">
            <v>0</v>
          </cell>
          <cell r="R2212">
            <v>0</v>
          </cell>
          <cell r="S2212">
            <v>91800</v>
          </cell>
          <cell r="T2212">
            <v>0</v>
          </cell>
          <cell r="U2212">
            <v>0</v>
          </cell>
          <cell r="V2212">
            <v>0</v>
          </cell>
          <cell r="W2212">
            <v>0</v>
          </cell>
          <cell r="X2212" t="str">
            <v/>
          </cell>
          <cell r="Y2212" t="str">
            <v>⑤</v>
          </cell>
          <cell r="Z2212" t="str">
            <v/>
          </cell>
          <cell r="AA2212" t="str">
            <v/>
          </cell>
          <cell r="AC2212" t="str">
            <v/>
          </cell>
          <cell r="AD2212" t="str">
            <v/>
          </cell>
          <cell r="AE2212" t="str">
            <v>⑪</v>
          </cell>
          <cell r="AF2212" t="str">
            <v/>
          </cell>
          <cell r="AG2212" t="str">
            <v/>
          </cell>
          <cell r="AI2212" t="str">
            <v/>
          </cell>
        </row>
        <row r="2213">
          <cell r="B2213">
            <v>12628</v>
          </cell>
          <cell r="C2213">
            <v>126</v>
          </cell>
          <cell r="D2213">
            <v>28</v>
          </cell>
          <cell r="F2213" t="str">
            <v>能開</v>
          </cell>
          <cell r="G2213" t="str">
            <v>冷温水発生機設備保守</v>
          </cell>
          <cell r="H2213" t="str">
            <v>三洋空調システムズ</v>
          </cell>
          <cell r="I2213">
            <v>511000</v>
          </cell>
          <cell r="J2213">
            <v>521220</v>
          </cell>
          <cell r="K2213">
            <v>2</v>
          </cell>
          <cell r="L2213">
            <v>0</v>
          </cell>
          <cell r="M2213">
            <v>521220</v>
          </cell>
          <cell r="N2213">
            <v>0</v>
          </cell>
          <cell r="O2213">
            <v>0</v>
          </cell>
          <cell r="P2213">
            <v>0</v>
          </cell>
          <cell r="Q2213">
            <v>0</v>
          </cell>
          <cell r="R2213">
            <v>521220</v>
          </cell>
          <cell r="S2213">
            <v>0</v>
          </cell>
          <cell r="T2213">
            <v>0</v>
          </cell>
          <cell r="U2213">
            <v>0</v>
          </cell>
          <cell r="V2213">
            <v>0</v>
          </cell>
          <cell r="W2213">
            <v>0</v>
          </cell>
          <cell r="Y2213" t="str">
            <v>⑤</v>
          </cell>
          <cell r="Z2213" t="str">
            <v/>
          </cell>
          <cell r="AA2213" t="str">
            <v/>
          </cell>
          <cell r="AB2213" t="str">
            <v/>
          </cell>
          <cell r="AC2213" t="str">
            <v/>
          </cell>
          <cell r="AD2213" t="str">
            <v>⑩</v>
          </cell>
          <cell r="AE2213" t="str">
            <v/>
          </cell>
          <cell r="AF2213" t="str">
            <v/>
          </cell>
          <cell r="AG2213" t="str">
            <v/>
          </cell>
          <cell r="AH2213" t="str">
            <v/>
          </cell>
          <cell r="AI2213" t="str">
            <v/>
          </cell>
        </row>
        <row r="2214">
          <cell r="B2214">
            <v>12629</v>
          </cell>
          <cell r="C2214">
            <v>126</v>
          </cell>
          <cell r="D2214">
            <v>29</v>
          </cell>
          <cell r="F2214" t="str">
            <v>能開</v>
          </cell>
          <cell r="G2214" t="str">
            <v>空調用自動制御機器保守</v>
          </cell>
          <cell r="H2214" t="str">
            <v>山武計装</v>
          </cell>
          <cell r="I2214">
            <v>1365000</v>
          </cell>
          <cell r="J2214">
            <v>1413660</v>
          </cell>
          <cell r="K2214">
            <v>1</v>
          </cell>
          <cell r="L2214">
            <v>0</v>
          </cell>
          <cell r="M2214">
            <v>0</v>
          </cell>
          <cell r="N2214">
            <v>1413660</v>
          </cell>
          <cell r="O2214">
            <v>0</v>
          </cell>
          <cell r="P2214">
            <v>0</v>
          </cell>
          <cell r="Q2214">
            <v>0</v>
          </cell>
          <cell r="R2214">
            <v>0</v>
          </cell>
          <cell r="S2214">
            <v>0</v>
          </cell>
          <cell r="T2214">
            <v>0</v>
          </cell>
          <cell r="U2214">
            <v>0</v>
          </cell>
          <cell r="V2214">
            <v>0</v>
          </cell>
          <cell r="W2214">
            <v>0</v>
          </cell>
          <cell r="X2214" t="str">
            <v/>
          </cell>
          <cell r="Y2214" t="str">
            <v/>
          </cell>
          <cell r="Z2214" t="str">
            <v>⑥</v>
          </cell>
          <cell r="AB2214" t="str">
            <v/>
          </cell>
          <cell r="AC2214" t="str">
            <v/>
          </cell>
          <cell r="AD2214" t="str">
            <v/>
          </cell>
          <cell r="AE2214" t="str">
            <v/>
          </cell>
          <cell r="AF2214" t="str">
            <v/>
          </cell>
          <cell r="AG2214" t="str">
            <v/>
          </cell>
          <cell r="AH2214" t="str">
            <v/>
          </cell>
          <cell r="AI2214" t="str">
            <v/>
          </cell>
        </row>
        <row r="2215">
          <cell r="B2215">
            <v>12630</v>
          </cell>
          <cell r="C2215">
            <v>126</v>
          </cell>
          <cell r="D2215">
            <v>30</v>
          </cell>
          <cell r="F2215" t="str">
            <v>能開</v>
          </cell>
          <cell r="G2215" t="str">
            <v>空調用自動制御機器保守</v>
          </cell>
          <cell r="H2215" t="str">
            <v>山武計装</v>
          </cell>
          <cell r="I2215">
            <v>1365000</v>
          </cell>
          <cell r="J2215">
            <v>1413660</v>
          </cell>
          <cell r="K2215">
            <v>1</v>
          </cell>
          <cell r="L2215">
            <v>0</v>
          </cell>
          <cell r="M2215">
            <v>0</v>
          </cell>
          <cell r="N2215">
            <v>0</v>
          </cell>
          <cell r="O2215">
            <v>0</v>
          </cell>
          <cell r="P2215">
            <v>0</v>
          </cell>
          <cell r="Q2215">
            <v>0</v>
          </cell>
          <cell r="R2215">
            <v>0</v>
          </cell>
          <cell r="S2215">
            <v>1413660</v>
          </cell>
          <cell r="T2215">
            <v>0</v>
          </cell>
          <cell r="U2215">
            <v>0</v>
          </cell>
          <cell r="V2215">
            <v>0</v>
          </cell>
          <cell r="W2215">
            <v>0</v>
          </cell>
          <cell r="X2215" t="str">
            <v/>
          </cell>
          <cell r="Y2215" t="str">
            <v/>
          </cell>
          <cell r="Z2215" t="str">
            <v/>
          </cell>
          <cell r="AA2215" t="str">
            <v/>
          </cell>
          <cell r="AB2215" t="str">
            <v/>
          </cell>
          <cell r="AC2215" t="str">
            <v/>
          </cell>
          <cell r="AD2215" t="str">
            <v/>
          </cell>
          <cell r="AE2215" t="str">
            <v>⑪</v>
          </cell>
          <cell r="AF2215" t="str">
            <v/>
          </cell>
          <cell r="AG2215" t="str">
            <v/>
          </cell>
          <cell r="AI2215" t="str">
            <v/>
          </cell>
        </row>
        <row r="2216">
          <cell r="B2216">
            <v>12631</v>
          </cell>
          <cell r="C2216">
            <v>126</v>
          </cell>
          <cell r="D2216">
            <v>31</v>
          </cell>
          <cell r="F2216" t="str">
            <v>能開</v>
          </cell>
          <cell r="G2216" t="str">
            <v>給排水ポンプ設備保守点検</v>
          </cell>
          <cell r="H2216" t="str">
            <v>荏原テクノサーブ</v>
          </cell>
          <cell r="I2216">
            <v>77500</v>
          </cell>
          <cell r="J2216">
            <v>81150</v>
          </cell>
          <cell r="K2216">
            <v>2</v>
          </cell>
          <cell r="L2216">
            <v>0</v>
          </cell>
          <cell r="M2216">
            <v>0</v>
          </cell>
          <cell r="N2216">
            <v>0</v>
          </cell>
          <cell r="O2216">
            <v>0</v>
          </cell>
          <cell r="P2216">
            <v>0</v>
          </cell>
          <cell r="Q2216">
            <v>81150</v>
          </cell>
          <cell r="R2216">
            <v>0</v>
          </cell>
          <cell r="S2216">
            <v>0</v>
          </cell>
          <cell r="T2216">
            <v>0</v>
          </cell>
          <cell r="U2216">
            <v>0</v>
          </cell>
          <cell r="V2216">
            <v>0</v>
          </cell>
          <cell r="W2216">
            <v>81150</v>
          </cell>
          <cell r="X2216" t="str">
            <v/>
          </cell>
          <cell r="Y2216" t="str">
            <v/>
          </cell>
          <cell r="Z2216" t="str">
            <v/>
          </cell>
          <cell r="AA2216" t="str">
            <v/>
          </cell>
          <cell r="AB2216" t="str">
            <v/>
          </cell>
          <cell r="AC2216" t="str">
            <v>⑨</v>
          </cell>
          <cell r="AD2216" t="str">
            <v/>
          </cell>
          <cell r="AE2216" t="str">
            <v/>
          </cell>
          <cell r="AF2216" t="str">
            <v/>
          </cell>
          <cell r="AG2216" t="str">
            <v/>
          </cell>
          <cell r="AH2216" t="str">
            <v/>
          </cell>
          <cell r="AI2216" t="str">
            <v>③</v>
          </cell>
          <cell r="AJ2216" t="str">
            <v>変</v>
          </cell>
        </row>
        <row r="2217">
          <cell r="B2217">
            <v>12632</v>
          </cell>
          <cell r="C2217">
            <v>126</v>
          </cell>
          <cell r="D2217">
            <v>32</v>
          </cell>
          <cell r="F2217" t="str">
            <v>能開</v>
          </cell>
          <cell r="G2217" t="str">
            <v>植栽管理</v>
          </cell>
          <cell r="H2217" t="str">
            <v>王子緑化</v>
          </cell>
          <cell r="I2217">
            <v>490000</v>
          </cell>
          <cell r="J2217">
            <v>499800</v>
          </cell>
          <cell r="K2217">
            <v>2</v>
          </cell>
          <cell r="L2217">
            <v>0</v>
          </cell>
          <cell r="M2217">
            <v>0</v>
          </cell>
          <cell r="N2217">
            <v>0</v>
          </cell>
          <cell r="O2217">
            <v>0</v>
          </cell>
          <cell r="P2217">
            <v>0</v>
          </cell>
          <cell r="Q2217">
            <v>499800</v>
          </cell>
          <cell r="R2217">
            <v>0</v>
          </cell>
          <cell r="S2217">
            <v>0</v>
          </cell>
          <cell r="T2217">
            <v>0</v>
          </cell>
          <cell r="U2217">
            <v>0</v>
          </cell>
          <cell r="V2217">
            <v>0</v>
          </cell>
          <cell r="W2217">
            <v>499800</v>
          </cell>
          <cell r="X2217" t="str">
            <v/>
          </cell>
          <cell r="Y2217" t="str">
            <v/>
          </cell>
          <cell r="Z2217" t="str">
            <v/>
          </cell>
          <cell r="AA2217" t="str">
            <v/>
          </cell>
          <cell r="AB2217" t="str">
            <v/>
          </cell>
          <cell r="AC2217" t="str">
            <v>⑨</v>
          </cell>
          <cell r="AD2217" t="str">
            <v/>
          </cell>
          <cell r="AE2217" t="str">
            <v/>
          </cell>
          <cell r="AF2217" t="str">
            <v/>
          </cell>
          <cell r="AG2217" t="str">
            <v/>
          </cell>
          <cell r="AH2217" t="str">
            <v/>
          </cell>
          <cell r="AI2217" t="str">
            <v>③</v>
          </cell>
        </row>
        <row r="2218">
          <cell r="B2218">
            <v>12633</v>
          </cell>
          <cell r="C2218">
            <v>126</v>
          </cell>
          <cell r="D2218">
            <v>33</v>
          </cell>
          <cell r="F2218" t="str">
            <v>能開</v>
          </cell>
          <cell r="G2218" t="str">
            <v>厨房天蓋清掃</v>
          </cell>
          <cell r="H2218" t="str">
            <v>プロセスサービス</v>
          </cell>
          <cell r="I2218">
            <v>125000</v>
          </cell>
          <cell r="J2218">
            <v>143750</v>
          </cell>
          <cell r="K2218">
            <v>1</v>
          </cell>
          <cell r="L2218">
            <v>0</v>
          </cell>
          <cell r="M2218">
            <v>0</v>
          </cell>
          <cell r="N2218">
            <v>0</v>
          </cell>
          <cell r="O2218">
            <v>0</v>
          </cell>
          <cell r="P2218">
            <v>143750</v>
          </cell>
          <cell r="Q2218">
            <v>0</v>
          </cell>
          <cell r="R2218">
            <v>0</v>
          </cell>
          <cell r="S2218">
            <v>0</v>
          </cell>
          <cell r="T2218">
            <v>0</v>
          </cell>
          <cell r="U2218">
            <v>0</v>
          </cell>
          <cell r="V2218">
            <v>0</v>
          </cell>
          <cell r="W2218">
            <v>0</v>
          </cell>
          <cell r="X2218" t="str">
            <v/>
          </cell>
          <cell r="Y2218" t="str">
            <v/>
          </cell>
          <cell r="Z2218" t="str">
            <v/>
          </cell>
          <cell r="AA2218" t="str">
            <v/>
          </cell>
          <cell r="AB2218" t="str">
            <v>⑧</v>
          </cell>
          <cell r="AC2218" t="str">
            <v/>
          </cell>
          <cell r="AD2218" t="str">
            <v/>
          </cell>
          <cell r="AE2218" t="str">
            <v/>
          </cell>
          <cell r="AF2218" t="str">
            <v/>
          </cell>
          <cell r="AG2218" t="str">
            <v/>
          </cell>
          <cell r="AH2218" t="str">
            <v/>
          </cell>
          <cell r="AI2218" t="str">
            <v/>
          </cell>
          <cell r="AJ2218" t="str">
            <v>追</v>
          </cell>
        </row>
        <row r="2219">
          <cell r="B2219">
            <v>12634</v>
          </cell>
          <cell r="C2219">
            <v>126</v>
          </cell>
          <cell r="D2219">
            <v>34</v>
          </cell>
          <cell r="F2219" t="str">
            <v>能開</v>
          </cell>
          <cell r="G2219" t="str">
            <v>厨房グリスﾌｨﾙﾀｰ清掃</v>
          </cell>
          <cell r="H2219" t="str">
            <v>プロセスサービス</v>
          </cell>
          <cell r="I2219">
            <v>12800</v>
          </cell>
          <cell r="J2219">
            <v>14720</v>
          </cell>
          <cell r="K2219">
            <v>6</v>
          </cell>
          <cell r="L2219">
            <v>14720</v>
          </cell>
          <cell r="M2219">
            <v>0</v>
          </cell>
          <cell r="N2219">
            <v>14720</v>
          </cell>
          <cell r="O2219">
            <v>0</v>
          </cell>
          <cell r="P2219">
            <v>14720</v>
          </cell>
          <cell r="Q2219">
            <v>0</v>
          </cell>
          <cell r="R2219">
            <v>14720</v>
          </cell>
          <cell r="S2219">
            <v>0</v>
          </cell>
          <cell r="T2219">
            <v>14720</v>
          </cell>
          <cell r="U2219">
            <v>0</v>
          </cell>
          <cell r="V2219">
            <v>14720</v>
          </cell>
          <cell r="W2219">
            <v>0</v>
          </cell>
          <cell r="X2219" t="str">
            <v>④</v>
          </cell>
          <cell r="Z2219" t="str">
            <v>⑥</v>
          </cell>
          <cell r="AB2219" t="str">
            <v>⑧</v>
          </cell>
          <cell r="AD2219" t="str">
            <v>⑩</v>
          </cell>
          <cell r="AF2219" t="str">
            <v>⑫</v>
          </cell>
          <cell r="AH2219" t="str">
            <v>②</v>
          </cell>
          <cell r="AJ2219" t="str">
            <v>追</v>
          </cell>
        </row>
        <row r="2220">
          <cell r="B2220">
            <v>12701</v>
          </cell>
          <cell r="C2220">
            <v>127</v>
          </cell>
          <cell r="D2220">
            <v>1</v>
          </cell>
          <cell r="F2220" t="str">
            <v>溝口</v>
          </cell>
          <cell r="G2220" t="str">
            <v>エレベーター保守</v>
          </cell>
          <cell r="H2220" t="str">
            <v>三菱電機ﾋﾞﾙﾃｸﾉｻｰﾋﾞｽ</v>
          </cell>
          <cell r="I2220">
            <v>62600</v>
          </cell>
          <cell r="J2220">
            <v>63852</v>
          </cell>
          <cell r="K2220">
            <v>12</v>
          </cell>
          <cell r="L2220">
            <v>63852</v>
          </cell>
          <cell r="M2220">
            <v>63852</v>
          </cell>
          <cell r="N2220">
            <v>63852</v>
          </cell>
          <cell r="O2220">
            <v>63852</v>
          </cell>
          <cell r="P2220">
            <v>63852</v>
          </cell>
          <cell r="Q2220">
            <v>63852</v>
          </cell>
          <cell r="R2220">
            <v>63852</v>
          </cell>
          <cell r="S2220">
            <v>63852</v>
          </cell>
          <cell r="T2220">
            <v>63852</v>
          </cell>
          <cell r="U2220">
            <v>63852</v>
          </cell>
          <cell r="V2220">
            <v>63852</v>
          </cell>
          <cell r="W2220">
            <v>63852</v>
          </cell>
          <cell r="X2220" t="str">
            <v>④</v>
          </cell>
          <cell r="Y2220" t="str">
            <v>⑤</v>
          </cell>
          <cell r="Z2220" t="str">
            <v>⑥</v>
          </cell>
          <cell r="AA2220" t="str">
            <v>⑦</v>
          </cell>
          <cell r="AB2220" t="str">
            <v>⑧</v>
          </cell>
          <cell r="AC2220" t="str">
            <v>⑨</v>
          </cell>
          <cell r="AD2220" t="str">
            <v>⑩</v>
          </cell>
          <cell r="AE2220" t="str">
            <v>⑪</v>
          </cell>
          <cell r="AF2220" t="str">
            <v>⑫</v>
          </cell>
          <cell r="AG2220" t="str">
            <v>①</v>
          </cell>
          <cell r="AH2220" t="str">
            <v>②</v>
          </cell>
          <cell r="AI2220" t="str">
            <v>③</v>
          </cell>
        </row>
        <row r="2221">
          <cell r="B2221">
            <v>12801</v>
          </cell>
          <cell r="C2221">
            <v>128</v>
          </cell>
          <cell r="D2221">
            <v>1</v>
          </cell>
          <cell r="F2221" t="str">
            <v>茗荷谷</v>
          </cell>
          <cell r="G2221" t="str">
            <v>エレベーター保守</v>
          </cell>
          <cell r="H2221" t="str">
            <v>三菱電機ﾋﾞﾙﾃｸﾉｻｰﾋﾞｽ</v>
          </cell>
          <cell r="I2221">
            <v>20000</v>
          </cell>
          <cell r="J2221">
            <v>20400</v>
          </cell>
          <cell r="K2221">
            <v>12</v>
          </cell>
          <cell r="L2221">
            <v>20400</v>
          </cell>
          <cell r="M2221">
            <v>20400</v>
          </cell>
          <cell r="N2221">
            <v>20400</v>
          </cell>
          <cell r="O2221">
            <v>20400</v>
          </cell>
          <cell r="P2221">
            <v>20400</v>
          </cell>
          <cell r="Q2221">
            <v>20400</v>
          </cell>
          <cell r="R2221">
            <v>20400</v>
          </cell>
          <cell r="S2221">
            <v>20400</v>
          </cell>
          <cell r="T2221">
            <v>20400</v>
          </cell>
          <cell r="U2221">
            <v>20400</v>
          </cell>
          <cell r="V2221">
            <v>20400</v>
          </cell>
          <cell r="W2221">
            <v>20400</v>
          </cell>
          <cell r="X2221" t="str">
            <v>④</v>
          </cell>
          <cell r="Y2221" t="str">
            <v>⑤</v>
          </cell>
          <cell r="Z2221" t="str">
            <v>⑥</v>
          </cell>
          <cell r="AA2221" t="str">
            <v>⑦</v>
          </cell>
          <cell r="AB2221" t="str">
            <v>⑧</v>
          </cell>
          <cell r="AC2221" t="str">
            <v>⑨</v>
          </cell>
          <cell r="AD2221" t="str">
            <v>⑩</v>
          </cell>
          <cell r="AE2221" t="str">
            <v>⑪</v>
          </cell>
          <cell r="AF2221" t="str">
            <v>⑫</v>
          </cell>
          <cell r="AG2221" t="str">
            <v>①</v>
          </cell>
          <cell r="AH2221" t="str">
            <v>②</v>
          </cell>
          <cell r="AI2221" t="str">
            <v>③</v>
          </cell>
        </row>
        <row r="2222">
          <cell r="B2222">
            <v>12802</v>
          </cell>
          <cell r="C2222">
            <v>128</v>
          </cell>
          <cell r="D2222">
            <v>2</v>
          </cell>
          <cell r="F2222" t="str">
            <v>茗荷谷</v>
          </cell>
          <cell r="G2222" t="str">
            <v>浄水器ユニット保守</v>
          </cell>
          <cell r="H2222" t="str">
            <v>セコムアクア</v>
          </cell>
          <cell r="I2222">
            <v>22000</v>
          </cell>
          <cell r="J2222">
            <v>22440</v>
          </cell>
          <cell r="K2222">
            <v>12</v>
          </cell>
          <cell r="L2222">
            <v>22440</v>
          </cell>
          <cell r="M2222">
            <v>22440</v>
          </cell>
          <cell r="N2222">
            <v>22440</v>
          </cell>
          <cell r="O2222">
            <v>22440</v>
          </cell>
          <cell r="P2222">
            <v>22440</v>
          </cell>
          <cell r="Q2222">
            <v>22440</v>
          </cell>
          <cell r="R2222">
            <v>22440</v>
          </cell>
          <cell r="S2222">
            <v>22440</v>
          </cell>
          <cell r="T2222">
            <v>22440</v>
          </cell>
          <cell r="U2222">
            <v>22440</v>
          </cell>
          <cell r="V2222">
            <v>22440</v>
          </cell>
          <cell r="W2222">
            <v>22440</v>
          </cell>
          <cell r="X2222" t="str">
            <v>④</v>
          </cell>
          <cell r="Y2222" t="str">
            <v>⑤</v>
          </cell>
          <cell r="Z2222" t="str">
            <v>⑥</v>
          </cell>
          <cell r="AA2222" t="str">
            <v>⑦</v>
          </cell>
          <cell r="AB2222" t="str">
            <v>⑧</v>
          </cell>
          <cell r="AC2222" t="str">
            <v>⑨</v>
          </cell>
          <cell r="AD2222" t="str">
            <v>⑩</v>
          </cell>
          <cell r="AE2222" t="str">
            <v>⑪</v>
          </cell>
          <cell r="AF2222" t="str">
            <v>⑫</v>
          </cell>
          <cell r="AG2222" t="str">
            <v>①</v>
          </cell>
          <cell r="AH2222" t="str">
            <v>②</v>
          </cell>
          <cell r="AI2222" t="str">
            <v>③</v>
          </cell>
        </row>
        <row r="2223">
          <cell r="B2223">
            <v>13001</v>
          </cell>
          <cell r="C2223">
            <v>130</v>
          </cell>
          <cell r="D2223">
            <v>1</v>
          </cell>
          <cell r="F2223" t="str">
            <v>幕張寮</v>
          </cell>
          <cell r="G2223" t="str">
            <v>エレベーター保守</v>
          </cell>
          <cell r="H2223" t="str">
            <v>東芝エレベータ</v>
          </cell>
          <cell r="I2223">
            <v>130000</v>
          </cell>
          <cell r="J2223">
            <v>134280</v>
          </cell>
          <cell r="K2223">
            <v>12</v>
          </cell>
          <cell r="L2223">
            <v>134280</v>
          </cell>
          <cell r="M2223">
            <v>134280</v>
          </cell>
          <cell r="N2223">
            <v>134280</v>
          </cell>
          <cell r="O2223">
            <v>134280</v>
          </cell>
          <cell r="P2223">
            <v>134280</v>
          </cell>
          <cell r="Q2223">
            <v>134280</v>
          </cell>
          <cell r="R2223">
            <v>134280</v>
          </cell>
          <cell r="S2223">
            <v>134280</v>
          </cell>
          <cell r="T2223">
            <v>134280</v>
          </cell>
          <cell r="U2223">
            <v>134280</v>
          </cell>
          <cell r="V2223">
            <v>134280</v>
          </cell>
          <cell r="W2223">
            <v>134280</v>
          </cell>
          <cell r="X2223" t="str">
            <v>④</v>
          </cell>
          <cell r="Y2223" t="str">
            <v>⑤</v>
          </cell>
          <cell r="Z2223" t="str">
            <v>⑥</v>
          </cell>
          <cell r="AA2223" t="str">
            <v>⑦</v>
          </cell>
          <cell r="AB2223" t="str">
            <v>⑧</v>
          </cell>
          <cell r="AC2223" t="str">
            <v>⑨</v>
          </cell>
          <cell r="AD2223" t="str">
            <v>⑩</v>
          </cell>
          <cell r="AE2223" t="str">
            <v>⑪</v>
          </cell>
          <cell r="AF2223" t="str">
            <v>⑫</v>
          </cell>
          <cell r="AG2223" t="str">
            <v>①</v>
          </cell>
          <cell r="AH2223" t="str">
            <v>②</v>
          </cell>
          <cell r="AI2223" t="str">
            <v>③</v>
          </cell>
          <cell r="AJ2223" t="str">
            <v>変</v>
          </cell>
        </row>
        <row r="2224">
          <cell r="B2224">
            <v>13002</v>
          </cell>
          <cell r="C2224">
            <v>130</v>
          </cell>
          <cell r="D2224">
            <v>2</v>
          </cell>
          <cell r="F2224" t="str">
            <v>幕張寮</v>
          </cell>
          <cell r="G2224" t="str">
            <v>機械式駐車場設備保守</v>
          </cell>
          <cell r="H2224" t="str">
            <v>二宮産業</v>
          </cell>
          <cell r="I2224">
            <v>102000</v>
          </cell>
          <cell r="J2224">
            <v>104040</v>
          </cell>
          <cell r="K2224">
            <v>12</v>
          </cell>
          <cell r="L2224">
            <v>104040</v>
          </cell>
          <cell r="M2224">
            <v>104040</v>
          </cell>
          <cell r="N2224">
            <v>104040</v>
          </cell>
          <cell r="O2224">
            <v>104040</v>
          </cell>
          <cell r="P2224">
            <v>104040</v>
          </cell>
          <cell r="Q2224">
            <v>104040</v>
          </cell>
          <cell r="R2224">
            <v>104040</v>
          </cell>
          <cell r="S2224">
            <v>104040</v>
          </cell>
          <cell r="T2224">
            <v>104040</v>
          </cell>
          <cell r="U2224">
            <v>104040</v>
          </cell>
          <cell r="V2224">
            <v>104040</v>
          </cell>
          <cell r="W2224">
            <v>104040</v>
          </cell>
          <cell r="X2224" t="str">
            <v>④</v>
          </cell>
          <cell r="Y2224" t="str">
            <v>⑤</v>
          </cell>
          <cell r="Z2224" t="str">
            <v>⑥</v>
          </cell>
          <cell r="AA2224" t="str">
            <v>⑦</v>
          </cell>
          <cell r="AB2224" t="str">
            <v>⑧</v>
          </cell>
          <cell r="AC2224" t="str">
            <v>⑨</v>
          </cell>
          <cell r="AD2224" t="str">
            <v>⑩</v>
          </cell>
          <cell r="AE2224" t="str">
            <v>⑪</v>
          </cell>
          <cell r="AF2224" t="str">
            <v>⑫</v>
          </cell>
          <cell r="AG2224" t="str">
            <v>①</v>
          </cell>
          <cell r="AH2224" t="str">
            <v>②</v>
          </cell>
          <cell r="AI2224" t="str">
            <v>③</v>
          </cell>
        </row>
        <row r="2225">
          <cell r="B2225">
            <v>13201</v>
          </cell>
          <cell r="C2225">
            <v>132</v>
          </cell>
          <cell r="D2225">
            <v>1</v>
          </cell>
          <cell r="F2225" t="str">
            <v>蓼科</v>
          </cell>
          <cell r="G2225" t="str">
            <v>エレベーター保守</v>
          </cell>
          <cell r="H2225" t="str">
            <v>三菱電機ﾋﾞﾙﾃｸﾉｻｰﾋﾞｽ</v>
          </cell>
          <cell r="I2225">
            <v>61000</v>
          </cell>
          <cell r="J2225">
            <v>62220</v>
          </cell>
          <cell r="K2225">
            <v>12</v>
          </cell>
          <cell r="L2225">
            <v>62220</v>
          </cell>
          <cell r="M2225">
            <v>62220</v>
          </cell>
          <cell r="N2225">
            <v>62220</v>
          </cell>
          <cell r="O2225">
            <v>62220</v>
          </cell>
          <cell r="P2225">
            <v>62220</v>
          </cell>
          <cell r="Q2225">
            <v>62220</v>
          </cell>
          <cell r="R2225">
            <v>62220</v>
          </cell>
          <cell r="S2225">
            <v>62220</v>
          </cell>
          <cell r="T2225">
            <v>62220</v>
          </cell>
          <cell r="U2225">
            <v>62220</v>
          </cell>
          <cell r="V2225">
            <v>62220</v>
          </cell>
          <cell r="W2225">
            <v>62220</v>
          </cell>
          <cell r="X2225" t="str">
            <v>④</v>
          </cell>
          <cell r="Y2225" t="str">
            <v>⑤</v>
          </cell>
          <cell r="Z2225" t="str">
            <v>⑥</v>
          </cell>
          <cell r="AA2225" t="str">
            <v>⑦</v>
          </cell>
          <cell r="AB2225" t="str">
            <v>⑧</v>
          </cell>
          <cell r="AC2225" t="str">
            <v>⑨</v>
          </cell>
          <cell r="AD2225" t="str">
            <v>⑩</v>
          </cell>
          <cell r="AE2225" t="str">
            <v>⑪</v>
          </cell>
          <cell r="AF2225" t="str">
            <v>⑫</v>
          </cell>
          <cell r="AG2225" t="str">
            <v>①</v>
          </cell>
          <cell r="AH2225" t="str">
            <v>②</v>
          </cell>
          <cell r="AI2225" t="str">
            <v>③</v>
          </cell>
        </row>
        <row r="2226">
          <cell r="B2226">
            <v>13301</v>
          </cell>
          <cell r="C2226">
            <v>133</v>
          </cell>
          <cell r="D2226">
            <v>1</v>
          </cell>
          <cell r="F2226" t="str">
            <v>松山</v>
          </cell>
          <cell r="G2226" t="str">
            <v>昇降機設備保守</v>
          </cell>
          <cell r="H2226" t="str">
            <v>三菱電機ﾋﾞﾙﾃｸﾉｻｰﾋﾞｽ</v>
          </cell>
          <cell r="I2226">
            <v>153100</v>
          </cell>
          <cell r="J2226">
            <v>156162</v>
          </cell>
          <cell r="K2226">
            <v>12</v>
          </cell>
          <cell r="L2226">
            <v>156162</v>
          </cell>
          <cell r="M2226">
            <v>156162</v>
          </cell>
          <cell r="N2226">
            <v>156162</v>
          </cell>
          <cell r="O2226">
            <v>156162</v>
          </cell>
          <cell r="P2226">
            <v>156162</v>
          </cell>
          <cell r="Q2226">
            <v>156162</v>
          </cell>
          <cell r="R2226">
            <v>156162</v>
          </cell>
          <cell r="S2226">
            <v>156162</v>
          </cell>
          <cell r="T2226">
            <v>156162</v>
          </cell>
          <cell r="U2226">
            <v>156162</v>
          </cell>
          <cell r="V2226">
            <v>156162</v>
          </cell>
          <cell r="W2226">
            <v>156162</v>
          </cell>
          <cell r="X2226" t="str">
            <v>④</v>
          </cell>
          <cell r="Y2226" t="str">
            <v>⑤</v>
          </cell>
          <cell r="Z2226" t="str">
            <v>⑥</v>
          </cell>
          <cell r="AA2226" t="str">
            <v>⑦</v>
          </cell>
          <cell r="AB2226" t="str">
            <v>⑧</v>
          </cell>
          <cell r="AC2226" t="str">
            <v>⑨</v>
          </cell>
          <cell r="AD2226" t="str">
            <v>⑩</v>
          </cell>
          <cell r="AE2226" t="str">
            <v>⑪</v>
          </cell>
          <cell r="AF2226" t="str">
            <v>⑫</v>
          </cell>
          <cell r="AG2226" t="str">
            <v>①</v>
          </cell>
          <cell r="AH2226" t="str">
            <v>②</v>
          </cell>
          <cell r="AI2226" t="str">
            <v>③</v>
          </cell>
        </row>
        <row r="2227">
          <cell r="B2227">
            <v>13302</v>
          </cell>
          <cell r="C2227">
            <v>133</v>
          </cell>
          <cell r="D2227">
            <v>2</v>
          </cell>
          <cell r="F2227" t="str">
            <v>松山</v>
          </cell>
          <cell r="G2227" t="str">
            <v>自動火災報知設備(外観)</v>
          </cell>
          <cell r="H2227" t="str">
            <v>四国消防設備保守ｾﾝﾀｰ</v>
          </cell>
          <cell r="I2227">
            <v>88500</v>
          </cell>
          <cell r="J2227">
            <v>96200</v>
          </cell>
          <cell r="K2227">
            <v>1</v>
          </cell>
          <cell r="L2227">
            <v>0</v>
          </cell>
          <cell r="M2227">
            <v>0</v>
          </cell>
          <cell r="N2227">
            <v>0</v>
          </cell>
          <cell r="O2227">
            <v>0</v>
          </cell>
          <cell r="P2227">
            <v>0</v>
          </cell>
          <cell r="Q2227">
            <v>0</v>
          </cell>
          <cell r="R2227">
            <v>0</v>
          </cell>
          <cell r="S2227">
            <v>0</v>
          </cell>
          <cell r="T2227">
            <v>0</v>
          </cell>
          <cell r="U2227">
            <v>0</v>
          </cell>
          <cell r="V2227">
            <v>0</v>
          </cell>
          <cell r="W2227">
            <v>96200</v>
          </cell>
          <cell r="X2227" t="str">
            <v/>
          </cell>
          <cell r="Y2227" t="str">
            <v/>
          </cell>
          <cell r="Z2227" t="str">
            <v/>
          </cell>
          <cell r="AA2227" t="str">
            <v/>
          </cell>
          <cell r="AB2227" t="str">
            <v/>
          </cell>
          <cell r="AC2227" t="str">
            <v/>
          </cell>
          <cell r="AD2227" t="str">
            <v/>
          </cell>
          <cell r="AE2227" t="str">
            <v/>
          </cell>
          <cell r="AF2227" t="str">
            <v/>
          </cell>
          <cell r="AG2227" t="str">
            <v/>
          </cell>
          <cell r="AH2227" t="str">
            <v/>
          </cell>
          <cell r="AI2227" t="str">
            <v>③</v>
          </cell>
        </row>
        <row r="2228">
          <cell r="B2228">
            <v>13303</v>
          </cell>
          <cell r="C2228">
            <v>133</v>
          </cell>
          <cell r="D2228">
            <v>3</v>
          </cell>
          <cell r="F2228" t="str">
            <v>松山</v>
          </cell>
          <cell r="G2228" t="str">
            <v>自動火災報知設備(総合)</v>
          </cell>
          <cell r="H2228" t="str">
            <v>四国消防設備保守ｾﾝﾀｰ</v>
          </cell>
          <cell r="I2228">
            <v>199000</v>
          </cell>
          <cell r="J2228">
            <v>217200</v>
          </cell>
          <cell r="K2228">
            <v>1</v>
          </cell>
          <cell r="L2228">
            <v>0</v>
          </cell>
          <cell r="M2228">
            <v>0</v>
          </cell>
          <cell r="N2228">
            <v>0</v>
          </cell>
          <cell r="O2228">
            <v>0</v>
          </cell>
          <cell r="P2228">
            <v>0</v>
          </cell>
          <cell r="Q2228">
            <v>217200</v>
          </cell>
          <cell r="R2228">
            <v>0</v>
          </cell>
          <cell r="S2228">
            <v>0</v>
          </cell>
          <cell r="T2228">
            <v>0</v>
          </cell>
          <cell r="U2228">
            <v>0</v>
          </cell>
          <cell r="V2228">
            <v>0</v>
          </cell>
          <cell r="W2228">
            <v>0</v>
          </cell>
          <cell r="X2228" t="str">
            <v/>
          </cell>
          <cell r="Y2228" t="str">
            <v/>
          </cell>
          <cell r="Z2228" t="str">
            <v/>
          </cell>
          <cell r="AA2228" t="str">
            <v/>
          </cell>
          <cell r="AB2228" t="str">
            <v/>
          </cell>
          <cell r="AC2228" t="str">
            <v>⑨</v>
          </cell>
          <cell r="AD2228" t="str">
            <v/>
          </cell>
          <cell r="AE2228" t="str">
            <v/>
          </cell>
          <cell r="AF2228" t="str">
            <v/>
          </cell>
          <cell r="AG2228" t="str">
            <v/>
          </cell>
          <cell r="AH2228" t="str">
            <v/>
          </cell>
          <cell r="AI2228" t="str">
            <v/>
          </cell>
        </row>
        <row r="2229">
          <cell r="B2229">
            <v>13304</v>
          </cell>
          <cell r="C2229">
            <v>133</v>
          </cell>
          <cell r="D2229">
            <v>4</v>
          </cell>
          <cell r="F2229" t="str">
            <v>松山</v>
          </cell>
          <cell r="G2229" t="str">
            <v>非常放送設備保守(外観)</v>
          </cell>
          <cell r="H2229" t="str">
            <v>四国消防設備保守ｾﾝﾀｰ</v>
          </cell>
          <cell r="I2229">
            <v>43200</v>
          </cell>
          <cell r="J2229">
            <v>46800</v>
          </cell>
          <cell r="K2229">
            <v>1</v>
          </cell>
          <cell r="L2229">
            <v>0</v>
          </cell>
          <cell r="M2229">
            <v>0</v>
          </cell>
          <cell r="N2229">
            <v>0</v>
          </cell>
          <cell r="O2229">
            <v>0</v>
          </cell>
          <cell r="P2229">
            <v>0</v>
          </cell>
          <cell r="Q2229">
            <v>0</v>
          </cell>
          <cell r="R2229">
            <v>0</v>
          </cell>
          <cell r="S2229">
            <v>0</v>
          </cell>
          <cell r="T2229">
            <v>0</v>
          </cell>
          <cell r="U2229">
            <v>0</v>
          </cell>
          <cell r="V2229">
            <v>0</v>
          </cell>
          <cell r="W2229">
            <v>46800</v>
          </cell>
          <cell r="X2229" t="str">
            <v/>
          </cell>
          <cell r="Y2229" t="str">
            <v/>
          </cell>
          <cell r="Z2229" t="str">
            <v/>
          </cell>
          <cell r="AA2229" t="str">
            <v/>
          </cell>
          <cell r="AB2229" t="str">
            <v/>
          </cell>
          <cell r="AC2229" t="str">
            <v/>
          </cell>
          <cell r="AD2229" t="str">
            <v/>
          </cell>
          <cell r="AE2229" t="str">
            <v/>
          </cell>
          <cell r="AF2229" t="str">
            <v/>
          </cell>
          <cell r="AG2229" t="str">
            <v/>
          </cell>
          <cell r="AH2229" t="str">
            <v/>
          </cell>
          <cell r="AI2229" t="str">
            <v>③</v>
          </cell>
        </row>
        <row r="2230">
          <cell r="B2230">
            <v>13305</v>
          </cell>
          <cell r="C2230">
            <v>133</v>
          </cell>
          <cell r="D2230">
            <v>5</v>
          </cell>
          <cell r="F2230" t="str">
            <v>松山</v>
          </cell>
          <cell r="G2230" t="str">
            <v>非常放送設備保守(総合)</v>
          </cell>
          <cell r="H2230" t="str">
            <v>四国消防設備保守ｾﾝﾀｰ</v>
          </cell>
          <cell r="I2230">
            <v>52100</v>
          </cell>
          <cell r="J2230">
            <v>57000</v>
          </cell>
          <cell r="K2230">
            <v>1</v>
          </cell>
          <cell r="L2230">
            <v>0</v>
          </cell>
          <cell r="M2230">
            <v>0</v>
          </cell>
          <cell r="N2230">
            <v>0</v>
          </cell>
          <cell r="O2230">
            <v>0</v>
          </cell>
          <cell r="P2230">
            <v>0</v>
          </cell>
          <cell r="Q2230">
            <v>57000</v>
          </cell>
          <cell r="R2230">
            <v>0</v>
          </cell>
          <cell r="S2230">
            <v>0</v>
          </cell>
          <cell r="T2230">
            <v>0</v>
          </cell>
          <cell r="U2230">
            <v>0</v>
          </cell>
          <cell r="V2230">
            <v>0</v>
          </cell>
          <cell r="W2230">
            <v>0</v>
          </cell>
          <cell r="X2230" t="str">
            <v/>
          </cell>
          <cell r="Y2230" t="str">
            <v/>
          </cell>
          <cell r="Z2230" t="str">
            <v/>
          </cell>
          <cell r="AA2230" t="str">
            <v/>
          </cell>
          <cell r="AB2230" t="str">
            <v/>
          </cell>
          <cell r="AC2230" t="str">
            <v>⑨</v>
          </cell>
          <cell r="AD2230" t="str">
            <v/>
          </cell>
          <cell r="AE2230" t="str">
            <v/>
          </cell>
          <cell r="AF2230" t="str">
            <v/>
          </cell>
          <cell r="AG2230" t="str">
            <v/>
          </cell>
          <cell r="AH2230" t="str">
            <v/>
          </cell>
          <cell r="AI2230" t="str">
            <v/>
          </cell>
        </row>
        <row r="2231">
          <cell r="B2231">
            <v>13306</v>
          </cell>
          <cell r="C2231">
            <v>133</v>
          </cell>
          <cell r="D2231">
            <v>6</v>
          </cell>
          <cell r="F2231" t="str">
            <v>松山</v>
          </cell>
          <cell r="G2231" t="str">
            <v>防排煙設備保守(外観)防火戸</v>
          </cell>
          <cell r="H2231" t="str">
            <v>四国消防設備保守ｾﾝﾀｰ</v>
          </cell>
          <cell r="I2231">
            <v>4200</v>
          </cell>
          <cell r="J2231">
            <v>4600</v>
          </cell>
          <cell r="K2231">
            <v>1</v>
          </cell>
          <cell r="L2231">
            <v>0</v>
          </cell>
          <cell r="M2231">
            <v>0</v>
          </cell>
          <cell r="N2231">
            <v>0</v>
          </cell>
          <cell r="O2231">
            <v>0</v>
          </cell>
          <cell r="P2231">
            <v>0</v>
          </cell>
          <cell r="Q2231">
            <v>0</v>
          </cell>
          <cell r="R2231">
            <v>0</v>
          </cell>
          <cell r="S2231">
            <v>0</v>
          </cell>
          <cell r="T2231">
            <v>0</v>
          </cell>
          <cell r="U2231">
            <v>0</v>
          </cell>
          <cell r="V2231">
            <v>0</v>
          </cell>
          <cell r="W2231">
            <v>4600</v>
          </cell>
          <cell r="X2231" t="str">
            <v/>
          </cell>
          <cell r="Y2231" t="str">
            <v/>
          </cell>
          <cell r="Z2231" t="str">
            <v/>
          </cell>
          <cell r="AA2231" t="str">
            <v/>
          </cell>
          <cell r="AB2231" t="str">
            <v/>
          </cell>
          <cell r="AC2231" t="str">
            <v/>
          </cell>
          <cell r="AD2231" t="str">
            <v/>
          </cell>
          <cell r="AE2231" t="str">
            <v/>
          </cell>
          <cell r="AF2231" t="str">
            <v/>
          </cell>
          <cell r="AG2231" t="str">
            <v/>
          </cell>
          <cell r="AH2231" t="str">
            <v/>
          </cell>
          <cell r="AI2231" t="str">
            <v>③</v>
          </cell>
        </row>
        <row r="2232">
          <cell r="B2232">
            <v>13307</v>
          </cell>
          <cell r="C2232">
            <v>133</v>
          </cell>
          <cell r="D2232">
            <v>7</v>
          </cell>
          <cell r="F2232" t="str">
            <v>松山</v>
          </cell>
          <cell r="G2232" t="str">
            <v>防排煙設備保守(総合)防火戸</v>
          </cell>
          <cell r="H2232" t="str">
            <v>四国消防設備保守ｾﾝﾀｰ</v>
          </cell>
          <cell r="I2232">
            <v>4900</v>
          </cell>
          <cell r="J2232">
            <v>5400</v>
          </cell>
          <cell r="K2232">
            <v>1</v>
          </cell>
          <cell r="L2232">
            <v>0</v>
          </cell>
          <cell r="M2232">
            <v>0</v>
          </cell>
          <cell r="N2232">
            <v>0</v>
          </cell>
          <cell r="O2232">
            <v>0</v>
          </cell>
          <cell r="P2232">
            <v>0</v>
          </cell>
          <cell r="Q2232">
            <v>5400</v>
          </cell>
          <cell r="R2232">
            <v>0</v>
          </cell>
          <cell r="S2232">
            <v>0</v>
          </cell>
          <cell r="T2232">
            <v>0</v>
          </cell>
          <cell r="U2232">
            <v>0</v>
          </cell>
          <cell r="V2232">
            <v>0</v>
          </cell>
          <cell r="W2232">
            <v>0</v>
          </cell>
          <cell r="X2232" t="str">
            <v/>
          </cell>
          <cell r="Y2232" t="str">
            <v/>
          </cell>
          <cell r="Z2232" t="str">
            <v/>
          </cell>
          <cell r="AA2232" t="str">
            <v/>
          </cell>
          <cell r="AB2232" t="str">
            <v/>
          </cell>
          <cell r="AC2232" t="str">
            <v>⑨</v>
          </cell>
          <cell r="AD2232" t="str">
            <v/>
          </cell>
          <cell r="AE2232" t="str">
            <v/>
          </cell>
          <cell r="AF2232" t="str">
            <v/>
          </cell>
          <cell r="AG2232" t="str">
            <v/>
          </cell>
          <cell r="AH2232" t="str">
            <v/>
          </cell>
          <cell r="AI2232" t="str">
            <v/>
          </cell>
        </row>
        <row r="2233">
          <cell r="B2233">
            <v>13308</v>
          </cell>
          <cell r="C2233">
            <v>133</v>
          </cell>
          <cell r="D2233">
            <v>8</v>
          </cell>
          <cell r="F2233" t="str">
            <v>松山</v>
          </cell>
          <cell r="G2233" t="str">
            <v>消火栓設備保守(外観)</v>
          </cell>
          <cell r="H2233" t="str">
            <v>四国消防設備保守ｾﾝﾀｰ</v>
          </cell>
          <cell r="I2233">
            <v>35000</v>
          </cell>
          <cell r="J2233">
            <v>38100</v>
          </cell>
          <cell r="K2233">
            <v>1</v>
          </cell>
          <cell r="L2233">
            <v>0</v>
          </cell>
          <cell r="M2233">
            <v>0</v>
          </cell>
          <cell r="N2233">
            <v>0</v>
          </cell>
          <cell r="O2233">
            <v>0</v>
          </cell>
          <cell r="P2233">
            <v>0</v>
          </cell>
          <cell r="Q2233">
            <v>0</v>
          </cell>
          <cell r="R2233">
            <v>0</v>
          </cell>
          <cell r="S2233">
            <v>0</v>
          </cell>
          <cell r="T2233">
            <v>0</v>
          </cell>
          <cell r="U2233">
            <v>0</v>
          </cell>
          <cell r="V2233">
            <v>0</v>
          </cell>
          <cell r="W2233">
            <v>38100</v>
          </cell>
          <cell r="X2233" t="str">
            <v/>
          </cell>
          <cell r="Y2233" t="str">
            <v/>
          </cell>
          <cell r="Z2233" t="str">
            <v/>
          </cell>
          <cell r="AA2233" t="str">
            <v/>
          </cell>
          <cell r="AB2233" t="str">
            <v/>
          </cell>
          <cell r="AC2233" t="str">
            <v/>
          </cell>
          <cell r="AD2233" t="str">
            <v/>
          </cell>
          <cell r="AE2233" t="str">
            <v/>
          </cell>
          <cell r="AF2233" t="str">
            <v/>
          </cell>
          <cell r="AG2233" t="str">
            <v/>
          </cell>
          <cell r="AH2233" t="str">
            <v/>
          </cell>
          <cell r="AI2233" t="str">
            <v>③</v>
          </cell>
        </row>
        <row r="2234">
          <cell r="B2234">
            <v>13309</v>
          </cell>
          <cell r="C2234">
            <v>133</v>
          </cell>
          <cell r="D2234">
            <v>9</v>
          </cell>
          <cell r="F2234" t="str">
            <v>松山</v>
          </cell>
          <cell r="G2234" t="str">
            <v>消火栓設備保守(総合)</v>
          </cell>
          <cell r="H2234" t="str">
            <v>四国消防設備保守ｾﾝﾀｰ</v>
          </cell>
          <cell r="I2234">
            <v>38000</v>
          </cell>
          <cell r="J2234">
            <v>41500</v>
          </cell>
          <cell r="K2234">
            <v>1</v>
          </cell>
          <cell r="L2234">
            <v>0</v>
          </cell>
          <cell r="M2234">
            <v>0</v>
          </cell>
          <cell r="N2234">
            <v>0</v>
          </cell>
          <cell r="O2234">
            <v>0</v>
          </cell>
          <cell r="P2234">
            <v>0</v>
          </cell>
          <cell r="Q2234">
            <v>41500</v>
          </cell>
          <cell r="R2234">
            <v>0</v>
          </cell>
          <cell r="S2234">
            <v>0</v>
          </cell>
          <cell r="T2234">
            <v>0</v>
          </cell>
          <cell r="U2234">
            <v>0</v>
          </cell>
          <cell r="V2234">
            <v>0</v>
          </cell>
          <cell r="W2234">
            <v>0</v>
          </cell>
          <cell r="X2234" t="str">
            <v/>
          </cell>
          <cell r="Y2234" t="str">
            <v/>
          </cell>
          <cell r="Z2234" t="str">
            <v/>
          </cell>
          <cell r="AA2234" t="str">
            <v/>
          </cell>
          <cell r="AB2234" t="str">
            <v/>
          </cell>
          <cell r="AC2234" t="str">
            <v>⑨</v>
          </cell>
          <cell r="AD2234" t="str">
            <v/>
          </cell>
          <cell r="AE2234" t="str">
            <v/>
          </cell>
          <cell r="AF2234" t="str">
            <v/>
          </cell>
          <cell r="AG2234" t="str">
            <v/>
          </cell>
          <cell r="AH2234" t="str">
            <v/>
          </cell>
          <cell r="AI2234" t="str">
            <v/>
          </cell>
        </row>
        <row r="2235">
          <cell r="B2235">
            <v>13310</v>
          </cell>
          <cell r="C2235">
            <v>133</v>
          </cell>
          <cell r="D2235">
            <v>10</v>
          </cell>
          <cell r="F2235" t="str">
            <v>松山</v>
          </cell>
          <cell r="G2235" t="str">
            <v>消火器設備保守</v>
          </cell>
          <cell r="H2235" t="str">
            <v>四国消防設備保守ｾﾝﾀｰ</v>
          </cell>
          <cell r="I2235">
            <v>14500</v>
          </cell>
          <cell r="J2235">
            <v>15900</v>
          </cell>
          <cell r="K2235">
            <v>2</v>
          </cell>
          <cell r="L2235">
            <v>0</v>
          </cell>
          <cell r="M2235">
            <v>0</v>
          </cell>
          <cell r="N2235">
            <v>0</v>
          </cell>
          <cell r="O2235">
            <v>0</v>
          </cell>
          <cell r="P2235">
            <v>0</v>
          </cell>
          <cell r="Q2235">
            <v>15900</v>
          </cell>
          <cell r="R2235">
            <v>0</v>
          </cell>
          <cell r="S2235">
            <v>0</v>
          </cell>
          <cell r="T2235">
            <v>0</v>
          </cell>
          <cell r="U2235">
            <v>0</v>
          </cell>
          <cell r="V2235">
            <v>0</v>
          </cell>
          <cell r="W2235">
            <v>15900</v>
          </cell>
          <cell r="X2235" t="str">
            <v/>
          </cell>
          <cell r="Y2235" t="str">
            <v/>
          </cell>
          <cell r="Z2235" t="str">
            <v/>
          </cell>
          <cell r="AA2235" t="str">
            <v/>
          </cell>
          <cell r="AB2235" t="str">
            <v/>
          </cell>
          <cell r="AC2235" t="str">
            <v>⑨</v>
          </cell>
          <cell r="AD2235" t="str">
            <v/>
          </cell>
          <cell r="AE2235" t="str">
            <v/>
          </cell>
          <cell r="AF2235" t="str">
            <v/>
          </cell>
          <cell r="AG2235" t="str">
            <v/>
          </cell>
          <cell r="AH2235" t="str">
            <v/>
          </cell>
          <cell r="AI2235" t="str">
            <v>③</v>
          </cell>
        </row>
        <row r="2236">
          <cell r="B2236">
            <v>13311</v>
          </cell>
          <cell r="C2236">
            <v>133</v>
          </cell>
          <cell r="D2236">
            <v>11</v>
          </cell>
          <cell r="F2236" t="str">
            <v>松山</v>
          </cell>
          <cell r="G2236" t="str">
            <v>誘導灯設備保守</v>
          </cell>
          <cell r="H2236" t="str">
            <v>四国消防設備保守ｾﾝﾀｰ</v>
          </cell>
          <cell r="I2236">
            <v>35800</v>
          </cell>
          <cell r="J2236">
            <v>38600</v>
          </cell>
          <cell r="K2236">
            <v>2</v>
          </cell>
          <cell r="L2236">
            <v>0</v>
          </cell>
          <cell r="M2236">
            <v>0</v>
          </cell>
          <cell r="N2236">
            <v>0</v>
          </cell>
          <cell r="O2236">
            <v>0</v>
          </cell>
          <cell r="P2236">
            <v>0</v>
          </cell>
          <cell r="Q2236">
            <v>38600</v>
          </cell>
          <cell r="R2236">
            <v>0</v>
          </cell>
          <cell r="S2236">
            <v>0</v>
          </cell>
          <cell r="T2236">
            <v>0</v>
          </cell>
          <cell r="U2236">
            <v>0</v>
          </cell>
          <cell r="V2236">
            <v>0</v>
          </cell>
          <cell r="W2236">
            <v>38600</v>
          </cell>
          <cell r="X2236" t="str">
            <v/>
          </cell>
          <cell r="Y2236" t="str">
            <v/>
          </cell>
          <cell r="Z2236" t="str">
            <v/>
          </cell>
          <cell r="AA2236" t="str">
            <v/>
          </cell>
          <cell r="AB2236" t="str">
            <v/>
          </cell>
          <cell r="AC2236" t="str">
            <v>⑨</v>
          </cell>
          <cell r="AD2236" t="str">
            <v/>
          </cell>
          <cell r="AE2236" t="str">
            <v/>
          </cell>
          <cell r="AF2236" t="str">
            <v/>
          </cell>
          <cell r="AG2236" t="str">
            <v/>
          </cell>
          <cell r="AH2236" t="str">
            <v/>
          </cell>
          <cell r="AI2236" t="str">
            <v>③</v>
          </cell>
        </row>
        <row r="2237">
          <cell r="B2237">
            <v>13312</v>
          </cell>
          <cell r="C2237">
            <v>133</v>
          </cell>
          <cell r="D2237">
            <v>12</v>
          </cell>
          <cell r="F2237" t="str">
            <v>松山</v>
          </cell>
          <cell r="G2237" t="str">
            <v>連結送水管設備保守</v>
          </cell>
          <cell r="H2237" t="str">
            <v>四国消防設備保守ｾﾝﾀｰ</v>
          </cell>
          <cell r="I2237">
            <v>3900</v>
          </cell>
          <cell r="J2237">
            <v>4300</v>
          </cell>
          <cell r="K2237">
            <v>2</v>
          </cell>
          <cell r="L2237">
            <v>0</v>
          </cell>
          <cell r="M2237">
            <v>0</v>
          </cell>
          <cell r="N2237">
            <v>0</v>
          </cell>
          <cell r="O2237">
            <v>0</v>
          </cell>
          <cell r="P2237">
            <v>0</v>
          </cell>
          <cell r="Q2237">
            <v>4300</v>
          </cell>
          <cell r="R2237">
            <v>0</v>
          </cell>
          <cell r="S2237">
            <v>0</v>
          </cell>
          <cell r="T2237">
            <v>0</v>
          </cell>
          <cell r="U2237">
            <v>0</v>
          </cell>
          <cell r="V2237">
            <v>0</v>
          </cell>
          <cell r="W2237">
            <v>4300</v>
          </cell>
          <cell r="X2237" t="str">
            <v/>
          </cell>
          <cell r="Y2237" t="str">
            <v/>
          </cell>
          <cell r="Z2237" t="str">
            <v/>
          </cell>
          <cell r="AA2237" t="str">
            <v/>
          </cell>
          <cell r="AB2237" t="str">
            <v/>
          </cell>
          <cell r="AC2237" t="str">
            <v>⑨</v>
          </cell>
          <cell r="AD2237" t="str">
            <v/>
          </cell>
          <cell r="AE2237" t="str">
            <v/>
          </cell>
          <cell r="AF2237" t="str">
            <v/>
          </cell>
          <cell r="AG2237" t="str">
            <v/>
          </cell>
          <cell r="AH2237" t="str">
            <v/>
          </cell>
          <cell r="AI2237" t="str">
            <v>③</v>
          </cell>
        </row>
        <row r="2238">
          <cell r="B2238">
            <v>13313</v>
          </cell>
          <cell r="C2238">
            <v>133</v>
          </cell>
          <cell r="D2238">
            <v>13</v>
          </cell>
          <cell r="F2238" t="str">
            <v>松山</v>
          </cell>
          <cell r="G2238" t="str">
            <v>二酸化炭素消火(外観)駐車場</v>
          </cell>
          <cell r="H2238" t="str">
            <v>四国消防設備保守ｾﾝﾀｰ</v>
          </cell>
          <cell r="I2238">
            <v>30300</v>
          </cell>
          <cell r="J2238">
            <v>33100</v>
          </cell>
          <cell r="K2238">
            <v>1</v>
          </cell>
          <cell r="L2238">
            <v>0</v>
          </cell>
          <cell r="M2238">
            <v>0</v>
          </cell>
          <cell r="N2238">
            <v>0</v>
          </cell>
          <cell r="O2238">
            <v>0</v>
          </cell>
          <cell r="P2238">
            <v>0</v>
          </cell>
          <cell r="Q2238">
            <v>33100</v>
          </cell>
          <cell r="R2238">
            <v>0</v>
          </cell>
          <cell r="S2238">
            <v>0</v>
          </cell>
          <cell r="T2238">
            <v>0</v>
          </cell>
          <cell r="U2238">
            <v>0</v>
          </cell>
          <cell r="V2238">
            <v>0</v>
          </cell>
          <cell r="W2238">
            <v>0</v>
          </cell>
          <cell r="X2238" t="str">
            <v/>
          </cell>
          <cell r="Y2238" t="str">
            <v/>
          </cell>
          <cell r="Z2238" t="str">
            <v/>
          </cell>
          <cell r="AA2238" t="str">
            <v/>
          </cell>
          <cell r="AB2238" t="str">
            <v/>
          </cell>
          <cell r="AC2238" t="str">
            <v>⑨</v>
          </cell>
          <cell r="AD2238" t="str">
            <v/>
          </cell>
          <cell r="AE2238" t="str">
            <v/>
          </cell>
          <cell r="AF2238" t="str">
            <v/>
          </cell>
          <cell r="AG2238" t="str">
            <v/>
          </cell>
          <cell r="AH2238" t="str">
            <v/>
          </cell>
          <cell r="AI2238" t="str">
            <v/>
          </cell>
        </row>
        <row r="2239">
          <cell r="B2239">
            <v>13314</v>
          </cell>
          <cell r="C2239">
            <v>133</v>
          </cell>
          <cell r="D2239">
            <v>14</v>
          </cell>
          <cell r="F2239" t="str">
            <v>松山</v>
          </cell>
          <cell r="G2239" t="str">
            <v>二酸化炭素消火(総合)駐車場</v>
          </cell>
          <cell r="H2239" t="str">
            <v>四国消防設備保守ｾﾝﾀｰ</v>
          </cell>
          <cell r="I2239">
            <v>101700</v>
          </cell>
          <cell r="J2239">
            <v>110900</v>
          </cell>
          <cell r="K2239">
            <v>1</v>
          </cell>
          <cell r="L2239">
            <v>0</v>
          </cell>
          <cell r="M2239">
            <v>0</v>
          </cell>
          <cell r="N2239">
            <v>0</v>
          </cell>
          <cell r="O2239">
            <v>0</v>
          </cell>
          <cell r="P2239">
            <v>0</v>
          </cell>
          <cell r="Q2239">
            <v>0</v>
          </cell>
          <cell r="R2239">
            <v>0</v>
          </cell>
          <cell r="S2239">
            <v>0</v>
          </cell>
          <cell r="T2239">
            <v>0</v>
          </cell>
          <cell r="U2239">
            <v>0</v>
          </cell>
          <cell r="V2239">
            <v>0</v>
          </cell>
          <cell r="W2239">
            <v>110900</v>
          </cell>
          <cell r="X2239" t="str">
            <v/>
          </cell>
          <cell r="Y2239" t="str">
            <v/>
          </cell>
          <cell r="Z2239" t="str">
            <v/>
          </cell>
          <cell r="AA2239" t="str">
            <v/>
          </cell>
          <cell r="AB2239" t="str">
            <v/>
          </cell>
          <cell r="AC2239" t="str">
            <v/>
          </cell>
          <cell r="AD2239" t="str">
            <v/>
          </cell>
          <cell r="AE2239" t="str">
            <v/>
          </cell>
          <cell r="AF2239" t="str">
            <v/>
          </cell>
          <cell r="AG2239" t="str">
            <v/>
          </cell>
          <cell r="AH2239" t="str">
            <v/>
          </cell>
          <cell r="AI2239" t="str">
            <v>③</v>
          </cell>
        </row>
        <row r="2240">
          <cell r="B2240">
            <v>13315</v>
          </cell>
          <cell r="C2240">
            <v>133</v>
          </cell>
          <cell r="D2240">
            <v>15</v>
          </cell>
          <cell r="F2240" t="str">
            <v>松山</v>
          </cell>
          <cell r="G2240" t="str">
            <v>機械式駐車場設備保守</v>
          </cell>
          <cell r="H2240" t="str">
            <v>三菱重工ﾊﾟｰｷﾝｸﾞ建設</v>
          </cell>
          <cell r="I2240">
            <v>326000</v>
          </cell>
          <cell r="J2240">
            <v>332520</v>
          </cell>
          <cell r="K2240">
            <v>12</v>
          </cell>
          <cell r="L2240">
            <v>332520</v>
          </cell>
          <cell r="M2240">
            <v>332520</v>
          </cell>
          <cell r="N2240">
            <v>332520</v>
          </cell>
          <cell r="O2240">
            <v>332520</v>
          </cell>
          <cell r="P2240">
            <v>332520</v>
          </cell>
          <cell r="Q2240">
            <v>332520</v>
          </cell>
          <cell r="R2240">
            <v>332520</v>
          </cell>
          <cell r="S2240">
            <v>332520</v>
          </cell>
          <cell r="T2240">
            <v>332520</v>
          </cell>
          <cell r="U2240">
            <v>332520</v>
          </cell>
          <cell r="V2240">
            <v>332520</v>
          </cell>
          <cell r="W2240">
            <v>332520</v>
          </cell>
          <cell r="X2240" t="str">
            <v>④</v>
          </cell>
          <cell r="Y2240" t="str">
            <v>⑤</v>
          </cell>
          <cell r="Z2240" t="str">
            <v>⑥</v>
          </cell>
          <cell r="AA2240" t="str">
            <v>⑦</v>
          </cell>
          <cell r="AB2240" t="str">
            <v>⑧</v>
          </cell>
          <cell r="AC2240" t="str">
            <v>⑨</v>
          </cell>
          <cell r="AD2240" t="str">
            <v>⑩</v>
          </cell>
          <cell r="AE2240" t="str">
            <v>⑪</v>
          </cell>
          <cell r="AF2240" t="str">
            <v>⑫</v>
          </cell>
          <cell r="AG2240" t="str">
            <v>①</v>
          </cell>
          <cell r="AH2240" t="str">
            <v>②</v>
          </cell>
          <cell r="AI2240" t="str">
            <v>③</v>
          </cell>
        </row>
        <row r="2241">
          <cell r="B2241">
            <v>13316</v>
          </cell>
          <cell r="C2241">
            <v>133</v>
          </cell>
          <cell r="D2241">
            <v>16</v>
          </cell>
          <cell r="F2241" t="str">
            <v>松山</v>
          </cell>
          <cell r="G2241" t="str">
            <v>害虫駆除</v>
          </cell>
          <cell r="H2241" t="str">
            <v>クロスサービス</v>
          </cell>
          <cell r="I2241">
            <v>140000</v>
          </cell>
          <cell r="J2241">
            <v>154000</v>
          </cell>
          <cell r="K2241">
            <v>2</v>
          </cell>
          <cell r="L2241">
            <v>0</v>
          </cell>
          <cell r="M2241">
            <v>0</v>
          </cell>
          <cell r="N2241">
            <v>0</v>
          </cell>
          <cell r="O2241">
            <v>0</v>
          </cell>
          <cell r="P2241">
            <v>154000</v>
          </cell>
          <cell r="Q2241">
            <v>0</v>
          </cell>
          <cell r="R2241">
            <v>0</v>
          </cell>
          <cell r="S2241">
            <v>0</v>
          </cell>
          <cell r="T2241">
            <v>0</v>
          </cell>
          <cell r="U2241">
            <v>0</v>
          </cell>
          <cell r="V2241">
            <v>154000</v>
          </cell>
          <cell r="W2241">
            <v>0</v>
          </cell>
          <cell r="X2241" t="str">
            <v/>
          </cell>
          <cell r="Y2241" t="str">
            <v/>
          </cell>
          <cell r="Z2241" t="str">
            <v/>
          </cell>
          <cell r="AA2241" t="str">
            <v/>
          </cell>
          <cell r="AB2241" t="str">
            <v>⑧</v>
          </cell>
          <cell r="AC2241" t="str">
            <v/>
          </cell>
          <cell r="AD2241" t="str">
            <v/>
          </cell>
          <cell r="AE2241" t="str">
            <v/>
          </cell>
          <cell r="AF2241" t="str">
            <v/>
          </cell>
          <cell r="AG2241" t="str">
            <v/>
          </cell>
          <cell r="AH2241" t="str">
            <v>②</v>
          </cell>
          <cell r="AI2241" t="str">
            <v/>
          </cell>
        </row>
        <row r="2242">
          <cell r="B2242">
            <v>13317</v>
          </cell>
          <cell r="C2242">
            <v>133</v>
          </cell>
          <cell r="D2242">
            <v>17</v>
          </cell>
          <cell r="F2242" t="str">
            <v>松山</v>
          </cell>
          <cell r="G2242" t="str">
            <v>貯水槽清掃(含む高架水槽)</v>
          </cell>
          <cell r="H2242" t="str">
            <v>長崎商事</v>
          </cell>
          <cell r="I2242">
            <v>56950</v>
          </cell>
          <cell r="J2242">
            <v>64354</v>
          </cell>
          <cell r="K2242">
            <v>1</v>
          </cell>
          <cell r="L2242">
            <v>0</v>
          </cell>
          <cell r="M2242">
            <v>0</v>
          </cell>
          <cell r="N2242">
            <v>64354</v>
          </cell>
          <cell r="O2242">
            <v>0</v>
          </cell>
          <cell r="P2242">
            <v>0</v>
          </cell>
          <cell r="Q2242">
            <v>0</v>
          </cell>
          <cell r="R2242">
            <v>0</v>
          </cell>
          <cell r="S2242">
            <v>0</v>
          </cell>
          <cell r="T2242">
            <v>0</v>
          </cell>
          <cell r="U2242">
            <v>0</v>
          </cell>
          <cell r="V2242">
            <v>0</v>
          </cell>
          <cell r="W2242">
            <v>0</v>
          </cell>
          <cell r="X2242" t="str">
            <v/>
          </cell>
          <cell r="Y2242" t="str">
            <v/>
          </cell>
          <cell r="Z2242" t="str">
            <v>⑥</v>
          </cell>
          <cell r="AA2242" t="str">
            <v/>
          </cell>
          <cell r="AC2242" t="str">
            <v/>
          </cell>
          <cell r="AD2242" t="str">
            <v/>
          </cell>
          <cell r="AE2242" t="str">
            <v/>
          </cell>
          <cell r="AF2242" t="str">
            <v/>
          </cell>
          <cell r="AG2242" t="str">
            <v/>
          </cell>
          <cell r="AI2242" t="str">
            <v/>
          </cell>
        </row>
        <row r="2243">
          <cell r="B2243">
            <v>13318</v>
          </cell>
          <cell r="C2243">
            <v>133</v>
          </cell>
          <cell r="D2243">
            <v>18</v>
          </cell>
          <cell r="F2243" t="str">
            <v>松山</v>
          </cell>
          <cell r="G2243" t="str">
            <v>自動ドアー保守</v>
          </cell>
          <cell r="H2243" t="str">
            <v>オートシステム</v>
          </cell>
          <cell r="I2243">
            <v>80000</v>
          </cell>
          <cell r="J2243">
            <v>89100</v>
          </cell>
          <cell r="K2243">
            <v>1</v>
          </cell>
          <cell r="L2243">
            <v>0</v>
          </cell>
          <cell r="M2243">
            <v>0</v>
          </cell>
          <cell r="N2243">
            <v>0</v>
          </cell>
          <cell r="O2243">
            <v>0</v>
          </cell>
          <cell r="P2243">
            <v>0</v>
          </cell>
          <cell r="Q2243">
            <v>0</v>
          </cell>
          <cell r="R2243">
            <v>0</v>
          </cell>
          <cell r="S2243">
            <v>0</v>
          </cell>
          <cell r="T2243">
            <v>0</v>
          </cell>
          <cell r="U2243">
            <v>0</v>
          </cell>
          <cell r="V2243">
            <v>89100</v>
          </cell>
          <cell r="W2243">
            <v>0</v>
          </cell>
          <cell r="X2243" t="str">
            <v/>
          </cell>
          <cell r="Y2243" t="str">
            <v/>
          </cell>
          <cell r="AA2243" t="str">
            <v/>
          </cell>
          <cell r="AB2243" t="str">
            <v/>
          </cell>
          <cell r="AC2243" t="str">
            <v/>
          </cell>
          <cell r="AD2243" t="str">
            <v/>
          </cell>
          <cell r="AE2243" t="str">
            <v/>
          </cell>
          <cell r="AF2243" t="str">
            <v/>
          </cell>
          <cell r="AG2243" t="str">
            <v/>
          </cell>
          <cell r="AH2243" t="str">
            <v>②</v>
          </cell>
          <cell r="AI2243" t="str">
            <v/>
          </cell>
        </row>
        <row r="2244">
          <cell r="B2244">
            <v>13319</v>
          </cell>
          <cell r="C2244">
            <v>133</v>
          </cell>
          <cell r="D2244">
            <v>19</v>
          </cell>
          <cell r="F2244" t="str">
            <v>松山</v>
          </cell>
          <cell r="G2244" t="str">
            <v>シャッター設備保守</v>
          </cell>
          <cell r="H2244" t="str">
            <v>文化シャッターサービス</v>
          </cell>
          <cell r="I2244">
            <v>141000</v>
          </cell>
          <cell r="J2244">
            <v>155000</v>
          </cell>
          <cell r="K2244">
            <v>1</v>
          </cell>
          <cell r="L2244">
            <v>0</v>
          </cell>
          <cell r="M2244">
            <v>0</v>
          </cell>
          <cell r="N2244">
            <v>0</v>
          </cell>
          <cell r="O2244">
            <v>0</v>
          </cell>
          <cell r="P2244">
            <v>0</v>
          </cell>
          <cell r="Q2244">
            <v>0</v>
          </cell>
          <cell r="R2244">
            <v>0</v>
          </cell>
          <cell r="S2244">
            <v>0</v>
          </cell>
          <cell r="T2244">
            <v>0</v>
          </cell>
          <cell r="U2244">
            <v>0</v>
          </cell>
          <cell r="V2244">
            <v>155000</v>
          </cell>
          <cell r="W2244">
            <v>0</v>
          </cell>
          <cell r="AH2244" t="str">
            <v>②</v>
          </cell>
        </row>
        <row r="2245">
          <cell r="B2245">
            <v>14001</v>
          </cell>
          <cell r="C2245">
            <v>140</v>
          </cell>
          <cell r="D2245">
            <v>1</v>
          </cell>
          <cell r="F2245" t="str">
            <v>佐賀</v>
          </cell>
          <cell r="G2245" t="str">
            <v>昇降機設備保守</v>
          </cell>
          <cell r="H2245" t="str">
            <v>三菱電機ﾋﾞﾙﾃｸﾉｻｰﾋﾞｽ</v>
          </cell>
          <cell r="I2245">
            <v>153000</v>
          </cell>
          <cell r="J2245">
            <v>156142</v>
          </cell>
          <cell r="K2245">
            <v>12</v>
          </cell>
          <cell r="L2245">
            <v>156142</v>
          </cell>
          <cell r="M2245">
            <v>156142</v>
          </cell>
          <cell r="N2245">
            <v>156142</v>
          </cell>
          <cell r="O2245">
            <v>156142</v>
          </cell>
          <cell r="P2245">
            <v>156142</v>
          </cell>
          <cell r="Q2245">
            <v>156142</v>
          </cell>
          <cell r="R2245">
            <v>156142</v>
          </cell>
          <cell r="S2245">
            <v>156142</v>
          </cell>
          <cell r="T2245">
            <v>156142</v>
          </cell>
          <cell r="U2245">
            <v>156142</v>
          </cell>
          <cell r="V2245">
            <v>156142</v>
          </cell>
          <cell r="W2245">
            <v>156142</v>
          </cell>
          <cell r="X2245" t="str">
            <v>④</v>
          </cell>
          <cell r="Y2245" t="str">
            <v>⑤</v>
          </cell>
          <cell r="Z2245" t="str">
            <v>⑥</v>
          </cell>
          <cell r="AA2245" t="str">
            <v>⑦</v>
          </cell>
          <cell r="AB2245" t="str">
            <v>⑧</v>
          </cell>
          <cell r="AC2245" t="str">
            <v>⑨</v>
          </cell>
          <cell r="AD2245" t="str">
            <v>⑩</v>
          </cell>
          <cell r="AE2245" t="str">
            <v>⑪</v>
          </cell>
          <cell r="AF2245" t="str">
            <v>⑫</v>
          </cell>
          <cell r="AG2245" t="str">
            <v>①</v>
          </cell>
          <cell r="AH2245" t="str">
            <v>②</v>
          </cell>
          <cell r="AI2245" t="str">
            <v>③</v>
          </cell>
          <cell r="AJ2245" t="str">
            <v>追</v>
          </cell>
        </row>
        <row r="2246">
          <cell r="B2246">
            <v>14002</v>
          </cell>
          <cell r="C2246">
            <v>140</v>
          </cell>
          <cell r="D2246">
            <v>2</v>
          </cell>
          <cell r="F2246" t="str">
            <v>佐賀</v>
          </cell>
          <cell r="G2246" t="str">
            <v>立体駐車場設備保守</v>
          </cell>
          <cell r="H2246" t="str">
            <v>三菱重工ﾊﾟｰｷﾝｸﾞ建設</v>
          </cell>
          <cell r="I2246">
            <v>235000</v>
          </cell>
          <cell r="J2246">
            <v>239700</v>
          </cell>
          <cell r="K2246">
            <v>12</v>
          </cell>
          <cell r="L2246">
            <v>239700</v>
          </cell>
          <cell r="M2246">
            <v>239700</v>
          </cell>
          <cell r="N2246">
            <v>239700</v>
          </cell>
          <cell r="O2246">
            <v>239700</v>
          </cell>
          <cell r="P2246">
            <v>239700</v>
          </cell>
          <cell r="Q2246">
            <v>239700</v>
          </cell>
          <cell r="R2246">
            <v>239700</v>
          </cell>
          <cell r="S2246">
            <v>239700</v>
          </cell>
          <cell r="T2246">
            <v>239700</v>
          </cell>
          <cell r="U2246">
            <v>239700</v>
          </cell>
          <cell r="V2246">
            <v>239700</v>
          </cell>
          <cell r="W2246">
            <v>239700</v>
          </cell>
          <cell r="X2246" t="str">
            <v>④</v>
          </cell>
          <cell r="Y2246" t="str">
            <v>⑤</v>
          </cell>
          <cell r="Z2246" t="str">
            <v>⑥</v>
          </cell>
          <cell r="AA2246" t="str">
            <v>⑦</v>
          </cell>
          <cell r="AB2246" t="str">
            <v>⑧</v>
          </cell>
          <cell r="AC2246" t="str">
            <v>⑨</v>
          </cell>
          <cell r="AD2246" t="str">
            <v>⑩</v>
          </cell>
          <cell r="AE2246" t="str">
            <v>⑪</v>
          </cell>
          <cell r="AF2246" t="str">
            <v>⑫</v>
          </cell>
          <cell r="AG2246" t="str">
            <v>①</v>
          </cell>
          <cell r="AH2246" t="str">
            <v>②</v>
          </cell>
          <cell r="AI2246" t="str">
            <v>③</v>
          </cell>
          <cell r="AJ2246" t="str">
            <v>追</v>
          </cell>
        </row>
        <row r="2247">
          <cell r="B2247">
            <v>14003</v>
          </cell>
          <cell r="C2247">
            <v>140</v>
          </cell>
          <cell r="D2247">
            <v>3</v>
          </cell>
          <cell r="F2247" t="str">
            <v>佐賀</v>
          </cell>
          <cell r="G2247" t="str">
            <v>消防設備(外観総合)</v>
          </cell>
          <cell r="H2247" t="str">
            <v>日本管財</v>
          </cell>
          <cell r="I2247">
            <v>174000</v>
          </cell>
          <cell r="J2247">
            <v>177480</v>
          </cell>
          <cell r="K2247">
            <v>2</v>
          </cell>
          <cell r="L2247">
            <v>0</v>
          </cell>
          <cell r="M2247">
            <v>177480</v>
          </cell>
          <cell r="N2247">
            <v>0</v>
          </cell>
          <cell r="O2247">
            <v>0</v>
          </cell>
          <cell r="P2247">
            <v>0</v>
          </cell>
          <cell r="Q2247">
            <v>0</v>
          </cell>
          <cell r="R2247">
            <v>0</v>
          </cell>
          <cell r="S2247">
            <v>177480</v>
          </cell>
          <cell r="T2247">
            <v>0</v>
          </cell>
          <cell r="U2247">
            <v>0</v>
          </cell>
          <cell r="V2247">
            <v>0</v>
          </cell>
          <cell r="W2247">
            <v>0</v>
          </cell>
          <cell r="Y2247" t="str">
            <v>⑤</v>
          </cell>
          <cell r="AE2247" t="str">
            <v>⑪</v>
          </cell>
          <cell r="AJ2247" t="str">
            <v>追</v>
          </cell>
        </row>
        <row r="2248">
          <cell r="B2248">
            <v>14004</v>
          </cell>
          <cell r="C2248">
            <v>140</v>
          </cell>
          <cell r="D2248">
            <v>4</v>
          </cell>
          <cell r="F2248" t="str">
            <v>佐賀</v>
          </cell>
          <cell r="G2248" t="str">
            <v>受水槽清掃</v>
          </cell>
          <cell r="H2248" t="str">
            <v>日本管財</v>
          </cell>
          <cell r="I2248">
            <v>35000</v>
          </cell>
          <cell r="J2248">
            <v>50820</v>
          </cell>
          <cell r="K2248">
            <v>1</v>
          </cell>
          <cell r="L2248">
            <v>0</v>
          </cell>
          <cell r="M2248">
            <v>0</v>
          </cell>
          <cell r="N2248">
            <v>0</v>
          </cell>
          <cell r="O2248">
            <v>0</v>
          </cell>
          <cell r="P2248">
            <v>0</v>
          </cell>
          <cell r="Q2248">
            <v>0</v>
          </cell>
          <cell r="R2248">
            <v>0</v>
          </cell>
          <cell r="S2248">
            <v>0</v>
          </cell>
          <cell r="T2248">
            <v>0</v>
          </cell>
          <cell r="U2248">
            <v>0</v>
          </cell>
          <cell r="V2248">
            <v>0</v>
          </cell>
          <cell r="W2248">
            <v>50820</v>
          </cell>
          <cell r="AI2248" t="str">
            <v>③</v>
          </cell>
          <cell r="AJ2248" t="str">
            <v>追</v>
          </cell>
        </row>
        <row r="2249">
          <cell r="B2249">
            <v>14005</v>
          </cell>
          <cell r="C2249">
            <v>140</v>
          </cell>
          <cell r="D2249">
            <v>5</v>
          </cell>
          <cell r="F2249" t="str">
            <v>佐賀</v>
          </cell>
          <cell r="G2249" t="str">
            <v>汚水･雑排水槽清掃</v>
          </cell>
          <cell r="H2249" t="str">
            <v>日本管財</v>
          </cell>
          <cell r="I2249">
            <v>60000</v>
          </cell>
          <cell r="J2249">
            <v>75000</v>
          </cell>
          <cell r="K2249">
            <v>2</v>
          </cell>
          <cell r="L2249">
            <v>0</v>
          </cell>
          <cell r="M2249">
            <v>75000</v>
          </cell>
          <cell r="N2249">
            <v>0</v>
          </cell>
          <cell r="O2249">
            <v>0</v>
          </cell>
          <cell r="P2249">
            <v>0</v>
          </cell>
          <cell r="Q2249">
            <v>0</v>
          </cell>
          <cell r="R2249">
            <v>0</v>
          </cell>
          <cell r="S2249">
            <v>75000</v>
          </cell>
          <cell r="T2249">
            <v>0</v>
          </cell>
          <cell r="U2249">
            <v>0</v>
          </cell>
          <cell r="V2249">
            <v>0</v>
          </cell>
          <cell r="W2249">
            <v>0</v>
          </cell>
          <cell r="Y2249" t="str">
            <v>⑤</v>
          </cell>
          <cell r="AE2249" t="str">
            <v>⑪</v>
          </cell>
          <cell r="AJ2249" t="str">
            <v>追</v>
          </cell>
        </row>
        <row r="2250">
          <cell r="B2250">
            <v>14006</v>
          </cell>
          <cell r="C2250">
            <v>140</v>
          </cell>
          <cell r="D2250">
            <v>6</v>
          </cell>
          <cell r="F2250" t="str">
            <v>佐賀</v>
          </cell>
          <cell r="G2250" t="str">
            <v>害虫駆除</v>
          </cell>
          <cell r="H2250" t="str">
            <v>イーテック</v>
          </cell>
          <cell r="I2250">
            <v>133000</v>
          </cell>
          <cell r="J2250">
            <v>146300</v>
          </cell>
          <cell r="K2250">
            <v>2</v>
          </cell>
          <cell r="L2250">
            <v>0</v>
          </cell>
          <cell r="M2250">
            <v>146300</v>
          </cell>
          <cell r="N2250">
            <v>0</v>
          </cell>
          <cell r="O2250">
            <v>0</v>
          </cell>
          <cell r="P2250">
            <v>0</v>
          </cell>
          <cell r="Q2250">
            <v>0</v>
          </cell>
          <cell r="R2250">
            <v>0</v>
          </cell>
          <cell r="S2250">
            <v>146300</v>
          </cell>
          <cell r="T2250">
            <v>0</v>
          </cell>
          <cell r="U2250">
            <v>0</v>
          </cell>
          <cell r="V2250">
            <v>0</v>
          </cell>
          <cell r="W2250">
            <v>0</v>
          </cell>
          <cell r="Y2250" t="str">
            <v>⑤</v>
          </cell>
          <cell r="AE2250" t="str">
            <v>⑪</v>
          </cell>
          <cell r="AJ2250" t="str">
            <v>追</v>
          </cell>
        </row>
        <row r="2251">
          <cell r="B2251">
            <v>14007</v>
          </cell>
          <cell r="C2251">
            <v>140</v>
          </cell>
          <cell r="D2251">
            <v>7</v>
          </cell>
          <cell r="F2251" t="str">
            <v>佐賀</v>
          </cell>
          <cell r="G2251" t="str">
            <v>湯沸器(貯湯槽)清掃</v>
          </cell>
          <cell r="H2251" t="str">
            <v>九州イトミック</v>
          </cell>
          <cell r="I2251">
            <v>120000</v>
          </cell>
          <cell r="J2251">
            <v>138000</v>
          </cell>
          <cell r="K2251">
            <v>2</v>
          </cell>
          <cell r="L2251">
            <v>0</v>
          </cell>
          <cell r="M2251">
            <v>0</v>
          </cell>
          <cell r="N2251">
            <v>0</v>
          </cell>
          <cell r="O2251">
            <v>138000</v>
          </cell>
          <cell r="P2251">
            <v>0</v>
          </cell>
          <cell r="Q2251">
            <v>0</v>
          </cell>
          <cell r="R2251">
            <v>0</v>
          </cell>
          <cell r="S2251">
            <v>0</v>
          </cell>
          <cell r="T2251">
            <v>0</v>
          </cell>
          <cell r="U2251">
            <v>138000</v>
          </cell>
          <cell r="V2251">
            <v>0</v>
          </cell>
          <cell r="W2251">
            <v>0</v>
          </cell>
          <cell r="AA2251" t="str">
            <v>⑦</v>
          </cell>
          <cell r="AG2251" t="str">
            <v>①</v>
          </cell>
          <cell r="AJ2251" t="str">
            <v>追</v>
          </cell>
        </row>
        <row r="2252">
          <cell r="I2252">
            <v>456150264</v>
          </cell>
          <cell r="J2252">
            <v>479896026</v>
          </cell>
        </row>
      </sheetData>
      <sheetData sheetId="2" refreshError="1"/>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1テナント異動明細"/>
      <sheetName val="2レントロール"/>
      <sheetName val="3入金明細書"/>
      <sheetName val="4未収金明細"/>
      <sheetName val="5預託金残高表"/>
      <sheetName val="6費用明細書"/>
      <sheetName val="7業務委託料手数料計算書"/>
      <sheetName val="予算表&lt;PL&gt;"/>
      <sheetName val="予算・実績（２）&lt;PL&gt;"/>
      <sheetName val="10予算・実績  差異分析  (2)"/>
      <sheetName val="11年間修繕計画（12～13期）"/>
      <sheetName val="12建物維持管理情況"/>
      <sheetName val="13故障・トラブル・苦情・訴訟関連"/>
      <sheetName val="14テナント関連・その他"/>
      <sheetName val="請求書"/>
      <sheetName val="支払指図書"/>
      <sheetName val="Sheet1"/>
    </sheetNames>
    <sheetDataSet>
      <sheetData sheetId="0"/>
      <sheetData sheetId="1"/>
      <sheetData sheetId="2"/>
      <sheetData sheetId="3"/>
      <sheetData sheetId="4"/>
      <sheetData sheetId="5"/>
      <sheetData sheetId="6"/>
      <sheetData sheetId="7"/>
      <sheetData sheetId="8"/>
      <sheetData sheetId="9"/>
      <sheetData sheetId="10"/>
      <sheetData sheetId="11">
        <row r="1">
          <cell r="BA1" t="str">
            <v>有</v>
          </cell>
        </row>
        <row r="2">
          <cell r="BA2" t="str">
            <v>無</v>
          </cell>
        </row>
      </sheetData>
      <sheetData sheetId="12"/>
      <sheetData sheetId="13"/>
      <sheetData sheetId="14"/>
      <sheetData sheetId="15"/>
      <sheetData sheetId="16"/>
      <sheetData sheetId="1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自販機手数料"/>
      <sheetName val="関内（按分後データ"/>
      <sheetName val="関内（会計データ作成シート"/>
      <sheetName val="Pibot"/>
      <sheetName val="0203月次債権"/>
      <sheetName val="0203"/>
      <sheetName val="ｴｼﾞｿﾝPibot"/>
      <sheetName val="ｴｼﾞｿﾝ自用分"/>
      <sheetName val="マスタ"/>
    </sheetNames>
    <sheetDataSet>
      <sheetData sheetId="0"/>
      <sheetData sheetId="1"/>
      <sheetData sheetId="2"/>
      <sheetData sheetId="3"/>
      <sheetData sheetId="4"/>
      <sheetData sheetId="5"/>
      <sheetData sheetId="6"/>
      <sheetData sheetId="7"/>
      <sheetData sheetId="8" refreshError="1">
        <row r="1">
          <cell r="N1" t="str">
            <v>新ビル</v>
          </cell>
          <cell r="O1" t="str">
            <v>ＭＦＴＳ</v>
          </cell>
          <cell r="P1" t="str">
            <v>東邦NO</v>
          </cell>
          <cell r="Q1" t="str">
            <v>ビル略称</v>
          </cell>
          <cell r="R1" t="str">
            <v>gecr_NO</v>
          </cell>
          <cell r="S1" t="str">
            <v>ビル名称</v>
          </cell>
          <cell r="T1" t="str">
            <v>ｶﾅ</v>
          </cell>
          <cell r="U1" t="str">
            <v>所在</v>
          </cell>
          <cell r="V1" t="str">
            <v>住所</v>
          </cell>
          <cell r="W1" t="str">
            <v>延床面積</v>
          </cell>
          <cell r="X1" t="str">
            <v>所有者</v>
          </cell>
          <cell r="Y1" t="str">
            <v>入：番号</v>
          </cell>
          <cell r="Z1" t="str">
            <v>入：銀行</v>
          </cell>
          <cell r="AA1" t="str">
            <v>入：支店</v>
          </cell>
          <cell r="AB1" t="str">
            <v>入：種別</v>
          </cell>
          <cell r="AC1" t="str">
            <v>入：口座</v>
          </cell>
          <cell r="AD1" t="str">
            <v>出：番号</v>
          </cell>
          <cell r="AE1" t="str">
            <v>出：銀行</v>
          </cell>
          <cell r="AF1" t="str">
            <v>出：支店</v>
          </cell>
          <cell r="AG1" t="str">
            <v>出：種別</v>
          </cell>
          <cell r="AH1" t="str">
            <v>出：口座</v>
          </cell>
        </row>
        <row r="2">
          <cell r="N2" t="str">
            <v>53157</v>
          </cell>
          <cell r="O2" t="str">
            <v>0386</v>
          </cell>
          <cell r="P2">
            <v>126</v>
          </cell>
          <cell r="Q2" t="str">
            <v>水戸ビル</v>
          </cell>
          <cell r="R2" t="str">
            <v>3010126</v>
          </cell>
          <cell r="S2" t="str">
            <v>水戸東邦生命ビル</v>
          </cell>
          <cell r="T2" t="str">
            <v>ﾐﾄﾄｳﾎｳｾｲﾒｲﾋﾞﾙ</v>
          </cell>
          <cell r="U2" t="str">
            <v>茨城</v>
          </cell>
          <cell r="V2" t="str">
            <v>茨城県水戸市泉町２丁目７４番</v>
          </cell>
          <cell r="W2">
            <v>2580.9</v>
          </cell>
          <cell r="X2" t="str">
            <v>Citi trust</v>
          </cell>
          <cell r="Y2" t="str">
            <v>301</v>
          </cell>
          <cell r="Z2" t="str">
            <v>さくら</v>
          </cell>
          <cell r="AA2" t="str">
            <v>東京営業部</v>
          </cell>
          <cell r="AB2" t="str">
            <v>普通</v>
          </cell>
          <cell r="AC2" t="str">
            <v>9106497</v>
          </cell>
          <cell r="AD2" t="str">
            <v>203</v>
          </cell>
          <cell r="AE2" t="str">
            <v>さくら</v>
          </cell>
          <cell r="AF2" t="str">
            <v>日本橋営業部</v>
          </cell>
          <cell r="AG2" t="str">
            <v>普通</v>
          </cell>
          <cell r="AH2" t="str">
            <v>7145566</v>
          </cell>
        </row>
        <row r="3">
          <cell r="N3" t="str">
            <v>53158</v>
          </cell>
          <cell r="O3" t="str">
            <v>0399</v>
          </cell>
          <cell r="P3">
            <v>234</v>
          </cell>
          <cell r="Q3" t="str">
            <v>川崎ビル</v>
          </cell>
          <cell r="R3" t="str">
            <v>3010234</v>
          </cell>
          <cell r="S3" t="str">
            <v>川崎東邦生命ビル</v>
          </cell>
          <cell r="T3" t="str">
            <v>ｶﾜｻｷﾄｳﾎｳｾｲﾒｲﾋﾞﾙ</v>
          </cell>
          <cell r="U3" t="str">
            <v>神奈川</v>
          </cell>
          <cell r="V3" t="str">
            <v>神奈川県川崎市川崎区砂子１丁目５番１</v>
          </cell>
          <cell r="W3">
            <v>967.61</v>
          </cell>
          <cell r="X3" t="str">
            <v>Citi trust</v>
          </cell>
          <cell r="Y3" t="str">
            <v>301</v>
          </cell>
          <cell r="Z3" t="str">
            <v>さくら</v>
          </cell>
          <cell r="AA3" t="str">
            <v>東京営業部</v>
          </cell>
          <cell r="AB3" t="str">
            <v>普通</v>
          </cell>
          <cell r="AC3" t="str">
            <v>9106497</v>
          </cell>
          <cell r="AD3" t="str">
            <v>203</v>
          </cell>
          <cell r="AE3" t="str">
            <v>さくら</v>
          </cell>
          <cell r="AF3" t="str">
            <v>日本橋営業部</v>
          </cell>
          <cell r="AG3" t="str">
            <v>普通</v>
          </cell>
          <cell r="AH3" t="str">
            <v>7145566</v>
          </cell>
        </row>
        <row r="4">
          <cell r="N4" t="str">
            <v>53159</v>
          </cell>
          <cell r="O4" t="str">
            <v>0400</v>
          </cell>
          <cell r="P4">
            <v>237</v>
          </cell>
          <cell r="Q4" t="str">
            <v>関内ＳＴビル</v>
          </cell>
          <cell r="R4" t="str">
            <v>3010237</v>
          </cell>
          <cell r="S4" t="str">
            <v>関内ＳＴビル</v>
          </cell>
          <cell r="T4" t="str">
            <v>ｶﾝﾅｲｴｽﾃｨｰﾋﾞﾙ</v>
          </cell>
          <cell r="U4" t="str">
            <v>神奈川</v>
          </cell>
          <cell r="V4" t="str">
            <v>神奈川県横浜市中区尾上町１丁目４番１</v>
          </cell>
          <cell r="W4">
            <v>2895.75</v>
          </cell>
          <cell r="X4" t="str">
            <v>Citi trust</v>
          </cell>
          <cell r="Y4" t="str">
            <v>301</v>
          </cell>
          <cell r="Z4" t="str">
            <v>さくら</v>
          </cell>
          <cell r="AA4" t="str">
            <v>東京営業部</v>
          </cell>
          <cell r="AB4" t="str">
            <v>普通</v>
          </cell>
          <cell r="AC4" t="str">
            <v>9106497</v>
          </cell>
          <cell r="AD4" t="str">
            <v>203</v>
          </cell>
          <cell r="AE4" t="str">
            <v>さくら</v>
          </cell>
          <cell r="AF4" t="str">
            <v>日本橋営業部</v>
          </cell>
          <cell r="AG4" t="str">
            <v>普通</v>
          </cell>
          <cell r="AH4" t="str">
            <v>7145566</v>
          </cell>
        </row>
        <row r="5">
          <cell r="N5" t="str">
            <v>53160</v>
          </cell>
          <cell r="O5" t="str">
            <v>0402</v>
          </cell>
          <cell r="P5">
            <v>578</v>
          </cell>
          <cell r="Q5" t="str">
            <v>横須賀営業所</v>
          </cell>
          <cell r="R5" t="str">
            <v>3010578</v>
          </cell>
          <cell r="S5" t="str">
            <v>横須賀東邦生命ビル</v>
          </cell>
          <cell r="T5" t="str">
            <v>ﾖｺｽｶﾄｳﾎｳｾｲﾒｲﾋﾞﾙ</v>
          </cell>
          <cell r="U5" t="str">
            <v>神奈川</v>
          </cell>
          <cell r="V5" t="str">
            <v>神奈川県横須賀市米が浜通１丁目５番５</v>
          </cell>
          <cell r="W5">
            <v>1811.38</v>
          </cell>
          <cell r="X5" t="str">
            <v>Citi trust</v>
          </cell>
          <cell r="Y5" t="str">
            <v>301</v>
          </cell>
          <cell r="Z5" t="str">
            <v>さくら</v>
          </cell>
          <cell r="AA5" t="str">
            <v>東京営業部</v>
          </cell>
          <cell r="AB5" t="str">
            <v>普通</v>
          </cell>
          <cell r="AC5" t="str">
            <v>9106497</v>
          </cell>
          <cell r="AD5" t="str">
            <v>203</v>
          </cell>
          <cell r="AE5" t="str">
            <v>さくら</v>
          </cell>
          <cell r="AF5" t="str">
            <v>日本橋営業部</v>
          </cell>
          <cell r="AG5" t="str">
            <v>普通</v>
          </cell>
          <cell r="AH5" t="str">
            <v>7145566</v>
          </cell>
        </row>
        <row r="6">
          <cell r="N6" t="str">
            <v>53161</v>
          </cell>
          <cell r="O6" t="str">
            <v>0384</v>
          </cell>
          <cell r="P6">
            <v>119</v>
          </cell>
          <cell r="Q6" t="str">
            <v>高崎ビル</v>
          </cell>
          <cell r="R6" t="str">
            <v>3030119</v>
          </cell>
          <cell r="S6" t="str">
            <v>高崎東邦生命ビル</v>
          </cell>
          <cell r="T6" t="str">
            <v>ﾀｶｻｷﾄｳﾎｳｾｲﾒｲﾋﾞﾙ</v>
          </cell>
          <cell r="U6" t="str">
            <v>群馬</v>
          </cell>
          <cell r="V6" t="str">
            <v>群馬県高崎市新町６７番１</v>
          </cell>
          <cell r="W6">
            <v>4593.29</v>
          </cell>
          <cell r="X6" t="str">
            <v>Edison</v>
          </cell>
          <cell r="Y6" t="str">
            <v>303</v>
          </cell>
          <cell r="Z6" t="str">
            <v>さくら</v>
          </cell>
          <cell r="AA6" t="str">
            <v>東京営業部</v>
          </cell>
          <cell r="AB6" t="str">
            <v>普通</v>
          </cell>
          <cell r="AC6" t="str">
            <v>9109364</v>
          </cell>
          <cell r="AD6" t="str">
            <v>201</v>
          </cell>
          <cell r="AE6" t="str">
            <v>さくら</v>
          </cell>
          <cell r="AF6" t="str">
            <v>日本橋営業部</v>
          </cell>
          <cell r="AG6" t="str">
            <v>普通</v>
          </cell>
          <cell r="AH6" t="str">
            <v>7145540</v>
          </cell>
        </row>
        <row r="7">
          <cell r="N7" t="str">
            <v>53162</v>
          </cell>
          <cell r="O7" t="str">
            <v>0385</v>
          </cell>
          <cell r="P7">
            <v>120</v>
          </cell>
          <cell r="Q7" t="str">
            <v>前橋ビル</v>
          </cell>
          <cell r="R7" t="str">
            <v>3010120</v>
          </cell>
          <cell r="S7" t="str">
            <v>前橋東邦生命ビル</v>
          </cell>
          <cell r="T7" t="str">
            <v>ﾏｴﾊﾞｼﾄｳﾎｳｾｲﾒｲﾋﾞﾙ</v>
          </cell>
          <cell r="U7" t="str">
            <v>群馬</v>
          </cell>
          <cell r="V7" t="str">
            <v>群馬県前橋市本町２丁目２番１５</v>
          </cell>
          <cell r="W7">
            <v>6093.14</v>
          </cell>
          <cell r="X7" t="str">
            <v>Citi trust</v>
          </cell>
          <cell r="Y7" t="str">
            <v>301</v>
          </cell>
          <cell r="Z7" t="str">
            <v>さくら</v>
          </cell>
          <cell r="AA7" t="str">
            <v>東京営業部</v>
          </cell>
          <cell r="AB7" t="str">
            <v>普通</v>
          </cell>
          <cell r="AC7" t="str">
            <v>9106497</v>
          </cell>
          <cell r="AD7" t="str">
            <v>203</v>
          </cell>
          <cell r="AE7" t="str">
            <v>さくら</v>
          </cell>
          <cell r="AF7" t="str">
            <v>日本橋営業部</v>
          </cell>
          <cell r="AG7" t="str">
            <v>普通</v>
          </cell>
          <cell r="AH7" t="str">
            <v>7145566</v>
          </cell>
        </row>
        <row r="8">
          <cell r="N8" t="str">
            <v>53163</v>
          </cell>
          <cell r="O8" t="str">
            <v>0390</v>
          </cell>
          <cell r="P8">
            <v>139</v>
          </cell>
          <cell r="Q8" t="str">
            <v>大宮ビル</v>
          </cell>
          <cell r="R8" t="str">
            <v>3010139</v>
          </cell>
          <cell r="S8" t="str">
            <v>大宮東邦生命ビル</v>
          </cell>
          <cell r="T8" t="str">
            <v>ｵｵﾐﾔﾄｳﾎｳｾｲﾒｲﾋﾞﾙ</v>
          </cell>
          <cell r="U8" t="str">
            <v>埼玉</v>
          </cell>
          <cell r="V8" t="str">
            <v>埼玉県大宮市宮町１丁目８６番</v>
          </cell>
          <cell r="W8">
            <v>2195.4699999999998</v>
          </cell>
          <cell r="X8" t="str">
            <v>Citi trust</v>
          </cell>
          <cell r="Y8" t="str">
            <v>301</v>
          </cell>
          <cell r="Z8" t="str">
            <v>さくら</v>
          </cell>
          <cell r="AA8" t="str">
            <v>東京営業部</v>
          </cell>
          <cell r="AB8" t="str">
            <v>普通</v>
          </cell>
          <cell r="AC8" t="str">
            <v>9106497</v>
          </cell>
          <cell r="AD8" t="str">
            <v>203</v>
          </cell>
          <cell r="AE8" t="str">
            <v>さくら</v>
          </cell>
          <cell r="AF8" t="str">
            <v>日本橋営業部</v>
          </cell>
          <cell r="AG8" t="str">
            <v>普通</v>
          </cell>
          <cell r="AH8" t="str">
            <v>7145566</v>
          </cell>
        </row>
        <row r="9">
          <cell r="N9" t="str">
            <v>53164</v>
          </cell>
          <cell r="O9" t="str">
            <v>0387</v>
          </cell>
          <cell r="P9">
            <v>129</v>
          </cell>
          <cell r="Q9" t="str">
            <v>船橋ビル</v>
          </cell>
          <cell r="R9" t="str">
            <v>3010129</v>
          </cell>
          <cell r="S9" t="str">
            <v>船橋東邦生命ビル</v>
          </cell>
          <cell r="T9" t="str">
            <v>ﾌﾅﾊﾞｼﾄｳﾎｳｾｲﾒｲﾋﾞﾙ</v>
          </cell>
          <cell r="U9" t="str">
            <v>千葉</v>
          </cell>
          <cell r="V9" t="str">
            <v>千葉県船橋市本町２丁目２３３７番３</v>
          </cell>
          <cell r="W9">
            <v>5942.86</v>
          </cell>
          <cell r="X9" t="str">
            <v>Citi trust</v>
          </cell>
          <cell r="Y9" t="str">
            <v>301</v>
          </cell>
          <cell r="Z9" t="str">
            <v>さくら</v>
          </cell>
          <cell r="AA9" t="str">
            <v>東京営業部</v>
          </cell>
          <cell r="AB9" t="str">
            <v>普通</v>
          </cell>
          <cell r="AC9" t="str">
            <v>9106497</v>
          </cell>
          <cell r="AD9" t="str">
            <v>203</v>
          </cell>
          <cell r="AE9" t="str">
            <v>さくら</v>
          </cell>
          <cell r="AF9" t="str">
            <v>日本橋営業部</v>
          </cell>
          <cell r="AG9" t="str">
            <v>普通</v>
          </cell>
          <cell r="AH9" t="str">
            <v>7145566</v>
          </cell>
        </row>
        <row r="10">
          <cell r="N10" t="str">
            <v>53165</v>
          </cell>
          <cell r="O10" t="str">
            <v>0388</v>
          </cell>
          <cell r="P10">
            <v>135</v>
          </cell>
          <cell r="Q10" t="str">
            <v>松戸ビル</v>
          </cell>
          <cell r="R10" t="str">
            <v>3010135</v>
          </cell>
          <cell r="S10" t="str">
            <v>松戸東邦生命ビル</v>
          </cell>
          <cell r="T10" t="str">
            <v>ﾏﾂﾄﾞﾄｳﾎｳｾｲﾒｲﾋﾞﾙ</v>
          </cell>
          <cell r="U10" t="str">
            <v>千葉</v>
          </cell>
          <cell r="V10" t="str">
            <v>千葉県松戸市本町１４番１</v>
          </cell>
          <cell r="W10">
            <v>4238.99</v>
          </cell>
          <cell r="X10" t="str">
            <v>Citi trust</v>
          </cell>
          <cell r="Y10" t="str">
            <v>301</v>
          </cell>
          <cell r="Z10" t="str">
            <v>さくら</v>
          </cell>
          <cell r="AA10" t="str">
            <v>東京営業部</v>
          </cell>
          <cell r="AB10" t="str">
            <v>普通</v>
          </cell>
          <cell r="AC10" t="str">
            <v>9106497</v>
          </cell>
          <cell r="AD10" t="str">
            <v>203</v>
          </cell>
          <cell r="AE10" t="str">
            <v>さくら</v>
          </cell>
          <cell r="AF10" t="str">
            <v>日本橋営業部</v>
          </cell>
          <cell r="AG10" t="str">
            <v>普通</v>
          </cell>
          <cell r="AH10" t="str">
            <v>7145566</v>
          </cell>
        </row>
        <row r="11">
          <cell r="N11" t="str">
            <v>53166</v>
          </cell>
          <cell r="O11" t="str">
            <v>0389</v>
          </cell>
          <cell r="P11">
            <v>136</v>
          </cell>
          <cell r="Q11" t="str">
            <v>本八幡ビル</v>
          </cell>
          <cell r="R11" t="str">
            <v>3010136</v>
          </cell>
          <cell r="S11" t="str">
            <v>本八幡東邦生命ビル</v>
          </cell>
          <cell r="T11" t="str">
            <v>ﾓﾄﾔﾜﾀﾄｳﾎｳｾｲﾒｲﾋﾞﾙ</v>
          </cell>
          <cell r="U11" t="str">
            <v>千葉</v>
          </cell>
          <cell r="V11" t="str">
            <v>千葉県市川市八幡２丁目１６９２番１</v>
          </cell>
          <cell r="W11">
            <v>1044.23</v>
          </cell>
          <cell r="X11" t="str">
            <v>Citi trust</v>
          </cell>
          <cell r="Y11" t="str">
            <v>301</v>
          </cell>
          <cell r="Z11" t="str">
            <v>さくら</v>
          </cell>
          <cell r="AA11" t="str">
            <v>東京営業部</v>
          </cell>
          <cell r="AB11" t="str">
            <v>普通</v>
          </cell>
          <cell r="AC11" t="str">
            <v>9106497</v>
          </cell>
          <cell r="AD11" t="str">
            <v>203</v>
          </cell>
          <cell r="AE11" t="str">
            <v>さくら</v>
          </cell>
          <cell r="AF11" t="str">
            <v>日本橋営業部</v>
          </cell>
          <cell r="AG11" t="str">
            <v>普通</v>
          </cell>
          <cell r="AH11" t="str">
            <v>7145566</v>
          </cell>
        </row>
        <row r="12">
          <cell r="N12" t="str">
            <v>53167</v>
          </cell>
          <cell r="O12" t="str">
            <v>0382</v>
          </cell>
          <cell r="P12">
            <v>2</v>
          </cell>
          <cell r="Q12" t="str">
            <v>高田馬場ビル</v>
          </cell>
          <cell r="R12" t="str">
            <v>3020002</v>
          </cell>
          <cell r="S12" t="str">
            <v>高田馬場東邦生命ビル</v>
          </cell>
          <cell r="T12" t="str">
            <v>ﾀｶﾀﾉﾊﾞﾊﾞﾄｳﾎｳｾｲﾒｲﾋﾞﾙ</v>
          </cell>
          <cell r="U12" t="str">
            <v>東京</v>
          </cell>
          <cell r="V12" t="str">
            <v>東京都豊島区高田３丁目７７７番１</v>
          </cell>
          <cell r="W12">
            <v>7498</v>
          </cell>
          <cell r="X12" t="str">
            <v>安田信託</v>
          </cell>
          <cell r="Y12" t="str">
            <v>302</v>
          </cell>
          <cell r="Z12" t="str">
            <v>さくら</v>
          </cell>
          <cell r="AA12" t="str">
            <v>東京営業部</v>
          </cell>
          <cell r="AB12" t="str">
            <v>普通</v>
          </cell>
          <cell r="AC12" t="str">
            <v>9106527</v>
          </cell>
          <cell r="AD12" t="str">
            <v>202</v>
          </cell>
          <cell r="AE12" t="str">
            <v>さくら</v>
          </cell>
          <cell r="AF12" t="str">
            <v>日本橋営業部</v>
          </cell>
          <cell r="AG12" t="str">
            <v>普通</v>
          </cell>
          <cell r="AH12" t="str">
            <v>7145558</v>
          </cell>
        </row>
        <row r="13">
          <cell r="N13" t="str">
            <v>53168</v>
          </cell>
          <cell r="O13" t="str">
            <v>0391</v>
          </cell>
          <cell r="P13">
            <v>152</v>
          </cell>
          <cell r="Q13" t="str">
            <v>両国ビル</v>
          </cell>
          <cell r="R13" t="str">
            <v>3010152</v>
          </cell>
          <cell r="S13" t="str">
            <v>両国東邦生命ビル</v>
          </cell>
          <cell r="T13" t="str">
            <v>ﾘｮｳｺﾞｸﾄｳﾎｳｾｲﾒｲﾋﾞﾙ</v>
          </cell>
          <cell r="U13" t="str">
            <v>東京</v>
          </cell>
          <cell r="V13" t="str">
            <v>東京都墨田区両国１丁目４番４</v>
          </cell>
          <cell r="W13">
            <v>2094.65</v>
          </cell>
          <cell r="X13" t="str">
            <v>Citi trust</v>
          </cell>
          <cell r="Y13" t="str">
            <v>301</v>
          </cell>
          <cell r="Z13" t="str">
            <v>さくら</v>
          </cell>
          <cell r="AA13" t="str">
            <v>東京営業部</v>
          </cell>
          <cell r="AB13" t="str">
            <v>普通</v>
          </cell>
          <cell r="AC13" t="str">
            <v>9106497</v>
          </cell>
          <cell r="AD13" t="str">
            <v>203</v>
          </cell>
          <cell r="AE13" t="str">
            <v>さくら</v>
          </cell>
          <cell r="AF13" t="str">
            <v>日本橋営業部</v>
          </cell>
          <cell r="AG13" t="str">
            <v>普通</v>
          </cell>
          <cell r="AH13" t="str">
            <v>7145566</v>
          </cell>
        </row>
        <row r="14">
          <cell r="N14" t="str">
            <v>53169</v>
          </cell>
          <cell r="O14" t="str">
            <v>0392</v>
          </cell>
          <cell r="P14">
            <v>159</v>
          </cell>
          <cell r="Q14" t="str">
            <v>大森ビル</v>
          </cell>
          <cell r="R14" t="str">
            <v>3010159</v>
          </cell>
          <cell r="S14" t="str">
            <v>大森東邦生命ビル</v>
          </cell>
          <cell r="T14" t="str">
            <v>ｵｵﾓﾘﾄｳﾎｳｾｲﾒｲﾋﾞﾙ</v>
          </cell>
          <cell r="U14" t="str">
            <v>東京</v>
          </cell>
          <cell r="V14" t="str">
            <v>東京都大田区大森北１丁目１３番６</v>
          </cell>
          <cell r="W14">
            <v>1075.08</v>
          </cell>
          <cell r="X14" t="str">
            <v>Citi trust</v>
          </cell>
          <cell r="Y14" t="str">
            <v>301</v>
          </cell>
          <cell r="Z14" t="str">
            <v>さくら</v>
          </cell>
          <cell r="AA14" t="str">
            <v>東京営業部</v>
          </cell>
          <cell r="AB14" t="str">
            <v>普通</v>
          </cell>
          <cell r="AC14" t="str">
            <v>9106497</v>
          </cell>
          <cell r="AD14" t="str">
            <v>203</v>
          </cell>
          <cell r="AE14" t="str">
            <v>さくら</v>
          </cell>
          <cell r="AF14" t="str">
            <v>日本橋営業部</v>
          </cell>
          <cell r="AG14" t="str">
            <v>普通</v>
          </cell>
          <cell r="AH14" t="str">
            <v>7145566</v>
          </cell>
        </row>
        <row r="15">
          <cell r="N15" t="str">
            <v>53170</v>
          </cell>
          <cell r="O15" t="str">
            <v>0393</v>
          </cell>
          <cell r="P15">
            <v>160</v>
          </cell>
          <cell r="Q15" t="str">
            <v>五反田ビル</v>
          </cell>
          <cell r="R15" t="str">
            <v>3010160</v>
          </cell>
          <cell r="S15" t="str">
            <v>五反田東邦生命ビル</v>
          </cell>
          <cell r="T15" t="str">
            <v>ｺﾞﾀﾝﾀﾞﾄｳﾎｳｾｲﾒｲﾋﾞﾙ</v>
          </cell>
          <cell r="U15" t="str">
            <v>東京</v>
          </cell>
          <cell r="V15" t="str">
            <v>東京都品川区東五反田１丁目４４３番３</v>
          </cell>
          <cell r="W15">
            <v>2399.7600000000002</v>
          </cell>
          <cell r="X15" t="str">
            <v>Citi trust</v>
          </cell>
          <cell r="Y15" t="str">
            <v>301</v>
          </cell>
          <cell r="Z15" t="str">
            <v>さくら</v>
          </cell>
          <cell r="AA15" t="str">
            <v>東京営業部</v>
          </cell>
          <cell r="AB15" t="str">
            <v>普通</v>
          </cell>
          <cell r="AC15" t="str">
            <v>9106497</v>
          </cell>
          <cell r="AD15" t="str">
            <v>203</v>
          </cell>
          <cell r="AE15" t="str">
            <v>さくら</v>
          </cell>
          <cell r="AF15" t="str">
            <v>日本橋営業部</v>
          </cell>
          <cell r="AG15" t="str">
            <v>普通</v>
          </cell>
          <cell r="AH15" t="str">
            <v>7145566</v>
          </cell>
        </row>
        <row r="16">
          <cell r="N16" t="str">
            <v>53171</v>
          </cell>
          <cell r="O16" t="str">
            <v>0394</v>
          </cell>
          <cell r="P16">
            <v>161</v>
          </cell>
          <cell r="Q16" t="str">
            <v>本郷ビル</v>
          </cell>
          <cell r="R16" t="str">
            <v>3010161</v>
          </cell>
          <cell r="S16" t="str">
            <v>本郷東邦生命ビル</v>
          </cell>
          <cell r="T16" t="str">
            <v>ﾎﾝｺﾞｳﾄｳﾎｳｾｲﾒｲﾋﾞﾙ</v>
          </cell>
          <cell r="U16" t="str">
            <v>東京</v>
          </cell>
          <cell r="V16" t="str">
            <v>東京都文京区湯島２丁目２０７番３</v>
          </cell>
          <cell r="W16">
            <v>1310.08</v>
          </cell>
          <cell r="X16" t="str">
            <v>Citi trust</v>
          </cell>
          <cell r="Y16" t="str">
            <v>301</v>
          </cell>
          <cell r="Z16" t="str">
            <v>さくら</v>
          </cell>
          <cell r="AA16" t="str">
            <v>東京営業部</v>
          </cell>
          <cell r="AB16" t="str">
            <v>普通</v>
          </cell>
          <cell r="AC16" t="str">
            <v>9106497</v>
          </cell>
          <cell r="AD16" t="str">
            <v>203</v>
          </cell>
          <cell r="AE16" t="str">
            <v>さくら</v>
          </cell>
          <cell r="AF16" t="str">
            <v>日本橋営業部</v>
          </cell>
          <cell r="AG16" t="str">
            <v>普通</v>
          </cell>
          <cell r="AH16" t="str">
            <v>7145566</v>
          </cell>
        </row>
        <row r="17">
          <cell r="N17" t="str">
            <v>53172</v>
          </cell>
          <cell r="O17" t="str">
            <v>0395</v>
          </cell>
          <cell r="P17">
            <v>162</v>
          </cell>
          <cell r="Q17" t="str">
            <v>銀座ビル</v>
          </cell>
          <cell r="R17" t="str">
            <v>3020162</v>
          </cell>
          <cell r="S17" t="str">
            <v>銀座東邦生命ビル</v>
          </cell>
          <cell r="T17" t="str">
            <v>ｷﾞﾝｻﾞﾄｳﾎｳｾｲﾒｲﾋﾞﾙ</v>
          </cell>
          <cell r="U17" t="str">
            <v>東京</v>
          </cell>
          <cell r="V17" t="str">
            <v>東京都中央区銀座３丁目１０３番１６</v>
          </cell>
          <cell r="W17">
            <v>6912</v>
          </cell>
          <cell r="X17" t="str">
            <v>安田信託</v>
          </cell>
          <cell r="Y17" t="str">
            <v>302</v>
          </cell>
          <cell r="Z17" t="str">
            <v>さくら</v>
          </cell>
          <cell r="AA17" t="str">
            <v>東京営業部</v>
          </cell>
          <cell r="AB17" t="str">
            <v>普通</v>
          </cell>
          <cell r="AC17" t="str">
            <v>9106527</v>
          </cell>
          <cell r="AD17" t="str">
            <v>202</v>
          </cell>
          <cell r="AE17" t="str">
            <v>さくら</v>
          </cell>
          <cell r="AF17" t="str">
            <v>日本橋営業部</v>
          </cell>
          <cell r="AG17" t="str">
            <v>普通</v>
          </cell>
          <cell r="AH17" t="str">
            <v>7145558</v>
          </cell>
        </row>
        <row r="18">
          <cell r="N18" t="str">
            <v>53173</v>
          </cell>
          <cell r="O18" t="str">
            <v>0396</v>
          </cell>
          <cell r="P18">
            <v>170</v>
          </cell>
          <cell r="Q18" t="str">
            <v>目黒ビル</v>
          </cell>
          <cell r="R18" t="str">
            <v>3010170</v>
          </cell>
          <cell r="S18" t="str">
            <v>目黒東邦生命ビル</v>
          </cell>
          <cell r="T18" t="str">
            <v>ﾒｸﾞﾛﾄｳﾎｳｾｲﾒｲﾋﾞﾙ</v>
          </cell>
          <cell r="U18" t="str">
            <v>東京</v>
          </cell>
          <cell r="V18" t="str">
            <v>東京都目黒区鷹番２丁目１９２番２８</v>
          </cell>
          <cell r="W18">
            <v>636.04</v>
          </cell>
          <cell r="X18" t="str">
            <v>Citi trust</v>
          </cell>
          <cell r="Y18" t="str">
            <v>301</v>
          </cell>
          <cell r="Z18" t="str">
            <v>さくら</v>
          </cell>
          <cell r="AA18" t="str">
            <v>東京営業部</v>
          </cell>
          <cell r="AB18" t="str">
            <v>普通</v>
          </cell>
          <cell r="AC18" t="str">
            <v>9106497</v>
          </cell>
          <cell r="AD18" t="str">
            <v>203</v>
          </cell>
          <cell r="AE18" t="str">
            <v>さくら</v>
          </cell>
          <cell r="AF18" t="str">
            <v>日本橋営業部</v>
          </cell>
          <cell r="AG18" t="str">
            <v>普通</v>
          </cell>
          <cell r="AH18" t="str">
            <v>7145566</v>
          </cell>
        </row>
        <row r="19">
          <cell r="N19" t="str">
            <v>53174</v>
          </cell>
          <cell r="O19" t="str">
            <v>0397</v>
          </cell>
          <cell r="P19">
            <v>178</v>
          </cell>
          <cell r="Q19" t="str">
            <v>恵比寿ビル</v>
          </cell>
          <cell r="R19" t="str">
            <v>3010178</v>
          </cell>
          <cell r="S19" t="str">
            <v>恵比寿東邦生命ビル</v>
          </cell>
          <cell r="T19" t="str">
            <v>ｴﾋﾞｽﾄｳﾎｳｾｲﾒｲﾋﾞﾙ</v>
          </cell>
          <cell r="U19" t="str">
            <v>東京</v>
          </cell>
          <cell r="V19" t="str">
            <v>東京都渋谷区恵比寿西１丁目２０番５</v>
          </cell>
          <cell r="W19">
            <v>992.42</v>
          </cell>
          <cell r="X19" t="str">
            <v>Citi trust</v>
          </cell>
          <cell r="Y19" t="str">
            <v>301</v>
          </cell>
          <cell r="Z19" t="str">
            <v>さくら</v>
          </cell>
          <cell r="AA19" t="str">
            <v>東京営業部</v>
          </cell>
          <cell r="AB19" t="str">
            <v>普通</v>
          </cell>
          <cell r="AC19" t="str">
            <v>9106497</v>
          </cell>
          <cell r="AD19" t="str">
            <v>203</v>
          </cell>
          <cell r="AE19" t="str">
            <v>さくら</v>
          </cell>
          <cell r="AF19" t="str">
            <v>日本橋営業部</v>
          </cell>
          <cell r="AG19" t="str">
            <v>普通</v>
          </cell>
          <cell r="AH19" t="str">
            <v>7145566</v>
          </cell>
        </row>
        <row r="20">
          <cell r="N20" t="str">
            <v>53175</v>
          </cell>
          <cell r="O20" t="str">
            <v>0398</v>
          </cell>
          <cell r="P20">
            <v>195</v>
          </cell>
          <cell r="Q20" t="str">
            <v>富ケ谷ビル</v>
          </cell>
          <cell r="R20" t="str">
            <v>3010195</v>
          </cell>
          <cell r="S20" t="str">
            <v>富ケ谷東邦生命ビル</v>
          </cell>
          <cell r="T20" t="str">
            <v>ﾄﾐｶﾞﾔﾄｳﾎｳｾｲﾒｲﾋﾞﾙ</v>
          </cell>
          <cell r="U20" t="str">
            <v>東京</v>
          </cell>
          <cell r="V20" t="str">
            <v>東京都渋谷区富ヶ谷１丁目１５１５－１７</v>
          </cell>
          <cell r="W20">
            <v>3106.69</v>
          </cell>
          <cell r="X20" t="str">
            <v>Citi trust</v>
          </cell>
          <cell r="Y20" t="str">
            <v>301</v>
          </cell>
          <cell r="Z20" t="str">
            <v>さくら</v>
          </cell>
          <cell r="AA20" t="str">
            <v>東京営業部</v>
          </cell>
          <cell r="AB20" t="str">
            <v>普通</v>
          </cell>
          <cell r="AC20" t="str">
            <v>9106497</v>
          </cell>
          <cell r="AD20" t="str">
            <v>203</v>
          </cell>
          <cell r="AE20" t="str">
            <v>さくら</v>
          </cell>
          <cell r="AF20" t="str">
            <v>日本橋営業部</v>
          </cell>
          <cell r="AG20" t="str">
            <v>普通</v>
          </cell>
          <cell r="AH20" t="str">
            <v>7145566</v>
          </cell>
        </row>
        <row r="21">
          <cell r="N21" t="str">
            <v>53176</v>
          </cell>
          <cell r="O21" t="str">
            <v>0403</v>
          </cell>
          <cell r="P21">
            <v>583</v>
          </cell>
          <cell r="Q21" t="str">
            <v>八王子ビル</v>
          </cell>
          <cell r="R21" t="str">
            <v>3030583</v>
          </cell>
          <cell r="S21" t="str">
            <v>八王子東邦生命ビル</v>
          </cell>
          <cell r="T21" t="str">
            <v>ﾊﾁｵｳｼﾞﾄｳﾎｳｾｲﾒｲﾋﾞﾙ</v>
          </cell>
          <cell r="U21" t="str">
            <v>東京</v>
          </cell>
          <cell r="V21" t="str">
            <v>東京都八王子市東町３５番７</v>
          </cell>
          <cell r="W21">
            <v>4200.59</v>
          </cell>
          <cell r="X21" t="str">
            <v>Edison</v>
          </cell>
          <cell r="Y21" t="str">
            <v>303</v>
          </cell>
          <cell r="Z21" t="str">
            <v>さくら</v>
          </cell>
          <cell r="AA21" t="str">
            <v>東京営業部</v>
          </cell>
          <cell r="AB21" t="str">
            <v>普通</v>
          </cell>
          <cell r="AC21" t="str">
            <v>9109364</v>
          </cell>
          <cell r="AD21" t="str">
            <v>201</v>
          </cell>
          <cell r="AE21" t="str">
            <v>さくら</v>
          </cell>
          <cell r="AF21" t="str">
            <v>日本橋営業部</v>
          </cell>
          <cell r="AG21" t="str">
            <v>普通</v>
          </cell>
          <cell r="AH21" t="str">
            <v>7145540</v>
          </cell>
        </row>
        <row r="22">
          <cell r="N22" t="str">
            <v>53177</v>
          </cell>
          <cell r="O22" t="str">
            <v>0404</v>
          </cell>
          <cell r="P22">
            <v>9002</v>
          </cell>
          <cell r="Q22" t="str">
            <v>渋谷第2ビル</v>
          </cell>
          <cell r="R22" t="str">
            <v>3029002</v>
          </cell>
          <cell r="S22" t="str">
            <v>渋谷第2東邦生命ビル</v>
          </cell>
          <cell r="T22" t="str">
            <v>ｼﾌﾞﾔﾀﾞｲﾆﾄｳﾎｳｾｲﾒｲﾋﾞﾙ</v>
          </cell>
          <cell r="U22" t="str">
            <v>東京</v>
          </cell>
          <cell r="V22" t="str">
            <v>東京都渋谷区渋谷３丁目５番地１６</v>
          </cell>
          <cell r="W22">
            <v>3679</v>
          </cell>
          <cell r="X22" t="str">
            <v>安田信託</v>
          </cell>
          <cell r="Y22" t="str">
            <v>302</v>
          </cell>
          <cell r="Z22" t="str">
            <v>さくら</v>
          </cell>
          <cell r="AA22" t="str">
            <v>東京営業部</v>
          </cell>
          <cell r="AB22" t="str">
            <v>普通</v>
          </cell>
          <cell r="AC22" t="str">
            <v>9106527</v>
          </cell>
          <cell r="AD22" t="str">
            <v>202</v>
          </cell>
          <cell r="AE22" t="str">
            <v>さくら</v>
          </cell>
          <cell r="AF22" t="str">
            <v>日本橋営業部</v>
          </cell>
          <cell r="AG22" t="str">
            <v>普通</v>
          </cell>
          <cell r="AH22" t="str">
            <v>7145558</v>
          </cell>
        </row>
        <row r="23">
          <cell r="N23" t="str">
            <v>53178</v>
          </cell>
          <cell r="O23" t="str">
            <v>0405</v>
          </cell>
          <cell r="P23">
            <v>9038</v>
          </cell>
          <cell r="Q23" t="str">
            <v>四谷ビル</v>
          </cell>
          <cell r="R23" t="str">
            <v>3039038</v>
          </cell>
          <cell r="S23" t="str">
            <v>四谷東邦生命ビル</v>
          </cell>
          <cell r="T23" t="str">
            <v>ﾖﾂﾔﾄｳﾎｳｾｲﾒｲﾋﾞﾙ</v>
          </cell>
          <cell r="U23" t="str">
            <v>東京</v>
          </cell>
          <cell r="V23" t="str">
            <v>東京都新宿区四谷１丁目１８－６</v>
          </cell>
          <cell r="W23">
            <v>915.55</v>
          </cell>
          <cell r="X23" t="str">
            <v>Edison</v>
          </cell>
          <cell r="Y23" t="str">
            <v>303</v>
          </cell>
          <cell r="Z23" t="str">
            <v>さくら</v>
          </cell>
          <cell r="AA23" t="str">
            <v>東京営業部</v>
          </cell>
          <cell r="AB23" t="str">
            <v>普通</v>
          </cell>
          <cell r="AC23" t="str">
            <v>9109364</v>
          </cell>
          <cell r="AD23" t="str">
            <v>201</v>
          </cell>
          <cell r="AE23" t="str">
            <v>さくら</v>
          </cell>
          <cell r="AF23" t="str">
            <v>日本橋営業部</v>
          </cell>
          <cell r="AG23" t="str">
            <v>普通</v>
          </cell>
          <cell r="AH23" t="str">
            <v>7145540</v>
          </cell>
        </row>
        <row r="24">
          <cell r="N24" t="str">
            <v>53179</v>
          </cell>
          <cell r="O24" t="str">
            <v>0383</v>
          </cell>
          <cell r="P24">
            <v>113</v>
          </cell>
          <cell r="Q24" t="str">
            <v>宇都宮第二ビル</v>
          </cell>
          <cell r="R24" t="str">
            <v>3010113</v>
          </cell>
          <cell r="S24" t="str">
            <v>宇都宮第二東邦生命ビル</v>
          </cell>
          <cell r="T24" t="str">
            <v>ｳﾂﾉﾐﾔﾀﾞｲﾆﾄｳﾎｳｾﾒｲﾋﾞﾙ</v>
          </cell>
          <cell r="U24" t="str">
            <v>栃木</v>
          </cell>
          <cell r="V24" t="str">
            <v>栃木県宇都宮市大通り４丁目１－３４</v>
          </cell>
          <cell r="W24">
            <v>4039.09</v>
          </cell>
          <cell r="X24" t="str">
            <v>Citi trust</v>
          </cell>
          <cell r="Y24" t="str">
            <v>301</v>
          </cell>
          <cell r="Z24" t="str">
            <v>さくら</v>
          </cell>
          <cell r="AA24" t="str">
            <v>東京営業部</v>
          </cell>
          <cell r="AB24" t="str">
            <v>普通</v>
          </cell>
          <cell r="AC24" t="str">
            <v>9106497</v>
          </cell>
          <cell r="AD24" t="str">
            <v>203</v>
          </cell>
          <cell r="AE24" t="str">
            <v>さくら</v>
          </cell>
          <cell r="AF24" t="str">
            <v>日本橋営業部</v>
          </cell>
          <cell r="AG24" t="str">
            <v>普通</v>
          </cell>
          <cell r="AH24" t="str">
            <v>7145566</v>
          </cell>
        </row>
        <row r="25">
          <cell r="N25" t="str">
            <v>53180</v>
          </cell>
          <cell r="O25" t="str">
            <v>0401</v>
          </cell>
          <cell r="P25">
            <v>260</v>
          </cell>
          <cell r="Q25" t="str">
            <v>新潟ビル</v>
          </cell>
          <cell r="R25" t="str">
            <v>3010260</v>
          </cell>
          <cell r="S25" t="str">
            <v>新潟東邦生命ビル</v>
          </cell>
          <cell r="T25" t="str">
            <v>ﾆｲｶﾞﾀﾄｳﾎｳｾｲﾒｲﾋﾞﾙ</v>
          </cell>
          <cell r="U25" t="str">
            <v>新潟</v>
          </cell>
          <cell r="V25" t="str">
            <v>新潟県新潟市花町２０６９番</v>
          </cell>
          <cell r="W25">
            <v>4441.62</v>
          </cell>
          <cell r="X25" t="str">
            <v>Citi trust</v>
          </cell>
          <cell r="Y25" t="str">
            <v>301</v>
          </cell>
          <cell r="Z25" t="str">
            <v>さくら</v>
          </cell>
          <cell r="AA25" t="str">
            <v>東京営業部</v>
          </cell>
          <cell r="AB25" t="str">
            <v>普通</v>
          </cell>
          <cell r="AC25" t="str">
            <v>9106497</v>
          </cell>
          <cell r="AD25" t="str">
            <v>203</v>
          </cell>
          <cell r="AE25" t="str">
            <v>さくら</v>
          </cell>
          <cell r="AF25" t="str">
            <v>日本橋営業部</v>
          </cell>
          <cell r="AG25" t="str">
            <v>普通</v>
          </cell>
          <cell r="AH25" t="str">
            <v>7145566</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dio Shack Refi -Flow of Funds"/>
      <sheetName val=" Approved Sources &amp; Uses "/>
      <sheetName val="Approved Closing Statement"/>
      <sheetName val="Approved Leasing Schedule"/>
      <sheetName val="Approved Renov Payment Schedule"/>
      <sheetName val="Approved Budget"/>
      <sheetName val="Approved Rent Roll Form"/>
      <sheetName val="Projected Expenses"/>
      <sheetName val="Projected Rents"/>
      <sheetName val="Pricing"/>
      <sheetName val="LIST"/>
      <sheetName val="PJ明細"/>
      <sheetName val="Assumptions"/>
      <sheetName val="Budget"/>
      <sheetName val="Uskei（契約）"/>
      <sheetName val="Rent Roll"/>
      <sheetName val="Replacement"/>
      <sheetName val="Collateral"/>
      <sheetName val="Macro Codes"/>
      <sheetName val="Input"/>
      <sheetName val="QryCombo IF"/>
      <sheetName val="Sheet1"/>
      <sheetName val="LookupSheet"/>
      <sheetName val="budgetlink"/>
      <sheetName val="working file"/>
      <sheetName val="CF"/>
      <sheetName val="入力用(家賃)"/>
      <sheetName val="T銘柄比率"/>
      <sheetName val="業種ﾋﾟﾎﾞｯﾄ"/>
      <sheetName val="TOPIXMON"/>
      <sheetName val="純資産"/>
      <sheetName val="上位10"/>
      <sheetName val="37含み経"/>
      <sheetName val="Radio_Shack_Refi_-Flow_of_Funds"/>
      <sheetName val="_Approved_Sources_&amp;_Uses_"/>
      <sheetName val="Approved_Closing_Statement"/>
      <sheetName val="Approved_Leasing_Schedule"/>
      <sheetName val="Approved_Renov_Payment_Schedule"/>
      <sheetName val="Approved_Budget"/>
      <sheetName val="Approved_Rent_Roll_Form"/>
      <sheetName val="Projected_Expenses"/>
      <sheetName val="Projected_Rents"/>
      <sheetName val="賃料等一覧"/>
      <sheetName val="物件概要"/>
      <sheetName val="仲介業者ﾘｽﾄ"/>
      <sheetName val="台帳"/>
      <sheetName val="TB"/>
      <sheetName val="Receivables"/>
      <sheetName val="Baitak PS schedule"/>
      <sheetName val="営業収益"/>
      <sheetName val="vw_SubExport_CTM"/>
      <sheetName val="RCN EY cash flow summary"/>
      <sheetName val="Cap Table"/>
      <sheetName val="Master List and Strats"/>
      <sheetName val="Base_Price"/>
      <sheetName val="Instructions"/>
      <sheetName val="写真台帳"/>
      <sheetName val="Two"/>
      <sheetName val="REO Cash Flow"/>
      <sheetName val="drivers"/>
      <sheetName val="master"/>
      <sheetName val="Setup_Summary"/>
      <sheetName val="1 Cash Flow Analysis"/>
      <sheetName val="Misc Data"/>
      <sheetName val="A-General"/>
      <sheetName val="検針表"/>
      <sheetName val="支払明細"/>
      <sheetName val="Ｕｎｉｔ №"/>
      <sheetName val="II-8科目一覧表"/>
      <sheetName val="営業担当Value"/>
      <sheetName val="REQUEST_TABLE"/>
      <sheetName val="Rent_Roll"/>
      <sheetName val="支払一覧"/>
      <sheetName val="Lender Approved Annual Budget S"/>
    </sheetNames>
    <sheetDataSet>
      <sheetData sheetId="0"/>
      <sheetData sheetId="1"/>
      <sheetData sheetId="2"/>
      <sheetData sheetId="3"/>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sheetData sheetId="72" refreshError="1"/>
      <sheetData sheetId="7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全テーブル"/>
      <sheetName val="mt_buill"/>
      <sheetName val="mt_buill_kei"/>
      <sheetName val="mt_buill_setb"/>
      <sheetName val="mt_buill_furoa"/>
      <sheetName val="mt_buill_biko"/>
      <sheetName val="mt_buill_houkok"/>
      <sheetName val="mt_keiyaku"/>
      <sheetName val="mt_kei_seik"/>
      <sheetName val="mt_keiyakukin"/>
      <sheetName val="mt_kaiyaku"/>
      <sheetName val="mt_kai_seik"/>
      <sheetName val="tr_seikyu"/>
      <sheetName val="tr_nyukin"/>
      <sheetName val="tr_siharai"/>
      <sheetName val="MT_BUDGET"/>
      <sheetName val="MT_ACTUAL"/>
      <sheetName val="mt_lisk"/>
      <sheetName val="mt_syuzen"/>
      <sheetName val="mt_jyokyo"/>
      <sheetName val="mt_jyokyo_biko"/>
      <sheetName val="mt_tenanto"/>
      <sheetName val="mt_gyos"/>
      <sheetName val="mt_bank"/>
      <sheetName val="mt_banks"/>
      <sheetName val="mt_koza_sb"/>
      <sheetName val="mt_himok_dai"/>
      <sheetName val="mt_himok_tyu"/>
      <sheetName val="mt_himok_syo"/>
      <sheetName val="mt_himok_out"/>
      <sheetName val="mt_kjkamk"/>
      <sheetName val="mt_kanren"/>
      <sheetName val="mt_eki"/>
      <sheetName val="mt_ensn"/>
      <sheetName val="mt_jyoho"/>
      <sheetName val="mt_jyohokbn"/>
      <sheetName val="mt_tax"/>
      <sheetName val="mt_yubin_ken"/>
      <sheetName val="mt_yubin_siku"/>
      <sheetName val="mt_yubin_cyouiki"/>
      <sheetName val="FB_CNTM"/>
      <sheetName val="FB_NAYOSE_WK"/>
      <sheetName val="FB_SEVS"/>
      <sheetName val="FB_WORK1"/>
      <sheetName val="FB_WORK2"/>
      <sheetName val="FB_WORK3"/>
      <sheetName val="FB_WORK4"/>
      <sheetName val="FB_WORK5"/>
      <sheetName val="FB_WORK6"/>
      <sheetName val="mt_variable"/>
      <sheetName val="mt_menu_name"/>
      <sheetName val="mt_use_kengen"/>
      <sheetName val="mt_password"/>
      <sheetName val="mt_license"/>
      <sheetName val="mt_bosyu_tin"/>
      <sheetName val="mt_owner"/>
      <sheetName val="mt_buill_kanr"/>
      <sheetName val="mt_buill_ins"/>
      <sheetName val="mt_himok_kb"/>
      <sheetName val="mt_tytle"/>
      <sheetName val="mt_tyohyo_kb"/>
      <sheetName val="mt_system"/>
      <sheetName val="mt_houkoku"/>
      <sheetName val="tr_owner_siha"/>
      <sheetName val="雛形"/>
      <sheetName val="リスト"/>
      <sheetName val="ŭt_yubinşken"/>
      <sheetName val="44ै_x0000__x0000_"/>
      <sheetName val="44ै??"/>
      <sheetName val="(Monthly)"/>
      <sheetName val="業者の口座名・番号"/>
      <sheetName val="その他契約"/>
      <sheetName val="損益計算書"/>
      <sheetName val="入金明細"/>
      <sheetName val="データベース"/>
      <sheetName val="データ(新宿区,徒,0,0)"/>
      <sheetName val="JOB一覧表"/>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refreshError="1">
        <row r="2">
          <cell r="B2" t="str">
            <v>numeric</v>
          </cell>
        </row>
        <row r="3">
          <cell r="B3" t="str">
            <v>char</v>
          </cell>
        </row>
        <row r="4">
          <cell r="B4" t="str">
            <v>date</v>
          </cell>
        </row>
        <row r="5">
          <cell r="B5" t="str">
            <v>long varchar</v>
          </cell>
        </row>
        <row r="6">
          <cell r="B6" t="str">
            <v>varchar</v>
          </cell>
        </row>
        <row r="7">
          <cell r="B7" t="str">
            <v>time</v>
          </cell>
        </row>
        <row r="8">
          <cell r="B8" t="str">
            <v>datetime</v>
          </cell>
        </row>
        <row r="10">
          <cell r="B10" t="str">
            <v>新規</v>
          </cell>
        </row>
        <row r="11">
          <cell r="B11" t="str">
            <v>追加</v>
          </cell>
        </row>
        <row r="12">
          <cell r="B12" t="str">
            <v>変更</v>
          </cell>
        </row>
        <row r="14">
          <cell r="B14" t="str">
            <v>1、課税(外) 2、課税(内) 3、非課税 4、対象外</v>
          </cell>
        </row>
      </sheetData>
      <sheetData sheetId="66"/>
      <sheetData sheetId="67"/>
      <sheetData sheetId="68"/>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準備ｼｰﾄ"/>
      <sheetName val="損益計算表"/>
      <sheetName val="入金・未入金明細表"/>
      <sheetName val="未払・延納"/>
      <sheetName val="支払明細"/>
      <sheetName val="予算→実績"/>
      <sheetName val="予算"/>
      <sheetName val="委託手数料"/>
      <sheetName val="添付資料（１）"/>
    </sheetNames>
    <sheetDataSet>
      <sheetData sheetId="0" refreshError="1">
        <row r="6">
          <cell r="C6" t="str">
            <v>設備修繕費</v>
          </cell>
        </row>
        <row r="7">
          <cell r="C7" t="str">
            <v>建物管理費</v>
          </cell>
        </row>
        <row r="8">
          <cell r="C8" t="str">
            <v>スポット作業費</v>
          </cell>
        </row>
        <row r="9">
          <cell r="C9" t="str">
            <v>備品レンタル</v>
          </cell>
        </row>
        <row r="10">
          <cell r="C10" t="str">
            <v>ケーブルテレビ</v>
          </cell>
        </row>
        <row r="11">
          <cell r="C11" t="str">
            <v>警備費</v>
          </cell>
        </row>
        <row r="12">
          <cell r="C12" t="str">
            <v>廃棄物処理費</v>
          </cell>
        </row>
        <row r="13">
          <cell r="C13" t="str">
            <v>その他契約別サービス料</v>
          </cell>
        </row>
        <row r="14">
          <cell r="C14" t="str">
            <v>電気</v>
          </cell>
        </row>
        <row r="15">
          <cell r="C15" t="str">
            <v>ガス</v>
          </cell>
        </row>
        <row r="16">
          <cell r="C16" t="str">
            <v>水道</v>
          </cell>
        </row>
        <row r="17">
          <cell r="C17" t="str">
            <v>その他光熱費</v>
          </cell>
        </row>
        <row r="18">
          <cell r="C18" t="str">
            <v>非課税の支出</v>
          </cell>
        </row>
        <row r="19">
          <cell r="C19" t="str">
            <v>事務用品費</v>
          </cell>
        </row>
        <row r="20">
          <cell r="C20" t="str">
            <v>贈答品費</v>
          </cell>
        </row>
        <row r="21">
          <cell r="C21" t="str">
            <v>銀行手数料</v>
          </cell>
        </row>
        <row r="22">
          <cell r="C22" t="str">
            <v>電話代</v>
          </cell>
        </row>
        <row r="23">
          <cell r="C23" t="str">
            <v>印紙・切手</v>
          </cell>
        </row>
        <row r="24">
          <cell r="C24" t="str">
            <v>消耗品</v>
          </cell>
        </row>
        <row r="25">
          <cell r="C25" t="str">
            <v>その他管理費</v>
          </cell>
        </row>
        <row r="26">
          <cell r="C26" t="str">
            <v>物件運営費（PM Fee)</v>
          </cell>
        </row>
        <row r="27">
          <cell r="C27" t="str">
            <v>固定資産税・都市計画税</v>
          </cell>
        </row>
        <row r="28">
          <cell r="C28" t="str">
            <v>償却資産税</v>
          </cell>
        </row>
        <row r="29">
          <cell r="C29" t="str">
            <v>道路占有料・屋外広告物手数料</v>
          </cell>
        </row>
        <row r="30">
          <cell r="C30" t="str">
            <v>その他税金</v>
          </cell>
        </row>
        <row r="31">
          <cell r="C31" t="str">
            <v>保険、財産保険料</v>
          </cell>
        </row>
        <row r="32">
          <cell r="C32" t="str">
            <v>土地賃貸料</v>
          </cell>
        </row>
        <row r="33">
          <cell r="C33" t="str">
            <v>Trust Fee</v>
          </cell>
        </row>
        <row r="34">
          <cell r="C34" t="str">
            <v>支払駐車場・賃料</v>
          </cell>
        </row>
      </sheetData>
      <sheetData sheetId="1"/>
      <sheetData sheetId="2"/>
      <sheetData sheetId="3" refreshError="1"/>
      <sheetData sheetId="4"/>
      <sheetData sheetId="5" refreshError="1"/>
      <sheetData sheetId="6"/>
      <sheetData sheetId="7"/>
      <sheetData sheetId="8"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②基準賃貸条件"/>
      <sheetName val="③年間修繕計画(9～14期) (2)"/>
      <sheetName val="④賃料収入明細"/>
      <sheetName val="⑤PMﾚﾎﾟ-ﾄ（表紙） "/>
      <sheetName val="⑤PMﾚﾎﾟ-ﾄ（ﾏｰｹｯﾄ）"/>
    </sheetNames>
    <sheetDataSet>
      <sheetData sheetId="0" refreshError="1"/>
      <sheetData sheetId="1">
        <row r="1">
          <cell r="AY1" t="str">
            <v>◎</v>
          </cell>
        </row>
        <row r="2">
          <cell r="AY2" t="str">
            <v>□</v>
          </cell>
        </row>
        <row r="3">
          <cell r="AY3" t="str">
            <v>■</v>
          </cell>
        </row>
      </sheetData>
      <sheetData sheetId="2" refreshError="1"/>
      <sheetData sheetId="3" refreshError="1"/>
      <sheetData sheetId="4"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code"/>
      <sheetName val="Rentroll"/>
      <sheetName val="Report（Rentroll）"/>
      <sheetName val="テナント数"/>
      <sheetName val="Report（物件毎稼働率）"/>
      <sheetName val="Report(稼働率)"/>
      <sheetName val="Report(異動明細)"/>
      <sheetName val="Report（更新手数料未済リスト）"/>
      <sheetName val="Report(更新履歴)"/>
      <sheetName val="Report(更新リスト)"/>
      <sheetName val="Report（貸付面積上位テナント）"/>
      <sheetName val="Report（テナント分析）"/>
      <sheetName val="Errorcode"/>
      <sheetName val="Upgrade"/>
      <sheetName val="Haven"/>
      <sheetName val="Folde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I2" t="str">
            <v>水産･農林業</v>
          </cell>
        </row>
        <row r="3">
          <cell r="I3" t="str">
            <v>鉱業</v>
          </cell>
        </row>
        <row r="4">
          <cell r="I4" t="str">
            <v>建設業</v>
          </cell>
        </row>
        <row r="5">
          <cell r="I5" t="str">
            <v>製造業</v>
          </cell>
        </row>
        <row r="6">
          <cell r="I6" t="str">
            <v>電気･ガス業</v>
          </cell>
        </row>
        <row r="7">
          <cell r="I7" t="str">
            <v>運輸･情報通信業</v>
          </cell>
        </row>
        <row r="8">
          <cell r="I8" t="str">
            <v>商業</v>
          </cell>
        </row>
        <row r="9">
          <cell r="I9" t="str">
            <v>金融･保険業</v>
          </cell>
        </row>
        <row r="10">
          <cell r="I10" t="str">
            <v>不動産業</v>
          </cell>
        </row>
        <row r="11">
          <cell r="I11" t="str">
            <v>サービス業</v>
          </cell>
        </row>
        <row r="12">
          <cell r="I12" t="str">
            <v>その他</v>
          </cell>
        </row>
        <row r="14">
          <cell r="I14" t="str">
            <v>無職</v>
          </cell>
        </row>
      </sheetData>
      <sheetData sheetId="13" refreshError="1"/>
      <sheetData sheetId="14" refreshError="1"/>
      <sheetData sheetId="15"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支払指図書（消費税計上）【入力シート】"/>
      <sheetName val="支払指図書（消費税計上、払出・支払口座各１）"/>
      <sheetName val="支払指図書（消費税計上、払出・支払口座複数）"/>
      <sheetName val="記載例（計上）"/>
    </sheetNames>
    <sheetDataSet>
      <sheetData sheetId="0">
        <row r="4">
          <cell r="A4" t="str">
            <v>衛生管理費</v>
          </cell>
        </row>
        <row r="5">
          <cell r="A5" t="str">
            <v>修繕費</v>
          </cell>
        </row>
        <row r="6">
          <cell r="A6" t="str">
            <v>雑費</v>
          </cell>
        </row>
        <row r="7">
          <cell r="A7" t="str">
            <v>給水光熱費</v>
          </cell>
        </row>
        <row r="8">
          <cell r="A8" t="str">
            <v>保険料</v>
          </cell>
        </row>
        <row r="9">
          <cell r="A9" t="str">
            <v>建物賃借料</v>
          </cell>
        </row>
        <row r="10">
          <cell r="A10" t="str">
            <v>地代</v>
          </cell>
        </row>
        <row r="11">
          <cell r="A11" t="str">
            <v>電気代</v>
          </cell>
        </row>
        <row r="12">
          <cell r="A12" t="str">
            <v>ガス代</v>
          </cell>
        </row>
        <row r="13">
          <cell r="A13" t="str">
            <v>水道代</v>
          </cell>
        </row>
        <row r="14">
          <cell r="A14" t="str">
            <v>電話代</v>
          </cell>
        </row>
        <row r="15">
          <cell r="A15" t="str">
            <v>支払手数料</v>
          </cell>
        </row>
        <row r="16">
          <cell r="A16" t="str">
            <v>受託建物（資本的支出）</v>
          </cell>
        </row>
        <row r="17">
          <cell r="A17" t="str">
            <v>受託土地（資本的支出）</v>
          </cell>
        </row>
        <row r="18">
          <cell r="A18" t="str">
            <v>建設仮勘定（資本的支出）</v>
          </cell>
        </row>
        <row r="19">
          <cell r="A19" t="str">
            <v>選択科目以外は手入力下さい</v>
          </cell>
        </row>
      </sheetData>
      <sheetData sheetId="1" refreshError="1"/>
      <sheetData sheetId="2" refreshError="1"/>
      <sheetData sheetId="3" refreshError="1"/>
      <sheetData sheetId="4"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支払指図書（消費税非計上）【入力シート】"/>
      <sheetName val="支払指図非計上 "/>
      <sheetName val="支払指図複数非計上 "/>
      <sheetName val="記載例（非計上）"/>
    </sheetNames>
    <sheetDataSet>
      <sheetData sheetId="0"/>
      <sheetData sheetId="1">
        <row r="4">
          <cell r="A4" t="str">
            <v>衛生管理費</v>
          </cell>
        </row>
        <row r="5">
          <cell r="A5" t="str">
            <v>修繕費</v>
          </cell>
        </row>
        <row r="6">
          <cell r="A6" t="str">
            <v>雑費</v>
          </cell>
        </row>
        <row r="7">
          <cell r="A7" t="str">
            <v>給水光熱費</v>
          </cell>
        </row>
        <row r="8">
          <cell r="A8" t="str">
            <v>保険料</v>
          </cell>
        </row>
        <row r="9">
          <cell r="A9" t="str">
            <v>建物賃借料</v>
          </cell>
        </row>
        <row r="10">
          <cell r="A10" t="str">
            <v>地代</v>
          </cell>
        </row>
        <row r="11">
          <cell r="A11" t="str">
            <v>電気代</v>
          </cell>
        </row>
        <row r="12">
          <cell r="A12" t="str">
            <v>ガス代</v>
          </cell>
        </row>
        <row r="13">
          <cell r="A13" t="str">
            <v>水道代</v>
          </cell>
        </row>
        <row r="14">
          <cell r="A14" t="str">
            <v>電話代</v>
          </cell>
        </row>
        <row r="15">
          <cell r="A15" t="str">
            <v>支払手数料</v>
          </cell>
        </row>
        <row r="16">
          <cell r="A16" t="str">
            <v>受託建物（資本的支出）</v>
          </cell>
        </row>
        <row r="17">
          <cell r="A17" t="str">
            <v>受託土地（資本的支出）</v>
          </cell>
        </row>
        <row r="18">
          <cell r="A18" t="str">
            <v>建設仮勘定（資本的支出）</v>
          </cell>
        </row>
        <row r="19">
          <cell r="A19" t="str">
            <v>仮受金より支払い</v>
          </cell>
        </row>
        <row r="20">
          <cell r="A20" t="str">
            <v>前受金より支払い</v>
          </cell>
        </row>
        <row r="21">
          <cell r="A21" t="str">
            <v>選択科目以外は手入力下さい</v>
          </cell>
        </row>
      </sheetData>
      <sheetData sheetId="2"/>
      <sheetData sheetId="3"/>
      <sheetData sheetId="4"/>
      <sheetData sheetId="5"/>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自販機手数料"/>
      <sheetName val="関内（按分後データ"/>
      <sheetName val="関内（会計データ作成シート"/>
      <sheetName val="Pibot"/>
      <sheetName val="0203月次債権"/>
      <sheetName val="0203"/>
      <sheetName val="ｴｼﾞｿﾝPibot"/>
      <sheetName val="ｴｼﾞｿﾝ自用分"/>
      <sheetName val="マスタ"/>
    </sheetNames>
    <sheetDataSet>
      <sheetData sheetId="0"/>
      <sheetData sheetId="1"/>
      <sheetData sheetId="2"/>
      <sheetData sheetId="3"/>
      <sheetData sheetId="4"/>
      <sheetData sheetId="5"/>
      <sheetData sheetId="6"/>
      <sheetData sheetId="7"/>
      <sheetData sheetId="8" refreshError="1">
        <row r="1">
          <cell r="D1" t="str">
            <v>si</v>
          </cell>
          <cell r="E1" t="str">
            <v>si_名称</v>
          </cell>
          <cell r="F1" t="str">
            <v>GECR勘定</v>
          </cell>
          <cell r="G1" t="str">
            <v>GECR分類</v>
          </cell>
          <cell r="H1" t="str">
            <v>CODE</v>
          </cell>
          <cell r="I1" t="str">
            <v>勘定名称</v>
          </cell>
          <cell r="J1" t="str">
            <v>分類名称</v>
          </cell>
          <cell r="K1" t="str">
            <v>月分Ｆ</v>
          </cell>
          <cell r="L1" t="str">
            <v>月分</v>
          </cell>
        </row>
        <row r="2">
          <cell r="D2" t="str">
            <v>110111</v>
          </cell>
          <cell r="E2" t="str">
            <v>賃料</v>
          </cell>
          <cell r="F2" t="str">
            <v>4100</v>
          </cell>
          <cell r="G2" t="str">
            <v>1000</v>
          </cell>
          <cell r="H2" t="str">
            <v>4100-1000</v>
          </cell>
          <cell r="I2" t="str">
            <v>賃貸収益</v>
          </cell>
          <cell r="J2" t="str">
            <v>総賃料</v>
          </cell>
          <cell r="K2">
            <v>1</v>
          </cell>
          <cell r="L2" t="str">
            <v>200204</v>
          </cell>
        </row>
        <row r="3">
          <cell r="D3" t="str">
            <v>110112</v>
          </cell>
          <cell r="E3" t="str">
            <v>変動賃料</v>
          </cell>
          <cell r="F3" t="str">
            <v>4100</v>
          </cell>
          <cell r="G3" t="str">
            <v>4000</v>
          </cell>
          <cell r="H3" t="str">
            <v>4100-4000</v>
          </cell>
          <cell r="I3" t="str">
            <v>賃貸収益</v>
          </cell>
          <cell r="J3" t="str">
            <v>仮想賃料</v>
          </cell>
          <cell r="K3">
            <v>1</v>
          </cell>
          <cell r="L3" t="str">
            <v>200204</v>
          </cell>
        </row>
        <row r="4">
          <cell r="D4" t="str">
            <v>111111</v>
          </cell>
          <cell r="E4" t="str">
            <v>共益費</v>
          </cell>
          <cell r="F4" t="str">
            <v>4300</v>
          </cell>
          <cell r="G4" t="str">
            <v>1000</v>
          </cell>
          <cell r="H4" t="str">
            <v>4300-1000</v>
          </cell>
          <cell r="I4" t="str">
            <v>原価回収収益</v>
          </cell>
          <cell r="J4" t="str">
            <v>共益費</v>
          </cell>
          <cell r="K4">
            <v>1</v>
          </cell>
          <cell r="L4" t="str">
            <v>200204</v>
          </cell>
        </row>
        <row r="5">
          <cell r="D5" t="str">
            <v>111112</v>
          </cell>
          <cell r="E5" t="str">
            <v>時間内空調料</v>
          </cell>
          <cell r="F5" t="str">
            <v>4300</v>
          </cell>
          <cell r="G5" t="str">
            <v>1050</v>
          </cell>
          <cell r="H5" t="str">
            <v>4300-1050</v>
          </cell>
          <cell r="I5" t="str">
            <v>原価回収収益</v>
          </cell>
          <cell r="J5" t="str">
            <v>仮想共益費</v>
          </cell>
          <cell r="K5">
            <v>1</v>
          </cell>
          <cell r="L5" t="str">
            <v>200204</v>
          </cell>
        </row>
        <row r="6">
          <cell r="D6" t="str">
            <v>112111</v>
          </cell>
          <cell r="E6" t="str">
            <v>駐車場使用料</v>
          </cell>
          <cell r="F6" t="str">
            <v>4200</v>
          </cell>
          <cell r="G6" t="str">
            <v>6000</v>
          </cell>
          <cell r="H6" t="str">
            <v>4200-6000</v>
          </cell>
          <cell r="I6" t="str">
            <v>その他収益</v>
          </cell>
          <cell r="J6" t="str">
            <v>駐車場収入</v>
          </cell>
          <cell r="K6">
            <v>1</v>
          </cell>
          <cell r="L6" t="str">
            <v>200204</v>
          </cell>
        </row>
        <row r="7">
          <cell r="D7" t="str">
            <v>210103</v>
          </cell>
          <cell r="E7" t="str">
            <v>ファシリティマネジメント</v>
          </cell>
          <cell r="F7" t="str">
            <v>4200</v>
          </cell>
          <cell r="G7" t="str">
            <v>6050</v>
          </cell>
          <cell r="H7" t="str">
            <v>4200-6050</v>
          </cell>
          <cell r="I7" t="str">
            <v>その他収益</v>
          </cell>
          <cell r="J7" t="str">
            <v>仮想駐車場収入</v>
          </cell>
          <cell r="K7">
            <v>1</v>
          </cell>
          <cell r="L7" t="str">
            <v>200204</v>
          </cell>
        </row>
        <row r="8">
          <cell r="D8" t="str">
            <v>112118</v>
          </cell>
          <cell r="E8" t="str">
            <v>時間貸駐車場使用料</v>
          </cell>
          <cell r="F8" t="str">
            <v>4200</v>
          </cell>
          <cell r="G8" t="str">
            <v>9000</v>
          </cell>
          <cell r="H8" t="str">
            <v>4200-9000</v>
          </cell>
          <cell r="I8" t="str">
            <v>その他収益</v>
          </cell>
          <cell r="J8" t="str">
            <v>その他の雑収入</v>
          </cell>
          <cell r="K8">
            <v>-1</v>
          </cell>
          <cell r="L8" t="str">
            <v>200202</v>
          </cell>
        </row>
        <row r="9">
          <cell r="D9" t="str">
            <v>112117</v>
          </cell>
          <cell r="E9" t="str">
            <v>看板掲出料</v>
          </cell>
          <cell r="F9" t="str">
            <v>4200</v>
          </cell>
          <cell r="G9" t="str">
            <v>7500</v>
          </cell>
          <cell r="H9" t="str">
            <v>4200-7500</v>
          </cell>
          <cell r="I9" t="str">
            <v>その他収益</v>
          </cell>
          <cell r="J9" t="str">
            <v>看板</v>
          </cell>
          <cell r="K9">
            <v>1</v>
          </cell>
          <cell r="L9" t="str">
            <v>200204</v>
          </cell>
        </row>
        <row r="10">
          <cell r="D10" t="str">
            <v>112116</v>
          </cell>
          <cell r="E10" t="str">
            <v>看板設置料</v>
          </cell>
          <cell r="F10" t="str">
            <v>4200</v>
          </cell>
          <cell r="G10" t="str">
            <v>7500</v>
          </cell>
          <cell r="H10" t="str">
            <v>4200-7500</v>
          </cell>
          <cell r="I10" t="str">
            <v>その他収益</v>
          </cell>
          <cell r="J10" t="str">
            <v>看板</v>
          </cell>
          <cell r="K10">
            <v>1</v>
          </cell>
          <cell r="L10" t="str">
            <v>200204</v>
          </cell>
        </row>
        <row r="11">
          <cell r="D11" t="str">
            <v>112112</v>
          </cell>
          <cell r="E11" t="str">
            <v>施設使用料</v>
          </cell>
          <cell r="F11" t="str">
            <v>4200</v>
          </cell>
          <cell r="G11" t="str">
            <v>9000</v>
          </cell>
          <cell r="H11" t="str">
            <v>4200-9000</v>
          </cell>
          <cell r="I11" t="str">
            <v>その他収益</v>
          </cell>
          <cell r="J11" t="str">
            <v>その他の雑収入</v>
          </cell>
          <cell r="K11">
            <v>1</v>
          </cell>
          <cell r="L11" t="str">
            <v>200204</v>
          </cell>
        </row>
        <row r="12">
          <cell r="D12" t="str">
            <v>112113</v>
          </cell>
          <cell r="E12" t="str">
            <v>施設設置料</v>
          </cell>
          <cell r="F12" t="str">
            <v>4200</v>
          </cell>
          <cell r="G12" t="str">
            <v>9000</v>
          </cell>
          <cell r="H12" t="str">
            <v>4200-9000</v>
          </cell>
          <cell r="I12" t="str">
            <v>その他収益</v>
          </cell>
          <cell r="J12" t="str">
            <v>その他の雑収入</v>
          </cell>
          <cell r="K12">
            <v>1</v>
          </cell>
          <cell r="L12" t="str">
            <v>200204</v>
          </cell>
        </row>
        <row r="13">
          <cell r="D13" t="str">
            <v>112115</v>
          </cell>
          <cell r="E13" t="str">
            <v>会議室使用料</v>
          </cell>
          <cell r="F13" t="str">
            <v>4200</v>
          </cell>
          <cell r="G13" t="str">
            <v>5000</v>
          </cell>
          <cell r="H13" t="str">
            <v>4200-5000</v>
          </cell>
          <cell r="I13" t="str">
            <v>その他収益</v>
          </cell>
          <cell r="J13" t="str">
            <v>会議室設備回収</v>
          </cell>
          <cell r="K13">
            <v>-1</v>
          </cell>
          <cell r="L13" t="str">
            <v>200202</v>
          </cell>
        </row>
        <row r="14">
          <cell r="D14" t="str">
            <v>112114</v>
          </cell>
          <cell r="E14" t="str">
            <v>共用部使用料</v>
          </cell>
          <cell r="F14" t="str">
            <v>4200</v>
          </cell>
          <cell r="G14" t="str">
            <v>5000</v>
          </cell>
          <cell r="H14" t="str">
            <v>4200-5000</v>
          </cell>
          <cell r="I14" t="str">
            <v>その他収益</v>
          </cell>
          <cell r="J14" t="str">
            <v>会議室設備回収</v>
          </cell>
          <cell r="K14">
            <v>1</v>
          </cell>
          <cell r="L14" t="str">
            <v>200204</v>
          </cell>
        </row>
        <row r="15">
          <cell r="D15" t="str">
            <v>112113</v>
          </cell>
          <cell r="E15" t="str">
            <v>施設設置料</v>
          </cell>
          <cell r="F15" t="str">
            <v>4200</v>
          </cell>
          <cell r="G15" t="str">
            <v>9000</v>
          </cell>
          <cell r="H15" t="str">
            <v>4200-9000</v>
          </cell>
          <cell r="I15" t="str">
            <v>その他収益</v>
          </cell>
          <cell r="J15" t="str">
            <v>その他の雑収入</v>
          </cell>
          <cell r="K15">
            <v>1</v>
          </cell>
          <cell r="L15" t="str">
            <v>200204</v>
          </cell>
        </row>
        <row r="16">
          <cell r="D16" t="str">
            <v>111115</v>
          </cell>
          <cell r="E16" t="str">
            <v>倉庫使用料</v>
          </cell>
          <cell r="F16" t="str">
            <v>4200</v>
          </cell>
          <cell r="G16" t="str">
            <v>3000</v>
          </cell>
          <cell r="H16" t="str">
            <v>4200-3000</v>
          </cell>
          <cell r="I16" t="str">
            <v>その他収益</v>
          </cell>
          <cell r="J16" t="str">
            <v>倉庫スペース賃貸料</v>
          </cell>
          <cell r="K16">
            <v>1</v>
          </cell>
          <cell r="L16" t="str">
            <v>200204</v>
          </cell>
        </row>
        <row r="17">
          <cell r="D17" t="str">
            <v>112112</v>
          </cell>
          <cell r="E17" t="str">
            <v>施設使用料</v>
          </cell>
          <cell r="F17" t="str">
            <v>4200</v>
          </cell>
          <cell r="G17" t="str">
            <v>9000</v>
          </cell>
          <cell r="H17" t="str">
            <v>4200-9000</v>
          </cell>
          <cell r="I17" t="str">
            <v>その他収益</v>
          </cell>
          <cell r="J17" t="str">
            <v>その他の雑収入</v>
          </cell>
          <cell r="K17">
            <v>1</v>
          </cell>
          <cell r="L17" t="str">
            <v>200204</v>
          </cell>
        </row>
        <row r="18">
          <cell r="D18" t="str">
            <v>114111</v>
          </cell>
          <cell r="E18" t="str">
            <v>電気料</v>
          </cell>
          <cell r="F18" t="str">
            <v>4300</v>
          </cell>
          <cell r="G18" t="str">
            <v>4000</v>
          </cell>
          <cell r="H18" t="str">
            <v>4300-4000</v>
          </cell>
          <cell r="I18" t="str">
            <v>原価回収収益</v>
          </cell>
          <cell r="J18" t="str">
            <v>光熱費</v>
          </cell>
          <cell r="K18">
            <v>-1</v>
          </cell>
          <cell r="L18" t="str">
            <v>200202</v>
          </cell>
        </row>
        <row r="19">
          <cell r="D19" t="str">
            <v>413199</v>
          </cell>
          <cell r="E19" t="str">
            <v>その他ワークオーダー収益</v>
          </cell>
          <cell r="F19" t="str">
            <v>4300</v>
          </cell>
          <cell r="G19" t="str">
            <v>4050</v>
          </cell>
          <cell r="H19" t="str">
            <v>4300-4050</v>
          </cell>
          <cell r="I19" t="str">
            <v>原価回収収益</v>
          </cell>
          <cell r="J19" t="str">
            <v>仮想光熱費</v>
          </cell>
          <cell r="K19">
            <v>-1</v>
          </cell>
          <cell r="L19" t="str">
            <v>200202</v>
          </cell>
        </row>
        <row r="20">
          <cell r="D20" t="str">
            <v>114112</v>
          </cell>
          <cell r="E20" t="str">
            <v>水道料</v>
          </cell>
          <cell r="F20" t="str">
            <v>4300</v>
          </cell>
          <cell r="G20" t="str">
            <v>4000</v>
          </cell>
          <cell r="H20" t="str">
            <v>4300-4000</v>
          </cell>
          <cell r="I20" t="str">
            <v>原価回収収益</v>
          </cell>
          <cell r="J20" t="str">
            <v>光熱費</v>
          </cell>
          <cell r="K20">
            <v>-1</v>
          </cell>
          <cell r="L20" t="str">
            <v>200202</v>
          </cell>
        </row>
        <row r="21">
          <cell r="D21" t="str">
            <v>114114</v>
          </cell>
          <cell r="E21" t="str">
            <v>時間外空調料</v>
          </cell>
          <cell r="F21" t="str">
            <v>4300</v>
          </cell>
          <cell r="G21" t="str">
            <v>4000</v>
          </cell>
          <cell r="H21" t="str">
            <v>4300-9000</v>
          </cell>
          <cell r="I21" t="str">
            <v>原価回収収益</v>
          </cell>
          <cell r="J21" t="str">
            <v>その他の光熱費</v>
          </cell>
          <cell r="K21">
            <v>-1</v>
          </cell>
          <cell r="L21" t="str">
            <v>200202</v>
          </cell>
        </row>
        <row r="22">
          <cell r="D22" t="str">
            <v>119916</v>
          </cell>
          <cell r="E22" t="str">
            <v>自動販売機収入</v>
          </cell>
          <cell r="F22" t="str">
            <v>4200</v>
          </cell>
          <cell r="G22" t="str">
            <v>2500</v>
          </cell>
          <cell r="H22" t="str">
            <v>4200-2500</v>
          </cell>
          <cell r="I22" t="str">
            <v>その他収益</v>
          </cell>
          <cell r="J22" t="str">
            <v>自動販売機収入</v>
          </cell>
          <cell r="K22">
            <v>-1</v>
          </cell>
          <cell r="L22" t="str">
            <v>200202</v>
          </cell>
        </row>
        <row r="23">
          <cell r="D23" t="str">
            <v>119911</v>
          </cell>
          <cell r="E23" t="str">
            <v>物品販売代金</v>
          </cell>
          <cell r="F23" t="str">
            <v>4200</v>
          </cell>
          <cell r="G23" t="str">
            <v>2500</v>
          </cell>
          <cell r="H23" t="str">
            <v>4200-2500</v>
          </cell>
          <cell r="I23" t="str">
            <v>その他収益</v>
          </cell>
          <cell r="J23" t="str">
            <v>自動販売機収入</v>
          </cell>
          <cell r="K23">
            <v>-1</v>
          </cell>
          <cell r="L23" t="str">
            <v>200202</v>
          </cell>
        </row>
        <row r="24">
          <cell r="D24" t="str">
            <v>119917</v>
          </cell>
          <cell r="E24" t="str">
            <v>販売促進費</v>
          </cell>
          <cell r="F24" t="str">
            <v>4200</v>
          </cell>
          <cell r="G24" t="str">
            <v>5500</v>
          </cell>
          <cell r="H24" t="str">
            <v>4200-5500</v>
          </cell>
          <cell r="I24" t="str">
            <v>その他収益</v>
          </cell>
          <cell r="J24" t="str">
            <v>電話収入</v>
          </cell>
          <cell r="K24">
            <v>-1</v>
          </cell>
          <cell r="L24" t="str">
            <v>200202</v>
          </cell>
        </row>
        <row r="25">
          <cell r="D25" t="str">
            <v>119999</v>
          </cell>
          <cell r="E25" t="str">
            <v>その他の賃貸収益</v>
          </cell>
          <cell r="F25" t="str">
            <v>4200</v>
          </cell>
          <cell r="G25" t="str">
            <v>9000</v>
          </cell>
          <cell r="H25" t="str">
            <v>4200-9000</v>
          </cell>
          <cell r="I25" t="str">
            <v>その他収益</v>
          </cell>
          <cell r="J25" t="str">
            <v>その他の雑収入</v>
          </cell>
          <cell r="K25">
            <v>-1</v>
          </cell>
          <cell r="L25" t="str">
            <v>200202</v>
          </cell>
        </row>
        <row r="26">
          <cell r="D26" t="str">
            <v>190111</v>
          </cell>
          <cell r="E26" t="str">
            <v>預り敷金（貸室）</v>
          </cell>
          <cell r="F26" t="str">
            <v>2400</v>
          </cell>
          <cell r="G26" t="str">
            <v>1000</v>
          </cell>
          <cell r="H26" t="str">
            <v>2400-1000</v>
          </cell>
          <cell r="I26" t="str">
            <v>流動負債</v>
          </cell>
          <cell r="J26" t="str">
            <v>敷金、テナント保証敷金</v>
          </cell>
          <cell r="K26">
            <v>0</v>
          </cell>
          <cell r="L26" t="str">
            <v>200203</v>
          </cell>
        </row>
        <row r="27">
          <cell r="D27" t="str">
            <v>190112</v>
          </cell>
          <cell r="E27" t="str">
            <v>預り敷金（駐車場）</v>
          </cell>
          <cell r="F27" t="str">
            <v>2400</v>
          </cell>
          <cell r="G27" t="str">
            <v>1000</v>
          </cell>
          <cell r="H27" t="str">
            <v>2400-1000</v>
          </cell>
          <cell r="I27" t="str">
            <v>流動負債</v>
          </cell>
          <cell r="J27" t="str">
            <v>敷金、テナント保証敷金</v>
          </cell>
          <cell r="K27">
            <v>0</v>
          </cell>
          <cell r="L27" t="str">
            <v>200203</v>
          </cell>
        </row>
        <row r="28">
          <cell r="D28" t="str">
            <v>119915</v>
          </cell>
          <cell r="E28" t="str">
            <v>損害金</v>
          </cell>
          <cell r="F28" t="str">
            <v>4200</v>
          </cell>
          <cell r="G28" t="str">
            <v>2000</v>
          </cell>
          <cell r="H28" t="str">
            <v>4200-2000</v>
          </cell>
          <cell r="I28" t="str">
            <v>その他非課税収益</v>
          </cell>
          <cell r="J28" t="str">
            <v>違約金</v>
          </cell>
          <cell r="K28">
            <v>0</v>
          </cell>
          <cell r="L28" t="str">
            <v>200203</v>
          </cell>
        </row>
        <row r="29">
          <cell r="D29" t="str">
            <v>911111</v>
          </cell>
          <cell r="E29" t="str">
            <v>受取利息</v>
          </cell>
          <cell r="F29" t="str">
            <v>4650</v>
          </cell>
          <cell r="G29" t="str">
            <v>0000</v>
          </cell>
          <cell r="H29" t="str">
            <v>4650-0000</v>
          </cell>
          <cell r="I29" t="str">
            <v>その他非課税収益</v>
          </cell>
          <cell r="J29" t="str">
            <v>預金利息</v>
          </cell>
          <cell r="K29">
            <v>0</v>
          </cell>
          <cell r="L29" t="str">
            <v>200203</v>
          </cell>
        </row>
        <row r="30">
          <cell r="F30" t="str">
            <v>2000</v>
          </cell>
          <cell r="G30" t="str">
            <v>4000</v>
          </cell>
          <cell r="H30" t="str">
            <v>2000-4000</v>
          </cell>
          <cell r="I30" t="str">
            <v>流動負債</v>
          </cell>
          <cell r="J30" t="str">
            <v>借受消費税</v>
          </cell>
          <cell r="K30">
            <v>0</v>
          </cell>
          <cell r="L30" t="str">
            <v>200203</v>
          </cell>
        </row>
        <row r="31">
          <cell r="L31" t="str">
            <v>200203</v>
          </cell>
        </row>
        <row r="32">
          <cell r="L32" t="str">
            <v>200203</v>
          </cell>
        </row>
        <row r="33">
          <cell r="L33" t="str">
            <v>200203</v>
          </cell>
        </row>
        <row r="34">
          <cell r="L34" t="str">
            <v>200203</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code"/>
      <sheetName val="Rentroll"/>
      <sheetName val="Report（Rentroll）"/>
      <sheetName val="テナント数"/>
      <sheetName val="Report（物件毎稼働率）"/>
      <sheetName val="Report(稼働率)"/>
      <sheetName val="Report(異動明細)"/>
      <sheetName val="Report（更新手数料未済リスト）"/>
      <sheetName val="Report(更新履歴)"/>
      <sheetName val="Report(更新リスト)"/>
      <sheetName val="Report（貸付面積上位テナント）"/>
      <sheetName val="Report（テナント分析）"/>
      <sheetName val="Errorcode"/>
      <sheetName val="Upgrade"/>
      <sheetName val="Haven"/>
      <sheetName val="Folde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1">
          <cell r="F1">
            <v>1</v>
          </cell>
        </row>
      </sheetData>
      <sheetData sheetId="14" refreshError="1"/>
      <sheetData sheetId="15"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変動項目"/>
      <sheetName val="検針表"/>
      <sheetName val="請求書"/>
      <sheetName val="報告書"/>
      <sheetName val="精算書"/>
      <sheetName val="入金一覧表4月"/>
      <sheetName val="特許ﾃﾞｲﾀ（5F）"/>
      <sheetName val="特許デ5F(明細)"/>
      <sheetName val="特許ﾃﾞｲﾀ（3F）"/>
      <sheetName val="特許デ3F(明細)"/>
      <sheetName val="日本特許"/>
      <sheetName val="日本特(明細) "/>
      <sheetName val="IBM"/>
      <sheetName val="IBM(明細)"/>
      <sheetName val="PEC"/>
      <sheetName val="PEC(明細)"/>
      <sheetName val="小林商事"/>
      <sheetName val="小林(明細)"/>
      <sheetName val="藤和不動産(5月)"/>
      <sheetName val="ｺｽﾓｽ(固定費)"/>
      <sheetName val="ｺｽﾓｽ(変動費)"/>
      <sheetName val="ｺｽﾓｽ(明細)"/>
      <sheetName val="ﾀｯﾌﾟ(固定費)"/>
      <sheetName val="ﾀｯﾌﾟ(変動費)"/>
      <sheetName val="ﾀｯﾌﾟ(明細)"/>
      <sheetName val="ampm（賃料他）"/>
      <sheetName val="ampm(明細)"/>
      <sheetName val="ampm(電気特別）"/>
      <sheetName val="Sheet1"/>
      <sheetName val="Sheet2"/>
      <sheetName val="Sheet3"/>
      <sheetName val="藤和不動産(4月)"/>
      <sheetName val="藤和不動産(敷金）"/>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③年間修繕計画（12～13期）"/>
      <sheetName val="③年間修繕計画(11～12期) "/>
    </sheetNames>
    <sheetDataSet>
      <sheetData sheetId="0">
        <row r="1">
          <cell r="BC1">
            <v>5</v>
          </cell>
        </row>
        <row r="2">
          <cell r="BC2">
            <v>6</v>
          </cell>
        </row>
        <row r="3">
          <cell r="BC3">
            <v>7</v>
          </cell>
        </row>
        <row r="4">
          <cell r="BC4">
            <v>8</v>
          </cell>
        </row>
        <row r="5">
          <cell r="BC5">
            <v>9</v>
          </cell>
        </row>
        <row r="6">
          <cell r="BC6">
            <v>10</v>
          </cell>
        </row>
        <row r="7">
          <cell r="BC7">
            <v>11</v>
          </cell>
        </row>
        <row r="8">
          <cell r="BC8">
            <v>12</v>
          </cell>
        </row>
        <row r="9">
          <cell r="BC9">
            <v>1</v>
          </cell>
        </row>
        <row r="10">
          <cell r="BC10">
            <v>2</v>
          </cell>
        </row>
        <row r="11">
          <cell r="BC11">
            <v>3</v>
          </cell>
        </row>
        <row r="12">
          <cell r="BC12">
            <v>4</v>
          </cell>
        </row>
      </sheetData>
      <sheetData sheetId="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目次"/>
      <sheetName val="損益計算表"/>
      <sheetName val="入金・未入金明細表"/>
      <sheetName val="未払・滞納"/>
      <sheetName val="支払明細"/>
      <sheetName val="敷金明細"/>
      <sheetName val="実績・予算"/>
      <sheetName val="委託手数料"/>
      <sheetName val="添付資料（1）"/>
      <sheetName val="添付資料（2）"/>
      <sheetName val="添付資料（3）"/>
      <sheetName val="準備ｼｰﾄ"/>
      <sheetName val="予算"/>
    </sheetNames>
    <sheetDataSet>
      <sheetData sheetId="0"/>
      <sheetData sheetId="1"/>
      <sheetData sheetId="2"/>
      <sheetData sheetId="3"/>
      <sheetData sheetId="4"/>
      <sheetData sheetId="5" refreshError="1">
        <row r="7">
          <cell r="A7">
            <v>1</v>
          </cell>
          <cell r="F7" t="str">
            <v>電気</v>
          </cell>
          <cell r="H7" t="str">
            <v>電気代</v>
          </cell>
          <cell r="I7" t="str">
            <v>東京電力㈱</v>
          </cell>
          <cell r="K7">
            <v>37665</v>
          </cell>
          <cell r="N7" t="str">
            <v>2003年1月分</v>
          </cell>
          <cell r="P7">
            <v>878456</v>
          </cell>
          <cell r="R7">
            <v>922378</v>
          </cell>
          <cell r="S7">
            <v>922378</v>
          </cell>
        </row>
        <row r="8">
          <cell r="A8">
            <v>1</v>
          </cell>
          <cell r="F8" t="str">
            <v>電話代</v>
          </cell>
          <cell r="H8" t="str">
            <v>電話代</v>
          </cell>
          <cell r="I8" t="str">
            <v>日本テレコム㈱</v>
          </cell>
          <cell r="K8">
            <v>37677</v>
          </cell>
          <cell r="N8" t="str">
            <v>2003年1月分</v>
          </cell>
          <cell r="P8">
            <v>389</v>
          </cell>
          <cell r="R8">
            <v>408</v>
          </cell>
          <cell r="S8">
            <v>408</v>
          </cell>
        </row>
        <row r="9">
          <cell r="A9">
            <v>1</v>
          </cell>
          <cell r="F9" t="str">
            <v>電話代</v>
          </cell>
          <cell r="H9" t="str">
            <v>電話代</v>
          </cell>
          <cell r="I9" t="str">
            <v>東日本電信電話㈱</v>
          </cell>
          <cell r="K9">
            <v>37672</v>
          </cell>
          <cell r="N9" t="str">
            <v>2003年2月分</v>
          </cell>
          <cell r="P9">
            <v>4445</v>
          </cell>
          <cell r="R9">
            <v>4667</v>
          </cell>
          <cell r="S9">
            <v>4667</v>
          </cell>
        </row>
        <row r="10">
          <cell r="A10">
            <v>1</v>
          </cell>
          <cell r="F10" t="str">
            <v>建物管理費</v>
          </cell>
          <cell r="H10" t="str">
            <v>昇降機保守料</v>
          </cell>
          <cell r="I10" t="str">
            <v>㈱日立ビルシステム</v>
          </cell>
          <cell r="K10">
            <v>37676</v>
          </cell>
          <cell r="N10" t="str">
            <v>2003年1月分</v>
          </cell>
          <cell r="P10">
            <v>84140</v>
          </cell>
          <cell r="R10">
            <v>88347</v>
          </cell>
          <cell r="S10">
            <v>88347</v>
          </cell>
        </row>
        <row r="11">
          <cell r="A11">
            <v>1</v>
          </cell>
          <cell r="F11" t="str">
            <v>建物管理費</v>
          </cell>
          <cell r="H11" t="str">
            <v>建物管理業務費</v>
          </cell>
          <cell r="I11" t="str">
            <v>㈱オーエンス</v>
          </cell>
          <cell r="K11">
            <v>37676</v>
          </cell>
          <cell r="N11" t="str">
            <v>2003年1月分</v>
          </cell>
          <cell r="P11">
            <v>784920</v>
          </cell>
          <cell r="R11">
            <v>824166</v>
          </cell>
          <cell r="S11">
            <v>824166</v>
          </cell>
        </row>
        <row r="12">
          <cell r="A12">
            <v>1</v>
          </cell>
          <cell r="F12" t="str">
            <v>設備修繕費</v>
          </cell>
          <cell r="H12" t="str">
            <v>消火栓ポンプフード弁交換工事</v>
          </cell>
          <cell r="I12" t="str">
            <v>ビル開発㈱</v>
          </cell>
          <cell r="K12">
            <v>37676</v>
          </cell>
          <cell r="N12">
            <v>37655</v>
          </cell>
          <cell r="P12">
            <v>85000</v>
          </cell>
          <cell r="R12">
            <v>89250</v>
          </cell>
          <cell r="S12">
            <v>89250</v>
          </cell>
        </row>
        <row r="13">
          <cell r="A13">
            <v>1</v>
          </cell>
          <cell r="F13" t="str">
            <v>消耗品</v>
          </cell>
          <cell r="H13" t="str">
            <v>蛍光灯代</v>
          </cell>
          <cell r="I13" t="str">
            <v>㈱朝日ビルマネジメントサービス</v>
          </cell>
          <cell r="K13">
            <v>37676</v>
          </cell>
          <cell r="N13">
            <v>37645</v>
          </cell>
          <cell r="P13">
            <v>36225</v>
          </cell>
          <cell r="R13">
            <v>38036</v>
          </cell>
          <cell r="S13">
            <v>38036</v>
          </cell>
        </row>
        <row r="14">
          <cell r="A14">
            <v>1</v>
          </cell>
          <cell r="F14" t="str">
            <v>銀行手数料</v>
          </cell>
          <cell r="I14" t="str">
            <v>UFJBK</v>
          </cell>
          <cell r="K14">
            <v>37676</v>
          </cell>
          <cell r="P14">
            <v>1600</v>
          </cell>
          <cell r="R14">
            <v>1680</v>
          </cell>
          <cell r="S14">
            <v>1680</v>
          </cell>
        </row>
        <row r="15">
          <cell r="A15">
            <v>1</v>
          </cell>
          <cell r="F15" t="str">
            <v>物件運営費（PM Fee)</v>
          </cell>
          <cell r="H15" t="str">
            <v>業務委託料</v>
          </cell>
          <cell r="I15" t="str">
            <v>三幸エステート㈱</v>
          </cell>
          <cell r="K15">
            <v>37679</v>
          </cell>
          <cell r="N15" t="str">
            <v>2003年1月分</v>
          </cell>
          <cell r="P15">
            <v>239557</v>
          </cell>
          <cell r="R15">
            <v>251534</v>
          </cell>
          <cell r="S15">
            <v>251534</v>
          </cell>
        </row>
        <row r="16">
          <cell r="A16">
            <v>1</v>
          </cell>
          <cell r="F16" t="str">
            <v>電話代</v>
          </cell>
          <cell r="H16" t="str">
            <v>譲渡承認手数料</v>
          </cell>
          <cell r="I16" t="str">
            <v>東日本電信電話㈱</v>
          </cell>
          <cell r="K16">
            <v>37679</v>
          </cell>
          <cell r="P16">
            <v>800</v>
          </cell>
          <cell r="R16">
            <v>840</v>
          </cell>
          <cell r="S16">
            <v>840</v>
          </cell>
        </row>
        <row r="17">
          <cell r="R17" t="str">
            <v/>
          </cell>
          <cell r="S17" t="str">
            <v/>
          </cell>
        </row>
        <row r="18">
          <cell r="R18" t="str">
            <v/>
          </cell>
          <cell r="S18" t="str">
            <v/>
          </cell>
        </row>
        <row r="19">
          <cell r="R19" t="str">
            <v/>
          </cell>
          <cell r="S19" t="str">
            <v/>
          </cell>
        </row>
        <row r="20">
          <cell r="P20" t="str">
            <v/>
          </cell>
          <cell r="R20" t="str">
            <v/>
          </cell>
          <cell r="S20" t="str">
            <v/>
          </cell>
        </row>
        <row r="21">
          <cell r="P21" t="str">
            <v/>
          </cell>
          <cell r="R21" t="str">
            <v/>
          </cell>
          <cell r="S21" t="str">
            <v/>
          </cell>
        </row>
        <row r="22">
          <cell r="P22" t="str">
            <v/>
          </cell>
          <cell r="R22" t="str">
            <v/>
          </cell>
          <cell r="S22" t="str">
            <v/>
          </cell>
        </row>
        <row r="23">
          <cell r="P23" t="str">
            <v/>
          </cell>
          <cell r="R23" t="str">
            <v/>
          </cell>
          <cell r="S23" t="str">
            <v/>
          </cell>
        </row>
        <row r="24">
          <cell r="P24" t="str">
            <v/>
          </cell>
          <cell r="R24" t="str">
            <v/>
          </cell>
          <cell r="S24" t="str">
            <v/>
          </cell>
        </row>
        <row r="25">
          <cell r="P25" t="str">
            <v/>
          </cell>
          <cell r="R25" t="str">
            <v/>
          </cell>
          <cell r="S25" t="str">
            <v/>
          </cell>
        </row>
        <row r="26">
          <cell r="P26" t="str">
            <v/>
          </cell>
          <cell r="R26" t="str">
            <v/>
          </cell>
          <cell r="S26" t="str">
            <v/>
          </cell>
        </row>
        <row r="27">
          <cell r="P27" t="str">
            <v/>
          </cell>
          <cell r="R27" t="str">
            <v/>
          </cell>
          <cell r="S27" t="str">
            <v/>
          </cell>
        </row>
        <row r="28">
          <cell r="R28" t="str">
            <v/>
          </cell>
          <cell r="S28" t="str">
            <v/>
          </cell>
        </row>
        <row r="29">
          <cell r="R29" t="str">
            <v/>
          </cell>
          <cell r="S29" t="str">
            <v/>
          </cell>
        </row>
        <row r="30">
          <cell r="R30" t="str">
            <v/>
          </cell>
          <cell r="S30" t="str">
            <v/>
          </cell>
        </row>
      </sheetData>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Q44"/>
  <sheetViews>
    <sheetView view="pageBreakPreview" topLeftCell="D1" zoomScaleNormal="100" zoomScaleSheetLayoutView="100" workbookViewId="0">
      <selection activeCell="E14" sqref="E14:L14"/>
    </sheetView>
  </sheetViews>
  <sheetFormatPr defaultColWidth="9" defaultRowHeight="14.4"/>
  <cols>
    <col min="1" max="1" width="6.109375" style="20" customWidth="1"/>
    <col min="2" max="2" width="5.6640625" style="20" customWidth="1"/>
    <col min="3" max="3" width="8.6640625" style="20" customWidth="1"/>
    <col min="4" max="4" width="8.33203125" style="20" customWidth="1"/>
    <col min="5" max="9" width="7.88671875" style="20" customWidth="1"/>
    <col min="10" max="11" width="8.6640625" style="20" customWidth="1"/>
    <col min="12" max="16384" width="9" style="20"/>
  </cols>
  <sheetData>
    <row r="1" spans="1:69" s="21" customFormat="1" ht="20.25" customHeight="1">
      <c r="A1" s="18"/>
      <c r="B1" s="18"/>
      <c r="C1" s="18"/>
      <c r="D1" s="18"/>
      <c r="E1" s="18"/>
      <c r="F1" s="18"/>
      <c r="G1" s="18"/>
      <c r="H1" s="18"/>
      <c r="I1" s="18"/>
      <c r="J1" s="18"/>
      <c r="K1" s="18"/>
      <c r="L1" s="19"/>
      <c r="M1" s="19"/>
      <c r="N1" s="19"/>
      <c r="O1" s="19"/>
      <c r="P1" s="19"/>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0"/>
      <c r="BQ1" s="20"/>
    </row>
    <row r="2" spans="1:69" s="21" customFormat="1" ht="18" customHeight="1">
      <c r="A2" s="18"/>
      <c r="B2" s="18"/>
      <c r="C2" s="18"/>
      <c r="D2" s="18"/>
      <c r="E2" s="18"/>
      <c r="F2" s="18"/>
      <c r="G2" s="18"/>
      <c r="H2" s="18"/>
      <c r="I2" s="18"/>
      <c r="J2" s="18"/>
      <c r="K2" s="18"/>
      <c r="L2" s="19"/>
      <c r="M2" s="22"/>
      <c r="N2" s="23"/>
      <c r="O2" s="23"/>
      <c r="P2" s="22"/>
      <c r="Q2" s="20"/>
      <c r="R2" s="20"/>
      <c r="S2" s="20"/>
      <c r="T2" s="20"/>
      <c r="U2" s="20"/>
      <c r="V2" s="20"/>
      <c r="W2" s="20"/>
      <c r="X2" s="20"/>
      <c r="Y2" s="20"/>
      <c r="Z2" s="20"/>
      <c r="AA2" s="20"/>
      <c r="AB2" s="20"/>
      <c r="AC2" s="20"/>
      <c r="AD2" s="20"/>
      <c r="AE2" s="20"/>
      <c r="AF2" s="20"/>
      <c r="AG2" s="20"/>
      <c r="AH2" s="20"/>
      <c r="AI2" s="20"/>
      <c r="AJ2" s="20"/>
      <c r="AK2" s="20"/>
      <c r="AL2" s="20"/>
      <c r="AM2" s="20"/>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c r="BN2" s="20"/>
      <c r="BO2" s="20"/>
      <c r="BP2" s="20"/>
      <c r="BQ2" s="20"/>
    </row>
    <row r="3" spans="1:69" ht="22.5" customHeight="1">
      <c r="A3" s="18"/>
      <c r="B3" s="18"/>
      <c r="C3" s="18"/>
      <c r="D3" s="18"/>
      <c r="E3" s="18"/>
      <c r="F3" s="18"/>
      <c r="G3" s="18"/>
      <c r="H3" s="18"/>
      <c r="I3" s="18"/>
      <c r="J3" s="18"/>
      <c r="K3" s="18"/>
      <c r="L3" s="24"/>
      <c r="M3" s="19"/>
      <c r="N3" s="25"/>
      <c r="O3" s="26"/>
      <c r="P3" s="19"/>
    </row>
    <row r="4" spans="1:69" ht="15.75" customHeight="1">
      <c r="A4" s="18"/>
      <c r="B4" s="18"/>
      <c r="C4" s="18"/>
      <c r="D4" s="18"/>
      <c r="E4" s="18"/>
      <c r="F4" s="18"/>
      <c r="G4" s="18"/>
      <c r="H4" s="18"/>
      <c r="I4" s="18"/>
      <c r="J4" s="18"/>
      <c r="K4" s="18"/>
      <c r="L4" s="19"/>
      <c r="M4" s="19"/>
      <c r="N4" s="19"/>
      <c r="O4" s="26"/>
      <c r="P4" s="19"/>
    </row>
    <row r="5" spans="1:69" ht="21.75" customHeight="1">
      <c r="A5" s="18"/>
      <c r="B5" s="18"/>
      <c r="C5" s="18"/>
      <c r="D5" s="18"/>
      <c r="E5" s="898" t="s">
        <v>72</v>
      </c>
      <c r="F5" s="899"/>
      <c r="G5" s="900"/>
      <c r="H5" s="900"/>
      <c r="I5" s="900"/>
      <c r="J5" s="900"/>
      <c r="K5" s="900"/>
      <c r="L5" s="901"/>
      <c r="M5" s="27"/>
      <c r="N5" s="19"/>
      <c r="O5" s="19"/>
      <c r="P5" s="19"/>
      <c r="X5" s="31"/>
    </row>
    <row r="6" spans="1:69" ht="15.75" customHeight="1">
      <c r="A6" s="18"/>
      <c r="B6" s="18"/>
      <c r="C6" s="18"/>
      <c r="D6" s="18"/>
      <c r="E6" s="18"/>
      <c r="F6" s="18"/>
      <c r="G6" s="18"/>
      <c r="H6" s="18"/>
      <c r="I6" s="18"/>
      <c r="J6" s="18"/>
      <c r="K6" s="18"/>
      <c r="L6" s="19"/>
      <c r="M6" s="19"/>
      <c r="N6" s="19"/>
      <c r="O6" s="19"/>
      <c r="P6" s="19"/>
      <c r="X6" s="31"/>
    </row>
    <row r="7" spans="1:69" ht="15.75" customHeight="1">
      <c r="A7" s="18"/>
      <c r="B7" s="18"/>
      <c r="C7" s="18"/>
      <c r="D7" s="18"/>
      <c r="E7" s="18"/>
      <c r="F7" s="18"/>
      <c r="G7" s="18"/>
      <c r="H7" s="18"/>
      <c r="I7" s="18"/>
      <c r="J7" s="18"/>
      <c r="K7" s="332"/>
      <c r="L7" s="19"/>
      <c r="M7" s="19"/>
      <c r="N7" s="19"/>
      <c r="O7" s="19"/>
      <c r="P7" s="19"/>
      <c r="X7" s="31"/>
    </row>
    <row r="8" spans="1:69" ht="15.75" customHeight="1">
      <c r="A8" s="18"/>
      <c r="B8" s="18"/>
      <c r="C8" s="18"/>
      <c r="D8" s="18"/>
      <c r="E8" s="18"/>
      <c r="F8" s="18"/>
      <c r="G8" s="18"/>
      <c r="H8" s="18"/>
      <c r="I8" s="18"/>
      <c r="J8" s="18"/>
      <c r="K8" s="18"/>
      <c r="L8" s="19"/>
      <c r="M8" s="19"/>
      <c r="N8" s="19"/>
      <c r="O8" s="19"/>
      <c r="P8" s="19"/>
      <c r="W8" s="31"/>
      <c r="X8" s="31"/>
    </row>
    <row r="9" spans="1:69" ht="15.75" customHeight="1">
      <c r="A9" s="18"/>
      <c r="B9" s="18"/>
      <c r="C9" s="18"/>
      <c r="D9" s="18"/>
      <c r="E9" s="902">
        <v>4</v>
      </c>
      <c r="F9" s="902"/>
      <c r="G9" s="902"/>
      <c r="H9" s="902"/>
      <c r="I9" s="902"/>
      <c r="J9" s="902"/>
      <c r="K9" s="902"/>
      <c r="L9" s="902"/>
      <c r="M9" s="19"/>
      <c r="N9" s="19"/>
      <c r="O9" s="19"/>
      <c r="P9" s="19"/>
      <c r="W9" s="31"/>
      <c r="X9" s="31"/>
    </row>
    <row r="10" spans="1:69" ht="15.75" customHeight="1">
      <c r="A10" s="18"/>
      <c r="B10" s="18"/>
      <c r="C10" s="18"/>
      <c r="D10" s="18"/>
      <c r="E10" s="18"/>
      <c r="F10" s="18"/>
      <c r="G10" s="18"/>
      <c r="H10" s="18"/>
      <c r="I10" s="18"/>
      <c r="J10" s="18"/>
      <c r="K10" s="18"/>
      <c r="L10" s="19"/>
      <c r="M10" s="19"/>
      <c r="N10" s="19"/>
      <c r="O10" s="19"/>
      <c r="P10" s="19"/>
      <c r="W10" s="31"/>
      <c r="X10" s="31"/>
    </row>
    <row r="11" spans="1:69" ht="30" customHeight="1">
      <c r="A11" s="18"/>
      <c r="B11" s="18"/>
      <c r="C11" s="18"/>
      <c r="D11" s="28"/>
      <c r="E11" s="28"/>
      <c r="F11" s="28"/>
      <c r="G11" s="28"/>
      <c r="H11" s="28"/>
      <c r="I11" s="18"/>
      <c r="J11" s="18"/>
      <c r="K11" s="18"/>
      <c r="L11" s="19"/>
      <c r="M11" s="19"/>
      <c r="N11" s="19"/>
      <c r="O11" s="19"/>
      <c r="P11" s="19"/>
      <c r="W11" s="31"/>
      <c r="X11" s="31"/>
    </row>
    <row r="12" spans="1:69" ht="15.75" customHeight="1">
      <c r="A12" s="18"/>
      <c r="B12" s="18"/>
      <c r="C12" s="18"/>
      <c r="D12" s="29"/>
      <c r="E12" s="29"/>
      <c r="F12" s="29"/>
      <c r="G12" s="29"/>
      <c r="H12" s="29"/>
      <c r="I12" s="18"/>
      <c r="J12" s="18"/>
      <c r="K12" s="18"/>
      <c r="L12" s="19"/>
      <c r="M12" s="19"/>
      <c r="N12" s="19"/>
      <c r="O12" s="19"/>
      <c r="P12" s="19"/>
      <c r="W12" s="31"/>
      <c r="X12" s="31"/>
    </row>
    <row r="13" spans="1:69" ht="18" customHeight="1">
      <c r="A13" s="18"/>
      <c r="B13" s="18"/>
      <c r="C13" s="18"/>
      <c r="D13" s="29"/>
      <c r="E13" s="30"/>
      <c r="F13" s="30"/>
      <c r="G13" s="30"/>
      <c r="H13" s="29"/>
      <c r="I13" s="18"/>
      <c r="J13" s="18"/>
      <c r="K13" s="18"/>
      <c r="L13" s="19"/>
      <c r="M13" s="19"/>
      <c r="N13" s="19"/>
      <c r="O13" s="19"/>
      <c r="P13" s="19"/>
      <c r="W13" s="31"/>
      <c r="X13" s="31"/>
    </row>
    <row r="14" spans="1:69" ht="15.75" customHeight="1">
      <c r="A14" s="18"/>
      <c r="B14" s="18"/>
      <c r="C14" s="18"/>
      <c r="D14" s="18"/>
      <c r="E14" s="903">
        <v>45047</v>
      </c>
      <c r="F14" s="903"/>
      <c r="G14" s="903"/>
      <c r="H14" s="903"/>
      <c r="I14" s="903"/>
      <c r="J14" s="903"/>
      <c r="K14" s="903"/>
      <c r="L14" s="903"/>
      <c r="M14" s="19"/>
      <c r="N14" s="19"/>
      <c r="O14" s="19"/>
      <c r="P14" s="19"/>
      <c r="Q14" s="31"/>
      <c r="R14" s="31"/>
      <c r="S14" s="31"/>
      <c r="T14" s="31"/>
      <c r="U14" s="31"/>
      <c r="V14" s="31"/>
      <c r="W14" s="31"/>
      <c r="X14" s="31"/>
      <c r="Y14" s="31"/>
      <c r="Z14" s="31"/>
      <c r="AA14" s="31"/>
      <c r="AB14" s="31"/>
      <c r="AC14" s="31"/>
    </row>
    <row r="15" spans="1:69" ht="15.75" customHeight="1">
      <c r="A15" s="18"/>
      <c r="B15" s="18"/>
      <c r="C15" s="18"/>
      <c r="D15" s="18"/>
      <c r="E15" s="18"/>
      <c r="F15" s="18"/>
      <c r="G15" s="18"/>
      <c r="H15" s="18"/>
      <c r="I15" s="18"/>
      <c r="J15" s="18"/>
      <c r="K15" s="18"/>
      <c r="L15" s="19"/>
      <c r="M15" s="19"/>
      <c r="N15" s="19"/>
      <c r="O15" s="32"/>
      <c r="P15" s="19"/>
      <c r="Q15" s="31"/>
      <c r="R15" s="31"/>
      <c r="S15" s="31"/>
      <c r="T15" s="31"/>
      <c r="U15" s="31"/>
      <c r="V15" s="31"/>
      <c r="W15" s="31"/>
      <c r="X15" s="31"/>
      <c r="Y15" s="31"/>
      <c r="Z15" s="31"/>
      <c r="AA15" s="31"/>
      <c r="AB15" s="31"/>
      <c r="AC15" s="31"/>
    </row>
    <row r="16" spans="1:69" ht="15.75" customHeight="1">
      <c r="A16" s="18"/>
      <c r="B16" s="18"/>
      <c r="C16" s="18"/>
      <c r="D16" s="18"/>
      <c r="E16" s="18"/>
      <c r="F16" s="18"/>
      <c r="G16" s="18"/>
      <c r="H16" s="18"/>
      <c r="I16" s="18"/>
      <c r="J16" s="18"/>
      <c r="K16" s="18"/>
      <c r="L16" s="19"/>
      <c r="M16" s="21"/>
      <c r="N16" s="21"/>
      <c r="O16" s="21"/>
      <c r="P16" s="21"/>
      <c r="Q16" s="31"/>
      <c r="R16" s="31"/>
      <c r="S16" s="31"/>
      <c r="T16" s="31"/>
      <c r="U16" s="31"/>
      <c r="V16" s="31"/>
      <c r="W16" s="31"/>
      <c r="X16" s="31"/>
      <c r="Y16" s="31"/>
      <c r="Z16" s="31"/>
      <c r="AA16" s="31"/>
      <c r="AB16" s="31"/>
      <c r="AC16" s="31"/>
    </row>
    <row r="17" spans="1:24" ht="15.75" customHeight="1">
      <c r="A17" s="18"/>
      <c r="B17" s="18"/>
      <c r="C17" s="18"/>
      <c r="D17" s="18"/>
      <c r="E17" s="18"/>
      <c r="F17" s="18"/>
      <c r="G17" s="18"/>
      <c r="H17" s="18"/>
      <c r="I17" s="18"/>
      <c r="J17" s="18"/>
      <c r="K17" s="18"/>
      <c r="L17" s="19"/>
      <c r="M17" s="21"/>
      <c r="N17" s="21"/>
      <c r="O17" s="21"/>
      <c r="P17" s="21"/>
      <c r="U17" s="31"/>
      <c r="V17" s="31"/>
      <c r="W17" s="31"/>
      <c r="X17" s="31"/>
    </row>
    <row r="18" spans="1:24" ht="15.75" customHeight="1">
      <c r="A18" s="18"/>
      <c r="B18" s="18"/>
      <c r="C18" s="18"/>
      <c r="D18" s="18"/>
      <c r="E18" s="18"/>
      <c r="F18" s="18"/>
      <c r="G18" s="18"/>
      <c r="H18" s="18"/>
      <c r="I18" s="18"/>
      <c r="J18" s="18"/>
      <c r="K18" s="18"/>
      <c r="L18" s="19"/>
      <c r="M18" s="21"/>
      <c r="N18" s="21"/>
      <c r="O18" s="21"/>
      <c r="P18" s="21"/>
      <c r="U18" s="31"/>
      <c r="V18" s="31"/>
      <c r="W18" s="31"/>
      <c r="X18" s="31"/>
    </row>
    <row r="19" spans="1:24" ht="15.75" customHeight="1">
      <c r="A19" s="18"/>
      <c r="B19" s="18"/>
      <c r="C19" s="18"/>
      <c r="D19" s="18"/>
      <c r="E19" s="904" t="s">
        <v>18</v>
      </c>
      <c r="F19" s="904"/>
      <c r="G19" s="904"/>
      <c r="H19" s="904"/>
      <c r="I19" s="904"/>
      <c r="J19" s="904"/>
      <c r="K19" s="904"/>
      <c r="L19" s="904"/>
      <c r="M19" s="21"/>
      <c r="N19" s="21"/>
      <c r="O19" s="21"/>
      <c r="P19" s="21"/>
      <c r="U19" s="31"/>
      <c r="V19" s="31"/>
      <c r="W19" s="31"/>
      <c r="X19" s="31"/>
    </row>
    <row r="20" spans="1:24" ht="15.75" customHeight="1">
      <c r="A20" s="18"/>
      <c r="B20" s="18"/>
      <c r="C20" s="18"/>
      <c r="D20" s="18"/>
      <c r="E20" s="18"/>
      <c r="F20" s="18"/>
      <c r="G20" s="21"/>
      <c r="H20" s="904"/>
      <c r="I20" s="904"/>
      <c r="J20" s="904"/>
      <c r="K20" s="18"/>
      <c r="L20" s="19"/>
      <c r="M20" s="21"/>
      <c r="N20" s="21"/>
      <c r="O20" s="21"/>
      <c r="P20" s="21"/>
      <c r="U20" s="31"/>
      <c r="V20" s="31"/>
      <c r="W20" s="31"/>
      <c r="X20" s="31"/>
    </row>
    <row r="21" spans="1:24" ht="15.75" customHeight="1">
      <c r="A21" s="18"/>
      <c r="B21" s="18"/>
      <c r="C21" s="18"/>
      <c r="D21" s="18"/>
      <c r="E21" s="33"/>
      <c r="F21" s="33"/>
      <c r="G21" s="21"/>
      <c r="H21" s="18"/>
      <c r="I21" s="18"/>
      <c r="J21" s="18"/>
      <c r="K21" s="18"/>
      <c r="L21" s="19"/>
      <c r="M21" s="21"/>
      <c r="N21" s="21"/>
      <c r="O21" s="21"/>
      <c r="P21" s="21"/>
      <c r="U21" s="31"/>
      <c r="V21" s="31"/>
      <c r="W21" s="31"/>
      <c r="X21" s="31"/>
    </row>
    <row r="22" spans="1:24" ht="15.75" customHeight="1">
      <c r="A22" s="18"/>
      <c r="B22" s="18"/>
      <c r="C22" s="18"/>
      <c r="D22" s="18"/>
      <c r="E22" s="18"/>
      <c r="F22" s="18"/>
      <c r="G22" s="21"/>
      <c r="H22" s="18"/>
      <c r="I22" s="18"/>
      <c r="J22" s="18"/>
      <c r="K22" s="18"/>
      <c r="L22" s="19"/>
      <c r="M22" s="21"/>
      <c r="N22" s="21"/>
      <c r="O22" s="21"/>
      <c r="P22" s="21"/>
      <c r="U22" s="31"/>
      <c r="V22" s="31"/>
      <c r="W22" s="31"/>
      <c r="X22" s="31"/>
    </row>
    <row r="23" spans="1:24" ht="15.75" customHeight="1">
      <c r="A23" s="18"/>
      <c r="B23" s="18"/>
      <c r="C23" s="18"/>
      <c r="D23" s="18"/>
      <c r="E23" s="34"/>
      <c r="F23" s="907" t="s">
        <v>19</v>
      </c>
      <c r="G23" s="908"/>
      <c r="H23" s="908"/>
      <c r="I23" s="907" t="s">
        <v>20</v>
      </c>
      <c r="J23" s="908"/>
      <c r="K23" s="908"/>
      <c r="L23" s="34"/>
      <c r="M23" s="21"/>
      <c r="N23" s="21"/>
      <c r="U23" s="31"/>
      <c r="V23" s="31"/>
      <c r="W23" s="31"/>
      <c r="X23" s="31"/>
    </row>
    <row r="24" spans="1:24" ht="15.75" customHeight="1">
      <c r="A24" s="18"/>
      <c r="B24" s="18"/>
      <c r="C24" s="18"/>
      <c r="D24" s="18"/>
      <c r="E24" s="905"/>
      <c r="F24" s="906"/>
      <c r="G24" s="906"/>
      <c r="H24" s="907"/>
      <c r="I24" s="907"/>
      <c r="J24" s="907"/>
      <c r="K24" s="907"/>
      <c r="L24" s="29"/>
      <c r="M24" s="19"/>
      <c r="N24" s="19"/>
      <c r="U24" s="31"/>
      <c r="V24" s="31"/>
      <c r="W24" s="31"/>
      <c r="X24" s="31"/>
    </row>
    <row r="25" spans="1:24" ht="15.75" customHeight="1">
      <c r="A25" s="18"/>
      <c r="B25" s="18"/>
      <c r="C25" s="18"/>
      <c r="D25" s="18"/>
      <c r="E25" s="905"/>
      <c r="F25" s="906"/>
      <c r="G25" s="906"/>
      <c r="H25" s="907"/>
      <c r="I25" s="907"/>
      <c r="J25" s="907"/>
      <c r="K25" s="907"/>
      <c r="L25" s="29"/>
      <c r="M25" s="19"/>
      <c r="N25" s="19"/>
      <c r="U25" s="31"/>
      <c r="V25" s="31"/>
      <c r="W25" s="31"/>
      <c r="X25" s="31"/>
    </row>
    <row r="26" spans="1:24" ht="15.75" customHeight="1">
      <c r="A26" s="18"/>
      <c r="B26" s="18"/>
      <c r="C26" s="18"/>
      <c r="D26" s="18"/>
      <c r="E26" s="905"/>
      <c r="F26" s="906"/>
      <c r="G26" s="906"/>
      <c r="H26" s="907"/>
      <c r="I26" s="907"/>
      <c r="J26" s="907"/>
      <c r="K26" s="907"/>
      <c r="L26" s="29"/>
      <c r="M26" s="19"/>
      <c r="N26" s="19"/>
      <c r="O26" s="19"/>
      <c r="P26" s="19"/>
      <c r="U26" s="31"/>
      <c r="V26" s="31"/>
      <c r="W26" s="31"/>
      <c r="X26" s="31"/>
    </row>
    <row r="27" spans="1:24" ht="15.75" customHeight="1">
      <c r="A27" s="18"/>
      <c r="B27" s="18"/>
      <c r="C27" s="18"/>
      <c r="D27" s="18"/>
      <c r="E27" s="18"/>
      <c r="F27" s="18"/>
      <c r="G27" s="18"/>
      <c r="H27" s="18"/>
      <c r="I27" s="18"/>
      <c r="J27" s="18"/>
      <c r="K27" s="18"/>
      <c r="L27" s="19"/>
      <c r="M27" s="19"/>
      <c r="N27" s="19"/>
      <c r="O27" s="19"/>
      <c r="P27" s="19"/>
      <c r="U27" s="31"/>
      <c r="V27" s="31"/>
      <c r="W27" s="31"/>
      <c r="X27" s="31"/>
    </row>
    <row r="28" spans="1:24" ht="15.75" customHeight="1">
      <c r="A28" s="29"/>
      <c r="B28" s="29"/>
      <c r="C28" s="29"/>
      <c r="D28" s="29"/>
      <c r="E28" s="29"/>
      <c r="F28" s="29"/>
      <c r="G28" s="29"/>
      <c r="H28" s="29"/>
      <c r="I28" s="29"/>
      <c r="J28" s="29"/>
      <c r="K28" s="29"/>
      <c r="L28" s="19"/>
      <c r="U28" s="31"/>
      <c r="V28" s="31"/>
      <c r="W28" s="31"/>
      <c r="X28" s="31"/>
    </row>
    <row r="29" spans="1:24" ht="15.75" customHeight="1">
      <c r="A29" s="29"/>
      <c r="B29" s="29"/>
      <c r="C29" s="29"/>
      <c r="D29" s="29"/>
      <c r="E29" s="29"/>
      <c r="F29" s="29"/>
      <c r="G29" s="29"/>
      <c r="H29" s="29"/>
      <c r="I29" s="29"/>
      <c r="J29" s="29"/>
      <c r="K29" s="29"/>
      <c r="L29" s="19"/>
      <c r="U29" s="31"/>
      <c r="V29" s="31"/>
      <c r="W29" s="31"/>
      <c r="X29" s="31"/>
    </row>
    <row r="30" spans="1:24" ht="15.75" customHeight="1">
      <c r="A30" s="29"/>
      <c r="B30" s="29"/>
      <c r="C30" s="29"/>
      <c r="D30" s="29"/>
      <c r="E30" s="29"/>
      <c r="F30" s="29"/>
      <c r="G30" s="29"/>
      <c r="H30" s="29"/>
      <c r="I30" s="29"/>
      <c r="J30" s="29"/>
      <c r="K30" s="29"/>
      <c r="L30" s="19"/>
      <c r="U30" s="31"/>
      <c r="V30" s="31"/>
      <c r="W30" s="31"/>
    </row>
    <row r="31" spans="1:24" ht="15.75" customHeight="1">
      <c r="A31" s="29"/>
      <c r="B31" s="29"/>
      <c r="C31" s="29"/>
      <c r="D31" s="29"/>
      <c r="E31" s="29"/>
      <c r="F31" s="29"/>
      <c r="G31" s="29"/>
      <c r="H31" s="29"/>
      <c r="I31" s="29"/>
      <c r="J31" s="29"/>
      <c r="K31" s="29"/>
      <c r="L31" s="19"/>
      <c r="U31" s="31"/>
      <c r="V31" s="31"/>
      <c r="W31" s="31"/>
    </row>
    <row r="32" spans="1:24" ht="15.75" customHeight="1">
      <c r="A32" s="29"/>
      <c r="B32" s="29"/>
      <c r="C32" s="29"/>
      <c r="D32" s="29"/>
      <c r="E32" s="29"/>
      <c r="F32" s="29"/>
      <c r="G32" s="29"/>
      <c r="H32" s="29"/>
      <c r="I32" s="29"/>
      <c r="J32" s="29"/>
      <c r="K32" s="29"/>
      <c r="L32" s="19"/>
      <c r="U32" s="31"/>
      <c r="V32" s="31"/>
      <c r="W32" s="31"/>
    </row>
    <row r="33" spans="1:23" ht="15.75" customHeight="1">
      <c r="A33" s="29"/>
      <c r="B33" s="29"/>
      <c r="C33" s="29"/>
      <c r="D33" s="34"/>
      <c r="E33" s="34"/>
      <c r="F33" s="34"/>
      <c r="G33" s="34"/>
      <c r="H33" s="34"/>
      <c r="I33" s="29"/>
      <c r="J33" s="29"/>
      <c r="K33" s="29"/>
      <c r="L33" s="19"/>
      <c r="U33" s="31"/>
      <c r="V33" s="31"/>
      <c r="W33" s="31"/>
    </row>
    <row r="34" spans="1:23" ht="15.75" customHeight="1">
      <c r="A34" s="29"/>
      <c r="B34" s="29"/>
      <c r="C34" s="29"/>
      <c r="D34" s="29"/>
      <c r="E34" s="34"/>
      <c r="F34" s="34"/>
      <c r="G34" s="34"/>
      <c r="H34" s="29"/>
      <c r="I34" s="29"/>
      <c r="J34" s="29"/>
      <c r="K34" s="29"/>
      <c r="L34" s="19"/>
      <c r="U34" s="31"/>
      <c r="V34" s="31"/>
      <c r="W34" s="31"/>
    </row>
    <row r="35" spans="1:23" ht="18" customHeight="1">
      <c r="A35" s="29"/>
      <c r="B35" s="29"/>
      <c r="C35" s="29"/>
      <c r="D35" s="29"/>
      <c r="E35" s="29"/>
      <c r="F35" s="29"/>
      <c r="G35" s="29"/>
      <c r="H35" s="29"/>
      <c r="I35" s="29"/>
      <c r="J35" s="29"/>
      <c r="K35" s="29"/>
      <c r="L35" s="19"/>
      <c r="U35" s="31"/>
      <c r="V35" s="31"/>
      <c r="W35" s="31"/>
    </row>
    <row r="36" spans="1:23" ht="15.75" customHeight="1">
      <c r="A36" s="29"/>
      <c r="B36" s="29"/>
      <c r="C36" s="29"/>
      <c r="D36" s="29"/>
      <c r="E36" s="29"/>
      <c r="F36" s="29"/>
      <c r="G36" s="29"/>
      <c r="H36" s="29"/>
      <c r="I36" s="29"/>
      <c r="J36" s="29"/>
      <c r="K36" s="29"/>
      <c r="L36" s="19"/>
      <c r="U36" s="31"/>
      <c r="V36" s="31"/>
      <c r="W36" s="31"/>
    </row>
    <row r="37" spans="1:23" ht="15.75" customHeight="1">
      <c r="A37" s="29"/>
      <c r="B37" s="29"/>
      <c r="C37" s="29"/>
      <c r="D37" s="34"/>
      <c r="E37" s="34"/>
      <c r="F37" s="34"/>
      <c r="G37" s="34"/>
      <c r="H37" s="34"/>
      <c r="I37" s="29"/>
      <c r="J37" s="29"/>
      <c r="K37" s="29"/>
      <c r="L37" s="19"/>
      <c r="U37" s="31"/>
      <c r="V37" s="31"/>
      <c r="W37" s="31"/>
    </row>
    <row r="38" spans="1:23" ht="15.75" customHeight="1">
      <c r="A38" s="29"/>
      <c r="B38" s="29"/>
      <c r="C38" s="29"/>
      <c r="D38" s="34"/>
      <c r="E38" s="34"/>
      <c r="F38" s="34"/>
      <c r="G38" s="34"/>
      <c r="H38" s="34"/>
      <c r="I38" s="29"/>
      <c r="J38" s="29"/>
      <c r="K38" s="29"/>
      <c r="L38" s="19"/>
      <c r="U38" s="31"/>
      <c r="V38" s="31"/>
      <c r="W38" s="31"/>
    </row>
    <row r="39" spans="1:23" ht="15.75" customHeight="1">
      <c r="A39" s="29"/>
      <c r="B39" s="29"/>
      <c r="C39" s="29"/>
      <c r="D39" s="34"/>
      <c r="E39" s="34"/>
      <c r="F39" s="34"/>
      <c r="G39" s="34"/>
      <c r="H39" s="34"/>
      <c r="I39" s="29"/>
      <c r="J39" s="29"/>
      <c r="K39" s="29"/>
      <c r="L39" s="19"/>
    </row>
    <row r="40" spans="1:23" ht="15.75" customHeight="1">
      <c r="A40" s="29"/>
      <c r="B40" s="29"/>
      <c r="C40" s="29"/>
      <c r="D40" s="34"/>
      <c r="E40" s="34"/>
      <c r="F40" s="34"/>
      <c r="G40" s="34"/>
      <c r="H40" s="34"/>
      <c r="I40" s="29"/>
      <c r="J40" s="29"/>
      <c r="K40" s="29"/>
      <c r="L40" s="19"/>
    </row>
    <row r="41" spans="1:23" ht="15.75" customHeight="1">
      <c r="A41" s="29"/>
      <c r="B41" s="29"/>
      <c r="C41" s="29"/>
      <c r="D41" s="29"/>
      <c r="E41" s="29"/>
      <c r="F41" s="29"/>
      <c r="G41" s="29"/>
      <c r="H41" s="29"/>
      <c r="I41" s="29"/>
      <c r="J41" s="29"/>
      <c r="K41" s="29"/>
      <c r="L41" s="19"/>
    </row>
    <row r="42" spans="1:23" ht="15.75" customHeight="1">
      <c r="A42" s="29"/>
      <c r="B42" s="29"/>
      <c r="C42" s="29"/>
      <c r="D42" s="29"/>
      <c r="E42" s="29"/>
      <c r="F42" s="29"/>
      <c r="G42" s="29"/>
      <c r="H42" s="29"/>
      <c r="I42" s="29"/>
      <c r="J42" s="29"/>
      <c r="K42" s="29"/>
      <c r="L42" s="19"/>
    </row>
    <row r="43" spans="1:23" ht="15.75" customHeight="1">
      <c r="A43" s="29"/>
      <c r="B43" s="29"/>
      <c r="C43" s="29"/>
      <c r="D43" s="29"/>
      <c r="E43" s="29"/>
      <c r="F43" s="29"/>
      <c r="G43" s="29"/>
      <c r="H43" s="29"/>
      <c r="I43" s="29"/>
      <c r="J43" s="29"/>
      <c r="K43" s="29"/>
      <c r="L43" s="19"/>
    </row>
    <row r="44" spans="1:23" ht="15.75" customHeight="1">
      <c r="A44" s="29"/>
      <c r="B44" s="29"/>
      <c r="C44" s="29"/>
      <c r="D44" s="29"/>
      <c r="E44" s="29"/>
      <c r="F44" s="29"/>
      <c r="G44" s="29"/>
      <c r="H44" s="29"/>
      <c r="I44" s="29"/>
      <c r="J44" s="29"/>
      <c r="K44" s="29"/>
      <c r="L44" s="35"/>
    </row>
  </sheetData>
  <mergeCells count="14">
    <mergeCell ref="E5:L5"/>
    <mergeCell ref="E9:L9"/>
    <mergeCell ref="E14:L14"/>
    <mergeCell ref="E19:L19"/>
    <mergeCell ref="E24:E26"/>
    <mergeCell ref="F24:F26"/>
    <mergeCell ref="G24:G26"/>
    <mergeCell ref="H20:J20"/>
    <mergeCell ref="J24:J26"/>
    <mergeCell ref="F23:H23"/>
    <mergeCell ref="I23:K23"/>
    <mergeCell ref="K24:K26"/>
    <mergeCell ref="H24:H26"/>
    <mergeCell ref="I24:I26"/>
  </mergeCells>
  <phoneticPr fontId="7"/>
  <dataValidations count="1">
    <dataValidation allowBlank="1" showErrorMessage="1" sqref="E9:L9" xr:uid="{31AB40C7-CEE7-4A14-B364-E0D6B8E1BE9C}"/>
  </dataValidations>
  <printOptions horizontalCentered="1" verticalCentered="1"/>
  <pageMargins left="0.98425196850393704" right="0.59055118110236227" top="0.98425196850393704" bottom="0.78740157480314965" header="0.51181102362204722" footer="0.51181102362204722"/>
  <pageSetup paperSize="9" scale="94"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N52"/>
  <sheetViews>
    <sheetView view="pageBreakPreview" zoomScale="85" zoomScaleNormal="100" zoomScaleSheetLayoutView="85" workbookViewId="0">
      <selection activeCell="J11" sqref="J11:P11"/>
    </sheetView>
  </sheetViews>
  <sheetFormatPr defaultColWidth="9" defaultRowHeight="14.4"/>
  <cols>
    <col min="1" max="1" width="6.109375" style="20" customWidth="1"/>
    <col min="2" max="2" width="8.33203125" style="20" customWidth="1"/>
    <col min="3" max="6" width="7.88671875" style="20" customWidth="1"/>
    <col min="7" max="8" width="8.6640625" style="20" customWidth="1"/>
    <col min="9" max="16384" width="9" style="20"/>
  </cols>
  <sheetData>
    <row r="1" spans="1:66" s="21" customFormat="1" ht="20.25" customHeight="1">
      <c r="M1" s="19"/>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row>
    <row r="2" spans="1:66" s="21" customFormat="1" ht="18" customHeight="1">
      <c r="M2" s="19"/>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c r="BN2" s="20"/>
    </row>
    <row r="3" spans="1:66" ht="34.5" customHeight="1">
      <c r="A3" s="910" t="s">
        <v>21</v>
      </c>
      <c r="B3" s="910"/>
      <c r="C3" s="910"/>
      <c r="D3" s="910"/>
      <c r="E3" s="910"/>
      <c r="F3" s="910"/>
      <c r="G3" s="910"/>
      <c r="H3" s="910"/>
      <c r="I3" s="910"/>
      <c r="J3" s="910"/>
      <c r="K3" s="910"/>
      <c r="L3" s="910"/>
      <c r="M3" s="910"/>
      <c r="T3" s="31"/>
      <c r="U3" s="31"/>
      <c r="V3" s="31"/>
      <c r="W3" s="31"/>
      <c r="X3" s="31"/>
      <c r="Y3" s="31"/>
      <c r="Z3" s="31"/>
    </row>
    <row r="4" spans="1:66" ht="20.25" customHeight="1">
      <c r="A4" s="21"/>
      <c r="B4" s="21"/>
      <c r="C4" s="21"/>
      <c r="D4" s="21"/>
      <c r="E4" s="21"/>
      <c r="F4" s="21"/>
      <c r="G4" s="21"/>
      <c r="H4" s="21"/>
      <c r="I4" s="21"/>
      <c r="J4" s="21"/>
      <c r="K4" s="21"/>
      <c r="L4" s="21"/>
      <c r="M4" s="19"/>
      <c r="T4" s="31"/>
      <c r="U4" s="31"/>
      <c r="V4" s="31"/>
      <c r="W4" s="31"/>
      <c r="X4" s="31"/>
      <c r="Y4" s="31"/>
      <c r="Z4" s="31"/>
    </row>
    <row r="5" spans="1:66" ht="22.5" customHeight="1">
      <c r="A5" s="909" t="s">
        <v>48</v>
      </c>
      <c r="B5" s="909"/>
      <c r="C5" s="909"/>
      <c r="D5" s="909"/>
      <c r="E5" s="909"/>
      <c r="F5" s="909"/>
      <c r="G5" s="909"/>
      <c r="H5" s="909"/>
      <c r="I5" s="909"/>
      <c r="J5" s="909"/>
      <c r="K5" s="909"/>
      <c r="L5" s="909"/>
      <c r="M5" s="909"/>
      <c r="T5" s="31"/>
      <c r="U5" s="31"/>
      <c r="V5" s="31"/>
      <c r="W5" s="31"/>
      <c r="X5" s="31"/>
      <c r="Y5" s="31"/>
      <c r="Z5" s="31"/>
    </row>
    <row r="6" spans="1:66" ht="15.75" customHeight="1">
      <c r="A6" s="21"/>
      <c r="B6" s="21"/>
      <c r="C6" s="21"/>
      <c r="D6" s="21"/>
      <c r="E6" s="21"/>
      <c r="F6" s="21"/>
      <c r="G6" s="21"/>
      <c r="H6" s="21"/>
      <c r="I6" s="21"/>
      <c r="J6" s="21"/>
      <c r="K6" s="21"/>
      <c r="L6" s="21"/>
      <c r="M6" s="19"/>
      <c r="T6" s="31"/>
      <c r="U6" s="31"/>
      <c r="V6" s="31"/>
      <c r="W6" s="31"/>
      <c r="X6" s="31"/>
      <c r="Y6" s="31"/>
      <c r="Z6" s="31"/>
    </row>
    <row r="7" spans="1:66" ht="22.5" customHeight="1">
      <c r="A7" s="870" t="s">
        <v>49</v>
      </c>
      <c r="B7" s="870"/>
      <c r="C7" s="870"/>
      <c r="D7" s="870"/>
      <c r="E7" s="870"/>
      <c r="F7" s="870"/>
      <c r="G7" s="870"/>
      <c r="H7" s="870"/>
      <c r="I7" s="870"/>
      <c r="J7" s="870"/>
      <c r="K7" s="331"/>
      <c r="L7" s="870"/>
      <c r="M7" s="870"/>
      <c r="T7" s="31"/>
      <c r="U7" s="31"/>
      <c r="V7" s="31"/>
      <c r="W7" s="31"/>
      <c r="X7" s="31"/>
      <c r="Y7" s="31"/>
      <c r="Z7" s="31"/>
    </row>
    <row r="8" spans="1:66" ht="15.75" customHeight="1">
      <c r="A8" s="21"/>
      <c r="E8" s="21"/>
      <c r="F8" s="21"/>
      <c r="G8" s="21"/>
      <c r="H8" s="21"/>
      <c r="I8" s="21"/>
      <c r="J8" s="21"/>
      <c r="K8" s="21"/>
      <c r="L8" s="21"/>
      <c r="M8" s="19"/>
      <c r="T8" s="31"/>
      <c r="U8" s="31"/>
      <c r="V8" s="31"/>
      <c r="W8" s="31"/>
      <c r="X8" s="31"/>
      <c r="Y8" s="31"/>
      <c r="Z8" s="31"/>
    </row>
    <row r="9" spans="1:66" ht="19.5" customHeight="1">
      <c r="A9" s="909" t="s">
        <v>61</v>
      </c>
      <c r="B9" s="909"/>
      <c r="C9" s="909"/>
      <c r="D9" s="909"/>
      <c r="E9" s="909"/>
      <c r="F9" s="909"/>
      <c r="G9" s="909"/>
      <c r="H9" s="909"/>
      <c r="I9" s="909"/>
      <c r="J9" s="909"/>
      <c r="K9" s="909"/>
      <c r="L9" s="909"/>
      <c r="M9" s="909"/>
      <c r="T9" s="31"/>
      <c r="U9" s="31"/>
      <c r="V9" s="31"/>
      <c r="W9" s="31"/>
      <c r="X9" s="31"/>
      <c r="Y9" s="31"/>
      <c r="Z9" s="31"/>
    </row>
    <row r="10" spans="1:66" ht="15.75" customHeight="1">
      <c r="A10" s="21"/>
      <c r="E10" s="21"/>
      <c r="F10" s="21"/>
      <c r="G10" s="21"/>
      <c r="H10" s="21"/>
      <c r="I10" s="21"/>
      <c r="J10" s="21"/>
      <c r="K10" s="21"/>
      <c r="L10" s="21"/>
      <c r="M10" s="19"/>
      <c r="T10" s="31"/>
      <c r="U10" s="31"/>
      <c r="V10" s="31"/>
      <c r="W10" s="31"/>
      <c r="X10" s="31"/>
      <c r="Y10" s="31"/>
      <c r="Z10" s="31"/>
    </row>
    <row r="11" spans="1:66" ht="19.5" customHeight="1">
      <c r="A11" s="909" t="s">
        <v>62</v>
      </c>
      <c r="B11" s="909"/>
      <c r="C11" s="909"/>
      <c r="D11" s="909"/>
      <c r="E11" s="909"/>
      <c r="F11" s="909"/>
      <c r="G11" s="909"/>
      <c r="H11" s="909"/>
      <c r="I11" s="909"/>
      <c r="J11" s="909"/>
      <c r="K11" s="909"/>
      <c r="L11" s="21"/>
      <c r="M11" s="19"/>
      <c r="T11" s="31"/>
      <c r="U11" s="31"/>
      <c r="V11" s="31"/>
      <c r="W11" s="31"/>
      <c r="X11" s="31"/>
      <c r="Y11" s="31"/>
      <c r="Z11" s="31"/>
    </row>
    <row r="12" spans="1:66" ht="18.75" customHeight="1">
      <c r="A12" s="21"/>
      <c r="E12" s="21"/>
      <c r="F12" s="21"/>
      <c r="G12" s="21"/>
      <c r="H12" s="21"/>
      <c r="I12" s="21"/>
      <c r="J12" s="21"/>
      <c r="K12" s="21"/>
      <c r="L12" s="21"/>
      <c r="M12" s="19"/>
      <c r="T12" s="31"/>
      <c r="U12" s="31"/>
      <c r="V12" s="31"/>
      <c r="W12" s="31"/>
      <c r="X12" s="31"/>
      <c r="Y12" s="31"/>
      <c r="Z12" s="31"/>
    </row>
    <row r="13" spans="1:66" ht="19.5" customHeight="1">
      <c r="A13" s="909" t="s">
        <v>64</v>
      </c>
      <c r="B13" s="909"/>
      <c r="C13" s="909"/>
      <c r="D13" s="909"/>
      <c r="E13" s="909"/>
      <c r="F13" s="909"/>
      <c r="G13" s="909"/>
      <c r="H13" s="909"/>
      <c r="I13" s="909"/>
      <c r="J13" s="909"/>
      <c r="K13" s="909"/>
      <c r="L13" s="21"/>
      <c r="M13" s="19"/>
      <c r="T13" s="31"/>
      <c r="U13" s="31"/>
      <c r="V13" s="31"/>
      <c r="W13" s="31"/>
      <c r="X13" s="31"/>
      <c r="Y13" s="31"/>
      <c r="Z13" s="31"/>
    </row>
    <row r="14" spans="1:66" ht="18" customHeight="1">
      <c r="A14" s="21"/>
      <c r="E14" s="21"/>
      <c r="F14" s="21"/>
      <c r="G14" s="21"/>
      <c r="H14" s="21"/>
      <c r="I14" s="21"/>
      <c r="J14" s="21"/>
      <c r="K14" s="21"/>
      <c r="L14" s="21"/>
      <c r="M14" s="19"/>
      <c r="T14" s="31"/>
      <c r="U14" s="31"/>
      <c r="V14" s="31"/>
      <c r="W14" s="31"/>
      <c r="X14" s="31"/>
      <c r="Y14" s="31"/>
      <c r="Z14" s="31"/>
    </row>
    <row r="15" spans="1:66" ht="19.5" customHeight="1">
      <c r="A15" s="909" t="s">
        <v>46</v>
      </c>
      <c r="B15" s="909"/>
      <c r="C15" s="909"/>
      <c r="D15" s="909"/>
      <c r="E15" s="909"/>
      <c r="F15" s="909"/>
      <c r="G15" s="909"/>
      <c r="H15" s="909"/>
      <c r="I15" s="909"/>
      <c r="J15" s="909"/>
      <c r="K15" s="909"/>
      <c r="L15" s="21"/>
      <c r="M15" s="19"/>
      <c r="N15" s="31"/>
      <c r="O15" s="31"/>
      <c r="P15" s="31"/>
      <c r="Q15" s="31"/>
      <c r="R15" s="31"/>
      <c r="S15" s="31"/>
      <c r="T15" s="31"/>
      <c r="U15" s="31"/>
      <c r="V15" s="31"/>
      <c r="W15" s="31"/>
      <c r="X15" s="31"/>
      <c r="Y15" s="31"/>
      <c r="Z15" s="31"/>
    </row>
    <row r="16" spans="1:66" ht="15.75" customHeight="1">
      <c r="A16" s="21"/>
      <c r="E16" s="21"/>
      <c r="F16" s="21"/>
      <c r="G16" s="21"/>
      <c r="H16" s="21"/>
      <c r="I16" s="21"/>
      <c r="J16" s="21"/>
      <c r="K16" s="21"/>
      <c r="L16" s="21"/>
      <c r="M16" s="19"/>
      <c r="N16" s="31"/>
      <c r="O16" s="31"/>
      <c r="P16" s="31"/>
      <c r="Q16" s="31"/>
      <c r="R16" s="31"/>
      <c r="S16" s="31"/>
      <c r="T16" s="31"/>
      <c r="U16" s="31"/>
      <c r="V16" s="31"/>
      <c r="W16" s="31"/>
      <c r="X16" s="31"/>
      <c r="Y16" s="31"/>
      <c r="Z16" s="31"/>
    </row>
    <row r="17" spans="1:26" ht="19.5" customHeight="1">
      <c r="A17" s="909" t="s">
        <v>44</v>
      </c>
      <c r="B17" s="909"/>
      <c r="C17" s="909"/>
      <c r="D17" s="909"/>
      <c r="E17" s="909"/>
      <c r="F17" s="909"/>
      <c r="G17" s="909"/>
      <c r="H17" s="909"/>
      <c r="I17" s="909"/>
      <c r="J17" s="909"/>
      <c r="K17" s="909"/>
      <c r="L17" s="21"/>
      <c r="M17" s="19"/>
      <c r="N17" s="31"/>
      <c r="O17" s="31"/>
      <c r="P17" s="31"/>
      <c r="Q17" s="31"/>
      <c r="R17" s="31"/>
      <c r="S17" s="31"/>
      <c r="T17" s="31"/>
      <c r="U17" s="31"/>
      <c r="V17" s="31"/>
      <c r="W17" s="31"/>
      <c r="X17" s="31"/>
      <c r="Y17" s="31"/>
      <c r="Z17" s="31"/>
    </row>
    <row r="18" spans="1:26" ht="15.75" customHeight="1">
      <c r="A18" s="21"/>
      <c r="D18" s="21"/>
      <c r="E18" s="21"/>
      <c r="F18" s="21"/>
      <c r="G18" s="21"/>
      <c r="H18" s="21"/>
      <c r="I18" s="21"/>
      <c r="J18" s="21"/>
      <c r="K18" s="21"/>
      <c r="L18" s="21"/>
      <c r="M18" s="19"/>
      <c r="T18" s="31"/>
      <c r="U18" s="31"/>
      <c r="V18" s="31"/>
      <c r="W18" s="31"/>
      <c r="X18" s="31"/>
      <c r="Y18" s="31"/>
      <c r="Z18" s="31"/>
    </row>
    <row r="19" spans="1:26" s="21" customFormat="1" ht="19.5" customHeight="1">
      <c r="A19" s="909" t="s">
        <v>45</v>
      </c>
      <c r="B19" s="909"/>
      <c r="C19" s="909"/>
      <c r="D19" s="909"/>
      <c r="E19" s="909"/>
      <c r="F19" s="909"/>
      <c r="G19" s="909"/>
      <c r="H19" s="909"/>
      <c r="I19" s="909"/>
      <c r="J19" s="909"/>
      <c r="K19" s="909"/>
      <c r="T19" s="19"/>
      <c r="U19" s="19"/>
      <c r="V19" s="19"/>
      <c r="W19" s="19"/>
      <c r="X19" s="19"/>
      <c r="Y19" s="19"/>
      <c r="Z19" s="19"/>
    </row>
    <row r="20" spans="1:26" ht="15.75" customHeight="1">
      <c r="A20" s="21"/>
      <c r="D20" s="21"/>
      <c r="E20" s="21"/>
      <c r="F20" s="21"/>
      <c r="G20" s="21"/>
      <c r="H20" s="21"/>
      <c r="I20" s="21"/>
      <c r="J20" s="21"/>
      <c r="K20" s="21"/>
      <c r="L20" s="21"/>
      <c r="M20" s="19"/>
      <c r="T20" s="31"/>
      <c r="U20" s="31"/>
      <c r="V20" s="31"/>
      <c r="W20" s="31"/>
      <c r="X20" s="31"/>
      <c r="Y20" s="31"/>
      <c r="Z20" s="31"/>
    </row>
    <row r="21" spans="1:26" ht="22.5" customHeight="1">
      <c r="A21" s="909"/>
      <c r="B21" s="909"/>
      <c r="C21" s="909"/>
      <c r="D21" s="909"/>
      <c r="E21" s="909"/>
      <c r="F21" s="909"/>
      <c r="G21" s="909"/>
      <c r="H21" s="909"/>
      <c r="I21" s="909"/>
      <c r="J21" s="909"/>
      <c r="K21" s="909"/>
      <c r="L21" s="21"/>
      <c r="M21" s="19"/>
      <c r="T21" s="31"/>
      <c r="U21" s="31"/>
      <c r="V21" s="31"/>
      <c r="W21" s="31"/>
      <c r="X21" s="31"/>
      <c r="Y21" s="31"/>
      <c r="Z21" s="31"/>
    </row>
    <row r="22" spans="1:26" ht="15.75" customHeight="1">
      <c r="A22" s="21"/>
      <c r="D22" s="21"/>
      <c r="E22" s="21"/>
      <c r="F22" s="21"/>
      <c r="G22" s="21"/>
      <c r="H22" s="21"/>
      <c r="I22" s="21"/>
      <c r="J22" s="21"/>
      <c r="K22" s="21"/>
      <c r="L22" s="21"/>
      <c r="M22" s="19"/>
      <c r="T22" s="31"/>
      <c r="U22" s="31"/>
      <c r="V22" s="31"/>
      <c r="W22" s="31"/>
      <c r="X22" s="31"/>
      <c r="Y22" s="31"/>
      <c r="Z22" s="31"/>
    </row>
    <row r="23" spans="1:26" ht="22.5" customHeight="1">
      <c r="A23" s="909" t="s">
        <v>57</v>
      </c>
      <c r="B23" s="909"/>
      <c r="C23" s="909"/>
      <c r="D23" s="909"/>
      <c r="E23" s="909"/>
      <c r="F23" s="909"/>
      <c r="G23" s="909"/>
      <c r="H23" s="909"/>
      <c r="I23" s="909"/>
      <c r="J23" s="909"/>
      <c r="K23" s="909"/>
      <c r="L23" s="21"/>
      <c r="M23" s="19"/>
      <c r="T23" s="31"/>
      <c r="U23" s="31"/>
      <c r="V23" s="31"/>
      <c r="W23" s="31"/>
      <c r="X23" s="31"/>
      <c r="Y23" s="31"/>
      <c r="Z23" s="31"/>
    </row>
    <row r="24" spans="1:26" ht="15.75" customHeight="1">
      <c r="A24" s="21"/>
      <c r="B24" s="21"/>
      <c r="C24" s="21"/>
      <c r="D24" s="21"/>
      <c r="E24" s="21"/>
      <c r="F24" s="21"/>
      <c r="G24" s="21"/>
      <c r="H24" s="21"/>
      <c r="I24" s="21"/>
      <c r="J24" s="21"/>
      <c r="K24" s="21"/>
      <c r="L24" s="21"/>
      <c r="M24" s="19"/>
      <c r="T24" s="31"/>
      <c r="U24" s="31"/>
      <c r="V24" s="31"/>
      <c r="W24" s="31"/>
      <c r="X24" s="31"/>
      <c r="Y24" s="31"/>
      <c r="Z24" s="31"/>
    </row>
    <row r="25" spans="1:26" ht="22.5" customHeight="1">
      <c r="A25" s="909" t="s">
        <v>50</v>
      </c>
      <c r="B25" s="909"/>
      <c r="C25" s="909"/>
      <c r="D25" s="909"/>
      <c r="E25" s="909"/>
      <c r="F25" s="909"/>
      <c r="G25" s="909"/>
      <c r="H25" s="909"/>
      <c r="I25" s="909"/>
      <c r="J25" s="909"/>
      <c r="K25" s="909"/>
      <c r="L25" s="21"/>
      <c r="M25" s="19"/>
      <c r="T25" s="31"/>
      <c r="U25" s="31"/>
      <c r="V25" s="31"/>
      <c r="W25" s="31"/>
      <c r="X25" s="31"/>
      <c r="Y25" s="31"/>
      <c r="Z25" s="31"/>
    </row>
    <row r="26" spans="1:26" ht="15.75" customHeight="1">
      <c r="A26" s="21"/>
      <c r="B26" s="21"/>
      <c r="C26" s="21"/>
      <c r="D26" s="21"/>
      <c r="E26" s="21"/>
      <c r="F26" s="21"/>
      <c r="G26" s="21"/>
      <c r="H26" s="21"/>
      <c r="I26" s="21"/>
      <c r="J26" s="21"/>
      <c r="K26" s="21"/>
      <c r="L26" s="21"/>
      <c r="M26" s="19"/>
      <c r="T26" s="31"/>
      <c r="U26" s="31"/>
      <c r="V26" s="31"/>
      <c r="W26" s="31"/>
      <c r="X26" s="31"/>
      <c r="Y26" s="31"/>
      <c r="Z26" s="31"/>
    </row>
    <row r="27" spans="1:26" ht="22.5" customHeight="1">
      <c r="A27" s="909" t="s">
        <v>54</v>
      </c>
      <c r="B27" s="909"/>
      <c r="C27" s="909"/>
      <c r="D27" s="909"/>
      <c r="E27" s="909"/>
      <c r="F27" s="909"/>
      <c r="G27" s="909"/>
      <c r="H27" s="909"/>
      <c r="I27" s="909"/>
      <c r="J27" s="909"/>
      <c r="K27" s="909"/>
      <c r="L27" s="21"/>
      <c r="M27" s="19"/>
      <c r="T27" s="31"/>
      <c r="U27" s="31"/>
      <c r="V27" s="31"/>
      <c r="W27" s="31"/>
      <c r="X27" s="31"/>
      <c r="Y27" s="31"/>
      <c r="Z27" s="31"/>
    </row>
    <row r="28" spans="1:26" ht="15.75" customHeight="1">
      <c r="A28" s="29"/>
      <c r="B28" s="29"/>
      <c r="C28" s="29"/>
      <c r="D28" s="29"/>
      <c r="E28" s="29"/>
      <c r="F28" s="29"/>
      <c r="G28" s="29"/>
      <c r="H28" s="29"/>
      <c r="I28" s="19"/>
      <c r="T28" s="31"/>
      <c r="U28" s="31"/>
      <c r="V28" s="31"/>
      <c r="W28" s="31"/>
      <c r="X28" s="31"/>
      <c r="Y28" s="31"/>
      <c r="Z28" s="31"/>
    </row>
    <row r="29" spans="1:26" ht="15.75" customHeight="1">
      <c r="A29" s="29"/>
      <c r="B29" s="29"/>
      <c r="C29" s="29"/>
      <c r="D29" s="29"/>
      <c r="E29" s="29"/>
      <c r="F29" s="29"/>
      <c r="G29" s="29"/>
      <c r="H29" s="29"/>
      <c r="I29" s="19"/>
      <c r="T29" s="31"/>
      <c r="U29" s="31"/>
      <c r="V29" s="31"/>
      <c r="W29" s="31"/>
      <c r="X29" s="31"/>
      <c r="Y29" s="31"/>
      <c r="Z29" s="31"/>
    </row>
    <row r="30" spans="1:26" ht="15.75" customHeight="1">
      <c r="A30" s="29"/>
      <c r="B30" s="29"/>
      <c r="C30" s="29"/>
      <c r="D30" s="29"/>
      <c r="E30" s="29"/>
      <c r="F30" s="29"/>
      <c r="G30" s="29"/>
      <c r="H30" s="29"/>
      <c r="I30" s="19"/>
      <c r="T30" s="31"/>
      <c r="U30" s="31"/>
      <c r="V30" s="31"/>
      <c r="W30" s="31"/>
      <c r="X30" s="31"/>
      <c r="Y30" s="31"/>
      <c r="Z30" s="31"/>
    </row>
    <row r="31" spans="1:26" ht="15.75" customHeight="1">
      <c r="A31" s="29"/>
      <c r="B31" s="29"/>
      <c r="C31" s="29"/>
      <c r="D31" s="29"/>
      <c r="E31" s="29"/>
      <c r="F31" s="29"/>
      <c r="G31" s="29"/>
      <c r="H31" s="29"/>
      <c r="I31" s="19"/>
      <c r="T31" s="31"/>
      <c r="U31" s="31"/>
      <c r="V31" s="31"/>
      <c r="W31" s="31"/>
      <c r="X31" s="31"/>
      <c r="Y31" s="31"/>
      <c r="Z31" s="31"/>
    </row>
    <row r="32" spans="1:26" ht="15.75" customHeight="1">
      <c r="A32" s="29"/>
      <c r="B32" s="29"/>
      <c r="C32" s="29"/>
      <c r="D32" s="29"/>
      <c r="E32" s="29"/>
      <c r="F32" s="29"/>
      <c r="G32" s="29"/>
      <c r="H32" s="29"/>
      <c r="I32" s="19"/>
      <c r="T32" s="31"/>
      <c r="U32" s="31"/>
      <c r="V32" s="31"/>
      <c r="W32" s="31"/>
      <c r="X32" s="31"/>
      <c r="Y32" s="31"/>
      <c r="Z32" s="31"/>
    </row>
    <row r="33" spans="1:26" ht="15.75" customHeight="1">
      <c r="A33" s="29"/>
      <c r="B33" s="29"/>
      <c r="C33" s="29"/>
      <c r="D33" s="29"/>
      <c r="E33" s="29"/>
      <c r="F33" s="29"/>
      <c r="G33" s="29"/>
      <c r="H33" s="29"/>
      <c r="I33" s="19"/>
      <c r="T33" s="31"/>
      <c r="U33" s="31"/>
      <c r="V33" s="31"/>
      <c r="W33" s="31"/>
      <c r="X33" s="31"/>
      <c r="Y33" s="31"/>
      <c r="Z33" s="31"/>
    </row>
    <row r="34" spans="1:26" ht="15.75" customHeight="1">
      <c r="A34" s="29"/>
      <c r="B34" s="29"/>
      <c r="C34" s="29"/>
      <c r="D34" s="29"/>
      <c r="E34" s="29"/>
      <c r="F34" s="29"/>
      <c r="G34" s="29"/>
      <c r="H34" s="29"/>
      <c r="I34" s="19"/>
      <c r="T34" s="31"/>
      <c r="U34" s="31"/>
      <c r="V34" s="31"/>
      <c r="W34" s="31"/>
      <c r="X34" s="31"/>
      <c r="Y34" s="31"/>
      <c r="Z34" s="31"/>
    </row>
    <row r="35" spans="1:26" ht="15.75" customHeight="1">
      <c r="A35" s="29"/>
      <c r="B35" s="29"/>
      <c r="C35" s="29"/>
      <c r="D35" s="29"/>
      <c r="E35" s="29"/>
      <c r="F35" s="29"/>
      <c r="G35" s="29"/>
      <c r="H35" s="29"/>
      <c r="I35" s="19"/>
      <c r="T35" s="31"/>
      <c r="U35" s="31"/>
      <c r="V35" s="31"/>
      <c r="W35" s="31"/>
      <c r="X35" s="31"/>
      <c r="Y35" s="31"/>
      <c r="Z35" s="31"/>
    </row>
    <row r="36" spans="1:26" ht="15.75" customHeight="1">
      <c r="A36" s="29"/>
      <c r="B36" s="34"/>
      <c r="C36" s="34"/>
      <c r="D36" s="34"/>
      <c r="E36" s="34"/>
      <c r="F36" s="29"/>
      <c r="G36" s="29"/>
      <c r="H36" s="29"/>
      <c r="I36" s="19"/>
      <c r="T36" s="31"/>
      <c r="U36" s="31"/>
      <c r="V36" s="31"/>
      <c r="W36" s="31"/>
      <c r="X36" s="31"/>
      <c r="Y36" s="31"/>
      <c r="Z36" s="31"/>
    </row>
    <row r="37" spans="1:26" ht="15.75" customHeight="1">
      <c r="A37" s="29"/>
      <c r="B37" s="29"/>
      <c r="C37" s="34"/>
      <c r="D37" s="34"/>
      <c r="E37" s="29"/>
      <c r="F37" s="29"/>
      <c r="G37" s="29"/>
      <c r="H37" s="29"/>
      <c r="I37" s="19"/>
      <c r="T37" s="31"/>
      <c r="U37" s="31"/>
      <c r="V37" s="31"/>
      <c r="W37" s="31"/>
      <c r="X37" s="31"/>
      <c r="Y37" s="31"/>
      <c r="Z37" s="31"/>
    </row>
    <row r="38" spans="1:26" ht="18" customHeight="1">
      <c r="A38" s="29"/>
      <c r="B38" s="29"/>
      <c r="C38" s="29"/>
      <c r="D38" s="29"/>
      <c r="E38" s="29"/>
      <c r="F38" s="29"/>
      <c r="G38" s="29"/>
      <c r="H38" s="29"/>
      <c r="I38" s="19"/>
      <c r="T38" s="31"/>
      <c r="U38" s="31"/>
      <c r="V38" s="31"/>
      <c r="W38" s="31"/>
      <c r="X38" s="31"/>
      <c r="Y38" s="31"/>
      <c r="Z38" s="31"/>
    </row>
    <row r="39" spans="1:26" ht="15.75" customHeight="1">
      <c r="A39" s="29"/>
      <c r="B39" s="29"/>
      <c r="C39" s="29"/>
      <c r="D39" s="29"/>
      <c r="E39" s="29"/>
      <c r="F39" s="29"/>
      <c r="G39" s="29"/>
      <c r="H39" s="29"/>
      <c r="I39" s="19"/>
      <c r="T39" s="31"/>
      <c r="U39" s="31"/>
      <c r="V39" s="31"/>
      <c r="W39" s="31"/>
      <c r="X39" s="31"/>
      <c r="Y39" s="31"/>
      <c r="Z39" s="31"/>
    </row>
    <row r="40" spans="1:26" ht="15.75" customHeight="1">
      <c r="A40" s="29"/>
      <c r="B40" s="34"/>
      <c r="C40" s="34"/>
      <c r="D40" s="34"/>
      <c r="E40" s="34"/>
      <c r="F40" s="29"/>
      <c r="G40" s="29"/>
      <c r="H40" s="29"/>
      <c r="I40" s="19"/>
      <c r="T40" s="31"/>
      <c r="U40" s="31"/>
      <c r="V40" s="31"/>
      <c r="W40" s="31"/>
      <c r="X40" s="31"/>
      <c r="Y40" s="31"/>
      <c r="Z40" s="31"/>
    </row>
    <row r="41" spans="1:26" ht="15.75" customHeight="1">
      <c r="A41" s="29"/>
      <c r="B41" s="34"/>
      <c r="C41" s="34"/>
      <c r="D41" s="34"/>
      <c r="E41" s="34"/>
      <c r="F41" s="29"/>
      <c r="G41" s="29"/>
      <c r="H41" s="29"/>
      <c r="I41" s="19"/>
    </row>
    <row r="42" spans="1:26" ht="15.75" customHeight="1">
      <c r="A42" s="29"/>
      <c r="B42" s="34"/>
      <c r="C42" s="34"/>
      <c r="D42" s="34"/>
      <c r="E42" s="34"/>
      <c r="F42" s="29"/>
      <c r="G42" s="29"/>
      <c r="H42" s="29"/>
      <c r="I42" s="19"/>
    </row>
    <row r="43" spans="1:26" ht="15.75" customHeight="1">
      <c r="A43" s="29"/>
      <c r="B43" s="34"/>
      <c r="C43" s="34"/>
      <c r="D43" s="34"/>
      <c r="E43" s="34"/>
      <c r="F43" s="29"/>
      <c r="G43" s="29"/>
      <c r="H43" s="29"/>
      <c r="I43" s="19"/>
    </row>
    <row r="44" spans="1:26" ht="15.75" customHeight="1">
      <c r="A44" s="29"/>
      <c r="B44" s="29"/>
      <c r="C44" s="29"/>
      <c r="D44" s="29"/>
      <c r="E44" s="29"/>
      <c r="F44" s="29"/>
      <c r="G44" s="29"/>
      <c r="H44" s="29"/>
      <c r="I44" s="19"/>
    </row>
    <row r="45" spans="1:26" ht="15.75" customHeight="1">
      <c r="A45" s="29"/>
      <c r="B45" s="29"/>
      <c r="C45" s="29"/>
      <c r="D45" s="29"/>
      <c r="E45" s="29"/>
      <c r="F45" s="29"/>
      <c r="G45" s="29"/>
      <c r="H45" s="29"/>
      <c r="I45" s="19"/>
    </row>
    <row r="46" spans="1:26" ht="15.75" customHeight="1">
      <c r="A46" s="29"/>
      <c r="B46" s="29"/>
      <c r="C46" s="29"/>
      <c r="D46" s="29"/>
      <c r="E46" s="29"/>
      <c r="F46" s="29"/>
      <c r="G46" s="29"/>
      <c r="H46" s="29"/>
      <c r="I46" s="19"/>
    </row>
    <row r="47" spans="1:26" ht="15.75" customHeight="1">
      <c r="A47" s="29"/>
      <c r="B47" s="29"/>
      <c r="C47" s="29"/>
      <c r="D47" s="29"/>
      <c r="E47" s="29"/>
      <c r="F47" s="29"/>
      <c r="G47" s="29"/>
      <c r="H47" s="29"/>
      <c r="I47" s="35"/>
    </row>
    <row r="51" spans="1:1">
      <c r="A51" s="31"/>
    </row>
    <row r="52" spans="1:1">
      <c r="A52" s="31"/>
    </row>
  </sheetData>
  <mergeCells count="12">
    <mergeCell ref="A27:K27"/>
    <mergeCell ref="A15:K15"/>
    <mergeCell ref="A3:M3"/>
    <mergeCell ref="A9:M9"/>
    <mergeCell ref="A11:K11"/>
    <mergeCell ref="A13:K13"/>
    <mergeCell ref="A5:M5"/>
    <mergeCell ref="A17:K17"/>
    <mergeCell ref="A19:K19"/>
    <mergeCell ref="A21:K21"/>
    <mergeCell ref="A23:K23"/>
    <mergeCell ref="A25:K25"/>
  </mergeCells>
  <phoneticPr fontId="7"/>
  <printOptions verticalCentered="1"/>
  <pageMargins left="1.3779527559055118" right="0.59055118110236227" top="0.98425196850393704" bottom="0.78740157480314965" header="0.51181102362204722" footer="0.51181102362204722"/>
  <pageSetup paperSize="9" scale="96"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BO38"/>
  <sheetViews>
    <sheetView view="pageBreakPreview" zoomScale="85" zoomScaleNormal="100" zoomScaleSheetLayoutView="85" workbookViewId="0">
      <selection activeCell="B2" sqref="B2:S2"/>
    </sheetView>
  </sheetViews>
  <sheetFormatPr defaultColWidth="9" defaultRowHeight="14.4"/>
  <cols>
    <col min="1" max="1" width="3.6640625" style="20" customWidth="1"/>
    <col min="2" max="2" width="6.109375" style="20" customWidth="1"/>
    <col min="3" max="3" width="8.33203125" style="20" customWidth="1"/>
    <col min="4" max="7" width="7.88671875" style="20" customWidth="1"/>
    <col min="8" max="9" width="8.6640625" style="20" customWidth="1"/>
    <col min="10" max="19" width="9" style="20"/>
    <col min="20" max="20" width="4.109375" style="20" customWidth="1"/>
    <col min="21" max="16384" width="9" style="20"/>
  </cols>
  <sheetData>
    <row r="1" spans="1:67" s="21" customFormat="1" ht="20.25" customHeight="1">
      <c r="A1" s="67"/>
      <c r="B1" s="68"/>
      <c r="C1" s="68"/>
      <c r="D1" s="68"/>
      <c r="E1" s="68"/>
      <c r="F1" s="68"/>
      <c r="G1" s="68"/>
      <c r="H1" s="68"/>
      <c r="I1" s="68"/>
      <c r="J1" s="68"/>
      <c r="K1" s="68"/>
      <c r="L1" s="68"/>
      <c r="M1" s="68"/>
      <c r="N1" s="68"/>
      <c r="O1" s="69"/>
      <c r="P1" s="69"/>
      <c r="Q1" s="69"/>
      <c r="R1" s="69"/>
      <c r="S1" s="69"/>
      <c r="T1" s="7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row>
    <row r="2" spans="1:67" ht="34.5" customHeight="1">
      <c r="A2" s="71"/>
      <c r="B2" s="911" t="s">
        <v>706</v>
      </c>
      <c r="C2" s="911"/>
      <c r="D2" s="911"/>
      <c r="E2" s="911"/>
      <c r="F2" s="911"/>
      <c r="G2" s="911"/>
      <c r="H2" s="911"/>
      <c r="I2" s="911"/>
      <c r="J2" s="911"/>
      <c r="K2" s="911"/>
      <c r="L2" s="911"/>
      <c r="M2" s="911"/>
      <c r="N2" s="911"/>
      <c r="O2" s="911"/>
      <c r="P2" s="911"/>
      <c r="Q2" s="911"/>
      <c r="R2" s="911"/>
      <c r="S2" s="911"/>
      <c r="T2" s="72"/>
    </row>
    <row r="3" spans="1:67" ht="29.25" customHeight="1">
      <c r="A3" s="73"/>
      <c r="B3" s="65" t="s">
        <v>69</v>
      </c>
      <c r="C3" s="61"/>
      <c r="D3" s="61"/>
      <c r="E3" s="61"/>
      <c r="F3" s="61"/>
      <c r="G3" s="61"/>
      <c r="H3" s="61"/>
      <c r="I3" s="61"/>
      <c r="J3" s="58"/>
      <c r="K3" s="59"/>
      <c r="L3" s="59"/>
      <c r="M3" s="59"/>
      <c r="N3" s="59"/>
      <c r="O3" s="59"/>
      <c r="P3" s="59"/>
      <c r="Q3" s="59"/>
      <c r="R3" s="59"/>
      <c r="S3" s="59"/>
      <c r="T3" s="74"/>
    </row>
    <row r="4" spans="1:67" ht="19.5" customHeight="1">
      <c r="A4" s="71"/>
      <c r="B4" s="29"/>
      <c r="C4" s="29"/>
      <c r="D4" s="29"/>
      <c r="E4" s="29"/>
      <c r="F4" s="29"/>
      <c r="G4" s="29"/>
      <c r="H4" s="29"/>
      <c r="I4" s="29"/>
      <c r="J4" s="19"/>
      <c r="K4" s="31"/>
      <c r="L4" s="31"/>
      <c r="M4" s="31"/>
      <c r="N4" s="31"/>
      <c r="O4" s="31"/>
      <c r="P4" s="31"/>
      <c r="Q4" s="31"/>
      <c r="R4" s="31"/>
      <c r="S4" s="31"/>
      <c r="T4" s="72"/>
    </row>
    <row r="5" spans="1:67" ht="19.5" customHeight="1">
      <c r="A5" s="71"/>
      <c r="B5" s="99" t="s">
        <v>71</v>
      </c>
      <c r="C5" s="108" t="s">
        <v>397</v>
      </c>
      <c r="D5" s="99"/>
      <c r="E5" s="29"/>
      <c r="F5" s="29"/>
      <c r="G5" s="29"/>
      <c r="H5" s="29"/>
      <c r="I5" s="29"/>
      <c r="J5" s="19"/>
      <c r="K5" s="31"/>
      <c r="L5" s="31"/>
      <c r="M5" s="31"/>
      <c r="N5" s="31"/>
      <c r="O5" s="31"/>
      <c r="P5" s="31"/>
      <c r="Q5" s="31"/>
      <c r="R5" s="31"/>
      <c r="S5" s="31"/>
      <c r="T5" s="72"/>
    </row>
    <row r="6" spans="1:67" ht="19.5" customHeight="1">
      <c r="A6" s="71"/>
      <c r="B6" s="29"/>
      <c r="C6" s="870"/>
      <c r="E6" s="29"/>
      <c r="F6" s="29"/>
      <c r="G6" s="29"/>
      <c r="H6" s="29"/>
      <c r="I6" s="29"/>
      <c r="J6" s="19"/>
      <c r="K6" s="31"/>
      <c r="L6" s="31"/>
      <c r="M6" s="31"/>
      <c r="N6" s="31"/>
      <c r="O6" s="31"/>
      <c r="P6" s="31"/>
      <c r="Q6" s="31"/>
      <c r="R6" s="31"/>
      <c r="S6" s="31"/>
      <c r="T6" s="72"/>
      <c r="V6" s="31"/>
      <c r="W6" s="31"/>
      <c r="X6" s="31"/>
      <c r="Y6" s="31"/>
      <c r="Z6" s="31"/>
    </row>
    <row r="7" spans="1:67" ht="19.5" customHeight="1">
      <c r="A7" s="71"/>
      <c r="B7" s="29"/>
      <c r="C7" s="100"/>
      <c r="D7"/>
      <c r="E7"/>
      <c r="F7"/>
      <c r="G7"/>
      <c r="H7"/>
      <c r="I7"/>
      <c r="J7"/>
      <c r="K7" s="330"/>
      <c r="L7"/>
      <c r="M7"/>
      <c r="N7"/>
      <c r="O7"/>
      <c r="P7"/>
      <c r="Q7"/>
      <c r="R7"/>
      <c r="S7"/>
      <c r="T7" s="104"/>
      <c r="V7" s="31"/>
      <c r="W7" s="31"/>
      <c r="X7" s="31"/>
      <c r="Y7" s="31"/>
      <c r="Z7" s="31"/>
    </row>
    <row r="8" spans="1:67" ht="19.5" customHeight="1">
      <c r="A8" s="71"/>
      <c r="B8" s="99"/>
      <c r="C8" s="114"/>
      <c r="S8" s="31"/>
      <c r="T8" s="72"/>
      <c r="V8" s="31"/>
      <c r="W8" s="31"/>
      <c r="X8" s="31"/>
      <c r="Y8" s="31"/>
      <c r="Z8" s="31"/>
    </row>
    <row r="9" spans="1:67" ht="19.5" customHeight="1">
      <c r="A9" s="71"/>
      <c r="B9" s="29"/>
      <c r="C9" s="100"/>
      <c r="S9" s="31"/>
      <c r="T9" s="72"/>
      <c r="V9" s="31"/>
      <c r="W9" s="31"/>
      <c r="X9" s="31"/>
      <c r="Y9" s="31"/>
      <c r="Z9" s="31"/>
    </row>
    <row r="10" spans="1:67" ht="19.5" customHeight="1">
      <c r="A10" s="71"/>
      <c r="B10" s="29"/>
      <c r="C10" s="100"/>
      <c r="D10" s="29"/>
      <c r="E10" s="29"/>
      <c r="F10" s="29"/>
      <c r="G10" s="29"/>
      <c r="H10" s="29"/>
      <c r="I10" s="29"/>
      <c r="J10" s="19"/>
      <c r="K10" s="31"/>
      <c r="L10" s="31"/>
      <c r="M10" s="31"/>
      <c r="N10" s="31"/>
      <c r="O10" s="31"/>
      <c r="P10" s="31"/>
      <c r="Q10" s="31"/>
      <c r="R10" s="31"/>
      <c r="S10" s="31"/>
      <c r="T10" s="72"/>
      <c r="V10" s="31"/>
      <c r="W10" s="31"/>
      <c r="X10" s="31"/>
      <c r="Y10" s="31"/>
      <c r="Z10" s="31"/>
    </row>
    <row r="11" spans="1:67" ht="19.5" customHeight="1">
      <c r="A11" s="75"/>
      <c r="B11" s="62"/>
      <c r="C11" s="63"/>
      <c r="D11" s="63"/>
      <c r="E11" s="63"/>
      <c r="F11" s="63"/>
      <c r="G11" s="62"/>
      <c r="H11" s="62"/>
      <c r="I11" s="62"/>
      <c r="J11" s="64"/>
      <c r="K11" s="60"/>
      <c r="L11" s="60"/>
      <c r="M11" s="60"/>
      <c r="N11" s="60"/>
      <c r="O11" s="60"/>
      <c r="P11" s="60"/>
      <c r="Q11" s="60"/>
      <c r="R11" s="60"/>
      <c r="S11" s="60"/>
      <c r="T11" s="76"/>
      <c r="V11" s="31"/>
      <c r="W11" s="31"/>
      <c r="X11" s="31"/>
      <c r="Y11" s="31"/>
      <c r="Z11" s="31"/>
    </row>
    <row r="12" spans="1:67" ht="29.25" customHeight="1">
      <c r="A12" s="73"/>
      <c r="B12" s="65" t="s">
        <v>51</v>
      </c>
      <c r="C12" s="66"/>
      <c r="D12" s="66"/>
      <c r="E12" s="66"/>
      <c r="F12" s="66"/>
      <c r="G12" s="61"/>
      <c r="H12" s="61"/>
      <c r="I12" s="61"/>
      <c r="J12" s="58"/>
      <c r="K12" s="59"/>
      <c r="L12" s="59"/>
      <c r="M12" s="59"/>
      <c r="N12" s="59"/>
      <c r="O12" s="59"/>
      <c r="P12" s="59"/>
      <c r="Q12" s="59"/>
      <c r="R12" s="59"/>
      <c r="S12" s="59"/>
      <c r="T12" s="74"/>
      <c r="V12" s="31"/>
      <c r="W12" s="31"/>
      <c r="X12" s="31"/>
      <c r="Y12" s="31"/>
      <c r="Z12" s="31"/>
    </row>
    <row r="13" spans="1:67" ht="20.25" customHeight="1">
      <c r="A13" s="71"/>
      <c r="B13" s="29"/>
      <c r="C13" s="29"/>
      <c r="D13" s="29"/>
      <c r="E13" s="29"/>
      <c r="F13" s="29"/>
      <c r="G13" s="29"/>
      <c r="H13" s="29"/>
      <c r="I13" s="29"/>
      <c r="J13" s="19"/>
      <c r="K13" s="31"/>
      <c r="L13" s="31"/>
      <c r="M13" s="31"/>
      <c r="N13" s="31"/>
      <c r="O13" s="31"/>
      <c r="P13" s="31"/>
      <c r="Q13" s="31"/>
      <c r="R13" s="31"/>
      <c r="S13" s="31"/>
      <c r="T13" s="72"/>
      <c r="V13" s="31"/>
      <c r="W13" s="31"/>
      <c r="X13" s="31"/>
      <c r="Y13" s="31"/>
      <c r="Z13" s="31"/>
    </row>
    <row r="14" spans="1:67" ht="20.25" customHeight="1">
      <c r="A14" s="71"/>
      <c r="B14" s="29" t="s">
        <v>71</v>
      </c>
      <c r="C14" s="108" t="s">
        <v>397</v>
      </c>
      <c r="D14" s="29"/>
      <c r="E14" s="29"/>
      <c r="F14" s="29"/>
      <c r="G14" s="29"/>
      <c r="H14" s="29"/>
      <c r="I14" s="29"/>
      <c r="J14" s="19"/>
      <c r="K14" s="31"/>
      <c r="L14" s="31"/>
      <c r="M14" s="31"/>
      <c r="N14" s="31"/>
      <c r="O14" s="31"/>
      <c r="P14" s="31"/>
      <c r="Q14" s="31"/>
      <c r="R14" s="31"/>
      <c r="S14" s="31"/>
      <c r="T14" s="72"/>
      <c r="V14" s="31"/>
      <c r="W14" s="31"/>
      <c r="X14" s="31"/>
      <c r="Y14" s="31"/>
      <c r="Z14" s="31"/>
    </row>
    <row r="15" spans="1:67" ht="20.25" customHeight="1">
      <c r="A15" s="71"/>
      <c r="B15" s="29"/>
      <c r="C15" s="29"/>
      <c r="D15" s="29"/>
      <c r="E15" s="29"/>
      <c r="F15" s="29"/>
      <c r="G15" s="29"/>
      <c r="H15" s="29"/>
      <c r="I15" s="29"/>
      <c r="J15" s="19"/>
      <c r="K15" s="31"/>
      <c r="L15" s="31"/>
      <c r="M15" s="31"/>
      <c r="N15" s="31"/>
      <c r="O15" s="31"/>
      <c r="P15" s="31"/>
      <c r="Q15" s="31"/>
      <c r="R15" s="31"/>
      <c r="S15" s="31"/>
      <c r="T15" s="72"/>
      <c r="V15" s="31"/>
      <c r="W15" s="31"/>
      <c r="X15" s="31"/>
      <c r="Y15" s="31"/>
      <c r="Z15" s="31"/>
    </row>
    <row r="16" spans="1:67" ht="20.25" customHeight="1">
      <c r="A16" s="71"/>
      <c r="B16" s="29"/>
      <c r="C16" s="29"/>
      <c r="D16" s="34"/>
      <c r="E16" s="34"/>
      <c r="F16" s="29"/>
      <c r="G16" s="29"/>
      <c r="H16" s="29"/>
      <c r="I16" s="29"/>
      <c r="J16" s="19"/>
      <c r="K16" s="31"/>
      <c r="L16" s="31"/>
      <c r="M16" s="31"/>
      <c r="N16" s="31"/>
      <c r="O16" s="31"/>
      <c r="P16" s="31"/>
      <c r="Q16" s="31"/>
      <c r="R16" s="31"/>
      <c r="S16" s="31"/>
      <c r="T16" s="72"/>
      <c r="V16" s="31"/>
      <c r="W16" s="31"/>
      <c r="X16" s="31"/>
      <c r="Y16" s="31"/>
      <c r="Z16" s="31"/>
    </row>
    <row r="17" spans="1:26" ht="19.5" customHeight="1">
      <c r="A17" s="71"/>
      <c r="B17" s="29"/>
      <c r="C17" s="29"/>
      <c r="D17" s="34"/>
      <c r="E17" s="34"/>
      <c r="F17" s="29"/>
      <c r="G17" s="29"/>
      <c r="H17" s="29"/>
      <c r="I17" s="29"/>
      <c r="J17" s="19"/>
      <c r="K17" s="31"/>
      <c r="L17" s="31"/>
      <c r="M17" s="31"/>
      <c r="N17" s="31"/>
      <c r="O17" s="31"/>
      <c r="P17" s="31"/>
      <c r="Q17" s="31"/>
      <c r="R17" s="31"/>
      <c r="S17" s="31"/>
      <c r="T17" s="72"/>
      <c r="V17" s="31"/>
      <c r="W17" s="31"/>
      <c r="X17" s="31"/>
      <c r="Y17" s="31"/>
      <c r="Z17" s="31"/>
    </row>
    <row r="18" spans="1:26" ht="19.5" customHeight="1">
      <c r="A18" s="71"/>
      <c r="B18" s="29"/>
      <c r="C18" s="29"/>
      <c r="D18" s="29"/>
      <c r="E18" s="29"/>
      <c r="F18" s="29"/>
      <c r="G18" s="29"/>
      <c r="H18" s="29"/>
      <c r="I18" s="29"/>
      <c r="J18" s="19"/>
      <c r="K18" s="31"/>
      <c r="L18" s="31"/>
      <c r="M18" s="31"/>
      <c r="N18" s="31"/>
      <c r="O18" s="31"/>
      <c r="P18" s="31"/>
      <c r="Q18" s="31"/>
      <c r="R18" s="31"/>
      <c r="S18" s="31"/>
      <c r="T18" s="72"/>
      <c r="V18" s="31"/>
      <c r="W18" s="31"/>
      <c r="X18" s="31"/>
      <c r="Y18" s="31"/>
      <c r="Z18" s="31"/>
    </row>
    <row r="19" spans="1:26" ht="19.5" customHeight="1">
      <c r="A19" s="71"/>
      <c r="C19" s="29"/>
      <c r="D19" s="29"/>
      <c r="E19" s="29"/>
      <c r="F19" s="29"/>
      <c r="G19" s="29"/>
      <c r="H19" s="29"/>
      <c r="I19" s="29"/>
      <c r="J19" s="19"/>
      <c r="K19" s="31"/>
      <c r="L19" s="31"/>
      <c r="M19" s="31"/>
      <c r="N19" s="31"/>
      <c r="O19" s="31"/>
      <c r="P19" s="31"/>
      <c r="Q19" s="31"/>
      <c r="R19" s="31"/>
      <c r="S19" s="31"/>
      <c r="T19" s="72"/>
      <c r="V19" s="31"/>
      <c r="W19" s="31"/>
      <c r="X19" s="31"/>
      <c r="Y19" s="31"/>
      <c r="Z19" s="31"/>
    </row>
    <row r="20" spans="1:26" ht="19.5" customHeight="1">
      <c r="A20" s="71"/>
      <c r="B20" s="31"/>
      <c r="S20" s="31"/>
      <c r="T20" s="72"/>
      <c r="V20" s="31"/>
      <c r="W20" s="31"/>
      <c r="X20" s="31"/>
      <c r="Y20" s="31"/>
      <c r="Z20" s="31"/>
    </row>
    <row r="21" spans="1:26" ht="20.25" customHeight="1">
      <c r="A21" s="71"/>
      <c r="B21" s="29"/>
      <c r="C21" s="29"/>
      <c r="D21" s="29"/>
      <c r="E21" s="29"/>
      <c r="F21" s="29"/>
      <c r="G21" s="29"/>
      <c r="H21" s="29"/>
      <c r="I21" s="29"/>
      <c r="J21" s="35"/>
      <c r="K21" s="31"/>
      <c r="L21" s="31"/>
      <c r="M21" s="31"/>
      <c r="N21" s="31"/>
      <c r="O21" s="31"/>
      <c r="P21" s="31"/>
      <c r="Q21" s="31"/>
      <c r="R21" s="31"/>
      <c r="S21" s="31"/>
      <c r="T21" s="72"/>
      <c r="V21" s="31"/>
      <c r="W21" s="31"/>
      <c r="X21" s="31"/>
      <c r="Y21" s="31"/>
      <c r="Z21" s="31"/>
    </row>
    <row r="22" spans="1:26" ht="20.25" customHeight="1">
      <c r="A22" s="75"/>
      <c r="B22" s="60"/>
      <c r="C22" s="60"/>
      <c r="D22" s="60"/>
      <c r="E22" s="60"/>
      <c r="F22" s="60"/>
      <c r="G22" s="60"/>
      <c r="H22" s="60"/>
      <c r="I22" s="60"/>
      <c r="J22" s="60"/>
      <c r="K22" s="60"/>
      <c r="L22" s="60"/>
      <c r="M22" s="60"/>
      <c r="N22" s="60"/>
      <c r="O22" s="60"/>
      <c r="P22" s="60"/>
      <c r="Q22" s="60"/>
      <c r="R22" s="60"/>
      <c r="S22" s="60"/>
      <c r="T22" s="76"/>
      <c r="V22" s="31"/>
      <c r="W22" s="31"/>
      <c r="X22" s="31"/>
      <c r="Y22" s="31"/>
      <c r="Z22" s="31"/>
    </row>
    <row r="23" spans="1:26" ht="30.75" customHeight="1">
      <c r="A23" s="71"/>
      <c r="B23" s="80" t="s">
        <v>52</v>
      </c>
      <c r="C23" s="31"/>
      <c r="D23" s="31"/>
      <c r="E23" s="31"/>
      <c r="F23" s="31"/>
      <c r="G23" s="31"/>
      <c r="H23" s="31"/>
      <c r="I23" s="31"/>
      <c r="J23" s="31"/>
      <c r="K23" s="31"/>
      <c r="L23" s="31"/>
      <c r="M23" s="31"/>
      <c r="N23" s="31"/>
      <c r="O23" s="31"/>
      <c r="P23" s="31"/>
      <c r="Q23" s="31"/>
      <c r="R23" s="31"/>
      <c r="S23" s="31"/>
      <c r="T23" s="72"/>
      <c r="V23" s="31"/>
      <c r="W23" s="31"/>
      <c r="X23" s="31"/>
      <c r="Y23" s="31"/>
      <c r="Z23" s="31"/>
    </row>
    <row r="24" spans="1:26" ht="20.25" customHeight="1">
      <c r="A24" s="71"/>
      <c r="B24" s="29" t="s">
        <v>70</v>
      </c>
      <c r="C24" s="108" t="s">
        <v>425</v>
      </c>
      <c r="D24" s="31"/>
      <c r="E24" s="31"/>
      <c r="F24" s="31"/>
      <c r="G24" s="31"/>
      <c r="H24" s="31"/>
      <c r="I24" s="31"/>
      <c r="J24" s="31"/>
      <c r="K24" s="31"/>
      <c r="L24" s="31"/>
      <c r="M24" s="31"/>
      <c r="N24" s="31"/>
      <c r="O24" s="31"/>
      <c r="P24" s="31"/>
      <c r="Q24" s="31"/>
      <c r="R24" s="31"/>
      <c r="S24" s="31"/>
      <c r="T24" s="72"/>
      <c r="V24" s="31"/>
      <c r="W24" s="31"/>
      <c r="X24" s="31"/>
      <c r="Y24" s="31"/>
      <c r="Z24" s="31"/>
    </row>
    <row r="25" spans="1:26" ht="20.25" customHeight="1">
      <c r="A25" s="71"/>
      <c r="B25" s="19"/>
      <c r="C25" s="100"/>
      <c r="D25" s="31"/>
      <c r="E25" s="31"/>
      <c r="F25" s="31"/>
      <c r="G25" s="31"/>
      <c r="H25" s="31"/>
      <c r="I25" s="31"/>
      <c r="J25" s="31"/>
      <c r="K25" s="31"/>
      <c r="L25" s="31"/>
      <c r="M25" s="31"/>
      <c r="N25" s="31"/>
      <c r="O25" s="31"/>
      <c r="P25" s="31"/>
      <c r="Q25" s="31"/>
      <c r="R25" s="31"/>
      <c r="S25" s="31"/>
      <c r="T25" s="72"/>
      <c r="V25" s="31"/>
      <c r="W25" s="31"/>
      <c r="X25" s="31"/>
      <c r="Y25" s="31"/>
      <c r="Z25" s="31"/>
    </row>
    <row r="26" spans="1:26" ht="20.25" customHeight="1">
      <c r="A26" s="71"/>
      <c r="B26" s="31"/>
      <c r="C26" s="100"/>
      <c r="D26" s="31"/>
      <c r="E26" s="31"/>
      <c r="F26" s="31"/>
      <c r="G26" s="31"/>
      <c r="H26" s="31"/>
      <c r="I26" s="31"/>
      <c r="J26" s="31"/>
      <c r="K26" s="31"/>
      <c r="L26" s="31"/>
      <c r="M26" s="31"/>
      <c r="N26" s="31"/>
      <c r="O26" s="31"/>
      <c r="P26" s="31"/>
      <c r="Q26" s="31"/>
      <c r="R26" s="31"/>
      <c r="S26" s="31"/>
      <c r="T26" s="72"/>
      <c r="V26" s="31"/>
      <c r="W26" s="31"/>
      <c r="X26" s="31"/>
      <c r="Y26" s="31"/>
      <c r="Z26" s="31"/>
    </row>
    <row r="27" spans="1:26" ht="20.25" customHeight="1">
      <c r="A27" s="71"/>
      <c r="B27" s="31"/>
      <c r="C27" s="31"/>
      <c r="D27" s="31"/>
      <c r="E27" s="31"/>
      <c r="F27" s="31"/>
      <c r="G27" s="31"/>
      <c r="H27" s="31"/>
      <c r="I27" s="31"/>
      <c r="J27" s="31"/>
      <c r="K27" s="31"/>
      <c r="L27" s="31"/>
      <c r="M27" s="31"/>
      <c r="N27" s="31"/>
      <c r="O27" s="31"/>
      <c r="P27" s="31"/>
      <c r="Q27" s="31"/>
      <c r="R27" s="31"/>
      <c r="S27" s="31"/>
      <c r="T27" s="72"/>
      <c r="V27" s="31"/>
      <c r="W27" s="31"/>
      <c r="X27" s="31"/>
      <c r="Y27" s="31"/>
      <c r="Z27" s="31"/>
    </row>
    <row r="28" spans="1:26" ht="20.25" customHeight="1">
      <c r="A28" s="77"/>
      <c r="B28" s="78"/>
      <c r="C28" s="78"/>
      <c r="D28" s="78"/>
      <c r="E28" s="78"/>
      <c r="F28" s="78"/>
      <c r="G28" s="78"/>
      <c r="H28" s="78"/>
      <c r="I28" s="78"/>
      <c r="J28" s="78"/>
      <c r="K28" s="78"/>
      <c r="L28" s="78"/>
      <c r="M28" s="78"/>
      <c r="N28" s="78"/>
      <c r="O28" s="78"/>
      <c r="P28" s="78"/>
      <c r="Q28" s="78"/>
      <c r="R28" s="78"/>
      <c r="S28" s="78"/>
      <c r="T28" s="79"/>
      <c r="V28" s="31"/>
      <c r="W28" s="31"/>
      <c r="X28" s="31"/>
      <c r="Y28" s="31"/>
      <c r="Z28" s="31"/>
    </row>
    <row r="29" spans="1:26">
      <c r="V29" s="31"/>
      <c r="W29" s="31"/>
      <c r="X29" s="31"/>
      <c r="Y29" s="31"/>
      <c r="Z29" s="31"/>
    </row>
    <row r="30" spans="1:26">
      <c r="V30" s="31"/>
      <c r="W30" s="31"/>
      <c r="X30" s="31"/>
      <c r="Y30" s="31"/>
      <c r="Z30" s="31"/>
    </row>
    <row r="31" spans="1:26">
      <c r="V31" s="31"/>
      <c r="W31" s="31"/>
      <c r="X31" s="31"/>
      <c r="Y31" s="31"/>
      <c r="Z31" s="31"/>
    </row>
    <row r="32" spans="1:26">
      <c r="V32" s="31"/>
      <c r="W32" s="31"/>
      <c r="X32" s="31"/>
      <c r="Y32" s="31"/>
      <c r="Z32" s="31"/>
    </row>
    <row r="33" spans="22:26">
      <c r="V33" s="31"/>
      <c r="W33" s="31"/>
      <c r="X33" s="31"/>
      <c r="Y33" s="31"/>
      <c r="Z33" s="31"/>
    </row>
    <row r="34" spans="22:26">
      <c r="V34" s="31"/>
      <c r="W34" s="31"/>
      <c r="X34" s="31"/>
      <c r="Y34" s="31"/>
      <c r="Z34" s="31"/>
    </row>
    <row r="35" spans="22:26">
      <c r="V35" s="31"/>
      <c r="W35" s="31"/>
      <c r="X35" s="31"/>
      <c r="Y35" s="31"/>
      <c r="Z35" s="31"/>
    </row>
    <row r="36" spans="22:26">
      <c r="V36" s="72"/>
    </row>
    <row r="37" spans="22:26">
      <c r="V37" s="72"/>
    </row>
    <row r="38" spans="22:26">
      <c r="V38" s="72"/>
    </row>
  </sheetData>
  <mergeCells count="1">
    <mergeCell ref="B2:S2"/>
  </mergeCells>
  <phoneticPr fontId="7"/>
  <pageMargins left="0.63" right="0.47" top="0.82" bottom="0.39370078740157483" header="0.31496062992125984" footer="0.31496062992125984"/>
  <pageSetup paperSize="9" scale="85" orientation="landscape"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X53"/>
  <sheetViews>
    <sheetView view="pageBreakPreview" topLeftCell="A4" zoomScale="85" zoomScaleNormal="85" zoomScaleSheetLayoutView="85" workbookViewId="0">
      <selection activeCell="E14" sqref="E14:I14"/>
    </sheetView>
  </sheetViews>
  <sheetFormatPr defaultColWidth="9" defaultRowHeight="13.2"/>
  <cols>
    <col min="1" max="9" width="9" style="3"/>
    <col min="10" max="10" width="9" style="82"/>
    <col min="11" max="12" width="9" style="3"/>
    <col min="13" max="13" width="9.44140625" style="3" bestFit="1" customWidth="1"/>
    <col min="14" max="21" width="9" style="3"/>
    <col min="22" max="22" width="9" style="82"/>
    <col min="23" max="16384" width="9" style="3"/>
  </cols>
  <sheetData>
    <row r="1" spans="1:24" ht="24" thickBot="1">
      <c r="A1" s="873" t="s">
        <v>23</v>
      </c>
      <c r="B1" s="874"/>
      <c r="C1" s="1"/>
      <c r="D1" s="1"/>
      <c r="E1" s="1"/>
      <c r="F1" s="1"/>
      <c r="G1" s="1"/>
      <c r="H1" s="1"/>
      <c r="I1" s="1"/>
      <c r="J1" s="81"/>
      <c r="K1" s="1"/>
      <c r="L1" s="1"/>
      <c r="M1" s="1"/>
      <c r="N1" s="1"/>
      <c r="O1" s="1"/>
      <c r="P1" s="1"/>
      <c r="Q1" s="1"/>
      <c r="R1" s="1"/>
      <c r="S1" s="1"/>
      <c r="T1" s="1"/>
      <c r="U1" s="1"/>
      <c r="V1" s="81"/>
      <c r="W1" s="1"/>
      <c r="X1" s="1"/>
    </row>
    <row r="2" spans="1:24" ht="17.25" customHeight="1" thickTop="1">
      <c r="A2" s="876"/>
      <c r="B2" s="877"/>
    </row>
    <row r="3" spans="1:24" ht="17.25" customHeight="1">
      <c r="A3" s="876"/>
      <c r="B3" s="877"/>
    </row>
    <row r="4" spans="1:24" s="5" customFormat="1" ht="18" customHeight="1">
      <c r="A4" s="925" t="s">
        <v>58</v>
      </c>
      <c r="B4" s="926"/>
      <c r="C4" s="926"/>
      <c r="D4" s="926"/>
      <c r="E4" s="926"/>
      <c r="F4" s="927"/>
      <c r="J4" s="7"/>
      <c r="V4" s="7"/>
    </row>
    <row r="5" spans="1:24" s="5" customFormat="1" ht="14.1" customHeight="1">
      <c r="J5" s="7"/>
      <c r="V5" s="7"/>
    </row>
    <row r="6" spans="1:24" s="7" customFormat="1" ht="14.1" customHeight="1">
      <c r="A6" s="6" t="s">
        <v>5</v>
      </c>
      <c r="B6" s="6" t="s">
        <v>6</v>
      </c>
      <c r="C6" s="928" t="s">
        <v>7</v>
      </c>
      <c r="D6" s="930"/>
      <c r="E6" s="928" t="s">
        <v>8</v>
      </c>
      <c r="F6" s="929"/>
      <c r="G6" s="929"/>
      <c r="H6" s="929"/>
      <c r="I6" s="930"/>
      <c r="J6" s="8" t="s">
        <v>16</v>
      </c>
      <c r="K6" s="928" t="s">
        <v>9</v>
      </c>
      <c r="L6" s="929"/>
      <c r="M6" s="355" t="s">
        <v>5</v>
      </c>
      <c r="N6" s="6" t="s">
        <v>6</v>
      </c>
      <c r="O6" s="928" t="s">
        <v>7</v>
      </c>
      <c r="P6" s="930"/>
      <c r="Q6" s="928" t="s">
        <v>8</v>
      </c>
      <c r="R6" s="929"/>
      <c r="S6" s="929"/>
      <c r="T6" s="929"/>
      <c r="U6" s="930"/>
      <c r="V6" s="8" t="s">
        <v>16</v>
      </c>
      <c r="W6" s="928" t="s">
        <v>9</v>
      </c>
      <c r="X6" s="930"/>
    </row>
    <row r="7" spans="1:24" s="5" customFormat="1" ht="13.5" customHeight="1">
      <c r="A7" s="931">
        <v>45017</v>
      </c>
      <c r="B7" s="933" t="s">
        <v>32</v>
      </c>
      <c r="C7" s="915"/>
      <c r="D7" s="916"/>
      <c r="E7" s="921"/>
      <c r="F7" s="922"/>
      <c r="G7" s="922"/>
      <c r="H7" s="922"/>
      <c r="I7" s="923"/>
      <c r="J7" s="356"/>
      <c r="K7" s="915"/>
      <c r="L7" s="924"/>
      <c r="M7" s="958">
        <v>45032</v>
      </c>
      <c r="N7" s="933" t="s">
        <v>10</v>
      </c>
      <c r="O7" s="915" t="s">
        <v>153</v>
      </c>
      <c r="P7" s="916"/>
      <c r="Q7" s="921" t="s">
        <v>701</v>
      </c>
      <c r="R7" s="922"/>
      <c r="S7" s="922"/>
      <c r="T7" s="922"/>
      <c r="U7" s="923"/>
      <c r="V7" s="356" t="s">
        <v>419</v>
      </c>
      <c r="W7" s="915" t="s">
        <v>646</v>
      </c>
      <c r="X7" s="916"/>
    </row>
    <row r="8" spans="1:24" s="5" customFormat="1" ht="13.5" customHeight="1">
      <c r="A8" s="932"/>
      <c r="B8" s="918"/>
      <c r="C8" s="919"/>
      <c r="D8" s="920"/>
      <c r="E8" s="921"/>
      <c r="F8" s="922"/>
      <c r="G8" s="922"/>
      <c r="H8" s="922"/>
      <c r="I8" s="923"/>
      <c r="J8" s="356"/>
      <c r="K8" s="915"/>
      <c r="L8" s="924"/>
      <c r="M8" s="938"/>
      <c r="N8" s="918"/>
      <c r="O8" s="915"/>
      <c r="P8" s="916"/>
      <c r="Q8" s="921"/>
      <c r="R8" s="922"/>
      <c r="S8" s="922"/>
      <c r="T8" s="922"/>
      <c r="U8" s="923"/>
      <c r="V8" s="356"/>
      <c r="W8" s="915"/>
      <c r="X8" s="916"/>
    </row>
    <row r="9" spans="1:24" s="5" customFormat="1" ht="13.5" customHeight="1">
      <c r="A9" s="914" t="s">
        <v>404</v>
      </c>
      <c r="B9" s="917" t="s">
        <v>10</v>
      </c>
      <c r="C9" s="915"/>
      <c r="D9" s="916"/>
      <c r="E9" s="921"/>
      <c r="F9" s="922"/>
      <c r="G9" s="922"/>
      <c r="H9" s="922"/>
      <c r="I9" s="923"/>
      <c r="J9" s="356"/>
      <c r="K9" s="915"/>
      <c r="L9" s="924"/>
      <c r="M9" s="938">
        <v>17</v>
      </c>
      <c r="N9" s="917" t="s">
        <v>27</v>
      </c>
      <c r="O9" s="915"/>
      <c r="P9" s="916"/>
      <c r="Q9" s="921"/>
      <c r="R9" s="922"/>
      <c r="S9" s="922"/>
      <c r="T9" s="922"/>
      <c r="U9" s="923"/>
      <c r="V9" s="356"/>
      <c r="W9" s="915"/>
      <c r="X9" s="916"/>
    </row>
    <row r="10" spans="1:24" s="5" customFormat="1" ht="13.5" customHeight="1">
      <c r="A10" s="914"/>
      <c r="B10" s="918"/>
      <c r="C10" s="919"/>
      <c r="D10" s="920"/>
      <c r="E10" s="921"/>
      <c r="F10" s="922"/>
      <c r="G10" s="922"/>
      <c r="H10" s="922"/>
      <c r="I10" s="923"/>
      <c r="J10" s="356"/>
      <c r="K10" s="915"/>
      <c r="L10" s="924"/>
      <c r="M10" s="938"/>
      <c r="N10" s="918"/>
      <c r="O10" s="915"/>
      <c r="P10" s="916"/>
      <c r="Q10" s="921"/>
      <c r="R10" s="922"/>
      <c r="S10" s="922"/>
      <c r="T10" s="922"/>
      <c r="U10" s="923"/>
      <c r="V10" s="356"/>
      <c r="W10" s="915"/>
      <c r="X10" s="916"/>
    </row>
    <row r="11" spans="1:24" s="5" customFormat="1" ht="13.5" customHeight="1">
      <c r="A11" s="914" t="s">
        <v>405</v>
      </c>
      <c r="B11" s="917" t="s">
        <v>27</v>
      </c>
      <c r="C11" s="915"/>
      <c r="D11" s="916"/>
      <c r="E11" s="921"/>
      <c r="F11" s="922"/>
      <c r="G11" s="922"/>
      <c r="H11" s="922"/>
      <c r="I11" s="923"/>
      <c r="J11" s="356"/>
      <c r="K11" s="915"/>
      <c r="L11" s="924"/>
      <c r="M11" s="938" t="s">
        <v>648</v>
      </c>
      <c r="N11" s="917" t="s">
        <v>28</v>
      </c>
      <c r="O11" s="915"/>
      <c r="P11" s="916"/>
      <c r="Q11" s="921"/>
      <c r="R11" s="922"/>
      <c r="S11" s="922"/>
      <c r="T11" s="922"/>
      <c r="U11" s="923"/>
      <c r="V11" s="356"/>
      <c r="W11" s="915"/>
      <c r="X11" s="916"/>
    </row>
    <row r="12" spans="1:24" s="5" customFormat="1" ht="13.5" customHeight="1">
      <c r="A12" s="914"/>
      <c r="B12" s="918"/>
      <c r="C12" s="919"/>
      <c r="D12" s="920"/>
      <c r="E12" s="921"/>
      <c r="F12" s="922"/>
      <c r="G12" s="922"/>
      <c r="H12" s="922"/>
      <c r="I12" s="923"/>
      <c r="J12" s="356"/>
      <c r="K12" s="915"/>
      <c r="L12" s="924"/>
      <c r="M12" s="938"/>
      <c r="N12" s="918"/>
      <c r="O12" s="915"/>
      <c r="P12" s="916"/>
      <c r="Q12" s="921"/>
      <c r="R12" s="922"/>
      <c r="S12" s="922"/>
      <c r="T12" s="922"/>
      <c r="U12" s="923"/>
      <c r="V12" s="356"/>
      <c r="W12" s="915"/>
      <c r="X12" s="916"/>
    </row>
    <row r="13" spans="1:24" s="5" customFormat="1" ht="13.5" customHeight="1">
      <c r="A13" s="914" t="s">
        <v>406</v>
      </c>
      <c r="B13" s="917" t="s">
        <v>28</v>
      </c>
      <c r="C13" s="915"/>
      <c r="D13" s="916"/>
      <c r="E13" s="921"/>
      <c r="F13" s="922"/>
      <c r="G13" s="922"/>
      <c r="H13" s="922"/>
      <c r="I13" s="923"/>
      <c r="J13" s="356"/>
      <c r="K13" s="915"/>
      <c r="L13" s="924"/>
      <c r="M13" s="938" t="s">
        <v>649</v>
      </c>
      <c r="N13" s="917" t="s">
        <v>29</v>
      </c>
      <c r="O13" s="915"/>
      <c r="P13" s="916"/>
      <c r="Q13" s="921"/>
      <c r="R13" s="922"/>
      <c r="S13" s="922"/>
      <c r="T13" s="922"/>
      <c r="U13" s="923"/>
      <c r="V13" s="356"/>
      <c r="W13" s="915"/>
      <c r="X13" s="916"/>
    </row>
    <row r="14" spans="1:24" s="5" customFormat="1" ht="13.5" customHeight="1">
      <c r="A14" s="914"/>
      <c r="B14" s="918"/>
      <c r="C14" s="915"/>
      <c r="D14" s="916"/>
      <c r="E14" s="921"/>
      <c r="F14" s="922"/>
      <c r="G14" s="922"/>
      <c r="H14" s="922"/>
      <c r="I14" s="923"/>
      <c r="J14" s="356"/>
      <c r="K14" s="915"/>
      <c r="L14" s="924"/>
      <c r="M14" s="938"/>
      <c r="N14" s="918"/>
      <c r="O14" s="915"/>
      <c r="P14" s="916"/>
      <c r="Q14" s="921"/>
      <c r="R14" s="922"/>
      <c r="S14" s="922"/>
      <c r="T14" s="922"/>
      <c r="U14" s="923"/>
      <c r="V14" s="356"/>
      <c r="W14" s="915"/>
      <c r="X14" s="916"/>
    </row>
    <row r="15" spans="1:24" s="5" customFormat="1" ht="13.5" customHeight="1">
      <c r="A15" s="914" t="s">
        <v>407</v>
      </c>
      <c r="B15" s="917" t="s">
        <v>29</v>
      </c>
      <c r="C15" s="915"/>
      <c r="D15" s="916"/>
      <c r="E15" s="921"/>
      <c r="F15" s="922"/>
      <c r="G15" s="922"/>
      <c r="H15" s="922"/>
      <c r="I15" s="923"/>
      <c r="J15" s="356"/>
      <c r="K15" s="915"/>
      <c r="L15" s="924"/>
      <c r="M15" s="938" t="s">
        <v>650</v>
      </c>
      <c r="N15" s="917" t="s">
        <v>30</v>
      </c>
      <c r="O15" s="915"/>
      <c r="P15" s="916"/>
      <c r="Q15" s="921"/>
      <c r="R15" s="922"/>
      <c r="S15" s="922"/>
      <c r="T15" s="922"/>
      <c r="U15" s="923"/>
      <c r="V15" s="356"/>
      <c r="W15" s="915"/>
      <c r="X15" s="916"/>
    </row>
    <row r="16" spans="1:24" s="5" customFormat="1" ht="13.5" customHeight="1">
      <c r="A16" s="914"/>
      <c r="B16" s="918"/>
      <c r="C16" s="915"/>
      <c r="D16" s="916"/>
      <c r="E16" s="921"/>
      <c r="F16" s="922"/>
      <c r="G16" s="922"/>
      <c r="H16" s="922"/>
      <c r="I16" s="923"/>
      <c r="J16" s="356"/>
      <c r="K16" s="915"/>
      <c r="L16" s="924"/>
      <c r="M16" s="938"/>
      <c r="N16" s="918"/>
      <c r="O16" s="915"/>
      <c r="P16" s="916"/>
      <c r="Q16" s="921"/>
      <c r="R16" s="922"/>
      <c r="S16" s="922"/>
      <c r="T16" s="922"/>
      <c r="U16" s="923"/>
      <c r="V16" s="356"/>
      <c r="W16" s="915"/>
      <c r="X16" s="916"/>
    </row>
    <row r="17" spans="1:24" s="5" customFormat="1" ht="13.5" customHeight="1">
      <c r="A17" s="914" t="s">
        <v>408</v>
      </c>
      <c r="B17" s="917" t="s">
        <v>30</v>
      </c>
      <c r="C17" s="915"/>
      <c r="D17" s="916"/>
      <c r="E17" s="921"/>
      <c r="F17" s="922"/>
      <c r="G17" s="922"/>
      <c r="H17" s="922"/>
      <c r="I17" s="923"/>
      <c r="J17" s="356"/>
      <c r="K17" s="915"/>
      <c r="L17" s="924"/>
      <c r="M17" s="938" t="s">
        <v>651</v>
      </c>
      <c r="N17" s="917" t="s">
        <v>31</v>
      </c>
      <c r="O17" s="915"/>
      <c r="P17" s="916"/>
      <c r="Q17" s="921"/>
      <c r="R17" s="922"/>
      <c r="S17" s="922"/>
      <c r="T17" s="922"/>
      <c r="U17" s="923"/>
      <c r="V17" s="356"/>
      <c r="W17" s="915"/>
      <c r="X17" s="916"/>
    </row>
    <row r="18" spans="1:24" s="5" customFormat="1" ht="13.5" customHeight="1">
      <c r="A18" s="914"/>
      <c r="B18" s="918"/>
      <c r="C18" s="915"/>
      <c r="D18" s="916"/>
      <c r="E18" s="921"/>
      <c r="F18" s="922"/>
      <c r="G18" s="922"/>
      <c r="H18" s="922"/>
      <c r="I18" s="923"/>
      <c r="J18" s="356"/>
      <c r="K18" s="915"/>
      <c r="L18" s="924"/>
      <c r="M18" s="938"/>
      <c r="N18" s="918"/>
      <c r="O18" s="915"/>
      <c r="P18" s="916"/>
      <c r="Q18" s="921"/>
      <c r="R18" s="922"/>
      <c r="S18" s="922"/>
      <c r="T18" s="922"/>
      <c r="U18" s="923"/>
      <c r="V18" s="356"/>
      <c r="W18" s="915"/>
      <c r="X18" s="916"/>
    </row>
    <row r="19" spans="1:24" s="5" customFormat="1" ht="13.5" customHeight="1">
      <c r="A19" s="914" t="s">
        <v>409</v>
      </c>
      <c r="B19" s="917" t="s">
        <v>31</v>
      </c>
      <c r="C19" s="915" t="s">
        <v>402</v>
      </c>
      <c r="D19" s="916"/>
      <c r="E19" s="921" t="s">
        <v>659</v>
      </c>
      <c r="F19" s="922"/>
      <c r="G19" s="922"/>
      <c r="H19" s="922"/>
      <c r="I19" s="923"/>
      <c r="J19" s="356" t="s">
        <v>419</v>
      </c>
      <c r="K19" s="915" t="s">
        <v>664</v>
      </c>
      <c r="L19" s="924"/>
      <c r="M19" s="938" t="s">
        <v>652</v>
      </c>
      <c r="N19" s="917" t="s">
        <v>32</v>
      </c>
      <c r="O19" s="915"/>
      <c r="P19" s="916"/>
      <c r="Q19" s="921"/>
      <c r="R19" s="922"/>
      <c r="S19" s="922"/>
      <c r="T19" s="922"/>
      <c r="U19" s="923"/>
      <c r="V19" s="356"/>
      <c r="W19" s="915"/>
      <c r="X19" s="916"/>
    </row>
    <row r="20" spans="1:24" s="5" customFormat="1" ht="13.5" customHeight="1">
      <c r="A20" s="914"/>
      <c r="B20" s="918"/>
      <c r="C20" s="915"/>
      <c r="D20" s="916"/>
      <c r="E20" s="921"/>
      <c r="F20" s="922"/>
      <c r="G20" s="922"/>
      <c r="H20" s="922"/>
      <c r="I20" s="923"/>
      <c r="J20" s="356"/>
      <c r="K20" s="915"/>
      <c r="L20" s="924"/>
      <c r="M20" s="938"/>
      <c r="N20" s="918"/>
      <c r="O20" s="915"/>
      <c r="P20" s="916"/>
      <c r="Q20" s="921"/>
      <c r="R20" s="922"/>
      <c r="S20" s="922"/>
      <c r="T20" s="922"/>
      <c r="U20" s="923"/>
      <c r="V20" s="356"/>
      <c r="W20" s="915"/>
      <c r="X20" s="916"/>
    </row>
    <row r="21" spans="1:24" s="5" customFormat="1" ht="13.5" customHeight="1">
      <c r="A21" s="914" t="s">
        <v>410</v>
      </c>
      <c r="B21" s="917" t="s">
        <v>32</v>
      </c>
      <c r="C21" s="915"/>
      <c r="D21" s="916"/>
      <c r="E21" s="921"/>
      <c r="F21" s="922"/>
      <c r="G21" s="922"/>
      <c r="H21" s="922"/>
      <c r="I21" s="923"/>
      <c r="J21" s="356"/>
      <c r="K21" s="915"/>
      <c r="L21" s="924"/>
      <c r="M21" s="938" t="s">
        <v>653</v>
      </c>
      <c r="N21" s="917" t="s">
        <v>10</v>
      </c>
      <c r="O21" s="915" t="s">
        <v>733</v>
      </c>
      <c r="P21" s="916"/>
      <c r="Q21" s="921" t="s">
        <v>734</v>
      </c>
      <c r="R21" s="922"/>
      <c r="S21" s="922"/>
      <c r="T21" s="922"/>
      <c r="U21" s="923"/>
      <c r="V21" s="356" t="s">
        <v>711</v>
      </c>
      <c r="W21" s="915" t="s">
        <v>735</v>
      </c>
      <c r="X21" s="916"/>
    </row>
    <row r="22" spans="1:24" s="5" customFormat="1" ht="13.5" customHeight="1">
      <c r="A22" s="914"/>
      <c r="B22" s="918"/>
      <c r="C22" s="915"/>
      <c r="D22" s="916"/>
      <c r="E22" s="921"/>
      <c r="F22" s="922"/>
      <c r="G22" s="922"/>
      <c r="H22" s="922"/>
      <c r="I22" s="923"/>
      <c r="J22" s="356"/>
      <c r="K22" s="915"/>
      <c r="L22" s="924"/>
      <c r="M22" s="938"/>
      <c r="N22" s="918"/>
      <c r="O22" s="915"/>
      <c r="P22" s="916"/>
      <c r="Q22" s="921"/>
      <c r="R22" s="922"/>
      <c r="S22" s="922"/>
      <c r="T22" s="922"/>
      <c r="U22" s="923"/>
      <c r="V22" s="356"/>
      <c r="W22" s="915"/>
      <c r="X22" s="916"/>
    </row>
    <row r="23" spans="1:24" s="5" customFormat="1" ht="13.5" customHeight="1">
      <c r="A23" s="912" t="s">
        <v>411</v>
      </c>
      <c r="B23" s="917" t="s">
        <v>10</v>
      </c>
      <c r="C23" s="915"/>
      <c r="D23" s="916"/>
      <c r="E23" s="921"/>
      <c r="F23" s="922"/>
      <c r="G23" s="922"/>
      <c r="H23" s="922"/>
      <c r="I23" s="923"/>
      <c r="J23" s="356"/>
      <c r="K23" s="915"/>
      <c r="L23" s="924"/>
      <c r="M23" s="938" t="s">
        <v>654</v>
      </c>
      <c r="N23" s="917" t="s">
        <v>27</v>
      </c>
      <c r="O23" s="915"/>
      <c r="P23" s="916"/>
      <c r="Q23" s="921"/>
      <c r="R23" s="922"/>
      <c r="S23" s="922"/>
      <c r="T23" s="922"/>
      <c r="U23" s="923"/>
      <c r="V23" s="356"/>
      <c r="W23" s="915"/>
      <c r="X23" s="916"/>
    </row>
    <row r="24" spans="1:24" s="5" customFormat="1" ht="13.5" customHeight="1">
      <c r="A24" s="913"/>
      <c r="B24" s="918"/>
      <c r="C24" s="915"/>
      <c r="D24" s="916"/>
      <c r="E24" s="921"/>
      <c r="F24" s="922"/>
      <c r="G24" s="922"/>
      <c r="H24" s="922"/>
      <c r="I24" s="923"/>
      <c r="J24" s="356"/>
      <c r="K24" s="915"/>
      <c r="L24" s="924"/>
      <c r="M24" s="938"/>
      <c r="N24" s="918"/>
      <c r="O24" s="915"/>
      <c r="P24" s="916"/>
      <c r="Q24" s="921"/>
      <c r="R24" s="922"/>
      <c r="S24" s="922"/>
      <c r="T24" s="922"/>
      <c r="U24" s="923"/>
      <c r="V24" s="356"/>
      <c r="W24" s="915"/>
      <c r="X24" s="916"/>
    </row>
    <row r="25" spans="1:24" s="5" customFormat="1" ht="13.5" customHeight="1">
      <c r="A25" s="914" t="s">
        <v>412</v>
      </c>
      <c r="B25" s="917" t="s">
        <v>27</v>
      </c>
      <c r="C25" s="915"/>
      <c r="D25" s="916"/>
      <c r="E25" s="921"/>
      <c r="F25" s="922"/>
      <c r="G25" s="922"/>
      <c r="H25" s="922"/>
      <c r="I25" s="923"/>
      <c r="J25" s="356"/>
      <c r="K25" s="915"/>
      <c r="L25" s="924"/>
      <c r="M25" s="938" t="s">
        <v>655</v>
      </c>
      <c r="N25" s="917" t="s">
        <v>28</v>
      </c>
      <c r="O25" s="915"/>
      <c r="P25" s="916"/>
      <c r="Q25" s="921"/>
      <c r="R25" s="922"/>
      <c r="S25" s="922"/>
      <c r="T25" s="922"/>
      <c r="U25" s="923"/>
      <c r="V25" s="356"/>
      <c r="W25" s="915"/>
      <c r="X25" s="916"/>
    </row>
    <row r="26" spans="1:24" s="5" customFormat="1" ht="13.5" customHeight="1">
      <c r="A26" s="914"/>
      <c r="B26" s="918"/>
      <c r="C26" s="915"/>
      <c r="D26" s="916"/>
      <c r="E26" s="921"/>
      <c r="F26" s="922"/>
      <c r="G26" s="922"/>
      <c r="H26" s="922"/>
      <c r="I26" s="923"/>
      <c r="J26" s="356"/>
      <c r="K26" s="915"/>
      <c r="L26" s="924"/>
      <c r="M26" s="938"/>
      <c r="N26" s="918"/>
      <c r="O26" s="915"/>
      <c r="P26" s="916"/>
      <c r="Q26" s="921"/>
      <c r="R26" s="922"/>
      <c r="S26" s="922"/>
      <c r="T26" s="922"/>
      <c r="U26" s="923"/>
      <c r="V26" s="356"/>
      <c r="W26" s="915"/>
      <c r="X26" s="916"/>
    </row>
    <row r="27" spans="1:24" s="5" customFormat="1" ht="13.5" customHeight="1">
      <c r="A27" s="914" t="s">
        <v>413</v>
      </c>
      <c r="B27" s="917" t="s">
        <v>28</v>
      </c>
      <c r="C27" s="915"/>
      <c r="D27" s="916"/>
      <c r="E27" s="921"/>
      <c r="F27" s="922"/>
      <c r="G27" s="922"/>
      <c r="H27" s="922"/>
      <c r="I27" s="923"/>
      <c r="J27" s="356"/>
      <c r="K27" s="915"/>
      <c r="L27" s="924"/>
      <c r="M27" s="938" t="s">
        <v>656</v>
      </c>
      <c r="N27" s="917" t="s">
        <v>29</v>
      </c>
      <c r="O27" s="915"/>
      <c r="P27" s="916"/>
      <c r="Q27" s="921"/>
      <c r="R27" s="922"/>
      <c r="S27" s="922"/>
      <c r="T27" s="922"/>
      <c r="U27" s="923"/>
      <c r="V27" s="356"/>
      <c r="W27" s="915"/>
      <c r="X27" s="916"/>
    </row>
    <row r="28" spans="1:24" s="5" customFormat="1" ht="13.5" customHeight="1">
      <c r="A28" s="914"/>
      <c r="B28" s="918"/>
      <c r="C28" s="915"/>
      <c r="D28" s="916"/>
      <c r="E28" s="921"/>
      <c r="F28" s="922"/>
      <c r="G28" s="922"/>
      <c r="H28" s="922"/>
      <c r="I28" s="923"/>
      <c r="J28" s="356"/>
      <c r="K28" s="915"/>
      <c r="L28" s="924"/>
      <c r="M28" s="938"/>
      <c r="N28" s="918"/>
      <c r="O28" s="915"/>
      <c r="P28" s="916"/>
      <c r="Q28" s="921"/>
      <c r="R28" s="922"/>
      <c r="S28" s="922"/>
      <c r="T28" s="922"/>
      <c r="U28" s="923"/>
      <c r="V28" s="356"/>
      <c r="W28" s="915"/>
      <c r="X28" s="916"/>
    </row>
    <row r="29" spans="1:24" s="5" customFormat="1" ht="13.5" customHeight="1">
      <c r="A29" s="914" t="s">
        <v>414</v>
      </c>
      <c r="B29" s="917" t="s">
        <v>29</v>
      </c>
      <c r="C29" s="915" t="s">
        <v>709</v>
      </c>
      <c r="D29" s="916"/>
      <c r="E29" s="921" t="s">
        <v>716</v>
      </c>
      <c r="F29" s="922"/>
      <c r="G29" s="922"/>
      <c r="H29" s="922"/>
      <c r="I29" s="923"/>
      <c r="J29" s="356" t="s">
        <v>711</v>
      </c>
      <c r="K29" s="915" t="s">
        <v>717</v>
      </c>
      <c r="L29" s="924"/>
      <c r="M29" s="938" t="s">
        <v>657</v>
      </c>
      <c r="N29" s="917" t="s">
        <v>30</v>
      </c>
      <c r="O29" s="915"/>
      <c r="P29" s="916"/>
      <c r="Q29" s="921"/>
      <c r="R29" s="922"/>
      <c r="S29" s="922"/>
      <c r="T29" s="922"/>
      <c r="U29" s="923"/>
      <c r="V29" s="356"/>
      <c r="W29" s="915"/>
      <c r="X29" s="916"/>
    </row>
    <row r="30" spans="1:24" s="5" customFormat="1" ht="13.5" customHeight="1">
      <c r="A30" s="914"/>
      <c r="B30" s="918"/>
      <c r="C30" s="915" t="s">
        <v>722</v>
      </c>
      <c r="D30" s="916"/>
      <c r="E30" s="921" t="s">
        <v>723</v>
      </c>
      <c r="F30" s="922"/>
      <c r="G30" s="922"/>
      <c r="H30" s="922"/>
      <c r="I30" s="923"/>
      <c r="J30" s="356" t="s">
        <v>711</v>
      </c>
      <c r="K30" s="915" t="s">
        <v>724</v>
      </c>
      <c r="L30" s="924"/>
      <c r="M30" s="938"/>
      <c r="N30" s="918"/>
      <c r="O30" s="915"/>
      <c r="P30" s="916"/>
      <c r="Q30" s="921"/>
      <c r="R30" s="922"/>
      <c r="S30" s="922"/>
      <c r="T30" s="922"/>
      <c r="U30" s="923"/>
      <c r="V30" s="356"/>
      <c r="W30" s="915"/>
      <c r="X30" s="916"/>
    </row>
    <row r="31" spans="1:24" s="5" customFormat="1" ht="13.5" customHeight="1">
      <c r="A31" s="914" t="s">
        <v>415</v>
      </c>
      <c r="B31" s="917" t="s">
        <v>30</v>
      </c>
      <c r="C31" s="915"/>
      <c r="D31" s="916"/>
      <c r="E31" s="921"/>
      <c r="F31" s="922"/>
      <c r="G31" s="922"/>
      <c r="H31" s="922"/>
      <c r="I31" s="923"/>
      <c r="J31" s="356"/>
      <c r="K31" s="915"/>
      <c r="L31" s="924"/>
      <c r="M31" s="938" t="s">
        <v>658</v>
      </c>
      <c r="N31" s="917" t="s">
        <v>31</v>
      </c>
      <c r="O31" s="915"/>
      <c r="P31" s="916"/>
      <c r="Q31" s="921"/>
      <c r="R31" s="922"/>
      <c r="S31" s="922"/>
      <c r="T31" s="922"/>
      <c r="U31" s="923"/>
      <c r="V31" s="356"/>
      <c r="W31" s="915"/>
      <c r="X31" s="916"/>
    </row>
    <row r="32" spans="1:24" s="5" customFormat="1" ht="13.5" customHeight="1">
      <c r="A32" s="914"/>
      <c r="B32" s="918"/>
      <c r="C32" s="915"/>
      <c r="D32" s="916"/>
      <c r="E32" s="921"/>
      <c r="F32" s="922"/>
      <c r="G32" s="922"/>
      <c r="H32" s="922"/>
      <c r="I32" s="923"/>
      <c r="J32" s="356"/>
      <c r="K32" s="915"/>
      <c r="L32" s="924"/>
      <c r="M32" s="938"/>
      <c r="N32" s="918"/>
      <c r="O32" s="915"/>
      <c r="P32" s="916"/>
      <c r="Q32" s="921"/>
      <c r="R32" s="922"/>
      <c r="S32" s="922"/>
      <c r="T32" s="922"/>
      <c r="U32" s="923"/>
      <c r="V32" s="356"/>
      <c r="W32" s="915"/>
      <c r="X32" s="916"/>
    </row>
    <row r="33" spans="1:24" s="5" customFormat="1" ht="13.5" customHeight="1">
      <c r="A33" s="914" t="s">
        <v>416</v>
      </c>
      <c r="B33" s="917" t="s">
        <v>31</v>
      </c>
      <c r="C33" s="915"/>
      <c r="D33" s="916"/>
      <c r="E33" s="921"/>
      <c r="F33" s="922"/>
      <c r="G33" s="922"/>
      <c r="H33" s="922"/>
      <c r="I33" s="923"/>
      <c r="J33" s="356"/>
      <c r="K33" s="915"/>
      <c r="L33" s="924"/>
      <c r="M33" s="938">
        <v>29</v>
      </c>
      <c r="N33" s="917" t="s">
        <v>32</v>
      </c>
      <c r="O33" s="915"/>
      <c r="P33" s="916"/>
      <c r="Q33" s="921"/>
      <c r="R33" s="922"/>
      <c r="S33" s="922"/>
      <c r="T33" s="922"/>
      <c r="U33" s="923"/>
      <c r="V33" s="356"/>
      <c r="W33" s="915"/>
      <c r="X33" s="916"/>
    </row>
    <row r="34" spans="1:24" s="5" customFormat="1" ht="13.5" customHeight="1">
      <c r="A34" s="914"/>
      <c r="B34" s="918"/>
      <c r="C34" s="915"/>
      <c r="D34" s="916"/>
      <c r="E34" s="921"/>
      <c r="F34" s="922"/>
      <c r="G34" s="922"/>
      <c r="H34" s="922"/>
      <c r="I34" s="923"/>
      <c r="J34" s="356"/>
      <c r="K34" s="915"/>
      <c r="L34" s="924"/>
      <c r="M34" s="938"/>
      <c r="N34" s="918"/>
      <c r="O34" s="915"/>
      <c r="P34" s="916"/>
      <c r="Q34" s="921"/>
      <c r="R34" s="922"/>
      <c r="S34" s="922"/>
      <c r="T34" s="922"/>
      <c r="U34" s="923"/>
      <c r="V34" s="356"/>
      <c r="W34" s="915"/>
      <c r="X34" s="916"/>
    </row>
    <row r="35" spans="1:24" s="5" customFormat="1" ht="13.5" customHeight="1">
      <c r="A35" s="914" t="s">
        <v>417</v>
      </c>
      <c r="B35" s="917" t="s">
        <v>32</v>
      </c>
      <c r="C35" s="915" t="s">
        <v>423</v>
      </c>
      <c r="D35" s="916"/>
      <c r="E35" s="921" t="s">
        <v>660</v>
      </c>
      <c r="F35" s="922"/>
      <c r="G35" s="922"/>
      <c r="H35" s="922"/>
      <c r="I35" s="923"/>
      <c r="J35" s="356" t="s">
        <v>419</v>
      </c>
      <c r="K35" s="915" t="s">
        <v>661</v>
      </c>
      <c r="L35" s="924"/>
      <c r="M35" s="938">
        <v>30</v>
      </c>
      <c r="N35" s="917" t="s">
        <v>10</v>
      </c>
      <c r="O35" s="915"/>
      <c r="P35" s="916"/>
      <c r="Q35" s="921"/>
      <c r="R35" s="922"/>
      <c r="S35" s="922"/>
      <c r="T35" s="922"/>
      <c r="U35" s="923"/>
      <c r="V35" s="356"/>
      <c r="W35" s="915"/>
      <c r="X35" s="916"/>
    </row>
    <row r="36" spans="1:24" s="5" customFormat="1" ht="13.5" customHeight="1">
      <c r="A36" s="914"/>
      <c r="B36" s="918"/>
      <c r="C36" s="915"/>
      <c r="D36" s="916"/>
      <c r="E36" s="921"/>
      <c r="F36" s="922"/>
      <c r="G36" s="922"/>
      <c r="H36" s="922"/>
      <c r="I36" s="923"/>
      <c r="J36" s="356"/>
      <c r="K36" s="915"/>
      <c r="L36" s="924"/>
      <c r="M36" s="938"/>
      <c r="N36" s="918"/>
      <c r="O36" s="915"/>
      <c r="P36" s="916"/>
      <c r="Q36" s="921"/>
      <c r="R36" s="922"/>
      <c r="S36" s="922"/>
      <c r="T36" s="922"/>
      <c r="U36" s="923"/>
      <c r="V36" s="356"/>
      <c r="W36" s="915"/>
      <c r="X36" s="916"/>
    </row>
    <row r="37" spans="1:24" s="5" customFormat="1" ht="13.5" customHeight="1">
      <c r="A37" s="914"/>
      <c r="B37" s="939"/>
      <c r="C37" s="915"/>
      <c r="D37" s="916"/>
      <c r="E37" s="921"/>
      <c r="F37" s="922"/>
      <c r="G37" s="922"/>
      <c r="H37" s="922"/>
      <c r="I37" s="923"/>
      <c r="J37" s="356"/>
      <c r="K37" s="915"/>
      <c r="L37" s="924"/>
      <c r="M37" s="938"/>
      <c r="N37" s="917"/>
      <c r="O37" s="915"/>
      <c r="P37" s="916"/>
      <c r="Q37" s="921"/>
      <c r="R37" s="922"/>
      <c r="S37" s="922"/>
      <c r="T37" s="922"/>
      <c r="U37" s="923"/>
      <c r="V37" s="356"/>
      <c r="W37" s="957"/>
      <c r="X37" s="916"/>
    </row>
    <row r="38" spans="1:24" s="5" customFormat="1" ht="13.5" customHeight="1">
      <c r="A38" s="914"/>
      <c r="B38" s="940"/>
      <c r="C38" s="915"/>
      <c r="D38" s="916"/>
      <c r="E38" s="921"/>
      <c r="F38" s="922"/>
      <c r="G38" s="922"/>
      <c r="H38" s="922"/>
      <c r="I38" s="923"/>
      <c r="J38" s="356"/>
      <c r="K38" s="915"/>
      <c r="L38" s="924"/>
      <c r="M38" s="938"/>
      <c r="N38" s="918"/>
      <c r="O38" s="915"/>
      <c r="P38" s="916"/>
      <c r="Q38" s="921"/>
      <c r="R38" s="922"/>
      <c r="S38" s="922"/>
      <c r="T38" s="922"/>
      <c r="U38" s="923"/>
      <c r="V38" s="356"/>
      <c r="W38" s="915"/>
      <c r="X38" s="916"/>
    </row>
    <row r="39" spans="1:24" s="5" customFormat="1" ht="14.1" customHeight="1">
      <c r="A39" s="934"/>
      <c r="B39" s="935"/>
      <c r="C39" s="936"/>
      <c r="D39" s="937"/>
      <c r="E39" s="943"/>
      <c r="F39" s="944"/>
      <c r="G39" s="944"/>
      <c r="H39" s="944"/>
      <c r="I39" s="945"/>
      <c r="J39" s="379"/>
      <c r="K39" s="950"/>
      <c r="L39" s="950"/>
      <c r="M39" s="953"/>
      <c r="N39" s="951"/>
      <c r="O39" s="915"/>
      <c r="P39" s="916"/>
      <c r="Q39" s="921"/>
      <c r="R39" s="922"/>
      <c r="S39" s="922"/>
      <c r="T39" s="922"/>
      <c r="U39" s="923"/>
      <c r="V39" s="356"/>
      <c r="W39" s="915"/>
      <c r="X39" s="916"/>
    </row>
    <row r="40" spans="1:24" s="5" customFormat="1" ht="14.1" customHeight="1">
      <c r="A40" s="934"/>
      <c r="B40" s="935"/>
      <c r="C40" s="941"/>
      <c r="D40" s="942"/>
      <c r="E40" s="946"/>
      <c r="F40" s="947"/>
      <c r="G40" s="947"/>
      <c r="H40" s="947"/>
      <c r="I40" s="948"/>
      <c r="J40" s="336"/>
      <c r="K40" s="949"/>
      <c r="L40" s="949"/>
      <c r="M40" s="954"/>
      <c r="N40" s="952"/>
      <c r="O40" s="915"/>
      <c r="P40" s="916"/>
      <c r="Q40" s="921"/>
      <c r="R40" s="922"/>
      <c r="S40" s="922"/>
      <c r="T40" s="922"/>
      <c r="U40" s="923"/>
      <c r="V40" s="356"/>
      <c r="W40" s="955"/>
      <c r="X40" s="956"/>
    </row>
    <row r="41" spans="1:24" s="5" customFormat="1" ht="14.1" customHeight="1">
      <c r="A41" s="83" t="s">
        <v>53</v>
      </c>
      <c r="B41" s="84"/>
      <c r="C41" s="84"/>
      <c r="D41" s="84"/>
      <c r="E41" s="84"/>
      <c r="F41" s="84"/>
      <c r="G41" s="84"/>
      <c r="H41" s="84"/>
      <c r="I41" s="84"/>
      <c r="J41" s="84"/>
      <c r="K41" s="84"/>
      <c r="L41" s="84"/>
      <c r="M41" s="84"/>
      <c r="N41" s="84"/>
      <c r="O41" s="84"/>
      <c r="P41" s="84"/>
      <c r="Q41" s="84"/>
      <c r="R41" s="84"/>
      <c r="S41" s="84"/>
      <c r="T41" s="84"/>
      <c r="U41" s="84"/>
      <c r="V41" s="84"/>
      <c r="W41" s="84"/>
      <c r="X41" s="85"/>
    </row>
    <row r="42" spans="1:24" s="5" customFormat="1" ht="14.1" customHeight="1">
      <c r="A42" s="959" t="s">
        <v>399</v>
      </c>
      <c r="B42" s="960"/>
      <c r="C42" s="960"/>
      <c r="D42" s="960"/>
      <c r="E42" s="960"/>
      <c r="F42" s="960"/>
      <c r="G42" s="960"/>
      <c r="H42" s="960"/>
      <c r="I42" s="960"/>
      <c r="J42" s="960"/>
      <c r="K42" s="960"/>
      <c r="L42" s="960"/>
      <c r="M42" s="960"/>
      <c r="N42" s="960"/>
      <c r="O42" s="960"/>
      <c r="P42" s="960"/>
      <c r="Q42" s="960"/>
      <c r="R42" s="960"/>
      <c r="S42" s="960"/>
      <c r="T42" s="960"/>
      <c r="U42" s="960"/>
      <c r="V42" s="960"/>
      <c r="W42" s="960"/>
      <c r="X42" s="961"/>
    </row>
    <row r="43" spans="1:24" s="5" customFormat="1" ht="14.1" customHeight="1">
      <c r="A43" s="86"/>
      <c r="B43" s="87"/>
      <c r="C43" s="87"/>
      <c r="D43" s="87"/>
      <c r="E43" s="87"/>
      <c r="F43" s="87"/>
      <c r="G43" s="87"/>
      <c r="H43" s="87"/>
      <c r="I43" s="87"/>
      <c r="J43" s="87"/>
      <c r="K43" s="87"/>
      <c r="L43" s="87"/>
      <c r="M43" s="87"/>
      <c r="N43" s="87"/>
      <c r="O43" s="87"/>
      <c r="P43" s="87"/>
      <c r="Q43" s="87"/>
      <c r="R43" s="87"/>
      <c r="S43" s="87"/>
      <c r="T43" s="87"/>
      <c r="U43" s="87"/>
      <c r="V43" s="87"/>
      <c r="W43" s="87"/>
      <c r="X43" s="88"/>
    </row>
    <row r="44" spans="1:24" s="5" customFormat="1" ht="14.1" customHeight="1">
      <c r="A44" s="86"/>
      <c r="B44" s="87"/>
      <c r="C44" s="87"/>
      <c r="D44" s="87"/>
      <c r="E44" s="87"/>
      <c r="F44" s="87"/>
      <c r="G44" s="87"/>
      <c r="H44" s="87"/>
      <c r="I44" s="87"/>
      <c r="J44" s="87"/>
      <c r="K44" s="87"/>
      <c r="L44" s="87"/>
      <c r="M44" s="87"/>
      <c r="N44" s="87"/>
      <c r="O44" s="87"/>
      <c r="P44" s="87"/>
      <c r="Q44" s="87"/>
      <c r="R44" s="87"/>
      <c r="S44" s="87"/>
      <c r="T44" s="87"/>
      <c r="U44" s="87"/>
      <c r="V44" s="87"/>
      <c r="W44" s="87"/>
      <c r="X44" s="88"/>
    </row>
    <row r="45" spans="1:24" s="5" customFormat="1" ht="14.1" customHeight="1">
      <c r="A45" s="86"/>
      <c r="B45" s="87"/>
      <c r="C45" s="87"/>
      <c r="D45" s="87"/>
      <c r="E45" s="87"/>
      <c r="F45" s="87"/>
      <c r="G45" s="87"/>
      <c r="H45" s="87"/>
      <c r="I45" s="87"/>
      <c r="J45" s="87"/>
      <c r="K45" s="87"/>
      <c r="L45" s="87"/>
      <c r="M45" s="87"/>
      <c r="N45" s="87"/>
      <c r="O45" s="87"/>
      <c r="P45" s="87"/>
      <c r="Q45" s="87"/>
      <c r="R45" s="87"/>
      <c r="S45" s="87"/>
      <c r="T45" s="87"/>
      <c r="U45" s="87"/>
      <c r="V45" s="87"/>
      <c r="W45" s="87"/>
      <c r="X45" s="88"/>
    </row>
    <row r="46" spans="1:24" s="5" customFormat="1" ht="14.1" customHeight="1">
      <c r="A46" s="86"/>
      <c r="B46" s="87"/>
      <c r="C46" s="87"/>
      <c r="D46" s="87"/>
      <c r="E46" s="87"/>
      <c r="F46" s="87"/>
      <c r="G46" s="87"/>
      <c r="H46" s="87"/>
      <c r="I46" s="87"/>
      <c r="J46" s="87"/>
      <c r="K46" s="87"/>
      <c r="L46" s="87"/>
      <c r="M46" s="87"/>
      <c r="N46" s="87"/>
      <c r="O46" s="87"/>
      <c r="P46" s="87"/>
      <c r="Q46" s="87"/>
      <c r="R46" s="87"/>
      <c r="S46" s="87"/>
      <c r="T46" s="87"/>
      <c r="U46" s="87"/>
      <c r="V46" s="87"/>
      <c r="W46" s="87"/>
      <c r="X46" s="88"/>
    </row>
    <row r="47" spans="1:24" s="5" customFormat="1" ht="14.1" customHeight="1">
      <c r="A47" s="86"/>
      <c r="B47" s="87"/>
      <c r="C47" s="87"/>
      <c r="D47" s="87"/>
      <c r="E47" s="87"/>
      <c r="F47" s="87"/>
      <c r="G47" s="87"/>
      <c r="H47" s="87"/>
      <c r="I47" s="87"/>
      <c r="J47" s="87"/>
      <c r="K47" s="87"/>
      <c r="L47" s="87"/>
      <c r="M47" s="87"/>
      <c r="N47" s="87"/>
      <c r="O47" s="87"/>
      <c r="P47" s="87"/>
      <c r="Q47" s="87"/>
      <c r="R47" s="87"/>
      <c r="S47" s="87"/>
      <c r="T47" s="87"/>
      <c r="U47" s="87"/>
      <c r="V47" s="87"/>
      <c r="W47" s="87"/>
      <c r="X47" s="88"/>
    </row>
    <row r="48" spans="1:24" s="5" customFormat="1" ht="14.1" customHeight="1">
      <c r="A48" s="86"/>
      <c r="B48" s="87"/>
      <c r="C48" s="87"/>
      <c r="D48" s="87"/>
      <c r="E48" s="87"/>
      <c r="F48" s="87"/>
      <c r="G48" s="87"/>
      <c r="H48" s="87"/>
      <c r="I48" s="87"/>
      <c r="J48" s="87"/>
      <c r="K48" s="87"/>
      <c r="L48" s="87"/>
      <c r="M48" s="87"/>
      <c r="N48" s="87"/>
      <c r="O48" s="87"/>
      <c r="P48" s="87"/>
      <c r="Q48" s="87"/>
      <c r="R48" s="87"/>
      <c r="S48" s="87"/>
      <c r="T48" s="87"/>
      <c r="U48" s="87"/>
      <c r="V48" s="87"/>
      <c r="W48" s="87"/>
      <c r="X48" s="88"/>
    </row>
    <row r="49" spans="1:24" s="5" customFormat="1" ht="14.1" customHeight="1">
      <c r="A49" s="86"/>
      <c r="B49" s="87"/>
      <c r="C49" s="87"/>
      <c r="D49" s="87"/>
      <c r="E49" s="87"/>
      <c r="F49" s="87"/>
      <c r="G49" s="87"/>
      <c r="H49" s="87"/>
      <c r="I49" s="87"/>
      <c r="J49" s="87"/>
      <c r="K49" s="87"/>
      <c r="L49" s="87"/>
      <c r="M49" s="87"/>
      <c r="N49" s="87"/>
      <c r="O49" s="87"/>
      <c r="P49" s="87"/>
      <c r="Q49" s="87"/>
      <c r="R49" s="87"/>
      <c r="S49" s="87"/>
      <c r="T49" s="87"/>
      <c r="U49" s="87"/>
      <c r="V49" s="87"/>
      <c r="W49" s="87"/>
      <c r="X49" s="88"/>
    </row>
    <row r="50" spans="1:24" s="5" customFormat="1" ht="14.1" customHeight="1">
      <c r="A50" s="89"/>
      <c r="B50" s="90"/>
      <c r="C50" s="90"/>
      <c r="D50" s="90"/>
      <c r="E50" s="90"/>
      <c r="F50" s="90"/>
      <c r="G50" s="90"/>
      <c r="H50" s="90"/>
      <c r="I50" s="90"/>
      <c r="J50" s="90"/>
      <c r="K50" s="90"/>
      <c r="L50" s="90"/>
      <c r="M50" s="90"/>
      <c r="N50" s="90"/>
      <c r="O50" s="90"/>
      <c r="P50" s="90"/>
      <c r="Q50" s="90"/>
      <c r="R50" s="90"/>
      <c r="S50" s="90"/>
      <c r="T50" s="90"/>
      <c r="U50" s="90"/>
      <c r="V50" s="90"/>
      <c r="W50" s="90"/>
      <c r="X50" s="91"/>
    </row>
    <row r="51" spans="1:24" s="5" customFormat="1" ht="14.1" customHeight="1">
      <c r="J51" s="82"/>
      <c r="V51" s="82"/>
    </row>
    <row r="52" spans="1:24" s="5" customFormat="1" ht="14.1" customHeight="1">
      <c r="J52" s="82"/>
      <c r="V52" s="82"/>
    </row>
    <row r="53" spans="1:24" s="5" customFormat="1" ht="14.1" customHeight="1">
      <c r="J53" s="82"/>
      <c r="V53" s="82"/>
    </row>
  </sheetData>
  <mergeCells count="280">
    <mergeCell ref="M7:M8"/>
    <mergeCell ref="N7:N8"/>
    <mergeCell ref="M9:M10"/>
    <mergeCell ref="M11:M12"/>
    <mergeCell ref="A42:X42"/>
    <mergeCell ref="O24:P24"/>
    <mergeCell ref="O25:P25"/>
    <mergeCell ref="M27:M28"/>
    <mergeCell ref="M21:M22"/>
    <mergeCell ref="N21:N22"/>
    <mergeCell ref="M25:M26"/>
    <mergeCell ref="N25:N26"/>
    <mergeCell ref="O27:P27"/>
    <mergeCell ref="O28:P28"/>
    <mergeCell ref="O23:P23"/>
    <mergeCell ref="K24:L24"/>
    <mergeCell ref="Q9:U9"/>
    <mergeCell ref="O10:P10"/>
    <mergeCell ref="Q16:U16"/>
    <mergeCell ref="N9:N10"/>
    <mergeCell ref="N11:N12"/>
    <mergeCell ref="W17:X17"/>
    <mergeCell ref="W18:X18"/>
    <mergeCell ref="O9:P9"/>
    <mergeCell ref="Q13:U13"/>
    <mergeCell ref="Q11:U11"/>
    <mergeCell ref="N13:N14"/>
    <mergeCell ref="N17:N18"/>
    <mergeCell ref="O11:P11"/>
    <mergeCell ref="O12:P12"/>
    <mergeCell ref="Q24:U24"/>
    <mergeCell ref="N23:N24"/>
    <mergeCell ref="O30:P30"/>
    <mergeCell ref="W15:X15"/>
    <mergeCell ref="W16:X16"/>
    <mergeCell ref="N29:N30"/>
    <mergeCell ref="O29:P29"/>
    <mergeCell ref="E27:I27"/>
    <mergeCell ref="M23:M24"/>
    <mergeCell ref="M19:M20"/>
    <mergeCell ref="M17:M18"/>
    <mergeCell ref="O16:P16"/>
    <mergeCell ref="E20:I20"/>
    <mergeCell ref="E19:I19"/>
    <mergeCell ref="K21:L21"/>
    <mergeCell ref="K15:L15"/>
    <mergeCell ref="K16:L16"/>
    <mergeCell ref="E18:I18"/>
    <mergeCell ref="E16:I16"/>
    <mergeCell ref="K20:L20"/>
    <mergeCell ref="O22:P22"/>
    <mergeCell ref="O15:P15"/>
    <mergeCell ref="K18:L18"/>
    <mergeCell ref="K19:L19"/>
    <mergeCell ref="B33:B34"/>
    <mergeCell ref="W27:X27"/>
    <mergeCell ref="Q29:U29"/>
    <mergeCell ref="K27:L27"/>
    <mergeCell ref="W25:X25"/>
    <mergeCell ref="W26:X26"/>
    <mergeCell ref="W28:X28"/>
    <mergeCell ref="C33:D33"/>
    <mergeCell ref="C34:D34"/>
    <mergeCell ref="E34:I34"/>
    <mergeCell ref="E32:I32"/>
    <mergeCell ref="K31:L31"/>
    <mergeCell ref="E25:I25"/>
    <mergeCell ref="C32:D32"/>
    <mergeCell ref="M13:M14"/>
    <mergeCell ref="W37:X37"/>
    <mergeCell ref="W29:X29"/>
    <mergeCell ref="W32:X32"/>
    <mergeCell ref="W33:X33"/>
    <mergeCell ref="W31:X31"/>
    <mergeCell ref="W30:X30"/>
    <mergeCell ref="W34:X34"/>
    <mergeCell ref="W35:X35"/>
    <mergeCell ref="M15:M16"/>
    <mergeCell ref="N15:N16"/>
    <mergeCell ref="Q26:U26"/>
    <mergeCell ref="Q25:U25"/>
    <mergeCell ref="N27:N28"/>
    <mergeCell ref="Q33:U33"/>
    <mergeCell ref="N31:N32"/>
    <mergeCell ref="Q32:U32"/>
    <mergeCell ref="Q31:U31"/>
    <mergeCell ref="Q30:U30"/>
    <mergeCell ref="O21:P21"/>
    <mergeCell ref="O32:P32"/>
    <mergeCell ref="M31:M32"/>
    <mergeCell ref="M29:M30"/>
    <mergeCell ref="N19:N20"/>
    <mergeCell ref="O6:P6"/>
    <mergeCell ref="W13:X13"/>
    <mergeCell ref="W23:X23"/>
    <mergeCell ref="Q20:U20"/>
    <mergeCell ref="O20:P20"/>
    <mergeCell ref="W6:X6"/>
    <mergeCell ref="W10:X10"/>
    <mergeCell ref="Q7:U7"/>
    <mergeCell ref="W7:X7"/>
    <mergeCell ref="Q10:U10"/>
    <mergeCell ref="Q8:U8"/>
    <mergeCell ref="Q12:U12"/>
    <mergeCell ref="W8:X8"/>
    <mergeCell ref="W9:X9"/>
    <mergeCell ref="Q6:U6"/>
    <mergeCell ref="W12:X12"/>
    <mergeCell ref="W11:X11"/>
    <mergeCell ref="O7:P7"/>
    <mergeCell ref="W19:X19"/>
    <mergeCell ref="Q22:U22"/>
    <mergeCell ref="W21:X21"/>
    <mergeCell ref="W22:X22"/>
    <mergeCell ref="Q14:U14"/>
    <mergeCell ref="Q18:U18"/>
    <mergeCell ref="W40:X40"/>
    <mergeCell ref="W39:X39"/>
    <mergeCell ref="O40:P40"/>
    <mergeCell ref="O8:P8"/>
    <mergeCell ref="O13:P13"/>
    <mergeCell ref="O14:P14"/>
    <mergeCell ref="W14:X14"/>
    <mergeCell ref="Q17:U17"/>
    <mergeCell ref="O19:P19"/>
    <mergeCell ref="Q19:U19"/>
    <mergeCell ref="O38:P38"/>
    <mergeCell ref="O26:P26"/>
    <mergeCell ref="O17:P17"/>
    <mergeCell ref="O18:P18"/>
    <mergeCell ref="O31:P31"/>
    <mergeCell ref="W20:X20"/>
    <mergeCell ref="Q21:U21"/>
    <mergeCell ref="Q23:U23"/>
    <mergeCell ref="Q15:U15"/>
    <mergeCell ref="W24:X24"/>
    <mergeCell ref="Q28:U28"/>
    <mergeCell ref="W38:X38"/>
    <mergeCell ref="W36:X36"/>
    <mergeCell ref="Q27:U27"/>
    <mergeCell ref="E40:I40"/>
    <mergeCell ref="K40:L40"/>
    <mergeCell ref="Q37:U37"/>
    <mergeCell ref="N35:N36"/>
    <mergeCell ref="O37:P37"/>
    <mergeCell ref="Q35:U35"/>
    <mergeCell ref="K39:L39"/>
    <mergeCell ref="O36:P36"/>
    <mergeCell ref="O33:P33"/>
    <mergeCell ref="O34:P34"/>
    <mergeCell ref="Q36:U36"/>
    <mergeCell ref="O35:P35"/>
    <mergeCell ref="Q34:U34"/>
    <mergeCell ref="M35:M36"/>
    <mergeCell ref="O39:P39"/>
    <mergeCell ref="K33:L33"/>
    <mergeCell ref="N39:N40"/>
    <mergeCell ref="N33:N34"/>
    <mergeCell ref="M39:M40"/>
    <mergeCell ref="Q40:U40"/>
    <mergeCell ref="Q39:U39"/>
    <mergeCell ref="Q38:U38"/>
    <mergeCell ref="N37:N38"/>
    <mergeCell ref="A39:A40"/>
    <mergeCell ref="B39:B40"/>
    <mergeCell ref="C39:D39"/>
    <mergeCell ref="M33:M34"/>
    <mergeCell ref="M37:M38"/>
    <mergeCell ref="A33:A34"/>
    <mergeCell ref="A37:A38"/>
    <mergeCell ref="E38:I38"/>
    <mergeCell ref="K38:L38"/>
    <mergeCell ref="C38:D38"/>
    <mergeCell ref="C37:D37"/>
    <mergeCell ref="E36:I36"/>
    <mergeCell ref="B37:B38"/>
    <mergeCell ref="A35:A36"/>
    <mergeCell ref="C35:D35"/>
    <mergeCell ref="E35:I35"/>
    <mergeCell ref="C36:D36"/>
    <mergeCell ref="C40:D40"/>
    <mergeCell ref="E39:I39"/>
    <mergeCell ref="K35:L35"/>
    <mergeCell ref="K36:L36"/>
    <mergeCell ref="K37:L37"/>
    <mergeCell ref="E37:I37"/>
    <mergeCell ref="B35:B36"/>
    <mergeCell ref="A7:A8"/>
    <mergeCell ref="B7:B8"/>
    <mergeCell ref="B13:B14"/>
    <mergeCell ref="K6:L6"/>
    <mergeCell ref="K34:L34"/>
    <mergeCell ref="E29:I29"/>
    <mergeCell ref="K25:L25"/>
    <mergeCell ref="C27:D27"/>
    <mergeCell ref="K28:L28"/>
    <mergeCell ref="E30:I30"/>
    <mergeCell ref="K26:L26"/>
    <mergeCell ref="C24:D24"/>
    <mergeCell ref="C20:D20"/>
    <mergeCell ref="K12:L12"/>
    <mergeCell ref="K10:L10"/>
    <mergeCell ref="K9:L9"/>
    <mergeCell ref="E31:I31"/>
    <mergeCell ref="E33:I33"/>
    <mergeCell ref="K32:L32"/>
    <mergeCell ref="E28:I28"/>
    <mergeCell ref="C7:D7"/>
    <mergeCell ref="E7:I7"/>
    <mergeCell ref="K7:L7"/>
    <mergeCell ref="C8:D8"/>
    <mergeCell ref="E8:I8"/>
    <mergeCell ref="K8:L8"/>
    <mergeCell ref="A4:F4"/>
    <mergeCell ref="C15:D15"/>
    <mergeCell ref="E6:I6"/>
    <mergeCell ref="C6:D6"/>
    <mergeCell ref="A11:A12"/>
    <mergeCell ref="B11:B12"/>
    <mergeCell ref="E15:I15"/>
    <mergeCell ref="C14:D14"/>
    <mergeCell ref="C13:D13"/>
    <mergeCell ref="E9:I9"/>
    <mergeCell ref="E14:I14"/>
    <mergeCell ref="A15:A16"/>
    <mergeCell ref="A13:A14"/>
    <mergeCell ref="E10:I10"/>
    <mergeCell ref="C9:D9"/>
    <mergeCell ref="C10:D10"/>
    <mergeCell ref="A9:A10"/>
    <mergeCell ref="B9:B10"/>
    <mergeCell ref="K11:L11"/>
    <mergeCell ref="K13:L13"/>
    <mergeCell ref="C11:D11"/>
    <mergeCell ref="E11:I11"/>
    <mergeCell ref="K14:L14"/>
    <mergeCell ref="K17:L17"/>
    <mergeCell ref="B21:B22"/>
    <mergeCell ref="C31:D31"/>
    <mergeCell ref="B15:B16"/>
    <mergeCell ref="K29:L29"/>
    <mergeCell ref="K30:L30"/>
    <mergeCell ref="E22:I22"/>
    <mergeCell ref="E23:I23"/>
    <mergeCell ref="K22:L22"/>
    <mergeCell ref="K23:L23"/>
    <mergeCell ref="E17:I17"/>
    <mergeCell ref="E21:I21"/>
    <mergeCell ref="C17:D17"/>
    <mergeCell ref="C18:D18"/>
    <mergeCell ref="C12:D12"/>
    <mergeCell ref="E12:I12"/>
    <mergeCell ref="C23:D23"/>
    <mergeCell ref="C22:D22"/>
    <mergeCell ref="E24:I24"/>
    <mergeCell ref="E26:I26"/>
    <mergeCell ref="C29:D29"/>
    <mergeCell ref="C30:D30"/>
    <mergeCell ref="C21:D21"/>
    <mergeCell ref="E13:I13"/>
    <mergeCell ref="A23:A24"/>
    <mergeCell ref="A29:A30"/>
    <mergeCell ref="A31:A32"/>
    <mergeCell ref="A27:A28"/>
    <mergeCell ref="C16:D16"/>
    <mergeCell ref="B31:B32"/>
    <mergeCell ref="C25:D25"/>
    <mergeCell ref="C19:D19"/>
    <mergeCell ref="B25:B26"/>
    <mergeCell ref="B27:B28"/>
    <mergeCell ref="B29:B30"/>
    <mergeCell ref="A17:A18"/>
    <mergeCell ref="B17:B18"/>
    <mergeCell ref="A25:A26"/>
    <mergeCell ref="C26:D26"/>
    <mergeCell ref="B23:B24"/>
    <mergeCell ref="C28:D28"/>
    <mergeCell ref="A21:A22"/>
    <mergeCell ref="A19:A20"/>
    <mergeCell ref="B19:B20"/>
  </mergeCells>
  <phoneticPr fontId="7"/>
  <dataValidations count="1">
    <dataValidation type="list" allowBlank="1" showInputMessage="1" showErrorMessage="1" sqref="B7 N37 B9 B11 B13 B15 B17 B19 B21 B23 B25 B27 B29 B31 B33 B35 N7 N9 N11 N13 N15 N17 N19 N21 N23 N25 N27 N29 N31 N33 N35" xr:uid="{00000000-0002-0000-0300-000000000000}">
      <formula1>"日,月,火,水,木,金,土"</formula1>
    </dataValidation>
  </dataValidations>
  <pageMargins left="0.78740157480314965" right="0.78740157480314965" top="0.98425196850393704" bottom="0.98425196850393704" header="0.51181102362204722" footer="0.51181102362204722"/>
  <pageSetup paperSize="9" scale="60" orientation="landscape" cellComments="asDisplayed" r:id="rId1"/>
  <headerFooter alignWithMargins="0"/>
  <rowBreaks count="1" manualBreakCount="1">
    <brk id="14" max="16383" man="1"/>
  </rowBreaks>
  <colBreaks count="1" manualBreakCount="1">
    <brk id="4" max="1048575" man="1"/>
  </colBreak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X43"/>
  <sheetViews>
    <sheetView view="pageBreakPreview" topLeftCell="A5" zoomScale="80" zoomScaleNormal="90" zoomScaleSheetLayoutView="80" workbookViewId="0">
      <selection activeCell="E14" sqref="E14:J14"/>
    </sheetView>
  </sheetViews>
  <sheetFormatPr defaultColWidth="9" defaultRowHeight="13.2"/>
  <cols>
    <col min="1" max="12" width="9" style="3"/>
    <col min="13" max="13" width="9.44140625" style="3" bestFit="1" customWidth="1"/>
    <col min="14" max="16384" width="9" style="3"/>
  </cols>
  <sheetData>
    <row r="1" spans="1:24" ht="24" thickBot="1">
      <c r="A1" s="873" t="s">
        <v>23</v>
      </c>
      <c r="B1" s="874"/>
      <c r="C1" s="1"/>
      <c r="D1" s="1"/>
      <c r="E1" s="1"/>
      <c r="F1" s="1"/>
      <c r="G1" s="1"/>
      <c r="H1" s="1"/>
      <c r="I1" s="2"/>
      <c r="J1" s="335"/>
      <c r="K1" s="1"/>
      <c r="L1" s="1"/>
      <c r="M1" s="1"/>
      <c r="N1" s="1"/>
      <c r="O1" s="1"/>
      <c r="P1" s="1"/>
      <c r="Q1" s="1"/>
      <c r="R1" s="1"/>
      <c r="S1" s="1"/>
      <c r="T1" s="1"/>
      <c r="U1" s="1"/>
      <c r="V1" s="1"/>
      <c r="W1" s="1"/>
      <c r="X1" s="1"/>
    </row>
    <row r="2" spans="1:24" ht="17.25" customHeight="1" thickTop="1">
      <c r="A2" s="876"/>
      <c r="B2" s="877"/>
      <c r="I2" s="4"/>
    </row>
    <row r="3" spans="1:24" ht="17.25" customHeight="1">
      <c r="A3" s="876"/>
      <c r="B3" s="877"/>
      <c r="I3" s="4"/>
      <c r="O3"/>
    </row>
    <row r="4" spans="1:24" s="5" customFormat="1" ht="18" customHeight="1">
      <c r="A4" s="925" t="s">
        <v>68</v>
      </c>
      <c r="B4" s="926"/>
      <c r="C4" s="926"/>
      <c r="D4" s="926"/>
      <c r="E4" s="926"/>
      <c r="F4" s="927"/>
    </row>
    <row r="5" spans="1:24" s="5" customFormat="1" ht="14.1" customHeight="1"/>
    <row r="6" spans="1:24" s="7" customFormat="1" ht="14.1" customHeight="1">
      <c r="A6" s="6" t="s">
        <v>5</v>
      </c>
      <c r="B6" s="6" t="s">
        <v>6</v>
      </c>
      <c r="C6" s="928" t="s">
        <v>7</v>
      </c>
      <c r="D6" s="930"/>
      <c r="E6" s="928" t="s">
        <v>8</v>
      </c>
      <c r="F6" s="929"/>
      <c r="G6" s="929"/>
      <c r="H6" s="929"/>
      <c r="I6" s="929"/>
      <c r="J6" s="930"/>
      <c r="K6" s="928" t="s">
        <v>9</v>
      </c>
      <c r="L6" s="967"/>
      <c r="M6" s="355" t="s">
        <v>5</v>
      </c>
      <c r="N6" s="6" t="s">
        <v>6</v>
      </c>
      <c r="O6" s="928" t="s">
        <v>7</v>
      </c>
      <c r="P6" s="930"/>
      <c r="Q6" s="928" t="s">
        <v>8</v>
      </c>
      <c r="R6" s="929"/>
      <c r="S6" s="929"/>
      <c r="T6" s="929"/>
      <c r="U6" s="929"/>
      <c r="V6" s="930"/>
      <c r="W6" s="928" t="s">
        <v>9</v>
      </c>
      <c r="X6" s="930"/>
    </row>
    <row r="7" spans="1:24" s="5" customFormat="1" ht="13.5" customHeight="1">
      <c r="A7" s="931">
        <v>45017</v>
      </c>
      <c r="B7" s="933" t="s">
        <v>32</v>
      </c>
      <c r="C7" s="968"/>
      <c r="D7" s="969"/>
      <c r="E7" s="971"/>
      <c r="F7" s="972"/>
      <c r="G7" s="972"/>
      <c r="H7" s="972"/>
      <c r="I7" s="972"/>
      <c r="J7" s="973"/>
      <c r="K7" s="968"/>
      <c r="L7" s="970"/>
      <c r="M7" s="958">
        <v>45032</v>
      </c>
      <c r="N7" s="933" t="s">
        <v>10</v>
      </c>
      <c r="O7" s="968"/>
      <c r="P7" s="969"/>
      <c r="Q7" s="971"/>
      <c r="R7" s="972"/>
      <c r="S7" s="972"/>
      <c r="T7" s="972"/>
      <c r="U7" s="972"/>
      <c r="V7" s="973"/>
      <c r="W7" s="968"/>
      <c r="X7" s="969"/>
    </row>
    <row r="8" spans="1:24" s="5" customFormat="1" ht="13.5" customHeight="1">
      <c r="A8" s="932"/>
      <c r="B8" s="918"/>
      <c r="C8" s="915"/>
      <c r="D8" s="916"/>
      <c r="E8" s="921"/>
      <c r="F8" s="922"/>
      <c r="G8" s="922"/>
      <c r="H8" s="922"/>
      <c r="I8" s="922"/>
      <c r="J8" s="923"/>
      <c r="K8" s="915"/>
      <c r="L8" s="965"/>
      <c r="M8" s="938"/>
      <c r="N8" s="918"/>
      <c r="O8" s="915"/>
      <c r="P8" s="916"/>
      <c r="Q8" s="962"/>
      <c r="R8" s="963"/>
      <c r="S8" s="963"/>
      <c r="T8" s="963"/>
      <c r="U8" s="963"/>
      <c r="V8" s="964"/>
      <c r="W8" s="915"/>
      <c r="X8" s="916"/>
    </row>
    <row r="9" spans="1:24" s="5" customFormat="1" ht="13.5" customHeight="1">
      <c r="A9" s="914" t="s">
        <v>404</v>
      </c>
      <c r="B9" s="917" t="s">
        <v>10</v>
      </c>
      <c r="C9" s="915"/>
      <c r="D9" s="916"/>
      <c r="E9" s="962"/>
      <c r="F9" s="963"/>
      <c r="G9" s="963"/>
      <c r="H9" s="963"/>
      <c r="I9" s="963"/>
      <c r="J9" s="964"/>
      <c r="K9" s="915"/>
      <c r="L9" s="965"/>
      <c r="M9" s="938">
        <v>17</v>
      </c>
      <c r="N9" s="917" t="s">
        <v>27</v>
      </c>
      <c r="O9" s="915"/>
      <c r="P9" s="916"/>
      <c r="Q9" s="962"/>
      <c r="R9" s="963"/>
      <c r="S9" s="963"/>
      <c r="T9" s="963"/>
      <c r="U9" s="963"/>
      <c r="V9" s="964"/>
      <c r="W9" s="915"/>
      <c r="X9" s="916"/>
    </row>
    <row r="10" spans="1:24" s="5" customFormat="1" ht="13.5" customHeight="1">
      <c r="A10" s="914"/>
      <c r="B10" s="918"/>
      <c r="C10" s="915"/>
      <c r="D10" s="916"/>
      <c r="E10" s="921"/>
      <c r="F10" s="922"/>
      <c r="G10" s="922"/>
      <c r="H10" s="922"/>
      <c r="I10" s="922"/>
      <c r="J10" s="923"/>
      <c r="K10" s="915"/>
      <c r="L10" s="965"/>
      <c r="M10" s="938"/>
      <c r="N10" s="918"/>
      <c r="O10" s="915"/>
      <c r="P10" s="916"/>
      <c r="Q10" s="921"/>
      <c r="R10" s="922"/>
      <c r="S10" s="922"/>
      <c r="T10" s="922"/>
      <c r="U10" s="922"/>
      <c r="V10" s="923"/>
      <c r="W10" s="915"/>
      <c r="X10" s="916"/>
    </row>
    <row r="11" spans="1:24" s="5" customFormat="1" ht="13.5" customHeight="1">
      <c r="A11" s="914" t="s">
        <v>405</v>
      </c>
      <c r="B11" s="917" t="s">
        <v>27</v>
      </c>
      <c r="C11" s="915"/>
      <c r="D11" s="916"/>
      <c r="E11" s="962"/>
      <c r="F11" s="963"/>
      <c r="G11" s="963"/>
      <c r="H11" s="963"/>
      <c r="I11" s="963"/>
      <c r="J11" s="964"/>
      <c r="K11" s="915"/>
      <c r="L11" s="965"/>
      <c r="M11" s="938" t="s">
        <v>648</v>
      </c>
      <c r="N11" s="917" t="s">
        <v>28</v>
      </c>
      <c r="O11" s="915"/>
      <c r="P11" s="916"/>
      <c r="Q11" s="962"/>
      <c r="R11" s="963"/>
      <c r="S11" s="963"/>
      <c r="T11" s="963"/>
      <c r="U11" s="963"/>
      <c r="V11" s="964"/>
      <c r="W11" s="915"/>
      <c r="X11" s="916"/>
    </row>
    <row r="12" spans="1:24" s="5" customFormat="1" ht="13.5" customHeight="1">
      <c r="A12" s="914"/>
      <c r="B12" s="918"/>
      <c r="C12" s="915"/>
      <c r="D12" s="916"/>
      <c r="E12" s="921"/>
      <c r="F12" s="922"/>
      <c r="G12" s="922"/>
      <c r="H12" s="922"/>
      <c r="I12" s="922"/>
      <c r="J12" s="923"/>
      <c r="K12" s="915"/>
      <c r="L12" s="965"/>
      <c r="M12" s="938"/>
      <c r="N12" s="918"/>
      <c r="O12" s="915"/>
      <c r="P12" s="916"/>
      <c r="Q12" s="921"/>
      <c r="R12" s="922"/>
      <c r="S12" s="922"/>
      <c r="T12" s="922"/>
      <c r="U12" s="922"/>
      <c r="V12" s="923"/>
      <c r="W12" s="915"/>
      <c r="X12" s="916"/>
    </row>
    <row r="13" spans="1:24" s="5" customFormat="1" ht="13.5" customHeight="1">
      <c r="A13" s="914" t="s">
        <v>406</v>
      </c>
      <c r="B13" s="917" t="s">
        <v>28</v>
      </c>
      <c r="C13" s="915"/>
      <c r="D13" s="916"/>
      <c r="E13" s="962"/>
      <c r="F13" s="963"/>
      <c r="G13" s="963"/>
      <c r="H13" s="963"/>
      <c r="I13" s="963"/>
      <c r="J13" s="964"/>
      <c r="K13" s="915"/>
      <c r="L13" s="965"/>
      <c r="M13" s="938" t="s">
        <v>649</v>
      </c>
      <c r="N13" s="917" t="s">
        <v>29</v>
      </c>
      <c r="O13" s="915"/>
      <c r="P13" s="916"/>
      <c r="Q13" s="962"/>
      <c r="R13" s="963"/>
      <c r="S13" s="963"/>
      <c r="T13" s="963"/>
      <c r="U13" s="963"/>
      <c r="V13" s="964"/>
      <c r="W13" s="915"/>
      <c r="X13" s="916"/>
    </row>
    <row r="14" spans="1:24" s="5" customFormat="1" ht="13.5" customHeight="1">
      <c r="A14" s="914"/>
      <c r="B14" s="918"/>
      <c r="C14" s="919"/>
      <c r="D14" s="920"/>
      <c r="E14" s="921"/>
      <c r="F14" s="922"/>
      <c r="G14" s="922"/>
      <c r="H14" s="922"/>
      <c r="I14" s="922"/>
      <c r="J14" s="923"/>
      <c r="K14" s="915"/>
      <c r="L14" s="965"/>
      <c r="M14" s="938"/>
      <c r="N14" s="918"/>
      <c r="O14" s="915"/>
      <c r="P14" s="916"/>
      <c r="Q14" s="962"/>
      <c r="R14" s="963"/>
      <c r="S14" s="963"/>
      <c r="T14" s="963"/>
      <c r="U14" s="963"/>
      <c r="V14" s="964"/>
      <c r="W14" s="915"/>
      <c r="X14" s="916"/>
    </row>
    <row r="15" spans="1:24" s="5" customFormat="1" ht="13.5" customHeight="1">
      <c r="A15" s="914" t="s">
        <v>407</v>
      </c>
      <c r="B15" s="917" t="s">
        <v>29</v>
      </c>
      <c r="C15" s="915" t="s">
        <v>709</v>
      </c>
      <c r="D15" s="916"/>
      <c r="E15" s="962" t="s">
        <v>708</v>
      </c>
      <c r="F15" s="963"/>
      <c r="G15" s="963"/>
      <c r="H15" s="963"/>
      <c r="I15" s="963"/>
      <c r="J15" s="964"/>
      <c r="K15" s="957" t="s">
        <v>707</v>
      </c>
      <c r="L15" s="966"/>
      <c r="M15" s="938" t="s">
        <v>650</v>
      </c>
      <c r="N15" s="917" t="s">
        <v>30</v>
      </c>
      <c r="O15" s="915"/>
      <c r="P15" s="916"/>
      <c r="Q15" s="962"/>
      <c r="R15" s="963"/>
      <c r="S15" s="963"/>
      <c r="T15" s="963"/>
      <c r="U15" s="963"/>
      <c r="V15" s="964"/>
      <c r="W15" s="915"/>
      <c r="X15" s="916"/>
    </row>
    <row r="16" spans="1:24" s="5" customFormat="1" ht="13.5" customHeight="1">
      <c r="A16" s="914"/>
      <c r="B16" s="918"/>
      <c r="C16" s="915"/>
      <c r="D16" s="916"/>
      <c r="E16" s="921"/>
      <c r="F16" s="922"/>
      <c r="G16" s="922"/>
      <c r="H16" s="922"/>
      <c r="I16" s="922"/>
      <c r="J16" s="923"/>
      <c r="K16" s="915"/>
      <c r="L16" s="965"/>
      <c r="M16" s="938"/>
      <c r="N16" s="918"/>
      <c r="O16" s="915"/>
      <c r="P16" s="916"/>
      <c r="Q16" s="921"/>
      <c r="R16" s="922"/>
      <c r="S16" s="922"/>
      <c r="T16" s="922"/>
      <c r="U16" s="922"/>
      <c r="V16" s="923"/>
      <c r="W16" s="915"/>
      <c r="X16" s="916"/>
    </row>
    <row r="17" spans="1:24" s="5" customFormat="1" ht="13.5" customHeight="1">
      <c r="A17" s="914" t="s">
        <v>408</v>
      </c>
      <c r="B17" s="917" t="s">
        <v>30</v>
      </c>
      <c r="C17" s="915"/>
      <c r="D17" s="916"/>
      <c r="E17" s="962"/>
      <c r="F17" s="963"/>
      <c r="G17" s="963"/>
      <c r="H17" s="963"/>
      <c r="I17" s="963"/>
      <c r="J17" s="964"/>
      <c r="K17" s="915"/>
      <c r="L17" s="965"/>
      <c r="M17" s="938" t="s">
        <v>651</v>
      </c>
      <c r="N17" s="917" t="s">
        <v>31</v>
      </c>
      <c r="O17" s="915" t="s">
        <v>709</v>
      </c>
      <c r="P17" s="916"/>
      <c r="Q17" s="921" t="s">
        <v>727</v>
      </c>
      <c r="R17" s="922"/>
      <c r="S17" s="922"/>
      <c r="T17" s="922"/>
      <c r="U17" s="922"/>
      <c r="V17" s="923"/>
      <c r="W17" s="915" t="s">
        <v>726</v>
      </c>
      <c r="X17" s="916"/>
    </row>
    <row r="18" spans="1:24" s="5" customFormat="1" ht="13.5" customHeight="1">
      <c r="A18" s="914"/>
      <c r="B18" s="918"/>
      <c r="C18" s="915"/>
      <c r="D18" s="916"/>
      <c r="E18" s="921"/>
      <c r="F18" s="922"/>
      <c r="G18" s="922"/>
      <c r="H18" s="922"/>
      <c r="I18" s="922"/>
      <c r="J18" s="923"/>
      <c r="K18" s="915"/>
      <c r="L18" s="965"/>
      <c r="M18" s="938"/>
      <c r="N18" s="918"/>
      <c r="O18" s="915"/>
      <c r="P18" s="916"/>
      <c r="Q18" s="921"/>
      <c r="R18" s="922"/>
      <c r="S18" s="922"/>
      <c r="T18" s="922"/>
      <c r="U18" s="922"/>
      <c r="V18" s="923"/>
      <c r="W18" s="915"/>
      <c r="X18" s="916"/>
    </row>
    <row r="19" spans="1:24" s="5" customFormat="1" ht="13.5" customHeight="1">
      <c r="A19" s="914" t="s">
        <v>409</v>
      </c>
      <c r="B19" s="917" t="s">
        <v>31</v>
      </c>
      <c r="C19" s="915" t="s">
        <v>709</v>
      </c>
      <c r="D19" s="916"/>
      <c r="E19" s="962" t="s">
        <v>737</v>
      </c>
      <c r="F19" s="963"/>
      <c r="G19" s="963"/>
      <c r="H19" s="963"/>
      <c r="I19" s="963"/>
      <c r="J19" s="964"/>
      <c r="K19" s="915" t="s">
        <v>736</v>
      </c>
      <c r="L19" s="965"/>
      <c r="M19" s="938" t="s">
        <v>652</v>
      </c>
      <c r="N19" s="917" t="s">
        <v>32</v>
      </c>
      <c r="O19" s="915"/>
      <c r="P19" s="916"/>
      <c r="Q19" s="921"/>
      <c r="R19" s="922"/>
      <c r="S19" s="922"/>
      <c r="T19" s="922"/>
      <c r="U19" s="922"/>
      <c r="V19" s="923"/>
      <c r="W19" s="915"/>
      <c r="X19" s="916"/>
    </row>
    <row r="20" spans="1:24" s="5" customFormat="1" ht="13.5" customHeight="1">
      <c r="A20" s="914"/>
      <c r="B20" s="918"/>
      <c r="C20" s="915"/>
      <c r="D20" s="916"/>
      <c r="E20" s="921"/>
      <c r="F20" s="922"/>
      <c r="G20" s="922"/>
      <c r="H20" s="922"/>
      <c r="I20" s="922"/>
      <c r="J20" s="923"/>
      <c r="K20" s="915"/>
      <c r="L20" s="965"/>
      <c r="M20" s="938"/>
      <c r="N20" s="918"/>
      <c r="O20" s="915"/>
      <c r="P20" s="916"/>
      <c r="Q20" s="921"/>
      <c r="R20" s="922"/>
      <c r="S20" s="922"/>
      <c r="T20" s="922"/>
      <c r="U20" s="922"/>
      <c r="V20" s="923"/>
      <c r="W20" s="915"/>
      <c r="X20" s="916"/>
    </row>
    <row r="21" spans="1:24" s="5" customFormat="1" ht="13.5" customHeight="1">
      <c r="A21" s="914" t="s">
        <v>410</v>
      </c>
      <c r="B21" s="917" t="s">
        <v>32</v>
      </c>
      <c r="C21" s="915"/>
      <c r="D21" s="916"/>
      <c r="E21" s="962"/>
      <c r="F21" s="963"/>
      <c r="G21" s="963"/>
      <c r="H21" s="963"/>
      <c r="I21" s="963"/>
      <c r="J21" s="964"/>
      <c r="K21" s="915"/>
      <c r="L21" s="965"/>
      <c r="M21" s="938" t="s">
        <v>653</v>
      </c>
      <c r="N21" s="917" t="s">
        <v>10</v>
      </c>
      <c r="O21" s="915"/>
      <c r="P21" s="916"/>
      <c r="Q21" s="921"/>
      <c r="R21" s="922"/>
      <c r="S21" s="922"/>
      <c r="T21" s="922"/>
      <c r="U21" s="922"/>
      <c r="V21" s="923"/>
      <c r="W21" s="915"/>
      <c r="X21" s="916"/>
    </row>
    <row r="22" spans="1:24" s="5" customFormat="1" ht="13.5" customHeight="1">
      <c r="A22" s="914"/>
      <c r="B22" s="918"/>
      <c r="C22" s="915"/>
      <c r="D22" s="916"/>
      <c r="E22" s="921"/>
      <c r="F22" s="922"/>
      <c r="G22" s="922"/>
      <c r="H22" s="922"/>
      <c r="I22" s="922"/>
      <c r="J22" s="923"/>
      <c r="K22" s="915"/>
      <c r="L22" s="965"/>
      <c r="M22" s="938"/>
      <c r="N22" s="918"/>
      <c r="O22" s="915"/>
      <c r="P22" s="916"/>
      <c r="Q22" s="921"/>
      <c r="R22" s="922"/>
      <c r="S22" s="922"/>
      <c r="T22" s="922"/>
      <c r="U22" s="922"/>
      <c r="V22" s="923"/>
      <c r="W22" s="915"/>
      <c r="X22" s="916"/>
    </row>
    <row r="23" spans="1:24" s="5" customFormat="1" ht="13.5" customHeight="1">
      <c r="A23" s="912" t="s">
        <v>411</v>
      </c>
      <c r="B23" s="917" t="s">
        <v>10</v>
      </c>
      <c r="C23" s="915"/>
      <c r="D23" s="916"/>
      <c r="E23" s="962"/>
      <c r="F23" s="963"/>
      <c r="G23" s="963"/>
      <c r="H23" s="963"/>
      <c r="I23" s="963"/>
      <c r="J23" s="964"/>
      <c r="K23" s="915"/>
      <c r="L23" s="965"/>
      <c r="M23" s="938" t="s">
        <v>654</v>
      </c>
      <c r="N23" s="917" t="s">
        <v>27</v>
      </c>
      <c r="O23" s="915"/>
      <c r="P23" s="916"/>
      <c r="Q23" s="962"/>
      <c r="R23" s="963"/>
      <c r="S23" s="963"/>
      <c r="T23" s="963"/>
      <c r="U23" s="963"/>
      <c r="V23" s="964"/>
      <c r="W23" s="915"/>
      <c r="X23" s="916"/>
    </row>
    <row r="24" spans="1:24" s="5" customFormat="1" ht="13.5" customHeight="1">
      <c r="A24" s="913"/>
      <c r="B24" s="918"/>
      <c r="C24" s="915"/>
      <c r="D24" s="916"/>
      <c r="E24" s="921"/>
      <c r="F24" s="922"/>
      <c r="G24" s="922"/>
      <c r="H24" s="922"/>
      <c r="I24" s="922"/>
      <c r="J24" s="923"/>
      <c r="K24" s="915"/>
      <c r="L24" s="924"/>
      <c r="M24" s="938"/>
      <c r="N24" s="918"/>
      <c r="O24" s="915"/>
      <c r="P24" s="916"/>
      <c r="Q24" s="921"/>
      <c r="R24" s="922"/>
      <c r="S24" s="922"/>
      <c r="T24" s="922"/>
      <c r="U24" s="922"/>
      <c r="V24" s="923"/>
      <c r="W24" s="915"/>
      <c r="X24" s="916"/>
    </row>
    <row r="25" spans="1:24" s="5" customFormat="1" ht="13.5" customHeight="1">
      <c r="A25" s="914" t="s">
        <v>412</v>
      </c>
      <c r="B25" s="917" t="s">
        <v>27</v>
      </c>
      <c r="C25" s="915" t="s">
        <v>709</v>
      </c>
      <c r="D25" s="916"/>
      <c r="E25" s="962" t="s">
        <v>713</v>
      </c>
      <c r="F25" s="963"/>
      <c r="G25" s="963"/>
      <c r="H25" s="963"/>
      <c r="I25" s="963"/>
      <c r="J25" s="964"/>
      <c r="K25" s="915" t="s">
        <v>712</v>
      </c>
      <c r="L25" s="949"/>
      <c r="M25" s="938" t="s">
        <v>655</v>
      </c>
      <c r="N25" s="917" t="s">
        <v>28</v>
      </c>
      <c r="O25" s="915"/>
      <c r="P25" s="916"/>
      <c r="Q25" s="921"/>
      <c r="R25" s="922"/>
      <c r="S25" s="922"/>
      <c r="T25" s="922"/>
      <c r="U25" s="922"/>
      <c r="V25" s="923"/>
      <c r="W25" s="915"/>
      <c r="X25" s="916"/>
    </row>
    <row r="26" spans="1:24" s="5" customFormat="1" ht="13.5" customHeight="1">
      <c r="A26" s="914"/>
      <c r="B26" s="918"/>
      <c r="C26" s="915"/>
      <c r="D26" s="916"/>
      <c r="E26" s="921"/>
      <c r="F26" s="922"/>
      <c r="G26" s="922"/>
      <c r="H26" s="922"/>
      <c r="I26" s="922"/>
      <c r="J26" s="923"/>
      <c r="K26" s="915"/>
      <c r="L26" s="924"/>
      <c r="M26" s="938"/>
      <c r="N26" s="918"/>
      <c r="O26" s="915"/>
      <c r="P26" s="916"/>
      <c r="Q26" s="921"/>
      <c r="R26" s="922"/>
      <c r="S26" s="922"/>
      <c r="T26" s="922"/>
      <c r="U26" s="922"/>
      <c r="V26" s="923"/>
      <c r="W26" s="915"/>
      <c r="X26" s="916"/>
    </row>
    <row r="27" spans="1:24" s="5" customFormat="1" ht="13.5" customHeight="1">
      <c r="A27" s="914" t="s">
        <v>413</v>
      </c>
      <c r="B27" s="917" t="s">
        <v>28</v>
      </c>
      <c r="C27" s="915" t="s">
        <v>709</v>
      </c>
      <c r="D27" s="916"/>
      <c r="E27" s="921" t="s">
        <v>715</v>
      </c>
      <c r="F27" s="922"/>
      <c r="G27" s="922"/>
      <c r="H27" s="922"/>
      <c r="I27" s="922"/>
      <c r="J27" s="923"/>
      <c r="K27" s="915" t="s">
        <v>714</v>
      </c>
      <c r="L27" s="965"/>
      <c r="M27" s="938" t="s">
        <v>656</v>
      </c>
      <c r="N27" s="917" t="s">
        <v>29</v>
      </c>
      <c r="O27" s="915"/>
      <c r="P27" s="916"/>
      <c r="Q27" s="921"/>
      <c r="R27" s="922"/>
      <c r="S27" s="922"/>
      <c r="T27" s="922"/>
      <c r="U27" s="922"/>
      <c r="V27" s="923"/>
      <c r="W27" s="915"/>
      <c r="X27" s="916"/>
    </row>
    <row r="28" spans="1:24" s="5" customFormat="1" ht="13.5" customHeight="1">
      <c r="A28" s="914"/>
      <c r="B28" s="918"/>
      <c r="C28" s="915"/>
      <c r="D28" s="916"/>
      <c r="E28" s="921"/>
      <c r="F28" s="922"/>
      <c r="G28" s="922"/>
      <c r="H28" s="922"/>
      <c r="I28" s="922"/>
      <c r="J28" s="923"/>
      <c r="K28" s="915"/>
      <c r="L28" s="965"/>
      <c r="M28" s="938"/>
      <c r="N28" s="918"/>
      <c r="O28" s="915"/>
      <c r="P28" s="916"/>
      <c r="Q28" s="921"/>
      <c r="R28" s="922"/>
      <c r="S28" s="922"/>
      <c r="T28" s="922"/>
      <c r="U28" s="922"/>
      <c r="V28" s="923"/>
      <c r="W28" s="915"/>
      <c r="X28" s="916"/>
    </row>
    <row r="29" spans="1:24" s="5" customFormat="1" ht="13.5" customHeight="1">
      <c r="A29" s="914" t="s">
        <v>414</v>
      </c>
      <c r="B29" s="917" t="s">
        <v>29</v>
      </c>
      <c r="C29" s="941" t="s">
        <v>709</v>
      </c>
      <c r="D29" s="942"/>
      <c r="E29" s="962" t="s">
        <v>718</v>
      </c>
      <c r="F29" s="963"/>
      <c r="G29" s="963"/>
      <c r="H29" s="963"/>
      <c r="I29" s="963"/>
      <c r="J29" s="964"/>
      <c r="K29" s="915" t="s">
        <v>717</v>
      </c>
      <c r="L29" s="965"/>
      <c r="M29" s="938" t="s">
        <v>657</v>
      </c>
      <c r="N29" s="917" t="s">
        <v>30</v>
      </c>
      <c r="O29" s="915" t="s">
        <v>665</v>
      </c>
      <c r="P29" s="916"/>
      <c r="Q29" s="962" t="s">
        <v>713</v>
      </c>
      <c r="R29" s="963"/>
      <c r="S29" s="963"/>
      <c r="T29" s="963"/>
      <c r="U29" s="963"/>
      <c r="V29" s="964"/>
      <c r="W29" s="915" t="s">
        <v>712</v>
      </c>
      <c r="X29" s="942"/>
    </row>
    <row r="30" spans="1:24" s="5" customFormat="1" ht="13.5" customHeight="1">
      <c r="A30" s="914"/>
      <c r="B30" s="918"/>
      <c r="C30" s="936"/>
      <c r="D30" s="937"/>
      <c r="E30" s="962" t="s">
        <v>725</v>
      </c>
      <c r="F30" s="963"/>
      <c r="G30" s="963"/>
      <c r="H30" s="963"/>
      <c r="I30" s="963"/>
      <c r="J30" s="964"/>
      <c r="K30" s="915" t="s">
        <v>719</v>
      </c>
      <c r="L30" s="965"/>
      <c r="M30" s="938"/>
      <c r="N30" s="918"/>
      <c r="O30" s="915"/>
      <c r="P30" s="916"/>
      <c r="Q30" s="921"/>
      <c r="R30" s="922"/>
      <c r="S30" s="922"/>
      <c r="T30" s="922"/>
      <c r="U30" s="922"/>
      <c r="V30" s="923"/>
      <c r="W30" s="915"/>
      <c r="X30" s="916"/>
    </row>
    <row r="31" spans="1:24" s="5" customFormat="1" ht="13.5" customHeight="1">
      <c r="A31" s="914" t="s">
        <v>415</v>
      </c>
      <c r="B31" s="917" t="s">
        <v>30</v>
      </c>
      <c r="C31" s="915"/>
      <c r="D31" s="916"/>
      <c r="E31" s="962"/>
      <c r="F31" s="963"/>
      <c r="G31" s="963"/>
      <c r="H31" s="963"/>
      <c r="I31" s="963"/>
      <c r="J31" s="964"/>
      <c r="K31" s="915"/>
      <c r="L31" s="965"/>
      <c r="M31" s="938" t="s">
        <v>658</v>
      </c>
      <c r="N31" s="917" t="s">
        <v>31</v>
      </c>
      <c r="O31" s="915"/>
      <c r="P31" s="916"/>
      <c r="Q31" s="921"/>
      <c r="R31" s="922"/>
      <c r="S31" s="922"/>
      <c r="T31" s="922"/>
      <c r="U31" s="922"/>
      <c r="V31" s="923"/>
      <c r="W31" s="957"/>
      <c r="X31" s="985"/>
    </row>
    <row r="32" spans="1:24" s="5" customFormat="1" ht="13.5" customHeight="1">
      <c r="A32" s="914"/>
      <c r="B32" s="918"/>
      <c r="C32" s="915"/>
      <c r="D32" s="916"/>
      <c r="E32" s="921"/>
      <c r="F32" s="922"/>
      <c r="G32" s="922"/>
      <c r="H32" s="922"/>
      <c r="I32" s="922"/>
      <c r="J32" s="923"/>
      <c r="K32" s="915"/>
      <c r="L32" s="965"/>
      <c r="M32" s="938"/>
      <c r="N32" s="918"/>
      <c r="O32" s="915"/>
      <c r="P32" s="916"/>
      <c r="W32" s="915"/>
      <c r="X32" s="916"/>
    </row>
    <row r="33" spans="1:24" s="5" customFormat="1" ht="13.5" customHeight="1">
      <c r="A33" s="914" t="s">
        <v>416</v>
      </c>
      <c r="B33" s="917" t="s">
        <v>31</v>
      </c>
      <c r="C33" s="915"/>
      <c r="D33" s="916"/>
      <c r="E33" s="962"/>
      <c r="F33" s="963"/>
      <c r="G33" s="963"/>
      <c r="H33" s="963"/>
      <c r="I33" s="963"/>
      <c r="J33" s="964"/>
      <c r="K33" s="915"/>
      <c r="L33" s="965"/>
      <c r="M33" s="938">
        <v>29</v>
      </c>
      <c r="N33" s="917" t="s">
        <v>32</v>
      </c>
      <c r="O33" s="915"/>
      <c r="P33" s="916"/>
      <c r="Q33" s="962"/>
      <c r="R33" s="963"/>
      <c r="S33" s="963"/>
      <c r="T33" s="963"/>
      <c r="U33" s="963"/>
      <c r="V33" s="964"/>
      <c r="W33" s="915"/>
      <c r="X33" s="916"/>
    </row>
    <row r="34" spans="1:24" s="5" customFormat="1" ht="13.5" customHeight="1">
      <c r="A34" s="914"/>
      <c r="B34" s="918"/>
      <c r="C34" s="915"/>
      <c r="D34" s="916"/>
      <c r="E34" s="921"/>
      <c r="F34" s="922"/>
      <c r="G34" s="922"/>
      <c r="H34" s="922"/>
      <c r="I34" s="922"/>
      <c r="J34" s="923"/>
      <c r="K34" s="915"/>
      <c r="L34" s="965"/>
      <c r="M34" s="938"/>
      <c r="N34" s="918"/>
      <c r="O34" s="915"/>
      <c r="P34" s="916"/>
      <c r="Q34" s="921"/>
      <c r="R34" s="922"/>
      <c r="S34" s="922"/>
      <c r="T34" s="922"/>
      <c r="U34" s="922"/>
      <c r="V34" s="923"/>
      <c r="W34" s="915"/>
      <c r="X34" s="916"/>
    </row>
    <row r="35" spans="1:24" s="5" customFormat="1" ht="13.5" customHeight="1">
      <c r="A35" s="914" t="s">
        <v>417</v>
      </c>
      <c r="B35" s="917" t="s">
        <v>32</v>
      </c>
      <c r="C35" s="915"/>
      <c r="D35" s="916"/>
      <c r="E35" s="921"/>
      <c r="F35" s="922"/>
      <c r="G35" s="922"/>
      <c r="H35" s="922"/>
      <c r="I35" s="922"/>
      <c r="J35" s="923"/>
      <c r="K35" s="915"/>
      <c r="L35" s="965"/>
      <c r="M35" s="938">
        <v>30</v>
      </c>
      <c r="N35" s="917" t="s">
        <v>10</v>
      </c>
      <c r="O35" s="915"/>
      <c r="P35" s="916"/>
      <c r="Q35" s="921"/>
      <c r="R35" s="922"/>
      <c r="S35" s="922"/>
      <c r="T35" s="922"/>
      <c r="U35" s="922"/>
      <c r="V35" s="923"/>
      <c r="W35" s="915"/>
      <c r="X35" s="916"/>
    </row>
    <row r="36" spans="1:24" s="5" customFormat="1" ht="13.5" customHeight="1">
      <c r="A36" s="914"/>
      <c r="B36" s="918"/>
      <c r="C36" s="915"/>
      <c r="D36" s="916"/>
      <c r="E36" s="921"/>
      <c r="F36" s="922"/>
      <c r="G36" s="922"/>
      <c r="H36" s="922"/>
      <c r="I36" s="922"/>
      <c r="J36" s="923"/>
      <c r="K36" s="915"/>
      <c r="L36" s="965"/>
      <c r="M36" s="938"/>
      <c r="N36" s="918"/>
      <c r="O36" s="915"/>
      <c r="P36" s="916"/>
      <c r="Q36" s="921"/>
      <c r="R36" s="922"/>
      <c r="S36" s="922"/>
      <c r="T36" s="922"/>
      <c r="U36" s="922"/>
      <c r="V36" s="923"/>
      <c r="W36" s="915"/>
      <c r="X36" s="916"/>
    </row>
    <row r="37" spans="1:24" s="5" customFormat="1" ht="13.5" customHeight="1">
      <c r="A37" s="981"/>
      <c r="B37" s="983"/>
      <c r="C37" s="915"/>
      <c r="D37" s="916"/>
      <c r="E37" s="921"/>
      <c r="F37" s="922"/>
      <c r="G37" s="922"/>
      <c r="H37" s="922"/>
      <c r="I37" s="922"/>
      <c r="J37" s="923"/>
      <c r="K37" s="915"/>
      <c r="L37" s="924"/>
      <c r="M37" s="938"/>
      <c r="N37" s="917"/>
      <c r="O37" s="915"/>
      <c r="P37" s="916"/>
      <c r="Q37" s="946"/>
      <c r="R37" s="947"/>
      <c r="S37" s="947"/>
      <c r="T37" s="947"/>
      <c r="U37" s="947"/>
      <c r="V37" s="948"/>
      <c r="W37" s="915"/>
      <c r="X37" s="916"/>
    </row>
    <row r="38" spans="1:24" s="5" customFormat="1" ht="13.5" customHeight="1">
      <c r="A38" s="982"/>
      <c r="B38" s="984"/>
      <c r="C38" s="915"/>
      <c r="D38" s="916"/>
      <c r="E38" s="921"/>
      <c r="F38" s="922"/>
      <c r="G38" s="922"/>
      <c r="H38" s="922"/>
      <c r="I38" s="922"/>
      <c r="J38" s="923"/>
      <c r="K38" s="915"/>
      <c r="L38" s="924"/>
      <c r="M38" s="938"/>
      <c r="N38" s="918"/>
      <c r="O38" s="915"/>
      <c r="P38" s="916"/>
      <c r="Q38" s="921"/>
      <c r="R38" s="922"/>
      <c r="S38" s="922"/>
      <c r="T38" s="922"/>
      <c r="U38" s="922"/>
      <c r="V38" s="923"/>
      <c r="W38" s="915"/>
      <c r="X38" s="916"/>
    </row>
    <row r="39" spans="1:24" s="5" customFormat="1" ht="14.1" customHeight="1">
      <c r="A39" s="934"/>
      <c r="B39" s="935"/>
      <c r="C39" s="976"/>
      <c r="D39" s="977"/>
      <c r="E39" s="978"/>
      <c r="F39" s="979"/>
      <c r="G39" s="979"/>
      <c r="H39" s="979"/>
      <c r="I39" s="979"/>
      <c r="J39" s="980"/>
      <c r="K39" s="936"/>
      <c r="L39" s="950"/>
      <c r="M39" s="938"/>
      <c r="N39" s="917"/>
      <c r="O39" s="915"/>
      <c r="P39" s="916"/>
      <c r="Q39" s="921"/>
      <c r="R39" s="922"/>
      <c r="S39" s="922"/>
      <c r="T39" s="922"/>
      <c r="U39" s="922"/>
      <c r="V39" s="923"/>
      <c r="W39" s="915"/>
      <c r="X39" s="916"/>
    </row>
    <row r="40" spans="1:24" s="5" customFormat="1" ht="14.1" customHeight="1">
      <c r="A40" s="974"/>
      <c r="B40" s="975"/>
      <c r="C40" s="955"/>
      <c r="D40" s="956"/>
      <c r="E40" s="986"/>
      <c r="F40" s="987"/>
      <c r="G40" s="987"/>
      <c r="H40" s="987"/>
      <c r="I40" s="987"/>
      <c r="J40" s="988"/>
      <c r="K40" s="955"/>
      <c r="L40" s="989"/>
      <c r="M40" s="954"/>
      <c r="N40" s="952"/>
      <c r="O40" s="955"/>
      <c r="P40" s="956"/>
      <c r="Q40" s="986"/>
      <c r="R40" s="987"/>
      <c r="S40" s="987"/>
      <c r="T40" s="987"/>
      <c r="U40" s="987"/>
      <c r="V40" s="988"/>
      <c r="W40" s="955"/>
      <c r="X40" s="956"/>
    </row>
    <row r="41" spans="1:24" s="5" customFormat="1" ht="14.1" customHeight="1"/>
    <row r="42" spans="1:24" s="5" customFormat="1" ht="14.1" customHeight="1"/>
    <row r="43" spans="1:24" s="5" customFormat="1" ht="14.1" customHeight="1"/>
  </sheetData>
  <mergeCells count="277">
    <mergeCell ref="W21:X21"/>
    <mergeCell ref="W22:X22"/>
    <mergeCell ref="W31:X31"/>
    <mergeCell ref="W32:X32"/>
    <mergeCell ref="A33:A34"/>
    <mergeCell ref="B33:B34"/>
    <mergeCell ref="C40:D40"/>
    <mergeCell ref="E40:J40"/>
    <mergeCell ref="C38:D38"/>
    <mergeCell ref="E38:J38"/>
    <mergeCell ref="Q37:V37"/>
    <mergeCell ref="K38:L38"/>
    <mergeCell ref="Q38:V38"/>
    <mergeCell ref="C37:D37"/>
    <mergeCell ref="E37:J37"/>
    <mergeCell ref="K37:L37"/>
    <mergeCell ref="M37:M38"/>
    <mergeCell ref="N37:N38"/>
    <mergeCell ref="Q39:V39"/>
    <mergeCell ref="K40:L40"/>
    <mergeCell ref="O40:P40"/>
    <mergeCell ref="Q40:V40"/>
    <mergeCell ref="M39:M40"/>
    <mergeCell ref="N39:N40"/>
    <mergeCell ref="M35:M36"/>
    <mergeCell ref="N35:N36"/>
    <mergeCell ref="M33:M34"/>
    <mergeCell ref="E34:J34"/>
    <mergeCell ref="E35:J35"/>
    <mergeCell ref="K35:L35"/>
    <mergeCell ref="E36:J36"/>
    <mergeCell ref="K36:L36"/>
    <mergeCell ref="E33:J33"/>
    <mergeCell ref="C35:D35"/>
    <mergeCell ref="C36:D36"/>
    <mergeCell ref="K33:L33"/>
    <mergeCell ref="K34:L34"/>
    <mergeCell ref="C33:D33"/>
    <mergeCell ref="C34:D34"/>
    <mergeCell ref="W37:X37"/>
    <mergeCell ref="O36:P36"/>
    <mergeCell ref="A39:A40"/>
    <mergeCell ref="B39:B40"/>
    <mergeCell ref="C39:D39"/>
    <mergeCell ref="E39:J39"/>
    <mergeCell ref="K39:L39"/>
    <mergeCell ref="A37:A38"/>
    <mergeCell ref="B37:B38"/>
    <mergeCell ref="W38:X38"/>
    <mergeCell ref="W39:X39"/>
    <mergeCell ref="W40:X40"/>
    <mergeCell ref="A35:A36"/>
    <mergeCell ref="B35:B36"/>
    <mergeCell ref="O39:P39"/>
    <mergeCell ref="O37:P37"/>
    <mergeCell ref="O38:P38"/>
    <mergeCell ref="W33:X33"/>
    <mergeCell ref="O34:P34"/>
    <mergeCell ref="Q34:V34"/>
    <mergeCell ref="W34:X34"/>
    <mergeCell ref="Q36:V36"/>
    <mergeCell ref="O35:P35"/>
    <mergeCell ref="Q35:V35"/>
    <mergeCell ref="N33:N34"/>
    <mergeCell ref="O33:P33"/>
    <mergeCell ref="Q33:V33"/>
    <mergeCell ref="W35:X35"/>
    <mergeCell ref="W36:X36"/>
    <mergeCell ref="N29:N30"/>
    <mergeCell ref="O29:P29"/>
    <mergeCell ref="Q29:V29"/>
    <mergeCell ref="W29:X29"/>
    <mergeCell ref="E30:J30"/>
    <mergeCell ref="K30:L30"/>
    <mergeCell ref="O30:P30"/>
    <mergeCell ref="Q30:V30"/>
    <mergeCell ref="W30:X30"/>
    <mergeCell ref="C32:D32"/>
    <mergeCell ref="E32:J32"/>
    <mergeCell ref="K32:L32"/>
    <mergeCell ref="O32:P32"/>
    <mergeCell ref="Q31:V31"/>
    <mergeCell ref="N31:N32"/>
    <mergeCell ref="O31:P31"/>
    <mergeCell ref="C31:D31"/>
    <mergeCell ref="E31:J31"/>
    <mergeCell ref="K31:L31"/>
    <mergeCell ref="M31:M32"/>
    <mergeCell ref="A31:A32"/>
    <mergeCell ref="B31:B32"/>
    <mergeCell ref="W27:X27"/>
    <mergeCell ref="C28:D28"/>
    <mergeCell ref="E28:J28"/>
    <mergeCell ref="K28:L28"/>
    <mergeCell ref="O28:P28"/>
    <mergeCell ref="Q28:V28"/>
    <mergeCell ref="W28:X28"/>
    <mergeCell ref="A27:A28"/>
    <mergeCell ref="B27:B28"/>
    <mergeCell ref="C27:D27"/>
    <mergeCell ref="E27:J27"/>
    <mergeCell ref="K27:L27"/>
    <mergeCell ref="M27:M28"/>
    <mergeCell ref="N27:N28"/>
    <mergeCell ref="O27:P27"/>
    <mergeCell ref="Q27:V27"/>
    <mergeCell ref="A29:A30"/>
    <mergeCell ref="B29:B30"/>
    <mergeCell ref="E29:J29"/>
    <mergeCell ref="K29:L29"/>
    <mergeCell ref="M29:M30"/>
    <mergeCell ref="C29:D30"/>
    <mergeCell ref="O25:P25"/>
    <mergeCell ref="Q25:V25"/>
    <mergeCell ref="W25:X25"/>
    <mergeCell ref="E26:J26"/>
    <mergeCell ref="O26:P26"/>
    <mergeCell ref="Q26:V26"/>
    <mergeCell ref="W26:X26"/>
    <mergeCell ref="N25:N26"/>
    <mergeCell ref="K25:L25"/>
    <mergeCell ref="K26:L26"/>
    <mergeCell ref="A23:A24"/>
    <mergeCell ref="B23:B24"/>
    <mergeCell ref="E23:J23"/>
    <mergeCell ref="K23:L23"/>
    <mergeCell ref="M23:M24"/>
    <mergeCell ref="E25:J25"/>
    <mergeCell ref="A25:A26"/>
    <mergeCell ref="B25:B26"/>
    <mergeCell ref="M25:M26"/>
    <mergeCell ref="C25:D25"/>
    <mergeCell ref="C26:D26"/>
    <mergeCell ref="C23:D23"/>
    <mergeCell ref="C24:D24"/>
    <mergeCell ref="W23:X23"/>
    <mergeCell ref="E24:J24"/>
    <mergeCell ref="K24:L24"/>
    <mergeCell ref="O24:P24"/>
    <mergeCell ref="Q24:V24"/>
    <mergeCell ref="W24:X24"/>
    <mergeCell ref="N23:N24"/>
    <mergeCell ref="O23:P23"/>
    <mergeCell ref="Q23:V23"/>
    <mergeCell ref="A21:A22"/>
    <mergeCell ref="B21:B22"/>
    <mergeCell ref="E21:J21"/>
    <mergeCell ref="M21:M22"/>
    <mergeCell ref="N19:N20"/>
    <mergeCell ref="O19:P19"/>
    <mergeCell ref="Q19:V19"/>
    <mergeCell ref="N21:N22"/>
    <mergeCell ref="Q21:V21"/>
    <mergeCell ref="C21:D21"/>
    <mergeCell ref="C22:D22"/>
    <mergeCell ref="K21:L21"/>
    <mergeCell ref="K22:L22"/>
    <mergeCell ref="E20:J20"/>
    <mergeCell ref="O20:P20"/>
    <mergeCell ref="Q20:V20"/>
    <mergeCell ref="C19:D19"/>
    <mergeCell ref="C20:D20"/>
    <mergeCell ref="E22:J22"/>
    <mergeCell ref="Q22:V22"/>
    <mergeCell ref="K19:L19"/>
    <mergeCell ref="K20:L20"/>
    <mergeCell ref="O21:P21"/>
    <mergeCell ref="O22:P22"/>
    <mergeCell ref="W20:X20"/>
    <mergeCell ref="A19:A20"/>
    <mergeCell ref="B19:B20"/>
    <mergeCell ref="E19:J19"/>
    <mergeCell ref="M19:M20"/>
    <mergeCell ref="N17:N18"/>
    <mergeCell ref="Q17:V17"/>
    <mergeCell ref="C18:D18"/>
    <mergeCell ref="E18:J18"/>
    <mergeCell ref="Q18:V18"/>
    <mergeCell ref="W19:X19"/>
    <mergeCell ref="A17:A18"/>
    <mergeCell ref="B17:B18"/>
    <mergeCell ref="C17:D17"/>
    <mergeCell ref="E17:J17"/>
    <mergeCell ref="M17:M18"/>
    <mergeCell ref="O18:P18"/>
    <mergeCell ref="W18:X18"/>
    <mergeCell ref="O17:P17"/>
    <mergeCell ref="W17:X17"/>
    <mergeCell ref="K17:L17"/>
    <mergeCell ref="K18:L18"/>
    <mergeCell ref="W15:X15"/>
    <mergeCell ref="W16:X16"/>
    <mergeCell ref="Q16:V16"/>
    <mergeCell ref="Q15:V15"/>
    <mergeCell ref="Q13:V13"/>
    <mergeCell ref="W13:X13"/>
    <mergeCell ref="Q14:V14"/>
    <mergeCell ref="W14:X14"/>
    <mergeCell ref="O13:P13"/>
    <mergeCell ref="O14:P14"/>
    <mergeCell ref="O15:P15"/>
    <mergeCell ref="O16:P16"/>
    <mergeCell ref="W11:X11"/>
    <mergeCell ref="E12:J12"/>
    <mergeCell ref="O12:P12"/>
    <mergeCell ref="Q12:V12"/>
    <mergeCell ref="W12:X12"/>
    <mergeCell ref="A11:A12"/>
    <mergeCell ref="B11:B12"/>
    <mergeCell ref="E11:J11"/>
    <mergeCell ref="M11:M12"/>
    <mergeCell ref="N11:N12"/>
    <mergeCell ref="O11:P11"/>
    <mergeCell ref="Q11:V11"/>
    <mergeCell ref="C11:D11"/>
    <mergeCell ref="K11:L11"/>
    <mergeCell ref="C12:D12"/>
    <mergeCell ref="K12:L12"/>
    <mergeCell ref="Q9:V9"/>
    <mergeCell ref="W9:X9"/>
    <mergeCell ref="A9:A10"/>
    <mergeCell ref="B9:B10"/>
    <mergeCell ref="C9:D9"/>
    <mergeCell ref="E9:J9"/>
    <mergeCell ref="K9:L9"/>
    <mergeCell ref="M9:M10"/>
    <mergeCell ref="O10:P10"/>
    <mergeCell ref="Q10:V10"/>
    <mergeCell ref="W10:X10"/>
    <mergeCell ref="Q6:V6"/>
    <mergeCell ref="W7:X7"/>
    <mergeCell ref="E8:J8"/>
    <mergeCell ref="Q8:V8"/>
    <mergeCell ref="W8:X8"/>
    <mergeCell ref="W6:X6"/>
    <mergeCell ref="E7:J7"/>
    <mergeCell ref="M7:M8"/>
    <mergeCell ref="N7:N8"/>
    <mergeCell ref="Q7:V7"/>
    <mergeCell ref="O7:P7"/>
    <mergeCell ref="O8:P8"/>
    <mergeCell ref="A4:F4"/>
    <mergeCell ref="C6:D6"/>
    <mergeCell ref="E6:J6"/>
    <mergeCell ref="K6:L6"/>
    <mergeCell ref="O6:P6"/>
    <mergeCell ref="A7:A8"/>
    <mergeCell ref="B7:B8"/>
    <mergeCell ref="N9:N10"/>
    <mergeCell ref="C10:D10"/>
    <mergeCell ref="E10:J10"/>
    <mergeCell ref="K10:L10"/>
    <mergeCell ref="O9:P9"/>
    <mergeCell ref="C7:D7"/>
    <mergeCell ref="K7:L7"/>
    <mergeCell ref="C8:D8"/>
    <mergeCell ref="K8:L8"/>
    <mergeCell ref="A13:A14"/>
    <mergeCell ref="B13:B14"/>
    <mergeCell ref="C13:D13"/>
    <mergeCell ref="E13:J13"/>
    <mergeCell ref="K13:L13"/>
    <mergeCell ref="M13:M14"/>
    <mergeCell ref="N13:N14"/>
    <mergeCell ref="A15:A16"/>
    <mergeCell ref="B15:B16"/>
    <mergeCell ref="C16:D16"/>
    <mergeCell ref="E16:J16"/>
    <mergeCell ref="K16:L16"/>
    <mergeCell ref="N15:N16"/>
    <mergeCell ref="C14:D14"/>
    <mergeCell ref="E14:J14"/>
    <mergeCell ref="K14:L14"/>
    <mergeCell ref="C15:D15"/>
    <mergeCell ref="E15:J15"/>
    <mergeCell ref="K15:L15"/>
    <mergeCell ref="M15:M16"/>
  </mergeCells>
  <phoneticPr fontId="7"/>
  <dataValidations count="1">
    <dataValidation type="list" allowBlank="1" showInputMessage="1" showErrorMessage="1" sqref="B7 N37 B9 B11 B13 B15 B17 B19 B21 B23 B25 B27 B29 B31 B33 B35 N7 N9 N11 N13 N15 N17 N19 N21 N23 N25 N27 N29 N31 N33 N35" xr:uid="{00000000-0002-0000-0400-000000000000}">
      <formula1>"日,月,火,水,木,金,土"</formula1>
    </dataValidation>
  </dataValidations>
  <pageMargins left="0.78740157480314965" right="0.78740157480314965" top="0.98425196850393704" bottom="0.98425196850393704" header="0.51181102362204722" footer="0.51181102362204722"/>
  <pageSetup paperSize="9" scale="60" orientation="landscape" cellComments="asDisplayed"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X81"/>
  <sheetViews>
    <sheetView tabSelected="1" view="pageBreakPreview" topLeftCell="A4" zoomScale="85" zoomScaleNormal="80" zoomScaleSheetLayoutView="85" workbookViewId="0">
      <selection activeCell="N33" sqref="N33:U33"/>
    </sheetView>
  </sheetViews>
  <sheetFormatPr defaultColWidth="9" defaultRowHeight="13.2"/>
  <cols>
    <col min="1" max="16384" width="9" style="3"/>
  </cols>
  <sheetData>
    <row r="1" spans="1:24" ht="24" thickBot="1">
      <c r="A1" s="873" t="s">
        <v>23</v>
      </c>
      <c r="B1" s="874"/>
      <c r="C1" s="1"/>
      <c r="D1" s="1"/>
      <c r="E1" s="1"/>
      <c r="F1" s="1"/>
      <c r="G1" s="1"/>
      <c r="H1" s="1"/>
      <c r="I1" s="1"/>
      <c r="J1" s="1"/>
      <c r="K1" s="1"/>
      <c r="L1" s="1"/>
      <c r="M1" s="1"/>
      <c r="N1" s="1"/>
      <c r="O1" s="1"/>
      <c r="P1" s="1"/>
      <c r="Q1" s="1"/>
      <c r="R1" s="1"/>
      <c r="S1" s="1"/>
      <c r="T1" s="1"/>
      <c r="U1" s="1"/>
      <c r="V1" s="1"/>
    </row>
    <row r="2" spans="1:24" ht="17.25" customHeight="1" thickTop="1">
      <c r="A2" s="876"/>
      <c r="B2" s="877"/>
    </row>
    <row r="3" spans="1:24" ht="17.25" customHeight="1">
      <c r="A3" s="876"/>
      <c r="B3" s="877"/>
      <c r="X3" s="55"/>
    </row>
    <row r="4" spans="1:24" s="5" customFormat="1" ht="18" customHeight="1">
      <c r="A4" s="925" t="s">
        <v>63</v>
      </c>
      <c r="B4" s="926"/>
      <c r="C4" s="926"/>
      <c r="D4" s="926"/>
      <c r="E4" s="926"/>
      <c r="F4" s="927"/>
      <c r="X4" s="41"/>
    </row>
    <row r="5" spans="1:24" s="5" customFormat="1" ht="14.1" customHeight="1">
      <c r="X5" s="41"/>
    </row>
    <row r="6" spans="1:24" s="5" customFormat="1" ht="14.1" customHeight="1">
      <c r="A6" s="6" t="s">
        <v>10</v>
      </c>
      <c r="B6" s="6" t="s">
        <v>14</v>
      </c>
      <c r="C6" s="928" t="s">
        <v>15</v>
      </c>
      <c r="D6" s="929"/>
      <c r="E6" s="929"/>
      <c r="F6" s="929"/>
      <c r="G6" s="929"/>
      <c r="H6" s="929"/>
      <c r="I6" s="929"/>
      <c r="J6" s="930"/>
      <c r="K6" s="872" t="s">
        <v>16</v>
      </c>
      <c r="L6" s="355" t="s">
        <v>10</v>
      </c>
      <c r="M6" s="6" t="s">
        <v>14</v>
      </c>
      <c r="N6" s="928" t="s">
        <v>15</v>
      </c>
      <c r="O6" s="929"/>
      <c r="P6" s="929"/>
      <c r="Q6" s="929"/>
      <c r="R6" s="929"/>
      <c r="S6" s="929"/>
      <c r="T6" s="929"/>
      <c r="U6" s="930"/>
      <c r="V6" s="8" t="s">
        <v>16</v>
      </c>
      <c r="X6" s="41"/>
    </row>
    <row r="7" spans="1:24" ht="13.5" customHeight="1">
      <c r="A7" s="931">
        <v>45017</v>
      </c>
      <c r="B7" s="933" t="s">
        <v>32</v>
      </c>
      <c r="C7" s="993"/>
      <c r="D7" s="994"/>
      <c r="E7" s="994"/>
      <c r="F7" s="994"/>
      <c r="G7" s="994"/>
      <c r="H7" s="994"/>
      <c r="I7" s="994"/>
      <c r="J7" s="995"/>
      <c r="K7" s="884"/>
      <c r="L7" s="958">
        <v>45032</v>
      </c>
      <c r="M7" s="933" t="s">
        <v>10</v>
      </c>
      <c r="N7" s="993"/>
      <c r="O7" s="994"/>
      <c r="P7" s="994"/>
      <c r="Q7" s="994"/>
      <c r="R7" s="994"/>
      <c r="S7" s="994"/>
      <c r="T7" s="994"/>
      <c r="U7" s="995"/>
      <c r="V7" s="354"/>
      <c r="X7" s="55"/>
    </row>
    <row r="8" spans="1:24" ht="13.5" customHeight="1">
      <c r="A8" s="932"/>
      <c r="B8" s="918"/>
      <c r="C8" s="921"/>
      <c r="D8" s="922"/>
      <c r="E8" s="922"/>
      <c r="F8" s="922"/>
      <c r="G8" s="922"/>
      <c r="H8" s="922"/>
      <c r="I8" s="922"/>
      <c r="J8" s="923"/>
      <c r="K8" s="384"/>
      <c r="L8" s="938"/>
      <c r="M8" s="918"/>
      <c r="N8" s="990"/>
      <c r="O8" s="991"/>
      <c r="P8" s="991"/>
      <c r="Q8" s="991"/>
      <c r="R8" s="991"/>
      <c r="S8" s="991"/>
      <c r="T8" s="991"/>
      <c r="U8" s="992"/>
      <c r="V8" s="356"/>
      <c r="W8" s="55"/>
      <c r="X8" s="55"/>
    </row>
    <row r="9" spans="1:24" ht="13.5" customHeight="1">
      <c r="A9" s="914" t="s">
        <v>404</v>
      </c>
      <c r="B9" s="917" t="s">
        <v>10</v>
      </c>
      <c r="C9" s="990"/>
      <c r="D9" s="991"/>
      <c r="E9" s="991"/>
      <c r="F9" s="991"/>
      <c r="G9" s="991"/>
      <c r="H9" s="991"/>
      <c r="I9" s="991"/>
      <c r="J9" s="992"/>
      <c r="K9" s="384"/>
      <c r="L9" s="938">
        <v>17</v>
      </c>
      <c r="M9" s="917" t="s">
        <v>27</v>
      </c>
      <c r="N9" s="990"/>
      <c r="O9" s="991"/>
      <c r="P9" s="991"/>
      <c r="Q9" s="991"/>
      <c r="R9" s="991"/>
      <c r="S9" s="991"/>
      <c r="T9" s="991"/>
      <c r="U9" s="992"/>
      <c r="V9" s="356"/>
      <c r="W9" s="55"/>
      <c r="X9" s="55"/>
    </row>
    <row r="10" spans="1:24" ht="13.5" customHeight="1">
      <c r="A10" s="914"/>
      <c r="B10" s="918"/>
      <c r="C10" s="921"/>
      <c r="D10" s="922"/>
      <c r="E10" s="922"/>
      <c r="F10" s="922"/>
      <c r="G10" s="922"/>
      <c r="H10" s="922"/>
      <c r="I10" s="922"/>
      <c r="J10" s="923"/>
      <c r="K10" s="384"/>
      <c r="L10" s="938"/>
      <c r="M10" s="918"/>
      <c r="N10" s="921"/>
      <c r="O10" s="922"/>
      <c r="P10" s="922"/>
      <c r="Q10" s="922"/>
      <c r="R10" s="922"/>
      <c r="S10" s="922"/>
      <c r="T10" s="922"/>
      <c r="U10" s="923"/>
      <c r="V10" s="356"/>
      <c r="W10" s="55"/>
      <c r="X10" s="55"/>
    </row>
    <row r="11" spans="1:24" ht="13.5" customHeight="1">
      <c r="A11" s="914" t="s">
        <v>405</v>
      </c>
      <c r="B11" s="917" t="s">
        <v>27</v>
      </c>
      <c r="C11" s="990"/>
      <c r="D11" s="991"/>
      <c r="E11" s="991"/>
      <c r="F11" s="991"/>
      <c r="G11" s="991"/>
      <c r="H11" s="991"/>
      <c r="I11" s="991"/>
      <c r="J11" s="992"/>
      <c r="K11" s="384"/>
      <c r="L11" s="938" t="s">
        <v>648</v>
      </c>
      <c r="M11" s="917" t="s">
        <v>28</v>
      </c>
      <c r="N11" s="990" t="s">
        <v>703</v>
      </c>
      <c r="O11" s="991"/>
      <c r="P11" s="991"/>
      <c r="Q11" s="991"/>
      <c r="R11" s="991"/>
      <c r="S11" s="991"/>
      <c r="T11" s="991"/>
      <c r="U11" s="992"/>
      <c r="V11" s="356" t="s">
        <v>370</v>
      </c>
      <c r="W11" s="55"/>
      <c r="X11" s="55"/>
    </row>
    <row r="12" spans="1:24" ht="13.5" customHeight="1">
      <c r="A12" s="914"/>
      <c r="B12" s="918"/>
      <c r="C12" s="921"/>
      <c r="D12" s="922"/>
      <c r="E12" s="922"/>
      <c r="F12" s="922"/>
      <c r="G12" s="922"/>
      <c r="H12" s="922"/>
      <c r="I12" s="922"/>
      <c r="J12" s="923"/>
      <c r="K12" s="384"/>
      <c r="L12" s="938"/>
      <c r="M12" s="918"/>
      <c r="N12" s="990" t="s">
        <v>704</v>
      </c>
      <c r="O12" s="991"/>
      <c r="P12" s="991"/>
      <c r="Q12" s="991"/>
      <c r="R12" s="991"/>
      <c r="S12" s="991"/>
      <c r="T12" s="991"/>
      <c r="U12" s="992"/>
      <c r="V12" s="356" t="s">
        <v>370</v>
      </c>
      <c r="W12" s="55"/>
      <c r="X12" s="55"/>
    </row>
    <row r="13" spans="1:24" ht="13.5" customHeight="1">
      <c r="A13" s="914" t="s">
        <v>406</v>
      </c>
      <c r="B13" s="917" t="s">
        <v>28</v>
      </c>
      <c r="C13" s="990"/>
      <c r="D13" s="991"/>
      <c r="E13" s="991"/>
      <c r="F13" s="991"/>
      <c r="G13" s="991"/>
      <c r="H13" s="991"/>
      <c r="I13" s="991"/>
      <c r="J13" s="992"/>
      <c r="K13" s="384"/>
      <c r="L13" s="938" t="s">
        <v>649</v>
      </c>
      <c r="M13" s="917" t="s">
        <v>29</v>
      </c>
      <c r="N13" s="990"/>
      <c r="O13" s="991"/>
      <c r="P13" s="991"/>
      <c r="Q13" s="991"/>
      <c r="R13" s="991"/>
      <c r="S13" s="991"/>
      <c r="T13" s="991"/>
      <c r="U13" s="992"/>
      <c r="V13" s="356"/>
      <c r="W13" s="55"/>
      <c r="X13" s="55"/>
    </row>
    <row r="14" spans="1:24" ht="13.5" customHeight="1">
      <c r="A14" s="914"/>
      <c r="B14" s="918"/>
      <c r="C14" s="921"/>
      <c r="D14" s="922"/>
      <c r="E14" s="922"/>
      <c r="F14" s="922"/>
      <c r="G14" s="922"/>
      <c r="H14" s="922"/>
      <c r="I14" s="922"/>
      <c r="J14" s="923"/>
      <c r="K14" s="384"/>
      <c r="L14" s="938"/>
      <c r="M14" s="918"/>
      <c r="N14" s="990"/>
      <c r="O14" s="991"/>
      <c r="P14" s="991"/>
      <c r="Q14" s="991"/>
      <c r="R14" s="991"/>
      <c r="S14" s="991"/>
      <c r="T14" s="991"/>
      <c r="U14" s="992"/>
      <c r="V14" s="356"/>
      <c r="W14" s="55"/>
      <c r="X14" s="55"/>
    </row>
    <row r="15" spans="1:24" ht="13.5" customHeight="1">
      <c r="A15" s="914" t="s">
        <v>407</v>
      </c>
      <c r="B15" s="917" t="s">
        <v>29</v>
      </c>
      <c r="C15" s="990"/>
      <c r="D15" s="991"/>
      <c r="E15" s="991"/>
      <c r="F15" s="991"/>
      <c r="G15" s="991"/>
      <c r="H15" s="991"/>
      <c r="I15" s="991"/>
      <c r="J15" s="992"/>
      <c r="K15" s="384"/>
      <c r="L15" s="938" t="s">
        <v>650</v>
      </c>
      <c r="M15" s="917" t="s">
        <v>30</v>
      </c>
      <c r="N15" s="990"/>
      <c r="O15" s="991"/>
      <c r="P15" s="991"/>
      <c r="Q15" s="991"/>
      <c r="R15" s="991"/>
      <c r="S15" s="991"/>
      <c r="T15" s="991"/>
      <c r="U15" s="992"/>
      <c r="V15" s="356"/>
      <c r="W15" s="55"/>
      <c r="X15" s="55"/>
    </row>
    <row r="16" spans="1:24" ht="13.5" customHeight="1">
      <c r="A16" s="914"/>
      <c r="B16" s="918"/>
      <c r="C16" s="921"/>
      <c r="D16" s="922"/>
      <c r="E16" s="922"/>
      <c r="F16" s="922"/>
      <c r="G16" s="922"/>
      <c r="H16" s="922"/>
      <c r="I16" s="922"/>
      <c r="J16" s="923"/>
      <c r="K16" s="384"/>
      <c r="L16" s="938"/>
      <c r="M16" s="918"/>
      <c r="N16" s="921"/>
      <c r="O16" s="922"/>
      <c r="P16" s="922"/>
      <c r="Q16" s="922"/>
      <c r="R16" s="922"/>
      <c r="S16" s="922"/>
      <c r="T16" s="922"/>
      <c r="U16" s="923"/>
      <c r="V16" s="356"/>
      <c r="W16" s="55"/>
      <c r="X16" s="55"/>
    </row>
    <row r="17" spans="1:24" ht="13.5" customHeight="1">
      <c r="A17" s="914" t="s">
        <v>408</v>
      </c>
      <c r="B17" s="917" t="s">
        <v>30</v>
      </c>
      <c r="C17" s="990"/>
      <c r="D17" s="991"/>
      <c r="E17" s="991"/>
      <c r="F17" s="991"/>
      <c r="G17" s="991"/>
      <c r="H17" s="991"/>
      <c r="I17" s="991"/>
      <c r="J17" s="992"/>
      <c r="K17" s="384"/>
      <c r="L17" s="938" t="s">
        <v>651</v>
      </c>
      <c r="M17" s="917" t="s">
        <v>31</v>
      </c>
      <c r="N17" s="990"/>
      <c r="O17" s="991"/>
      <c r="P17" s="991"/>
      <c r="Q17" s="991"/>
      <c r="R17" s="991"/>
      <c r="S17" s="991"/>
      <c r="T17" s="991"/>
      <c r="U17" s="992"/>
      <c r="V17" s="356"/>
      <c r="W17" s="55"/>
      <c r="X17" s="55"/>
    </row>
    <row r="18" spans="1:24" ht="13.5" customHeight="1">
      <c r="A18" s="914"/>
      <c r="B18" s="918"/>
      <c r="C18" s="921"/>
      <c r="D18" s="922"/>
      <c r="E18" s="922"/>
      <c r="F18" s="922"/>
      <c r="G18" s="922"/>
      <c r="H18" s="922"/>
      <c r="I18" s="922"/>
      <c r="J18" s="923"/>
      <c r="K18" s="384"/>
      <c r="L18" s="938"/>
      <c r="M18" s="918"/>
      <c r="N18" s="990"/>
      <c r="O18" s="991"/>
      <c r="P18" s="991"/>
      <c r="Q18" s="991"/>
      <c r="R18" s="991"/>
      <c r="S18" s="991"/>
      <c r="T18" s="991"/>
      <c r="U18" s="992"/>
      <c r="V18" s="356"/>
      <c r="W18" s="55"/>
      <c r="X18" s="55"/>
    </row>
    <row r="19" spans="1:24" ht="13.5" customHeight="1">
      <c r="A19" s="914" t="s">
        <v>409</v>
      </c>
      <c r="B19" s="917" t="s">
        <v>31</v>
      </c>
      <c r="C19" s="990" t="s">
        <v>710</v>
      </c>
      <c r="D19" s="991"/>
      <c r="E19" s="991"/>
      <c r="F19" s="991"/>
      <c r="G19" s="991"/>
      <c r="H19" s="991"/>
      <c r="I19" s="991"/>
      <c r="J19" s="992"/>
      <c r="K19" s="356" t="s">
        <v>711</v>
      </c>
      <c r="L19" s="938" t="s">
        <v>652</v>
      </c>
      <c r="M19" s="917" t="s">
        <v>32</v>
      </c>
      <c r="N19" s="990"/>
      <c r="O19" s="991"/>
      <c r="P19" s="991"/>
      <c r="Q19" s="991"/>
      <c r="R19" s="991"/>
      <c r="S19" s="991"/>
      <c r="T19" s="991"/>
      <c r="U19" s="992"/>
      <c r="V19" s="356"/>
      <c r="W19" s="55"/>
      <c r="X19" s="55"/>
    </row>
    <row r="20" spans="1:24" ht="13.5" customHeight="1">
      <c r="A20" s="914"/>
      <c r="B20" s="918"/>
      <c r="C20" s="921"/>
      <c r="D20" s="922"/>
      <c r="E20" s="922"/>
      <c r="F20" s="922"/>
      <c r="G20" s="922"/>
      <c r="H20" s="922"/>
      <c r="I20" s="922"/>
      <c r="J20" s="923"/>
      <c r="K20" s="384"/>
      <c r="L20" s="938"/>
      <c r="M20" s="918"/>
      <c r="N20" s="921"/>
      <c r="O20" s="922"/>
      <c r="P20" s="922"/>
      <c r="Q20" s="922"/>
      <c r="R20" s="922"/>
      <c r="S20" s="922"/>
      <c r="T20" s="922"/>
      <c r="U20" s="923"/>
      <c r="V20" s="356"/>
      <c r="W20" s="55"/>
      <c r="X20" s="55"/>
    </row>
    <row r="21" spans="1:24" ht="13.5" customHeight="1">
      <c r="A21" s="914" t="s">
        <v>410</v>
      </c>
      <c r="B21" s="917" t="s">
        <v>32</v>
      </c>
      <c r="C21" s="990"/>
      <c r="D21" s="991"/>
      <c r="E21" s="991"/>
      <c r="F21" s="991"/>
      <c r="G21" s="991"/>
      <c r="H21" s="991"/>
      <c r="I21" s="991"/>
      <c r="J21" s="992"/>
      <c r="K21" s="356"/>
      <c r="L21" s="938" t="s">
        <v>653</v>
      </c>
      <c r="M21" s="917" t="s">
        <v>10</v>
      </c>
      <c r="N21" s="990" t="s">
        <v>732</v>
      </c>
      <c r="O21" s="991"/>
      <c r="P21" s="991"/>
      <c r="Q21" s="991"/>
      <c r="R21" s="991"/>
      <c r="S21" s="991"/>
      <c r="T21" s="991"/>
      <c r="U21" s="992"/>
      <c r="V21" s="356" t="s">
        <v>711</v>
      </c>
      <c r="W21" s="55"/>
      <c r="X21" s="55"/>
    </row>
    <row r="22" spans="1:24" ht="13.5" customHeight="1">
      <c r="A22" s="914"/>
      <c r="B22" s="918"/>
      <c r="C22" s="990"/>
      <c r="D22" s="991"/>
      <c r="E22" s="991"/>
      <c r="F22" s="991"/>
      <c r="G22" s="991"/>
      <c r="H22" s="991"/>
      <c r="I22" s="991"/>
      <c r="J22" s="992"/>
      <c r="K22" s="384"/>
      <c r="L22" s="938"/>
      <c r="M22" s="918"/>
      <c r="N22" s="921"/>
      <c r="O22" s="922"/>
      <c r="P22" s="922"/>
      <c r="Q22" s="922"/>
      <c r="R22" s="922"/>
      <c r="S22" s="922"/>
      <c r="T22" s="922"/>
      <c r="U22" s="923"/>
      <c r="V22" s="356"/>
      <c r="W22" s="55"/>
      <c r="X22" s="55"/>
    </row>
    <row r="23" spans="1:24" ht="13.5" customHeight="1">
      <c r="A23" s="912" t="s">
        <v>411</v>
      </c>
      <c r="B23" s="917" t="s">
        <v>10</v>
      </c>
      <c r="C23" s="990"/>
      <c r="D23" s="991"/>
      <c r="E23" s="991"/>
      <c r="F23" s="991"/>
      <c r="G23" s="991"/>
      <c r="H23" s="991"/>
      <c r="I23" s="991"/>
      <c r="J23" s="992"/>
      <c r="K23" s="384"/>
      <c r="L23" s="938" t="s">
        <v>654</v>
      </c>
      <c r="M23" s="917" t="s">
        <v>27</v>
      </c>
      <c r="N23" s="990"/>
      <c r="O23" s="991"/>
      <c r="P23" s="991"/>
      <c r="Q23" s="991"/>
      <c r="R23" s="991"/>
      <c r="S23" s="991"/>
      <c r="T23" s="991"/>
      <c r="U23" s="992"/>
      <c r="V23" s="356"/>
      <c r="W23" s="55"/>
      <c r="X23" s="55"/>
    </row>
    <row r="24" spans="1:24" ht="13.5" customHeight="1">
      <c r="A24" s="913"/>
      <c r="B24" s="918"/>
      <c r="C24" s="921"/>
      <c r="D24" s="922"/>
      <c r="E24" s="922"/>
      <c r="F24" s="922"/>
      <c r="G24" s="922"/>
      <c r="H24" s="922"/>
      <c r="I24" s="922"/>
      <c r="J24" s="923"/>
      <c r="K24" s="384"/>
      <c r="L24" s="938"/>
      <c r="M24" s="918"/>
      <c r="N24" s="921"/>
      <c r="O24" s="922"/>
      <c r="P24" s="922"/>
      <c r="Q24" s="922"/>
      <c r="R24" s="922"/>
      <c r="S24" s="922"/>
      <c r="T24" s="922"/>
      <c r="U24" s="923"/>
      <c r="V24" s="356"/>
      <c r="W24" s="55"/>
      <c r="X24" s="55"/>
    </row>
    <row r="25" spans="1:24" ht="13.5" customHeight="1">
      <c r="A25" s="914" t="s">
        <v>412</v>
      </c>
      <c r="B25" s="917" t="s">
        <v>27</v>
      </c>
      <c r="C25" s="990"/>
      <c r="D25" s="991"/>
      <c r="E25" s="991"/>
      <c r="F25" s="991"/>
      <c r="G25" s="991"/>
      <c r="H25" s="991"/>
      <c r="I25" s="991"/>
      <c r="J25" s="992"/>
      <c r="K25" s="384"/>
      <c r="L25" s="938" t="s">
        <v>655</v>
      </c>
      <c r="M25" s="917" t="s">
        <v>28</v>
      </c>
      <c r="N25" s="990"/>
      <c r="O25" s="991"/>
      <c r="P25" s="991"/>
      <c r="Q25" s="991"/>
      <c r="R25" s="991"/>
      <c r="S25" s="991"/>
      <c r="T25" s="991"/>
      <c r="U25" s="992"/>
      <c r="V25" s="356"/>
      <c r="W25" s="55"/>
      <c r="X25" s="55"/>
    </row>
    <row r="26" spans="1:24" ht="13.5" customHeight="1">
      <c r="A26" s="914"/>
      <c r="B26" s="918"/>
      <c r="C26" s="921"/>
      <c r="D26" s="922"/>
      <c r="E26" s="922"/>
      <c r="F26" s="922"/>
      <c r="G26" s="922"/>
      <c r="H26" s="922"/>
      <c r="I26" s="922"/>
      <c r="J26" s="923"/>
      <c r="K26" s="384"/>
      <c r="L26" s="938"/>
      <c r="M26" s="918"/>
      <c r="N26" s="921"/>
      <c r="O26" s="922"/>
      <c r="P26" s="922"/>
      <c r="Q26" s="922"/>
      <c r="R26" s="922"/>
      <c r="S26" s="922"/>
      <c r="T26" s="922"/>
      <c r="U26" s="923"/>
      <c r="V26" s="356"/>
      <c r="W26" s="55"/>
      <c r="X26" s="55"/>
    </row>
    <row r="27" spans="1:24" ht="13.5" customHeight="1">
      <c r="A27" s="914" t="s">
        <v>413</v>
      </c>
      <c r="B27" s="917" t="s">
        <v>28</v>
      </c>
      <c r="C27" s="990"/>
      <c r="D27" s="991"/>
      <c r="E27" s="991"/>
      <c r="F27" s="991"/>
      <c r="G27" s="991"/>
      <c r="H27" s="991"/>
      <c r="I27" s="991"/>
      <c r="J27" s="992"/>
      <c r="K27" s="384"/>
      <c r="L27" s="938" t="s">
        <v>656</v>
      </c>
      <c r="M27" s="917" t="s">
        <v>29</v>
      </c>
      <c r="N27" s="990"/>
      <c r="O27" s="991"/>
      <c r="P27" s="991"/>
      <c r="Q27" s="991"/>
      <c r="R27" s="991"/>
      <c r="S27" s="991"/>
      <c r="T27" s="991"/>
      <c r="U27" s="992"/>
      <c r="V27" s="356"/>
      <c r="W27" s="55"/>
      <c r="X27" s="55"/>
    </row>
    <row r="28" spans="1:24" ht="13.5" customHeight="1">
      <c r="A28" s="914"/>
      <c r="B28" s="918"/>
      <c r="C28" s="990"/>
      <c r="D28" s="991"/>
      <c r="E28" s="991"/>
      <c r="F28" s="991"/>
      <c r="G28" s="991"/>
      <c r="H28" s="991"/>
      <c r="I28" s="991"/>
      <c r="J28" s="992"/>
      <c r="K28" s="384"/>
      <c r="L28" s="938"/>
      <c r="M28" s="918"/>
      <c r="N28" s="921"/>
      <c r="O28" s="922"/>
      <c r="P28" s="922"/>
      <c r="Q28" s="922"/>
      <c r="R28" s="922"/>
      <c r="S28" s="922"/>
      <c r="T28" s="922"/>
      <c r="U28" s="923"/>
      <c r="V28" s="356"/>
      <c r="W28" s="55"/>
      <c r="X28" s="55"/>
    </row>
    <row r="29" spans="1:24" ht="13.5" customHeight="1">
      <c r="A29" s="914" t="s">
        <v>414</v>
      </c>
      <c r="B29" s="917" t="s">
        <v>29</v>
      </c>
      <c r="C29" s="990" t="s">
        <v>720</v>
      </c>
      <c r="D29" s="991"/>
      <c r="E29" s="991"/>
      <c r="F29" s="991"/>
      <c r="G29" s="991"/>
      <c r="H29" s="991"/>
      <c r="I29" s="991"/>
      <c r="J29" s="992"/>
      <c r="K29" s="356" t="s">
        <v>711</v>
      </c>
      <c r="L29" s="938" t="s">
        <v>657</v>
      </c>
      <c r="M29" s="917" t="s">
        <v>30</v>
      </c>
      <c r="N29" s="990"/>
      <c r="O29" s="991"/>
      <c r="P29" s="991"/>
      <c r="Q29" s="991"/>
      <c r="R29" s="991"/>
      <c r="S29" s="991"/>
      <c r="T29" s="991"/>
      <c r="U29" s="992"/>
      <c r="V29" s="356"/>
      <c r="X29" s="55"/>
    </row>
    <row r="30" spans="1:24" ht="13.5" customHeight="1">
      <c r="A30" s="914"/>
      <c r="B30" s="918"/>
      <c r="C30" s="990" t="s">
        <v>721</v>
      </c>
      <c r="D30" s="991"/>
      <c r="E30" s="991"/>
      <c r="F30" s="991"/>
      <c r="G30" s="991"/>
      <c r="H30" s="991"/>
      <c r="I30" s="991"/>
      <c r="J30" s="992"/>
      <c r="K30" s="384" t="s">
        <v>711</v>
      </c>
      <c r="L30" s="938"/>
      <c r="M30" s="918"/>
      <c r="N30" s="990"/>
      <c r="O30" s="991"/>
      <c r="P30" s="991"/>
      <c r="Q30" s="991"/>
      <c r="R30" s="991"/>
      <c r="S30" s="991"/>
      <c r="T30" s="991"/>
      <c r="U30" s="992"/>
      <c r="V30" s="356"/>
      <c r="X30" s="55"/>
    </row>
    <row r="31" spans="1:24" ht="13.5" customHeight="1">
      <c r="A31" s="914" t="s">
        <v>415</v>
      </c>
      <c r="B31" s="917" t="s">
        <v>30</v>
      </c>
      <c r="C31" s="990"/>
      <c r="D31" s="991"/>
      <c r="E31" s="991"/>
      <c r="F31" s="991"/>
      <c r="G31" s="991"/>
      <c r="H31" s="991"/>
      <c r="I31" s="991"/>
      <c r="J31" s="992"/>
      <c r="K31" s="384"/>
      <c r="L31" s="938" t="s">
        <v>658</v>
      </c>
      <c r="M31" s="917" t="s">
        <v>31</v>
      </c>
      <c r="N31" s="990"/>
      <c r="O31" s="991"/>
      <c r="P31" s="991"/>
      <c r="Q31" s="991"/>
      <c r="R31" s="991"/>
      <c r="S31" s="991"/>
      <c r="T31" s="991"/>
      <c r="U31" s="992"/>
      <c r="V31" s="356"/>
      <c r="X31" s="55"/>
    </row>
    <row r="32" spans="1:24" ht="13.5" customHeight="1">
      <c r="A32" s="914"/>
      <c r="B32" s="918"/>
      <c r="C32" s="990"/>
      <c r="D32" s="991"/>
      <c r="E32" s="991"/>
      <c r="F32" s="991"/>
      <c r="G32" s="991"/>
      <c r="H32" s="991"/>
      <c r="I32" s="991"/>
      <c r="J32" s="992"/>
      <c r="K32" s="384"/>
      <c r="L32" s="938"/>
      <c r="M32" s="918"/>
      <c r="N32" s="990"/>
      <c r="O32" s="991"/>
      <c r="P32" s="991"/>
      <c r="Q32" s="991"/>
      <c r="R32" s="991"/>
      <c r="S32" s="991"/>
      <c r="T32" s="991"/>
      <c r="U32" s="992"/>
      <c r="V32" s="356"/>
      <c r="X32" s="55"/>
    </row>
    <row r="33" spans="1:24" ht="13.5" customHeight="1">
      <c r="A33" s="914" t="s">
        <v>416</v>
      </c>
      <c r="B33" s="917" t="s">
        <v>31</v>
      </c>
      <c r="C33" s="990"/>
      <c r="D33" s="991"/>
      <c r="E33" s="991"/>
      <c r="F33" s="991"/>
      <c r="G33" s="991"/>
      <c r="H33" s="991"/>
      <c r="I33" s="991"/>
      <c r="J33" s="992"/>
      <c r="K33" s="384"/>
      <c r="L33" s="938">
        <v>29</v>
      </c>
      <c r="M33" s="917" t="s">
        <v>32</v>
      </c>
      <c r="N33" s="990"/>
      <c r="O33" s="991"/>
      <c r="P33" s="991"/>
      <c r="Q33" s="991"/>
      <c r="R33" s="991"/>
      <c r="S33" s="991"/>
      <c r="T33" s="991"/>
      <c r="U33" s="992"/>
      <c r="V33" s="356"/>
      <c r="X33" s="55"/>
    </row>
    <row r="34" spans="1:24" ht="13.5" customHeight="1">
      <c r="A34" s="914"/>
      <c r="B34" s="918"/>
      <c r="C34" s="990"/>
      <c r="D34" s="991"/>
      <c r="E34" s="991"/>
      <c r="F34" s="991"/>
      <c r="G34" s="991"/>
      <c r="H34" s="991"/>
      <c r="I34" s="991"/>
      <c r="J34" s="992"/>
      <c r="K34" s="384"/>
      <c r="L34" s="938"/>
      <c r="M34" s="918"/>
      <c r="N34" s="921"/>
      <c r="O34" s="922"/>
      <c r="P34" s="922"/>
      <c r="Q34" s="922"/>
      <c r="R34" s="922"/>
      <c r="S34" s="922"/>
      <c r="T34" s="922"/>
      <c r="U34" s="923"/>
      <c r="V34" s="356"/>
      <c r="X34" s="55"/>
    </row>
    <row r="35" spans="1:24" ht="13.5" customHeight="1">
      <c r="A35" s="914" t="s">
        <v>417</v>
      </c>
      <c r="B35" s="917" t="s">
        <v>32</v>
      </c>
      <c r="C35" s="990"/>
      <c r="D35" s="991"/>
      <c r="E35" s="991"/>
      <c r="F35" s="991"/>
      <c r="G35" s="991"/>
      <c r="H35" s="991"/>
      <c r="I35" s="991"/>
      <c r="J35" s="992"/>
      <c r="K35" s="384"/>
      <c r="L35" s="938">
        <v>30</v>
      </c>
      <c r="M35" s="917" t="s">
        <v>10</v>
      </c>
      <c r="N35" s="990"/>
      <c r="O35" s="991"/>
      <c r="P35" s="991"/>
      <c r="Q35" s="991"/>
      <c r="R35" s="991"/>
      <c r="S35" s="991"/>
      <c r="T35" s="991"/>
      <c r="U35" s="992"/>
      <c r="V35" s="356"/>
      <c r="X35" s="55"/>
    </row>
    <row r="36" spans="1:24" ht="13.5" customHeight="1">
      <c r="A36" s="914"/>
      <c r="B36" s="918"/>
      <c r="C36" s="990"/>
      <c r="D36" s="991"/>
      <c r="E36" s="991"/>
      <c r="F36" s="991"/>
      <c r="G36" s="991"/>
      <c r="H36" s="991"/>
      <c r="I36" s="991"/>
      <c r="J36" s="992"/>
      <c r="K36" s="384"/>
      <c r="L36" s="938"/>
      <c r="M36" s="918"/>
      <c r="N36" s="921"/>
      <c r="O36" s="922"/>
      <c r="P36" s="922"/>
      <c r="Q36" s="922"/>
      <c r="R36" s="922"/>
      <c r="S36" s="922"/>
      <c r="T36" s="922"/>
      <c r="U36" s="923"/>
      <c r="V36" s="356"/>
      <c r="X36" s="55"/>
    </row>
    <row r="37" spans="1:24">
      <c r="A37" s="981"/>
      <c r="B37" s="983"/>
      <c r="C37" s="921"/>
      <c r="D37" s="991"/>
      <c r="E37" s="991"/>
      <c r="F37" s="991"/>
      <c r="G37" s="991"/>
      <c r="H37" s="991"/>
      <c r="I37" s="991"/>
      <c r="J37" s="992"/>
      <c r="K37" s="384"/>
      <c r="L37" s="938"/>
      <c r="M37" s="917"/>
      <c r="N37" s="1005"/>
      <c r="O37" s="991"/>
      <c r="P37" s="991"/>
      <c r="Q37" s="991"/>
      <c r="R37" s="991"/>
      <c r="S37" s="991"/>
      <c r="T37" s="991"/>
      <c r="U37" s="991"/>
      <c r="V37" s="356"/>
      <c r="X37" s="55"/>
    </row>
    <row r="38" spans="1:24">
      <c r="A38" s="982"/>
      <c r="B38" s="984"/>
      <c r="C38" s="986"/>
      <c r="D38" s="987"/>
      <c r="E38" s="987"/>
      <c r="F38" s="987"/>
      <c r="G38" s="987"/>
      <c r="H38" s="987"/>
      <c r="I38" s="987"/>
      <c r="J38" s="988"/>
      <c r="K38" s="384"/>
      <c r="L38" s="938"/>
      <c r="M38" s="918"/>
      <c r="N38" s="921"/>
      <c r="O38" s="991"/>
      <c r="P38" s="991"/>
      <c r="Q38" s="991"/>
      <c r="R38" s="991"/>
      <c r="S38" s="991"/>
      <c r="T38" s="991"/>
      <c r="U38" s="991"/>
      <c r="V38" s="356"/>
      <c r="X38" s="55"/>
    </row>
    <row r="39" spans="1:24">
      <c r="A39" s="996" t="s">
        <v>698</v>
      </c>
      <c r="B39" s="997"/>
      <c r="C39" s="997"/>
      <c r="D39" s="997"/>
      <c r="E39" s="997"/>
      <c r="F39" s="997"/>
      <c r="G39" s="997"/>
      <c r="H39" s="997"/>
      <c r="I39" s="997"/>
      <c r="J39" s="997"/>
      <c r="K39" s="997"/>
      <c r="L39" s="997"/>
      <c r="M39" s="997"/>
      <c r="N39" s="997"/>
      <c r="O39" s="997"/>
      <c r="P39" s="997"/>
      <c r="Q39" s="997"/>
      <c r="R39" s="997"/>
      <c r="S39" s="997"/>
      <c r="T39" s="997"/>
      <c r="U39" s="997"/>
      <c r="V39" s="998"/>
      <c r="X39" s="55"/>
    </row>
    <row r="40" spans="1:24">
      <c r="A40" s="999"/>
      <c r="B40" s="1000"/>
      <c r="C40" s="1000"/>
      <c r="D40" s="1000"/>
      <c r="E40" s="1000"/>
      <c r="F40" s="1000"/>
      <c r="G40" s="1000"/>
      <c r="H40" s="1000"/>
      <c r="I40" s="1000"/>
      <c r="J40" s="1000"/>
      <c r="K40" s="1000"/>
      <c r="L40" s="1000"/>
      <c r="M40" s="1000"/>
      <c r="N40" s="1000"/>
      <c r="O40" s="1000"/>
      <c r="P40" s="1000"/>
      <c r="Q40" s="1000"/>
      <c r="R40" s="1000"/>
      <c r="S40" s="1000"/>
      <c r="T40" s="1000"/>
      <c r="U40" s="1000"/>
      <c r="V40" s="1001"/>
      <c r="X40" s="55"/>
    </row>
    <row r="41" spans="1:24">
      <c r="A41" s="999"/>
      <c r="B41" s="1000"/>
      <c r="C41" s="1000"/>
      <c r="D41" s="1000"/>
      <c r="E41" s="1000"/>
      <c r="F41" s="1000"/>
      <c r="G41" s="1000"/>
      <c r="H41" s="1000"/>
      <c r="I41" s="1000"/>
      <c r="J41" s="1000"/>
      <c r="K41" s="1000"/>
      <c r="L41" s="1000"/>
      <c r="M41" s="1000"/>
      <c r="N41" s="1000"/>
      <c r="O41" s="1000"/>
      <c r="P41" s="1000"/>
      <c r="Q41" s="1000"/>
      <c r="R41" s="1000"/>
      <c r="S41" s="1000"/>
      <c r="T41" s="1000"/>
      <c r="U41" s="1000"/>
      <c r="V41" s="1001"/>
      <c r="X41" s="55"/>
    </row>
    <row r="42" spans="1:24">
      <c r="A42" s="999"/>
      <c r="B42" s="1000"/>
      <c r="C42" s="1000"/>
      <c r="D42" s="1000"/>
      <c r="E42" s="1000"/>
      <c r="F42" s="1000"/>
      <c r="G42" s="1000"/>
      <c r="H42" s="1000"/>
      <c r="I42" s="1000"/>
      <c r="J42" s="1000"/>
      <c r="K42" s="1000"/>
      <c r="L42" s="1000"/>
      <c r="M42" s="1000"/>
      <c r="N42" s="1000"/>
      <c r="O42" s="1000"/>
      <c r="P42" s="1000"/>
      <c r="Q42" s="1000"/>
      <c r="R42" s="1000"/>
      <c r="S42" s="1000"/>
      <c r="T42" s="1000"/>
      <c r="U42" s="1000"/>
      <c r="V42" s="1001"/>
      <c r="X42" s="55"/>
    </row>
    <row r="43" spans="1:24">
      <c r="A43" s="999"/>
      <c r="B43" s="1000"/>
      <c r="C43" s="1000"/>
      <c r="D43" s="1000"/>
      <c r="E43" s="1000"/>
      <c r="F43" s="1000"/>
      <c r="G43" s="1000"/>
      <c r="H43" s="1000"/>
      <c r="I43" s="1000"/>
      <c r="J43" s="1000"/>
      <c r="K43" s="1000"/>
      <c r="L43" s="1000"/>
      <c r="M43" s="1000"/>
      <c r="N43" s="1000"/>
      <c r="O43" s="1000"/>
      <c r="P43" s="1000"/>
      <c r="Q43" s="1000"/>
      <c r="R43" s="1000"/>
      <c r="S43" s="1000"/>
      <c r="T43" s="1000"/>
      <c r="U43" s="1000"/>
      <c r="V43" s="1001"/>
      <c r="X43" s="55"/>
    </row>
    <row r="44" spans="1:24">
      <c r="A44" s="999"/>
      <c r="B44" s="1000"/>
      <c r="C44" s="1000"/>
      <c r="D44" s="1000"/>
      <c r="E44" s="1000"/>
      <c r="F44" s="1000"/>
      <c r="G44" s="1000"/>
      <c r="H44" s="1000"/>
      <c r="I44" s="1000"/>
      <c r="J44" s="1000"/>
      <c r="K44" s="1000"/>
      <c r="L44" s="1000"/>
      <c r="M44" s="1000"/>
      <c r="N44" s="1000"/>
      <c r="O44" s="1000"/>
      <c r="P44" s="1000"/>
      <c r="Q44" s="1000"/>
      <c r="R44" s="1000"/>
      <c r="S44" s="1000"/>
      <c r="T44" s="1000"/>
      <c r="U44" s="1000"/>
      <c r="V44" s="1001"/>
    </row>
    <row r="45" spans="1:24">
      <c r="A45" s="999"/>
      <c r="B45" s="1000"/>
      <c r="C45" s="1000"/>
      <c r="D45" s="1000"/>
      <c r="E45" s="1000"/>
      <c r="F45" s="1000"/>
      <c r="G45" s="1000"/>
      <c r="H45" s="1000"/>
      <c r="I45" s="1000"/>
      <c r="J45" s="1000"/>
      <c r="K45" s="1000"/>
      <c r="L45" s="1000"/>
      <c r="M45" s="1000"/>
      <c r="N45" s="1000"/>
      <c r="O45" s="1000"/>
      <c r="P45" s="1000"/>
      <c r="Q45" s="1000"/>
      <c r="R45" s="1000"/>
      <c r="S45" s="1000"/>
      <c r="T45" s="1000"/>
      <c r="U45" s="1000"/>
      <c r="V45" s="1001"/>
    </row>
    <row r="46" spans="1:24">
      <c r="A46" s="1002"/>
      <c r="B46" s="1003"/>
      <c r="C46" s="1003"/>
      <c r="D46" s="1003"/>
      <c r="E46" s="1003"/>
      <c r="F46" s="1003"/>
      <c r="G46" s="1003"/>
      <c r="H46" s="1003"/>
      <c r="I46" s="1003"/>
      <c r="J46" s="1003"/>
      <c r="K46" s="1003"/>
      <c r="L46" s="1003"/>
      <c r="M46" s="1003"/>
      <c r="N46" s="1003"/>
      <c r="O46" s="1003"/>
      <c r="P46" s="1003"/>
      <c r="Q46" s="1003"/>
      <c r="R46" s="1003"/>
      <c r="S46" s="1003"/>
      <c r="T46" s="1003"/>
      <c r="U46" s="1003"/>
      <c r="V46" s="1004"/>
    </row>
    <row r="49" spans="1:22">
      <c r="A49" s="55"/>
      <c r="B49" s="54"/>
      <c r="C49" s="54"/>
    </row>
    <row r="50" spans="1:22">
      <c r="A50" s="55"/>
      <c r="B50" s="54"/>
      <c r="C50" s="54"/>
    </row>
    <row r="52" spans="1:22">
      <c r="A52" s="1006">
        <v>44866</v>
      </c>
      <c r="B52" s="1008" t="s">
        <v>28</v>
      </c>
      <c r="C52" s="993"/>
      <c r="D52" s="994"/>
      <c r="E52" s="994"/>
      <c r="F52" s="994"/>
      <c r="G52" s="994"/>
      <c r="H52" s="994"/>
      <c r="I52" s="994"/>
      <c r="J52" s="995"/>
      <c r="K52" s="884"/>
      <c r="L52" s="1010">
        <v>44881</v>
      </c>
      <c r="M52" s="1008" t="s">
        <v>29</v>
      </c>
      <c r="N52" s="993"/>
      <c r="O52" s="994"/>
      <c r="P52" s="994"/>
      <c r="Q52" s="994"/>
      <c r="R52" s="994"/>
      <c r="S52" s="994"/>
      <c r="T52" s="994"/>
      <c r="U52" s="995"/>
      <c r="V52" s="354"/>
    </row>
    <row r="53" spans="1:22">
      <c r="A53" s="1007"/>
      <c r="B53" s="1009"/>
      <c r="C53" s="921"/>
      <c r="D53" s="922"/>
      <c r="E53" s="922"/>
      <c r="F53" s="922"/>
      <c r="G53" s="922"/>
      <c r="H53" s="922"/>
      <c r="I53" s="922"/>
      <c r="J53" s="923"/>
      <c r="K53" s="384"/>
      <c r="L53" s="1011"/>
      <c r="M53" s="1009"/>
      <c r="N53" s="990"/>
      <c r="O53" s="991"/>
      <c r="P53" s="991"/>
      <c r="Q53" s="991"/>
      <c r="R53" s="991"/>
      <c r="S53" s="991"/>
      <c r="T53" s="991"/>
      <c r="U53" s="992"/>
      <c r="V53" s="356"/>
    </row>
    <row r="54" spans="1:22">
      <c r="A54" s="1012" t="s">
        <v>404</v>
      </c>
      <c r="B54" s="1013" t="s">
        <v>29</v>
      </c>
      <c r="C54" s="990"/>
      <c r="D54" s="991"/>
      <c r="E54" s="991"/>
      <c r="F54" s="991"/>
      <c r="G54" s="991"/>
      <c r="H54" s="991"/>
      <c r="I54" s="991"/>
      <c r="J54" s="992"/>
      <c r="K54" s="384"/>
      <c r="L54" s="1014">
        <v>17</v>
      </c>
      <c r="M54" s="1013" t="s">
        <v>30</v>
      </c>
      <c r="N54" s="990"/>
      <c r="O54" s="991"/>
      <c r="P54" s="991"/>
      <c r="Q54" s="991"/>
      <c r="R54" s="991"/>
      <c r="S54" s="991"/>
      <c r="T54" s="991"/>
      <c r="U54" s="992"/>
      <c r="V54" s="356"/>
    </row>
    <row r="55" spans="1:22">
      <c r="A55" s="1012"/>
      <c r="B55" s="1009"/>
      <c r="C55" s="921"/>
      <c r="D55" s="922"/>
      <c r="E55" s="922"/>
      <c r="F55" s="922"/>
      <c r="G55" s="922"/>
      <c r="H55" s="922"/>
      <c r="I55" s="922"/>
      <c r="J55" s="923"/>
      <c r="K55" s="384"/>
      <c r="L55" s="1014"/>
      <c r="M55" s="1009"/>
      <c r="N55" s="921"/>
      <c r="O55" s="922"/>
      <c r="P55" s="922"/>
      <c r="Q55" s="922"/>
      <c r="R55" s="922"/>
      <c r="S55" s="922"/>
      <c r="T55" s="922"/>
      <c r="U55" s="923"/>
      <c r="V55" s="356"/>
    </row>
    <row r="56" spans="1:22">
      <c r="A56" s="1015" t="s">
        <v>405</v>
      </c>
      <c r="B56" s="1016" t="s">
        <v>30</v>
      </c>
      <c r="C56" s="990"/>
      <c r="D56" s="991"/>
      <c r="E56" s="991"/>
      <c r="F56" s="991"/>
      <c r="G56" s="991"/>
      <c r="H56" s="991"/>
      <c r="I56" s="991"/>
      <c r="J56" s="992"/>
      <c r="K56" s="384"/>
      <c r="L56" s="1014" t="s">
        <v>648</v>
      </c>
      <c r="M56" s="1013" t="s">
        <v>31</v>
      </c>
      <c r="N56" s="1018" t="s">
        <v>695</v>
      </c>
      <c r="O56" s="1019"/>
      <c r="P56" s="1019"/>
      <c r="Q56" s="1019"/>
      <c r="R56" s="1019"/>
      <c r="S56" s="1019"/>
      <c r="T56" s="1019"/>
      <c r="U56" s="1020"/>
      <c r="V56" s="885" t="s">
        <v>370</v>
      </c>
    </row>
    <row r="57" spans="1:22">
      <c r="A57" s="1015"/>
      <c r="B57" s="1017"/>
      <c r="C57" s="921"/>
      <c r="D57" s="922"/>
      <c r="E57" s="922"/>
      <c r="F57" s="922"/>
      <c r="G57" s="922"/>
      <c r="H57" s="922"/>
      <c r="I57" s="922"/>
      <c r="J57" s="923"/>
      <c r="K57" s="384"/>
      <c r="L57" s="1014"/>
      <c r="M57" s="1009"/>
      <c r="N57" s="1018" t="s">
        <v>428</v>
      </c>
      <c r="O57" s="1019"/>
      <c r="P57" s="1019"/>
      <c r="Q57" s="1019"/>
      <c r="R57" s="1019"/>
      <c r="S57" s="1019"/>
      <c r="T57" s="1019"/>
      <c r="U57" s="1020"/>
      <c r="V57" s="885" t="s">
        <v>370</v>
      </c>
    </row>
    <row r="58" spans="1:22">
      <c r="A58" s="1012" t="s">
        <v>406</v>
      </c>
      <c r="B58" s="1013" t="s">
        <v>31</v>
      </c>
      <c r="C58" s="990"/>
      <c r="D58" s="991"/>
      <c r="E58" s="991"/>
      <c r="F58" s="991"/>
      <c r="G58" s="991"/>
      <c r="H58" s="991"/>
      <c r="I58" s="991"/>
      <c r="J58" s="992"/>
      <c r="K58" s="384"/>
      <c r="L58" s="1021" t="s">
        <v>649</v>
      </c>
      <c r="M58" s="1022" t="s">
        <v>32</v>
      </c>
      <c r="N58" s="1018" t="s">
        <v>693</v>
      </c>
      <c r="O58" s="1019"/>
      <c r="P58" s="1019"/>
      <c r="Q58" s="1019"/>
      <c r="R58" s="1019"/>
      <c r="S58" s="1019"/>
      <c r="T58" s="1019"/>
      <c r="U58" s="1020"/>
      <c r="V58" s="885" t="s">
        <v>419</v>
      </c>
    </row>
    <row r="59" spans="1:22">
      <c r="A59" s="1012"/>
      <c r="B59" s="1009"/>
      <c r="C59" s="921"/>
      <c r="D59" s="922"/>
      <c r="E59" s="922"/>
      <c r="F59" s="922"/>
      <c r="G59" s="922"/>
      <c r="H59" s="922"/>
      <c r="I59" s="922"/>
      <c r="J59" s="923"/>
      <c r="K59" s="384"/>
      <c r="L59" s="1021"/>
      <c r="M59" s="1023"/>
      <c r="N59" s="921"/>
      <c r="O59" s="922"/>
      <c r="P59" s="922"/>
      <c r="Q59" s="922"/>
      <c r="R59" s="922"/>
      <c r="S59" s="922"/>
      <c r="T59" s="922"/>
      <c r="U59" s="923"/>
      <c r="V59" s="356"/>
    </row>
    <row r="60" spans="1:22">
      <c r="A60" s="1024" t="s">
        <v>407</v>
      </c>
      <c r="B60" s="1022" t="s">
        <v>32</v>
      </c>
      <c r="C60" s="1018" t="s">
        <v>690</v>
      </c>
      <c r="D60" s="1019"/>
      <c r="E60" s="1019"/>
      <c r="F60" s="1019"/>
      <c r="G60" s="1019"/>
      <c r="H60" s="1019"/>
      <c r="I60" s="1019"/>
      <c r="J60" s="1020"/>
      <c r="K60" s="886" t="s">
        <v>419</v>
      </c>
      <c r="L60" s="1025" t="s">
        <v>650</v>
      </c>
      <c r="M60" s="1016" t="s">
        <v>10</v>
      </c>
      <c r="N60" s="990"/>
      <c r="O60" s="991"/>
      <c r="P60" s="991"/>
      <c r="Q60" s="991"/>
      <c r="R60" s="991"/>
      <c r="S60" s="991"/>
      <c r="T60" s="991"/>
      <c r="U60" s="992"/>
      <c r="V60" s="356"/>
    </row>
    <row r="61" spans="1:22">
      <c r="A61" s="1024"/>
      <c r="B61" s="1023"/>
      <c r="C61" s="1026" t="s">
        <v>691</v>
      </c>
      <c r="D61" s="1027"/>
      <c r="E61" s="1027"/>
      <c r="F61" s="1027"/>
      <c r="G61" s="1027"/>
      <c r="H61" s="1027"/>
      <c r="I61" s="1027"/>
      <c r="J61" s="1028"/>
      <c r="K61" s="886" t="s">
        <v>419</v>
      </c>
      <c r="L61" s="1025"/>
      <c r="M61" s="1017"/>
      <c r="N61" s="921"/>
      <c r="O61" s="922"/>
      <c r="P61" s="922"/>
      <c r="Q61" s="922"/>
      <c r="R61" s="922"/>
      <c r="S61" s="922"/>
      <c r="T61" s="922"/>
      <c r="U61" s="923"/>
      <c r="V61" s="356"/>
    </row>
    <row r="62" spans="1:22">
      <c r="A62" s="1015" t="s">
        <v>408</v>
      </c>
      <c r="B62" s="1016" t="s">
        <v>10</v>
      </c>
      <c r="C62" s="990"/>
      <c r="D62" s="991"/>
      <c r="E62" s="991"/>
      <c r="F62" s="991"/>
      <c r="G62" s="991"/>
      <c r="H62" s="991"/>
      <c r="I62" s="991"/>
      <c r="J62" s="992"/>
      <c r="K62" s="1029"/>
      <c r="L62" s="1014" t="s">
        <v>651</v>
      </c>
      <c r="M62" s="1013" t="s">
        <v>27</v>
      </c>
      <c r="N62" s="990"/>
      <c r="O62" s="991"/>
      <c r="P62" s="991"/>
      <c r="Q62" s="991"/>
      <c r="R62" s="991"/>
      <c r="S62" s="991"/>
      <c r="T62" s="991"/>
      <c r="U62" s="992"/>
      <c r="V62" s="356"/>
    </row>
    <row r="63" spans="1:22">
      <c r="A63" s="1015"/>
      <c r="B63" s="1017"/>
      <c r="C63" s="921"/>
      <c r="D63" s="922"/>
      <c r="E63" s="922"/>
      <c r="F63" s="922"/>
      <c r="G63" s="922"/>
      <c r="H63" s="922"/>
      <c r="I63" s="922"/>
      <c r="J63" s="923"/>
      <c r="K63" s="1030"/>
      <c r="L63" s="1014"/>
      <c r="M63" s="1009"/>
      <c r="N63" s="921"/>
      <c r="O63" s="922"/>
      <c r="P63" s="922"/>
      <c r="Q63" s="922"/>
      <c r="R63" s="922"/>
      <c r="S63" s="922"/>
      <c r="T63" s="922"/>
      <c r="U63" s="923"/>
      <c r="V63" s="356"/>
    </row>
    <row r="64" spans="1:22">
      <c r="A64" s="1012" t="s">
        <v>409</v>
      </c>
      <c r="B64" s="1013" t="s">
        <v>27</v>
      </c>
      <c r="C64" s="990"/>
      <c r="D64" s="991"/>
      <c r="E64" s="991"/>
      <c r="F64" s="991"/>
      <c r="G64" s="991"/>
      <c r="H64" s="991"/>
      <c r="I64" s="991"/>
      <c r="J64" s="992"/>
      <c r="K64" s="356"/>
      <c r="L64" s="1014" t="s">
        <v>652</v>
      </c>
      <c r="M64" s="1013" t="s">
        <v>28</v>
      </c>
      <c r="N64" s="990"/>
      <c r="O64" s="991"/>
      <c r="P64" s="991"/>
      <c r="Q64" s="991"/>
      <c r="R64" s="991"/>
      <c r="S64" s="991"/>
      <c r="T64" s="991"/>
      <c r="U64" s="992"/>
      <c r="V64" s="356"/>
    </row>
    <row r="65" spans="1:22">
      <c r="A65" s="1012"/>
      <c r="B65" s="1009"/>
      <c r="C65" s="921"/>
      <c r="D65" s="922"/>
      <c r="E65" s="922"/>
      <c r="F65" s="922"/>
      <c r="G65" s="922"/>
      <c r="H65" s="922"/>
      <c r="I65" s="922"/>
      <c r="J65" s="923"/>
      <c r="K65" s="384"/>
      <c r="L65" s="1014"/>
      <c r="M65" s="1009"/>
      <c r="N65" s="921"/>
      <c r="O65" s="922"/>
      <c r="P65" s="922"/>
      <c r="Q65" s="922"/>
      <c r="R65" s="922"/>
      <c r="S65" s="922"/>
      <c r="T65" s="922"/>
      <c r="U65" s="923"/>
      <c r="V65" s="356"/>
    </row>
    <row r="66" spans="1:22">
      <c r="A66" s="1012" t="s">
        <v>410</v>
      </c>
      <c r="B66" s="1013" t="s">
        <v>28</v>
      </c>
      <c r="C66" s="990"/>
      <c r="D66" s="991"/>
      <c r="E66" s="991"/>
      <c r="F66" s="991"/>
      <c r="G66" s="991"/>
      <c r="H66" s="991"/>
      <c r="I66" s="991"/>
      <c r="J66" s="992"/>
      <c r="K66" s="356"/>
      <c r="L66" s="1025" t="s">
        <v>653</v>
      </c>
      <c r="M66" s="1016" t="s">
        <v>29</v>
      </c>
      <c r="N66" s="990"/>
      <c r="O66" s="991"/>
      <c r="P66" s="991"/>
      <c r="Q66" s="991"/>
      <c r="R66" s="991"/>
      <c r="S66" s="991"/>
      <c r="T66" s="991"/>
      <c r="U66" s="992"/>
      <c r="V66" s="356" t="s">
        <v>419</v>
      </c>
    </row>
    <row r="67" spans="1:22">
      <c r="A67" s="1012"/>
      <c r="B67" s="1009"/>
      <c r="C67" s="990"/>
      <c r="D67" s="991"/>
      <c r="E67" s="991"/>
      <c r="F67" s="991"/>
      <c r="G67" s="991"/>
      <c r="H67" s="991"/>
      <c r="I67" s="991"/>
      <c r="J67" s="992"/>
      <c r="K67" s="384"/>
      <c r="L67" s="1025"/>
      <c r="M67" s="1017"/>
      <c r="N67" s="921"/>
      <c r="O67" s="922"/>
      <c r="P67" s="922"/>
      <c r="Q67" s="922"/>
      <c r="R67" s="922"/>
      <c r="S67" s="922"/>
      <c r="T67" s="922"/>
      <c r="U67" s="923"/>
      <c r="V67" s="356" t="s">
        <v>419</v>
      </c>
    </row>
    <row r="68" spans="1:22">
      <c r="A68" s="1031" t="s">
        <v>411</v>
      </c>
      <c r="B68" s="1013" t="s">
        <v>29</v>
      </c>
      <c r="C68" s="990"/>
      <c r="D68" s="991"/>
      <c r="E68" s="991"/>
      <c r="F68" s="991"/>
      <c r="G68" s="991"/>
      <c r="H68" s="991"/>
      <c r="I68" s="991"/>
      <c r="J68" s="992"/>
      <c r="K68" s="384"/>
      <c r="L68" s="1014" t="s">
        <v>654</v>
      </c>
      <c r="M68" s="1013" t="s">
        <v>30</v>
      </c>
      <c r="N68" s="990"/>
      <c r="O68" s="991"/>
      <c r="P68" s="991"/>
      <c r="Q68" s="991"/>
      <c r="R68" s="991"/>
      <c r="S68" s="991"/>
      <c r="T68" s="991"/>
      <c r="U68" s="992"/>
      <c r="V68" s="356"/>
    </row>
    <row r="69" spans="1:22">
      <c r="A69" s="1032"/>
      <c r="B69" s="1009"/>
      <c r="C69" s="921"/>
      <c r="D69" s="922"/>
      <c r="E69" s="922"/>
      <c r="F69" s="922"/>
      <c r="G69" s="922"/>
      <c r="H69" s="922"/>
      <c r="I69" s="922"/>
      <c r="J69" s="923"/>
      <c r="K69" s="384"/>
      <c r="L69" s="1014"/>
      <c r="M69" s="1009"/>
      <c r="N69" s="921"/>
      <c r="O69" s="922"/>
      <c r="P69" s="922"/>
      <c r="Q69" s="922"/>
      <c r="R69" s="922"/>
      <c r="S69" s="922"/>
      <c r="T69" s="922"/>
      <c r="U69" s="923"/>
      <c r="V69" s="356"/>
    </row>
    <row r="70" spans="1:22">
      <c r="A70" s="1012" t="s">
        <v>412</v>
      </c>
      <c r="B70" s="1013" t="s">
        <v>30</v>
      </c>
      <c r="C70" s="990"/>
      <c r="D70" s="991"/>
      <c r="E70" s="991"/>
      <c r="F70" s="991"/>
      <c r="G70" s="991"/>
      <c r="H70" s="991"/>
      <c r="I70" s="991"/>
      <c r="J70" s="992"/>
      <c r="K70" s="384"/>
      <c r="L70" s="1014" t="s">
        <v>655</v>
      </c>
      <c r="M70" s="1013" t="s">
        <v>31</v>
      </c>
      <c r="N70" s="990"/>
      <c r="O70" s="991"/>
      <c r="P70" s="991"/>
      <c r="Q70" s="991"/>
      <c r="R70" s="991"/>
      <c r="S70" s="991"/>
      <c r="T70" s="991"/>
      <c r="U70" s="992"/>
      <c r="V70" s="356"/>
    </row>
    <row r="71" spans="1:22">
      <c r="A71" s="1012"/>
      <c r="B71" s="1009"/>
      <c r="C71" s="921"/>
      <c r="D71" s="922"/>
      <c r="E71" s="922"/>
      <c r="F71" s="922"/>
      <c r="G71" s="922"/>
      <c r="H71" s="922"/>
      <c r="I71" s="922"/>
      <c r="J71" s="923"/>
      <c r="K71" s="384"/>
      <c r="L71" s="1014"/>
      <c r="M71" s="1009"/>
      <c r="N71" s="921" t="s">
        <v>694</v>
      </c>
      <c r="O71" s="922"/>
      <c r="P71" s="922"/>
      <c r="Q71" s="922"/>
      <c r="R71" s="922"/>
      <c r="S71" s="922"/>
      <c r="T71" s="922"/>
      <c r="U71" s="923"/>
      <c r="V71" s="356"/>
    </row>
    <row r="72" spans="1:22">
      <c r="A72" s="1012" t="s">
        <v>413</v>
      </c>
      <c r="B72" s="1013" t="s">
        <v>31</v>
      </c>
      <c r="C72" s="990" t="s">
        <v>671</v>
      </c>
      <c r="D72" s="991"/>
      <c r="E72" s="991"/>
      <c r="F72" s="991"/>
      <c r="G72" s="991"/>
      <c r="H72" s="991"/>
      <c r="I72" s="991"/>
      <c r="J72" s="992"/>
      <c r="K72" s="384" t="s">
        <v>419</v>
      </c>
      <c r="L72" s="1021" t="s">
        <v>656</v>
      </c>
      <c r="M72" s="1022" t="s">
        <v>32</v>
      </c>
      <c r="N72" s="990"/>
      <c r="O72" s="991"/>
      <c r="P72" s="991"/>
      <c r="Q72" s="991"/>
      <c r="R72" s="991"/>
      <c r="S72" s="991"/>
      <c r="T72" s="991"/>
      <c r="U72" s="992"/>
      <c r="V72" s="356"/>
    </row>
    <row r="73" spans="1:22">
      <c r="A73" s="1012"/>
      <c r="B73" s="1009"/>
      <c r="C73" s="990"/>
      <c r="D73" s="991"/>
      <c r="E73" s="991"/>
      <c r="F73" s="991"/>
      <c r="G73" s="991"/>
      <c r="H73" s="991"/>
      <c r="I73" s="991"/>
      <c r="J73" s="992"/>
      <c r="K73" s="384"/>
      <c r="L73" s="1021"/>
      <c r="M73" s="1023"/>
      <c r="N73" s="921"/>
      <c r="O73" s="922"/>
      <c r="P73" s="922"/>
      <c r="Q73" s="922"/>
      <c r="R73" s="922"/>
      <c r="S73" s="922"/>
      <c r="T73" s="922"/>
      <c r="U73" s="923"/>
      <c r="V73" s="356"/>
    </row>
    <row r="74" spans="1:22">
      <c r="A74" s="1024" t="s">
        <v>414</v>
      </c>
      <c r="B74" s="1022" t="s">
        <v>32</v>
      </c>
      <c r="C74" s="990"/>
      <c r="D74" s="991"/>
      <c r="E74" s="991"/>
      <c r="F74" s="991"/>
      <c r="G74" s="991"/>
      <c r="H74" s="991"/>
      <c r="I74" s="991"/>
      <c r="J74" s="992"/>
      <c r="K74" s="356"/>
      <c r="L74" s="1025" t="s">
        <v>657</v>
      </c>
      <c r="M74" s="1016" t="s">
        <v>10</v>
      </c>
      <c r="N74" s="990"/>
      <c r="O74" s="991"/>
      <c r="P74" s="991"/>
      <c r="Q74" s="991"/>
      <c r="R74" s="991"/>
      <c r="S74" s="991"/>
      <c r="T74" s="991"/>
      <c r="U74" s="992"/>
      <c r="V74" s="356"/>
    </row>
    <row r="75" spans="1:22">
      <c r="A75" s="1024"/>
      <c r="B75" s="1023"/>
      <c r="C75" s="990"/>
      <c r="D75" s="991"/>
      <c r="E75" s="991"/>
      <c r="F75" s="991"/>
      <c r="G75" s="991"/>
      <c r="H75" s="991"/>
      <c r="I75" s="991"/>
      <c r="J75" s="992"/>
      <c r="K75" s="384"/>
      <c r="L75" s="1025"/>
      <c r="M75" s="1017"/>
      <c r="N75" s="990"/>
      <c r="O75" s="991"/>
      <c r="P75" s="991"/>
      <c r="Q75" s="991"/>
      <c r="R75" s="991"/>
      <c r="S75" s="991"/>
      <c r="T75" s="991"/>
      <c r="U75" s="992"/>
      <c r="V75" s="356"/>
    </row>
    <row r="76" spans="1:22">
      <c r="A76" s="1015" t="s">
        <v>415</v>
      </c>
      <c r="B76" s="1016" t="s">
        <v>10</v>
      </c>
      <c r="C76" s="990"/>
      <c r="D76" s="991"/>
      <c r="E76" s="991"/>
      <c r="F76" s="991"/>
      <c r="G76" s="991"/>
      <c r="H76" s="991"/>
      <c r="I76" s="991"/>
      <c r="J76" s="992"/>
      <c r="K76" s="384"/>
      <c r="L76" s="1014" t="s">
        <v>658</v>
      </c>
      <c r="M76" s="1013" t="s">
        <v>27</v>
      </c>
      <c r="N76" s="990"/>
      <c r="O76" s="991"/>
      <c r="P76" s="991"/>
      <c r="Q76" s="991"/>
      <c r="R76" s="991"/>
      <c r="S76" s="991"/>
      <c r="T76" s="991"/>
      <c r="U76" s="992"/>
      <c r="V76" s="356"/>
    </row>
    <row r="77" spans="1:22">
      <c r="A77" s="1015"/>
      <c r="B77" s="1017"/>
      <c r="C77" s="990"/>
      <c r="D77" s="991"/>
      <c r="E77" s="991"/>
      <c r="F77" s="991"/>
      <c r="G77" s="991"/>
      <c r="H77" s="991"/>
      <c r="I77" s="991"/>
      <c r="J77" s="992"/>
      <c r="K77" s="384"/>
      <c r="L77" s="1014"/>
      <c r="M77" s="1009"/>
      <c r="N77" s="990"/>
      <c r="O77" s="991"/>
      <c r="P77" s="991"/>
      <c r="Q77" s="991"/>
      <c r="R77" s="991"/>
      <c r="S77" s="991"/>
      <c r="T77" s="991"/>
      <c r="U77" s="992"/>
      <c r="V77" s="356"/>
    </row>
    <row r="78" spans="1:22">
      <c r="A78" s="1012" t="s">
        <v>416</v>
      </c>
      <c r="B78" s="1013" t="s">
        <v>27</v>
      </c>
      <c r="C78" s="1018" t="s">
        <v>692</v>
      </c>
      <c r="D78" s="1019"/>
      <c r="E78" s="1019"/>
      <c r="F78" s="1019"/>
      <c r="G78" s="1019"/>
      <c r="H78" s="1019"/>
      <c r="I78" s="1019"/>
      <c r="J78" s="1020"/>
      <c r="K78" s="886" t="s">
        <v>419</v>
      </c>
      <c r="L78" s="1014">
        <v>29</v>
      </c>
      <c r="M78" s="1013" t="s">
        <v>28</v>
      </c>
      <c r="N78" s="990"/>
      <c r="O78" s="991"/>
      <c r="P78" s="991"/>
      <c r="Q78" s="991"/>
      <c r="R78" s="991"/>
      <c r="S78" s="991"/>
      <c r="T78" s="991"/>
      <c r="U78" s="992"/>
      <c r="V78" s="356"/>
    </row>
    <row r="79" spans="1:22">
      <c r="A79" s="1012"/>
      <c r="B79" s="1009"/>
      <c r="C79" s="1018" t="s">
        <v>678</v>
      </c>
      <c r="D79" s="1019"/>
      <c r="E79" s="1019"/>
      <c r="F79" s="1019"/>
      <c r="G79" s="1019"/>
      <c r="H79" s="1019"/>
      <c r="I79" s="1019"/>
      <c r="J79" s="1020"/>
      <c r="K79" s="886" t="s">
        <v>419</v>
      </c>
      <c r="L79" s="1014"/>
      <c r="M79" s="1009"/>
      <c r="N79" s="921"/>
      <c r="O79" s="922"/>
      <c r="P79" s="922"/>
      <c r="Q79" s="922"/>
      <c r="R79" s="922"/>
      <c r="S79" s="922"/>
      <c r="T79" s="922"/>
      <c r="U79" s="923"/>
      <c r="V79" s="356"/>
    </row>
    <row r="80" spans="1:22">
      <c r="A80" s="1012" t="s">
        <v>417</v>
      </c>
      <c r="B80" s="1013" t="s">
        <v>28</v>
      </c>
      <c r="C80" s="990"/>
      <c r="D80" s="991"/>
      <c r="E80" s="991"/>
      <c r="F80" s="991"/>
      <c r="G80" s="991"/>
      <c r="H80" s="991"/>
      <c r="I80" s="991"/>
      <c r="J80" s="992"/>
      <c r="K80" s="384"/>
      <c r="L80" s="1014">
        <v>30</v>
      </c>
      <c r="M80" s="1013" t="s">
        <v>29</v>
      </c>
      <c r="N80" s="990"/>
      <c r="O80" s="991"/>
      <c r="P80" s="991"/>
      <c r="Q80" s="991"/>
      <c r="R80" s="991"/>
      <c r="S80" s="991"/>
      <c r="T80" s="991"/>
      <c r="U80" s="992"/>
      <c r="V80" s="356"/>
    </row>
    <row r="81" spans="1:22">
      <c r="A81" s="1012"/>
      <c r="B81" s="1009"/>
      <c r="C81" s="990"/>
      <c r="D81" s="991"/>
      <c r="E81" s="991"/>
      <c r="F81" s="991"/>
      <c r="G81" s="991"/>
      <c r="H81" s="991"/>
      <c r="I81" s="991"/>
      <c r="J81" s="992"/>
      <c r="K81" s="384"/>
      <c r="L81" s="1014"/>
      <c r="M81" s="1009"/>
      <c r="N81" s="921"/>
      <c r="O81" s="922"/>
      <c r="P81" s="922"/>
      <c r="Q81" s="922"/>
      <c r="R81" s="922"/>
      <c r="S81" s="922"/>
      <c r="T81" s="922"/>
      <c r="U81" s="923"/>
      <c r="V81" s="356"/>
    </row>
  </sheetData>
  <mergeCells count="253">
    <mergeCell ref="A80:A81"/>
    <mergeCell ref="B80:B81"/>
    <mergeCell ref="C80:J80"/>
    <mergeCell ref="L80:L81"/>
    <mergeCell ref="M80:M81"/>
    <mergeCell ref="N80:U80"/>
    <mergeCell ref="C81:J81"/>
    <mergeCell ref="N81:U81"/>
    <mergeCell ref="A76:A77"/>
    <mergeCell ref="B76:B77"/>
    <mergeCell ref="C76:J76"/>
    <mergeCell ref="L76:L77"/>
    <mergeCell ref="M76:M77"/>
    <mergeCell ref="N76:U76"/>
    <mergeCell ref="C77:J77"/>
    <mergeCell ref="N77:U77"/>
    <mergeCell ref="A78:A79"/>
    <mergeCell ref="B78:B79"/>
    <mergeCell ref="C78:J78"/>
    <mergeCell ref="L78:L79"/>
    <mergeCell ref="M78:M79"/>
    <mergeCell ref="N78:U78"/>
    <mergeCell ref="C79:J79"/>
    <mergeCell ref="N79:U79"/>
    <mergeCell ref="A72:A73"/>
    <mergeCell ref="B72:B73"/>
    <mergeCell ref="C72:J72"/>
    <mergeCell ref="L72:L73"/>
    <mergeCell ref="M72:M73"/>
    <mergeCell ref="N72:U72"/>
    <mergeCell ref="C73:J73"/>
    <mergeCell ref="N73:U73"/>
    <mergeCell ref="A74:A75"/>
    <mergeCell ref="B74:B75"/>
    <mergeCell ref="C74:J74"/>
    <mergeCell ref="L74:L75"/>
    <mergeCell ref="M74:M75"/>
    <mergeCell ref="N74:U74"/>
    <mergeCell ref="C75:J75"/>
    <mergeCell ref="N75:U75"/>
    <mergeCell ref="A68:A69"/>
    <mergeCell ref="B68:B69"/>
    <mergeCell ref="C68:J68"/>
    <mergeCell ref="L68:L69"/>
    <mergeCell ref="M68:M69"/>
    <mergeCell ref="N68:U68"/>
    <mergeCell ref="C69:J69"/>
    <mergeCell ref="N69:U69"/>
    <mergeCell ref="A70:A71"/>
    <mergeCell ref="B70:B71"/>
    <mergeCell ref="C70:J70"/>
    <mergeCell ref="L70:L71"/>
    <mergeCell ref="M70:M71"/>
    <mergeCell ref="N70:U70"/>
    <mergeCell ref="C71:J71"/>
    <mergeCell ref="N71:U71"/>
    <mergeCell ref="A64:A65"/>
    <mergeCell ref="B64:B65"/>
    <mergeCell ref="C64:J64"/>
    <mergeCell ref="L64:L65"/>
    <mergeCell ref="M64:M65"/>
    <mergeCell ref="N64:U64"/>
    <mergeCell ref="C65:J65"/>
    <mergeCell ref="N65:U65"/>
    <mergeCell ref="A66:A67"/>
    <mergeCell ref="B66:B67"/>
    <mergeCell ref="C66:J66"/>
    <mergeCell ref="L66:L67"/>
    <mergeCell ref="M66:M67"/>
    <mergeCell ref="N66:U66"/>
    <mergeCell ref="C67:J67"/>
    <mergeCell ref="N67:U67"/>
    <mergeCell ref="A60:A61"/>
    <mergeCell ref="B60:B61"/>
    <mergeCell ref="C60:J60"/>
    <mergeCell ref="L60:L61"/>
    <mergeCell ref="M60:M61"/>
    <mergeCell ref="N60:U60"/>
    <mergeCell ref="C61:J61"/>
    <mergeCell ref="N61:U61"/>
    <mergeCell ref="A62:A63"/>
    <mergeCell ref="B62:B63"/>
    <mergeCell ref="C62:J62"/>
    <mergeCell ref="K62:K63"/>
    <mergeCell ref="L62:L63"/>
    <mergeCell ref="M62:M63"/>
    <mergeCell ref="N62:U62"/>
    <mergeCell ref="C63:J63"/>
    <mergeCell ref="N63:U63"/>
    <mergeCell ref="A56:A57"/>
    <mergeCell ref="B56:B57"/>
    <mergeCell ref="C56:J56"/>
    <mergeCell ref="L56:L57"/>
    <mergeCell ref="M56:M57"/>
    <mergeCell ref="N56:U56"/>
    <mergeCell ref="C57:J57"/>
    <mergeCell ref="N57:U57"/>
    <mergeCell ref="A58:A59"/>
    <mergeCell ref="B58:B59"/>
    <mergeCell ref="C58:J58"/>
    <mergeCell ref="L58:L59"/>
    <mergeCell ref="M58:M59"/>
    <mergeCell ref="N58:U58"/>
    <mergeCell ref="C59:J59"/>
    <mergeCell ref="N59:U59"/>
    <mergeCell ref="A52:A53"/>
    <mergeCell ref="B52:B53"/>
    <mergeCell ref="C52:J52"/>
    <mergeCell ref="L52:L53"/>
    <mergeCell ref="M52:M53"/>
    <mergeCell ref="N52:U52"/>
    <mergeCell ref="C53:J53"/>
    <mergeCell ref="N53:U53"/>
    <mergeCell ref="A54:A55"/>
    <mergeCell ref="B54:B55"/>
    <mergeCell ref="C54:J54"/>
    <mergeCell ref="L54:L55"/>
    <mergeCell ref="M54:M55"/>
    <mergeCell ref="N54:U54"/>
    <mergeCell ref="C55:J55"/>
    <mergeCell ref="N55:U55"/>
    <mergeCell ref="N35:U35"/>
    <mergeCell ref="N31:U31"/>
    <mergeCell ref="N37:U37"/>
    <mergeCell ref="N32:U32"/>
    <mergeCell ref="L31:L32"/>
    <mergeCell ref="L33:L34"/>
    <mergeCell ref="N36:U36"/>
    <mergeCell ref="N27:U27"/>
    <mergeCell ref="N28:U28"/>
    <mergeCell ref="N33:U33"/>
    <mergeCell ref="M27:M28"/>
    <mergeCell ref="M33:M34"/>
    <mergeCell ref="M31:M32"/>
    <mergeCell ref="N34:U34"/>
    <mergeCell ref="M29:M30"/>
    <mergeCell ref="L35:L36"/>
    <mergeCell ref="M35:M36"/>
    <mergeCell ref="L37:L38"/>
    <mergeCell ref="M37:M38"/>
    <mergeCell ref="N29:U29"/>
    <mergeCell ref="A39:V46"/>
    <mergeCell ref="L27:L28"/>
    <mergeCell ref="L29:L30"/>
    <mergeCell ref="C38:J38"/>
    <mergeCell ref="A37:A38"/>
    <mergeCell ref="B37:B38"/>
    <mergeCell ref="A35:A36"/>
    <mergeCell ref="B35:B36"/>
    <mergeCell ref="C35:J35"/>
    <mergeCell ref="C37:J37"/>
    <mergeCell ref="C34:J34"/>
    <mergeCell ref="C33:J33"/>
    <mergeCell ref="C36:J36"/>
    <mergeCell ref="A27:A28"/>
    <mergeCell ref="A31:A32"/>
    <mergeCell ref="C30:J30"/>
    <mergeCell ref="A33:A34"/>
    <mergeCell ref="N30:U30"/>
    <mergeCell ref="B33:B34"/>
    <mergeCell ref="A29:A30"/>
    <mergeCell ref="B27:B28"/>
    <mergeCell ref="B31:B32"/>
    <mergeCell ref="C29:J29"/>
    <mergeCell ref="N38:U38"/>
    <mergeCell ref="B9:B10"/>
    <mergeCell ref="C9:J9"/>
    <mergeCell ref="M11:M12"/>
    <mergeCell ref="N15:U15"/>
    <mergeCell ref="N16:U16"/>
    <mergeCell ref="N20:U20"/>
    <mergeCell ref="N18:U18"/>
    <mergeCell ref="N19:U19"/>
    <mergeCell ref="N17:U17"/>
    <mergeCell ref="N12:U12"/>
    <mergeCell ref="L9:L10"/>
    <mergeCell ref="C11:J11"/>
    <mergeCell ref="C12:J12"/>
    <mergeCell ref="A11:A12"/>
    <mergeCell ref="A21:A22"/>
    <mergeCell ref="A23:A24"/>
    <mergeCell ref="A19:A20"/>
    <mergeCell ref="M25:M26"/>
    <mergeCell ref="N25:U25"/>
    <mergeCell ref="N26:U26"/>
    <mergeCell ref="N23:U23"/>
    <mergeCell ref="C17:J17"/>
    <mergeCell ref="N24:U24"/>
    <mergeCell ref="C22:J22"/>
    <mergeCell ref="L21:L22"/>
    <mergeCell ref="L25:L26"/>
    <mergeCell ref="M23:M24"/>
    <mergeCell ref="L23:L24"/>
    <mergeCell ref="M21:M22"/>
    <mergeCell ref="N21:U21"/>
    <mergeCell ref="N22:U22"/>
    <mergeCell ref="A4:F4"/>
    <mergeCell ref="A7:A8"/>
    <mergeCell ref="N6:U6"/>
    <mergeCell ref="C6:J6"/>
    <mergeCell ref="L7:L8"/>
    <mergeCell ref="B7:B8"/>
    <mergeCell ref="M7:M8"/>
    <mergeCell ref="N7:U7"/>
    <mergeCell ref="C8:J8"/>
    <mergeCell ref="A9:A10"/>
    <mergeCell ref="C13:J13"/>
    <mergeCell ref="C18:J18"/>
    <mergeCell ref="C16:J16"/>
    <mergeCell ref="C14:J14"/>
    <mergeCell ref="A15:A16"/>
    <mergeCell ref="B15:B16"/>
    <mergeCell ref="B29:B30"/>
    <mergeCell ref="C31:J31"/>
    <mergeCell ref="B21:B22"/>
    <mergeCell ref="B23:B24"/>
    <mergeCell ref="B25:B26"/>
    <mergeCell ref="C26:J26"/>
    <mergeCell ref="A25:A26"/>
    <mergeCell ref="C24:J24"/>
    <mergeCell ref="B19:B20"/>
    <mergeCell ref="C20:J20"/>
    <mergeCell ref="C21:J21"/>
    <mergeCell ref="A13:A14"/>
    <mergeCell ref="B11:B12"/>
    <mergeCell ref="B13:B14"/>
    <mergeCell ref="C15:J15"/>
    <mergeCell ref="A17:A18"/>
    <mergeCell ref="B17:B18"/>
    <mergeCell ref="C32:J32"/>
    <mergeCell ref="C27:J27"/>
    <mergeCell ref="C28:J28"/>
    <mergeCell ref="N8:U8"/>
    <mergeCell ref="C7:J7"/>
    <mergeCell ref="N9:U9"/>
    <mergeCell ref="M13:M14"/>
    <mergeCell ref="C25:J25"/>
    <mergeCell ref="C23:J23"/>
    <mergeCell ref="L15:L16"/>
    <mergeCell ref="N11:U11"/>
    <mergeCell ref="L17:L18"/>
    <mergeCell ref="M19:M20"/>
    <mergeCell ref="M17:M18"/>
    <mergeCell ref="L19:L20"/>
    <mergeCell ref="M15:M16"/>
    <mergeCell ref="L11:L12"/>
    <mergeCell ref="L13:L14"/>
    <mergeCell ref="N14:U14"/>
    <mergeCell ref="N13:U13"/>
    <mergeCell ref="M9:M10"/>
    <mergeCell ref="N10:U10"/>
    <mergeCell ref="C10:J10"/>
    <mergeCell ref="C19:J19"/>
  </mergeCells>
  <phoneticPr fontId="7"/>
  <dataValidations count="1">
    <dataValidation type="list" allowBlank="1" showInputMessage="1" showErrorMessage="1" sqref="M52 M54 M56 M58 M60 M62 M64 M66 M68 M70 M72 M74 M76 M78 B68 M80 B7 M37 B9 B11 B13 B15 B17 B19 B21 B23 B25 B27 B29 B31 B33 B70 B72 B74 B76 B78 B80 B56 B52 B54 B58 B60 B62 B64 B66 B35 M7 M9 M11 M13 M15 M17 M19 M21 M23 M25 M27 M29 M31 M33 M35" xr:uid="{00000000-0002-0000-0500-000000000000}">
      <formula1>"日,月,火,水,木,金,土"</formula1>
    </dataValidation>
  </dataValidations>
  <pageMargins left="0.78740157480314965" right="0.78740157480314965" top="0.98425196850393704" bottom="0.6692913385826772" header="0.51181102362204722" footer="0.51181102362204722"/>
  <pageSetup paperSize="9" scale="66"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Y73"/>
  <sheetViews>
    <sheetView zoomScaleNormal="100" zoomScaleSheetLayoutView="85" workbookViewId="0">
      <selection activeCell="C7" sqref="C7:J7"/>
    </sheetView>
  </sheetViews>
  <sheetFormatPr defaultColWidth="9" defaultRowHeight="13.2"/>
  <cols>
    <col min="1" max="16384" width="9" style="36"/>
  </cols>
  <sheetData>
    <row r="1" spans="1:25" ht="24" thickBot="1">
      <c r="A1" s="873" t="s">
        <v>395</v>
      </c>
      <c r="B1" s="874"/>
      <c r="C1" s="878" t="s">
        <v>396</v>
      </c>
      <c r="D1" s="878"/>
      <c r="E1" s="875"/>
      <c r="F1" s="875"/>
      <c r="G1" s="875"/>
      <c r="H1" s="875"/>
      <c r="I1" s="875"/>
      <c r="J1" s="875"/>
      <c r="K1" s="875"/>
      <c r="L1" s="875"/>
      <c r="M1" s="875"/>
      <c r="N1" s="875"/>
      <c r="O1" s="875"/>
      <c r="P1" s="875"/>
      <c r="Q1" s="875"/>
      <c r="R1" s="875"/>
      <c r="S1" s="875"/>
      <c r="T1" s="875"/>
      <c r="U1" s="875"/>
      <c r="V1" s="875"/>
    </row>
    <row r="2" spans="1:25" ht="17.25" customHeight="1" thickTop="1">
      <c r="A2" s="876"/>
      <c r="B2" s="877"/>
    </row>
    <row r="3" spans="1:25" ht="17.25" customHeight="1">
      <c r="A3" s="876"/>
      <c r="B3" s="877"/>
    </row>
    <row r="4" spans="1:25" s="5" customFormat="1" ht="18" customHeight="1">
      <c r="A4" s="1055" t="s">
        <v>47</v>
      </c>
      <c r="B4" s="1056"/>
      <c r="C4" s="1056"/>
      <c r="D4" s="1056"/>
      <c r="E4" s="1056"/>
      <c r="F4" s="1057"/>
    </row>
    <row r="5" spans="1:25" s="5" customFormat="1" ht="14.1" customHeight="1">
      <c r="Y5" s="41"/>
    </row>
    <row r="6" spans="1:25" s="5" customFormat="1" ht="14.1" customHeight="1">
      <c r="A6" s="6" t="s">
        <v>10</v>
      </c>
      <c r="B6" s="6" t="s">
        <v>14</v>
      </c>
      <c r="C6" s="928" t="s">
        <v>15</v>
      </c>
      <c r="D6" s="929"/>
      <c r="E6" s="929"/>
      <c r="F6" s="929"/>
      <c r="G6" s="929"/>
      <c r="H6" s="929"/>
      <c r="I6" s="929"/>
      <c r="J6" s="930"/>
      <c r="K6" s="333" t="s">
        <v>16</v>
      </c>
      <c r="L6" s="879" t="s">
        <v>10</v>
      </c>
      <c r="M6" s="6" t="s">
        <v>14</v>
      </c>
      <c r="N6" s="928" t="s">
        <v>15</v>
      </c>
      <c r="O6" s="929"/>
      <c r="P6" s="929"/>
      <c r="Q6" s="929"/>
      <c r="R6" s="929"/>
      <c r="S6" s="929"/>
      <c r="T6" s="929"/>
      <c r="U6" s="930"/>
      <c r="V6" s="8" t="s">
        <v>16</v>
      </c>
      <c r="Y6" s="41"/>
    </row>
    <row r="7" spans="1:25" ht="13.5" customHeight="1">
      <c r="A7" s="1058">
        <v>45017</v>
      </c>
      <c r="B7" s="1060" t="s">
        <v>32</v>
      </c>
      <c r="C7" s="1033"/>
      <c r="D7" s="1034"/>
      <c r="E7" s="1034"/>
      <c r="F7" s="1034"/>
      <c r="G7" s="1034"/>
      <c r="H7" s="1034"/>
      <c r="I7" s="1034"/>
      <c r="J7" s="1035"/>
      <c r="K7" s="1061"/>
      <c r="L7" s="1062">
        <v>45032</v>
      </c>
      <c r="M7" s="1064" t="s">
        <v>10</v>
      </c>
      <c r="N7" s="1033" t="s">
        <v>647</v>
      </c>
      <c r="O7" s="1034"/>
      <c r="P7" s="1034"/>
      <c r="Q7" s="1034"/>
      <c r="R7" s="1034"/>
      <c r="S7" s="1034"/>
      <c r="T7" s="1034"/>
      <c r="U7" s="1035"/>
      <c r="V7" s="1065" t="s">
        <v>696</v>
      </c>
      <c r="Y7" s="38"/>
    </row>
    <row r="8" spans="1:25" ht="13.5" customHeight="1">
      <c r="A8" s="1059"/>
      <c r="B8" s="1044"/>
      <c r="C8" s="1033"/>
      <c r="D8" s="1034"/>
      <c r="E8" s="1034"/>
      <c r="F8" s="1034"/>
      <c r="G8" s="1034"/>
      <c r="H8" s="1034"/>
      <c r="I8" s="1034"/>
      <c r="J8" s="1035"/>
      <c r="K8" s="1046"/>
      <c r="L8" s="1063"/>
      <c r="M8" s="1017"/>
      <c r="N8" s="1033"/>
      <c r="O8" s="1034"/>
      <c r="P8" s="1034"/>
      <c r="Q8" s="1034"/>
      <c r="R8" s="1034"/>
      <c r="S8" s="1034"/>
      <c r="T8" s="1034"/>
      <c r="U8" s="1035"/>
      <c r="V8" s="1066"/>
      <c r="W8" s="38"/>
      <c r="X8" s="38"/>
      <c r="Y8" s="38"/>
    </row>
    <row r="9" spans="1:25" ht="13.5" customHeight="1">
      <c r="A9" s="1015" t="s">
        <v>404</v>
      </c>
      <c r="B9" s="1016" t="s">
        <v>10</v>
      </c>
      <c r="C9" s="1033"/>
      <c r="D9" s="1034"/>
      <c r="E9" s="1034"/>
      <c r="F9" s="1034"/>
      <c r="G9" s="1034"/>
      <c r="H9" s="1034"/>
      <c r="I9" s="1034"/>
      <c r="J9" s="1035"/>
      <c r="K9" s="1045"/>
      <c r="L9" s="1038">
        <v>17</v>
      </c>
      <c r="M9" s="917" t="s">
        <v>27</v>
      </c>
      <c r="N9" s="1033" t="s">
        <v>684</v>
      </c>
      <c r="O9" s="1034"/>
      <c r="P9" s="1034"/>
      <c r="Q9" s="1034"/>
      <c r="R9" s="1034"/>
      <c r="S9" s="1034"/>
      <c r="T9" s="1034"/>
      <c r="U9" s="1035"/>
      <c r="V9" s="1036" t="s">
        <v>696</v>
      </c>
      <c r="W9" s="38"/>
      <c r="X9" s="38"/>
      <c r="Y9" s="38"/>
    </row>
    <row r="10" spans="1:25" ht="13.5" customHeight="1">
      <c r="A10" s="1015"/>
      <c r="B10" s="1017"/>
      <c r="C10" s="1033"/>
      <c r="D10" s="1034"/>
      <c r="E10" s="1034"/>
      <c r="F10" s="1034"/>
      <c r="G10" s="1034"/>
      <c r="H10" s="1034"/>
      <c r="I10" s="1034"/>
      <c r="J10" s="1035"/>
      <c r="K10" s="1046"/>
      <c r="L10" s="1038"/>
      <c r="M10" s="918"/>
      <c r="N10" s="1033" t="s">
        <v>685</v>
      </c>
      <c r="O10" s="1034"/>
      <c r="P10" s="1034"/>
      <c r="Q10" s="1034"/>
      <c r="R10" s="1034"/>
      <c r="S10" s="1034"/>
      <c r="T10" s="1034"/>
      <c r="U10" s="1035"/>
      <c r="V10" s="1036"/>
      <c r="W10" s="38"/>
      <c r="X10" s="38"/>
      <c r="Y10" s="38"/>
    </row>
    <row r="11" spans="1:25" ht="13.5" customHeight="1">
      <c r="A11" s="1051" t="s">
        <v>405</v>
      </c>
      <c r="B11" s="917" t="s">
        <v>27</v>
      </c>
      <c r="C11" s="1033" t="s">
        <v>684</v>
      </c>
      <c r="D11" s="1034"/>
      <c r="E11" s="1034"/>
      <c r="F11" s="1034"/>
      <c r="G11" s="1034"/>
      <c r="H11" s="1034"/>
      <c r="I11" s="1034"/>
      <c r="J11" s="1035"/>
      <c r="K11" s="1045" t="s">
        <v>763</v>
      </c>
      <c r="L11" s="1038" t="s">
        <v>648</v>
      </c>
      <c r="M11" s="917" t="s">
        <v>28</v>
      </c>
      <c r="N11" s="1033" t="s">
        <v>684</v>
      </c>
      <c r="O11" s="1034"/>
      <c r="P11" s="1034"/>
      <c r="Q11" s="1034"/>
      <c r="R11" s="1034"/>
      <c r="S11" s="1034"/>
      <c r="T11" s="1034"/>
      <c r="U11" s="1035"/>
      <c r="V11" s="1036" t="s">
        <v>696</v>
      </c>
      <c r="W11" s="38"/>
      <c r="X11" s="38"/>
      <c r="Y11" s="38"/>
    </row>
    <row r="12" spans="1:25" ht="13.5" customHeight="1">
      <c r="A12" s="1051"/>
      <c r="B12" s="918"/>
      <c r="C12" s="1033" t="s">
        <v>685</v>
      </c>
      <c r="D12" s="1034"/>
      <c r="E12" s="1034"/>
      <c r="F12" s="1034"/>
      <c r="G12" s="1034"/>
      <c r="H12" s="1034"/>
      <c r="I12" s="1034"/>
      <c r="J12" s="1035"/>
      <c r="K12" s="1046"/>
      <c r="L12" s="1038"/>
      <c r="M12" s="918"/>
      <c r="N12" s="1033" t="s">
        <v>685</v>
      </c>
      <c r="O12" s="1034"/>
      <c r="P12" s="1034"/>
      <c r="Q12" s="1034"/>
      <c r="R12" s="1034"/>
      <c r="S12" s="1034"/>
      <c r="T12" s="1034"/>
      <c r="U12" s="1035"/>
      <c r="V12" s="1036"/>
      <c r="W12" s="38"/>
      <c r="X12" s="38"/>
      <c r="Y12" s="38"/>
    </row>
    <row r="13" spans="1:25" ht="13.5" customHeight="1">
      <c r="A13" s="1051" t="s">
        <v>406</v>
      </c>
      <c r="B13" s="917" t="s">
        <v>28</v>
      </c>
      <c r="C13" s="1033" t="s">
        <v>684</v>
      </c>
      <c r="D13" s="1034"/>
      <c r="E13" s="1034"/>
      <c r="F13" s="1034"/>
      <c r="G13" s="1034"/>
      <c r="H13" s="1034"/>
      <c r="I13" s="1034"/>
      <c r="J13" s="1035"/>
      <c r="K13" s="1045" t="s">
        <v>763</v>
      </c>
      <c r="L13" s="1038" t="s">
        <v>649</v>
      </c>
      <c r="M13" s="917" t="s">
        <v>29</v>
      </c>
      <c r="N13" s="1033" t="s">
        <v>684</v>
      </c>
      <c r="O13" s="1034"/>
      <c r="P13" s="1034"/>
      <c r="Q13" s="1034"/>
      <c r="R13" s="1034"/>
      <c r="S13" s="1034"/>
      <c r="T13" s="1034"/>
      <c r="U13" s="1035"/>
      <c r="V13" s="1036" t="s">
        <v>696</v>
      </c>
      <c r="W13" s="38"/>
      <c r="X13" s="38"/>
      <c r="Y13" s="38"/>
    </row>
    <row r="14" spans="1:25" ht="13.5" customHeight="1">
      <c r="A14" s="1051"/>
      <c r="B14" s="918"/>
      <c r="C14" s="1033" t="s">
        <v>685</v>
      </c>
      <c r="D14" s="1034"/>
      <c r="E14" s="1034"/>
      <c r="F14" s="1034"/>
      <c r="G14" s="1034"/>
      <c r="H14" s="1034"/>
      <c r="I14" s="1034"/>
      <c r="J14" s="1035"/>
      <c r="K14" s="1046"/>
      <c r="L14" s="1038"/>
      <c r="M14" s="918"/>
      <c r="N14" s="1033" t="s">
        <v>685</v>
      </c>
      <c r="O14" s="1034"/>
      <c r="P14" s="1034"/>
      <c r="Q14" s="1034"/>
      <c r="R14" s="1034"/>
      <c r="S14" s="1034"/>
      <c r="T14" s="1034"/>
      <c r="U14" s="1035"/>
      <c r="V14" s="1036"/>
      <c r="W14" s="38"/>
      <c r="X14" s="38"/>
      <c r="Y14" s="38"/>
    </row>
    <row r="15" spans="1:25" ht="13.5" customHeight="1">
      <c r="A15" s="1051" t="s">
        <v>407</v>
      </c>
      <c r="B15" s="917" t="s">
        <v>29</v>
      </c>
      <c r="C15" s="1033" t="s">
        <v>684</v>
      </c>
      <c r="D15" s="1034"/>
      <c r="E15" s="1034"/>
      <c r="F15" s="1034"/>
      <c r="G15" s="1034"/>
      <c r="H15" s="1034"/>
      <c r="I15" s="1034"/>
      <c r="J15" s="1035"/>
      <c r="K15" s="1045" t="s">
        <v>763</v>
      </c>
      <c r="L15" s="1038" t="s">
        <v>650</v>
      </c>
      <c r="M15" s="917" t="s">
        <v>30</v>
      </c>
      <c r="N15" s="1033" t="s">
        <v>684</v>
      </c>
      <c r="O15" s="1034"/>
      <c r="P15" s="1034"/>
      <c r="Q15" s="1034"/>
      <c r="R15" s="1034"/>
      <c r="S15" s="1034"/>
      <c r="T15" s="1034"/>
      <c r="U15" s="1035"/>
      <c r="V15" s="1036" t="s">
        <v>702</v>
      </c>
      <c r="W15" s="38"/>
      <c r="X15" s="38"/>
      <c r="Y15" s="38"/>
    </row>
    <row r="16" spans="1:25" ht="13.5" customHeight="1">
      <c r="A16" s="1051"/>
      <c r="B16" s="918"/>
      <c r="C16" s="1033" t="s">
        <v>685</v>
      </c>
      <c r="D16" s="1034"/>
      <c r="E16" s="1034"/>
      <c r="F16" s="1034"/>
      <c r="G16" s="1034"/>
      <c r="H16" s="1034"/>
      <c r="I16" s="1034"/>
      <c r="J16" s="1035"/>
      <c r="K16" s="1046"/>
      <c r="L16" s="1038"/>
      <c r="M16" s="918"/>
      <c r="N16" s="1033" t="s">
        <v>685</v>
      </c>
      <c r="O16" s="1034"/>
      <c r="P16" s="1034"/>
      <c r="Q16" s="1034"/>
      <c r="R16" s="1034"/>
      <c r="S16" s="1034"/>
      <c r="T16" s="1034"/>
      <c r="U16" s="1035"/>
      <c r="V16" s="1036"/>
      <c r="W16" s="38"/>
      <c r="X16" s="38"/>
      <c r="Y16" s="38"/>
    </row>
    <row r="17" spans="1:25" ht="13.5" customHeight="1">
      <c r="A17" s="1051" t="s">
        <v>408</v>
      </c>
      <c r="B17" s="917" t="s">
        <v>30</v>
      </c>
      <c r="C17" s="1033" t="s">
        <v>684</v>
      </c>
      <c r="D17" s="1034"/>
      <c r="E17" s="1034"/>
      <c r="F17" s="1034"/>
      <c r="G17" s="1034"/>
      <c r="H17" s="1034"/>
      <c r="I17" s="1034"/>
      <c r="J17" s="1035"/>
      <c r="K17" s="1045" t="s">
        <v>763</v>
      </c>
      <c r="L17" s="1038" t="s">
        <v>651</v>
      </c>
      <c r="M17" s="917" t="s">
        <v>31</v>
      </c>
      <c r="N17" s="1033" t="s">
        <v>684</v>
      </c>
      <c r="O17" s="1034"/>
      <c r="P17" s="1034"/>
      <c r="Q17" s="1034"/>
      <c r="R17" s="1034"/>
      <c r="S17" s="1034"/>
      <c r="T17" s="1034"/>
      <c r="U17" s="1035"/>
      <c r="V17" s="1036" t="s">
        <v>696</v>
      </c>
      <c r="W17" s="38"/>
      <c r="X17" s="38"/>
      <c r="Y17" s="38"/>
    </row>
    <row r="18" spans="1:25" ht="13.5" customHeight="1">
      <c r="A18" s="1051"/>
      <c r="B18" s="918"/>
      <c r="C18" s="1033" t="s">
        <v>685</v>
      </c>
      <c r="D18" s="1034"/>
      <c r="E18" s="1034"/>
      <c r="F18" s="1034"/>
      <c r="G18" s="1034"/>
      <c r="H18" s="1034"/>
      <c r="I18" s="1034"/>
      <c r="J18" s="1035"/>
      <c r="K18" s="1046"/>
      <c r="L18" s="1038"/>
      <c r="M18" s="918"/>
      <c r="N18" s="1033" t="s">
        <v>685</v>
      </c>
      <c r="O18" s="1034"/>
      <c r="P18" s="1034"/>
      <c r="Q18" s="1034"/>
      <c r="R18" s="1034"/>
      <c r="S18" s="1034"/>
      <c r="T18" s="1034"/>
      <c r="U18" s="1035"/>
      <c r="V18" s="1036"/>
      <c r="W18" s="38"/>
      <c r="X18" s="38"/>
      <c r="Y18" s="38"/>
    </row>
    <row r="19" spans="1:25" ht="13.5" customHeight="1">
      <c r="A19" s="1051" t="s">
        <v>409</v>
      </c>
      <c r="B19" s="917" t="s">
        <v>31</v>
      </c>
      <c r="C19" s="1033" t="s">
        <v>684</v>
      </c>
      <c r="D19" s="1034"/>
      <c r="E19" s="1034"/>
      <c r="F19" s="1034"/>
      <c r="G19" s="1034"/>
      <c r="H19" s="1034"/>
      <c r="I19" s="1034"/>
      <c r="J19" s="1035"/>
      <c r="K19" s="1045" t="s">
        <v>763</v>
      </c>
      <c r="L19" s="1054" t="s">
        <v>652</v>
      </c>
      <c r="M19" s="1043" t="s">
        <v>32</v>
      </c>
      <c r="N19" s="1033"/>
      <c r="O19" s="1034"/>
      <c r="P19" s="1034"/>
      <c r="Q19" s="1034"/>
      <c r="R19" s="1034"/>
      <c r="S19" s="1034"/>
      <c r="T19" s="1034"/>
      <c r="U19" s="1035"/>
      <c r="V19" s="1036"/>
      <c r="W19" s="38"/>
      <c r="X19" s="38"/>
      <c r="Y19" s="38"/>
    </row>
    <row r="20" spans="1:25" ht="13.5" customHeight="1">
      <c r="A20" s="1051"/>
      <c r="B20" s="918"/>
      <c r="C20" s="1033" t="s">
        <v>685</v>
      </c>
      <c r="D20" s="1034"/>
      <c r="E20" s="1034"/>
      <c r="F20" s="1034"/>
      <c r="G20" s="1034"/>
      <c r="H20" s="1034"/>
      <c r="I20" s="1034"/>
      <c r="J20" s="1035"/>
      <c r="K20" s="1046"/>
      <c r="L20" s="1054"/>
      <c r="M20" s="1044"/>
      <c r="N20" s="1033"/>
      <c r="O20" s="1034"/>
      <c r="P20" s="1034"/>
      <c r="Q20" s="1034"/>
      <c r="R20" s="1034"/>
      <c r="S20" s="1034"/>
      <c r="T20" s="1034"/>
      <c r="U20" s="1035"/>
      <c r="V20" s="1036"/>
      <c r="W20" s="38"/>
      <c r="X20" s="38"/>
      <c r="Y20" s="38"/>
    </row>
    <row r="21" spans="1:25" ht="13.5" customHeight="1">
      <c r="A21" s="1042" t="s">
        <v>410</v>
      </c>
      <c r="B21" s="1043" t="s">
        <v>32</v>
      </c>
      <c r="C21" s="1033"/>
      <c r="D21" s="1034"/>
      <c r="E21" s="1034"/>
      <c r="F21" s="1034"/>
      <c r="G21" s="1034"/>
      <c r="H21" s="1034"/>
      <c r="I21" s="1034"/>
      <c r="J21" s="1035"/>
      <c r="K21" s="1045"/>
      <c r="L21" s="1025" t="s">
        <v>653</v>
      </c>
      <c r="M21" s="1016" t="s">
        <v>10</v>
      </c>
      <c r="N21" s="1033"/>
      <c r="O21" s="1034"/>
      <c r="P21" s="1034"/>
      <c r="Q21" s="1034"/>
      <c r="R21" s="1034"/>
      <c r="S21" s="1034"/>
      <c r="T21" s="1034"/>
      <c r="U21" s="1035"/>
      <c r="V21" s="1036"/>
      <c r="W21" s="38"/>
      <c r="X21" s="38"/>
      <c r="Y21" s="38"/>
    </row>
    <row r="22" spans="1:25" ht="13.5" customHeight="1">
      <c r="A22" s="1042"/>
      <c r="B22" s="1044"/>
      <c r="C22" s="1033"/>
      <c r="D22" s="1034"/>
      <c r="E22" s="1034"/>
      <c r="F22" s="1034"/>
      <c r="G22" s="1034"/>
      <c r="H22" s="1034"/>
      <c r="I22" s="1034"/>
      <c r="J22" s="1035"/>
      <c r="K22" s="1046"/>
      <c r="L22" s="1025"/>
      <c r="M22" s="1017"/>
      <c r="N22" s="1033"/>
      <c r="O22" s="1034"/>
      <c r="P22" s="1034"/>
      <c r="Q22" s="1034"/>
      <c r="R22" s="1034"/>
      <c r="S22" s="1034"/>
      <c r="T22" s="1034"/>
      <c r="U22" s="1035"/>
      <c r="V22" s="1036"/>
      <c r="W22" s="38"/>
      <c r="X22" s="38"/>
      <c r="Y22" s="38"/>
    </row>
    <row r="23" spans="1:25" ht="13.5" customHeight="1">
      <c r="A23" s="1052" t="s">
        <v>411</v>
      </c>
      <c r="B23" s="1016" t="s">
        <v>10</v>
      </c>
      <c r="C23" s="1033"/>
      <c r="D23" s="1034"/>
      <c r="E23" s="1034"/>
      <c r="F23" s="1034"/>
      <c r="G23" s="1034"/>
      <c r="H23" s="1034"/>
      <c r="I23" s="1034"/>
      <c r="J23" s="1035"/>
      <c r="K23" s="1045"/>
      <c r="L23" s="1038" t="s">
        <v>654</v>
      </c>
      <c r="M23" s="917" t="s">
        <v>27</v>
      </c>
      <c r="N23" s="1033" t="s">
        <v>684</v>
      </c>
      <c r="O23" s="1034"/>
      <c r="P23" s="1034"/>
      <c r="Q23" s="1034"/>
      <c r="R23" s="1034"/>
      <c r="S23" s="1034"/>
      <c r="T23" s="1034"/>
      <c r="U23" s="1035"/>
      <c r="V23" s="1036" t="s">
        <v>696</v>
      </c>
      <c r="W23" s="38"/>
      <c r="X23" s="38"/>
      <c r="Y23" s="38"/>
    </row>
    <row r="24" spans="1:25" ht="13.5" customHeight="1">
      <c r="A24" s="1053"/>
      <c r="B24" s="1017"/>
      <c r="C24" s="1033"/>
      <c r="D24" s="1034"/>
      <c r="E24" s="1034"/>
      <c r="F24" s="1034"/>
      <c r="G24" s="1034"/>
      <c r="H24" s="1034"/>
      <c r="I24" s="1034"/>
      <c r="J24" s="1035"/>
      <c r="K24" s="1046"/>
      <c r="L24" s="1038"/>
      <c r="M24" s="918"/>
      <c r="N24" s="1033" t="s">
        <v>685</v>
      </c>
      <c r="O24" s="1034"/>
      <c r="P24" s="1034"/>
      <c r="Q24" s="1034"/>
      <c r="R24" s="1034"/>
      <c r="S24" s="1034"/>
      <c r="T24" s="1034"/>
      <c r="U24" s="1035"/>
      <c r="V24" s="1036"/>
      <c r="W24" s="38"/>
      <c r="X24" s="38"/>
      <c r="Y24" s="38"/>
    </row>
    <row r="25" spans="1:25" ht="13.5" customHeight="1">
      <c r="A25" s="1051" t="s">
        <v>412</v>
      </c>
      <c r="B25" s="917" t="s">
        <v>27</v>
      </c>
      <c r="C25" s="1033" t="s">
        <v>684</v>
      </c>
      <c r="D25" s="1034"/>
      <c r="E25" s="1034"/>
      <c r="F25" s="1034"/>
      <c r="G25" s="1034"/>
      <c r="H25" s="1034"/>
      <c r="I25" s="1034"/>
      <c r="J25" s="1035"/>
      <c r="K25" s="1045" t="s">
        <v>370</v>
      </c>
      <c r="L25" s="1038" t="s">
        <v>655</v>
      </c>
      <c r="M25" s="917" t="s">
        <v>28</v>
      </c>
      <c r="N25" s="1033" t="s">
        <v>684</v>
      </c>
      <c r="O25" s="1034"/>
      <c r="P25" s="1034"/>
      <c r="Q25" s="1034"/>
      <c r="R25" s="1034"/>
      <c r="S25" s="1034"/>
      <c r="T25" s="1034"/>
      <c r="U25" s="1035"/>
      <c r="V25" s="1036" t="s">
        <v>696</v>
      </c>
      <c r="W25" s="38"/>
      <c r="X25" s="38"/>
      <c r="Y25" s="38"/>
    </row>
    <row r="26" spans="1:25" ht="13.5" customHeight="1">
      <c r="A26" s="1051"/>
      <c r="B26" s="918"/>
      <c r="C26" s="1033" t="s">
        <v>685</v>
      </c>
      <c r="D26" s="1034"/>
      <c r="E26" s="1034"/>
      <c r="F26" s="1034"/>
      <c r="G26" s="1034"/>
      <c r="H26" s="1034"/>
      <c r="I26" s="1034"/>
      <c r="J26" s="1035"/>
      <c r="K26" s="1046"/>
      <c r="L26" s="1038"/>
      <c r="M26" s="918"/>
      <c r="N26" s="1033" t="s">
        <v>685</v>
      </c>
      <c r="O26" s="1034"/>
      <c r="P26" s="1034"/>
      <c r="Q26" s="1034"/>
      <c r="R26" s="1034"/>
      <c r="S26" s="1034"/>
      <c r="T26" s="1034"/>
      <c r="U26" s="1035"/>
      <c r="V26" s="1036"/>
      <c r="W26" s="38"/>
      <c r="X26" s="38"/>
      <c r="Y26" s="38"/>
    </row>
    <row r="27" spans="1:25" ht="13.5" customHeight="1">
      <c r="A27" s="1051" t="s">
        <v>413</v>
      </c>
      <c r="B27" s="917" t="s">
        <v>28</v>
      </c>
      <c r="C27" s="1033" t="s">
        <v>684</v>
      </c>
      <c r="D27" s="1034"/>
      <c r="E27" s="1034"/>
      <c r="F27" s="1034"/>
      <c r="G27" s="1034"/>
      <c r="H27" s="1034"/>
      <c r="I27" s="1034"/>
      <c r="J27" s="1035"/>
      <c r="K27" s="1045" t="s">
        <v>370</v>
      </c>
      <c r="L27" s="1038" t="s">
        <v>656</v>
      </c>
      <c r="M27" s="917" t="s">
        <v>29</v>
      </c>
      <c r="N27" s="1033" t="s">
        <v>684</v>
      </c>
      <c r="O27" s="1034"/>
      <c r="P27" s="1034"/>
      <c r="Q27" s="1034"/>
      <c r="R27" s="1034"/>
      <c r="S27" s="1034"/>
      <c r="T27" s="1034"/>
      <c r="U27" s="1035"/>
      <c r="V27" s="1036" t="s">
        <v>705</v>
      </c>
      <c r="W27" s="38"/>
      <c r="X27" s="38"/>
      <c r="Y27" s="38"/>
    </row>
    <row r="28" spans="1:25" ht="13.5" customHeight="1">
      <c r="A28" s="1051"/>
      <c r="B28" s="918"/>
      <c r="C28" s="1033" t="s">
        <v>685</v>
      </c>
      <c r="D28" s="1034"/>
      <c r="E28" s="1034"/>
      <c r="F28" s="1034"/>
      <c r="G28" s="1034"/>
      <c r="H28" s="1034"/>
      <c r="I28" s="1034"/>
      <c r="J28" s="1035"/>
      <c r="K28" s="1046"/>
      <c r="L28" s="1038"/>
      <c r="M28" s="918"/>
      <c r="N28" s="1033" t="s">
        <v>685</v>
      </c>
      <c r="O28" s="1034"/>
      <c r="P28" s="1034"/>
      <c r="Q28" s="1034"/>
      <c r="R28" s="1034"/>
      <c r="S28" s="1034"/>
      <c r="T28" s="1034"/>
      <c r="U28" s="1035"/>
      <c r="V28" s="1036"/>
      <c r="W28" s="38"/>
      <c r="X28" s="38"/>
      <c r="Y28" s="38"/>
    </row>
    <row r="29" spans="1:25" ht="13.5" customHeight="1">
      <c r="A29" s="1051" t="s">
        <v>414</v>
      </c>
      <c r="B29" s="917" t="s">
        <v>29</v>
      </c>
      <c r="C29" s="1033" t="s">
        <v>684</v>
      </c>
      <c r="D29" s="1034"/>
      <c r="E29" s="1034"/>
      <c r="F29" s="1034"/>
      <c r="G29" s="1034"/>
      <c r="H29" s="1034"/>
      <c r="I29" s="1034"/>
      <c r="J29" s="1035"/>
      <c r="K29" s="1045" t="s">
        <v>370</v>
      </c>
      <c r="L29" s="1038" t="s">
        <v>657</v>
      </c>
      <c r="M29" s="917" t="s">
        <v>30</v>
      </c>
      <c r="N29" s="1033" t="s">
        <v>684</v>
      </c>
      <c r="O29" s="1034"/>
      <c r="P29" s="1034"/>
      <c r="Q29" s="1034"/>
      <c r="R29" s="1034"/>
      <c r="S29" s="1034"/>
      <c r="T29" s="1034"/>
      <c r="U29" s="1035"/>
      <c r="V29" s="1036" t="s">
        <v>696</v>
      </c>
      <c r="Y29" s="38"/>
    </row>
    <row r="30" spans="1:25" ht="13.5" customHeight="1">
      <c r="A30" s="1051"/>
      <c r="B30" s="918"/>
      <c r="C30" s="1033" t="s">
        <v>685</v>
      </c>
      <c r="D30" s="1034"/>
      <c r="E30" s="1034"/>
      <c r="F30" s="1034"/>
      <c r="G30" s="1034"/>
      <c r="H30" s="1034"/>
      <c r="I30" s="1034"/>
      <c r="J30" s="1035"/>
      <c r="K30" s="1046"/>
      <c r="L30" s="1038"/>
      <c r="M30" s="918"/>
      <c r="N30" s="1033" t="s">
        <v>685</v>
      </c>
      <c r="O30" s="1034"/>
      <c r="P30" s="1034"/>
      <c r="Q30" s="1034"/>
      <c r="R30" s="1034"/>
      <c r="S30" s="1034"/>
      <c r="T30" s="1034"/>
      <c r="U30" s="1035"/>
      <c r="V30" s="1036"/>
      <c r="Y30" s="38"/>
    </row>
    <row r="31" spans="1:25" ht="13.5" customHeight="1">
      <c r="A31" s="1051" t="s">
        <v>415</v>
      </c>
      <c r="B31" s="917" t="s">
        <v>30</v>
      </c>
      <c r="C31" s="1033" t="s">
        <v>684</v>
      </c>
      <c r="D31" s="1034"/>
      <c r="E31" s="1034"/>
      <c r="F31" s="1034"/>
      <c r="G31" s="1034"/>
      <c r="H31" s="1034"/>
      <c r="I31" s="1034"/>
      <c r="J31" s="1035"/>
      <c r="K31" s="1045" t="s">
        <v>370</v>
      </c>
      <c r="L31" s="1038" t="s">
        <v>658</v>
      </c>
      <c r="M31" s="917" t="s">
        <v>31</v>
      </c>
      <c r="N31" s="1033" t="s">
        <v>684</v>
      </c>
      <c r="O31" s="1034"/>
      <c r="P31" s="1034"/>
      <c r="Q31" s="1034"/>
      <c r="R31" s="1034"/>
      <c r="S31" s="1034"/>
      <c r="T31" s="1034"/>
      <c r="U31" s="1035"/>
      <c r="V31" s="1036" t="s">
        <v>696</v>
      </c>
      <c r="Y31" s="38"/>
    </row>
    <row r="32" spans="1:25" ht="13.5" customHeight="1">
      <c r="A32" s="1051"/>
      <c r="B32" s="918"/>
      <c r="C32" s="1033" t="s">
        <v>685</v>
      </c>
      <c r="D32" s="1034"/>
      <c r="E32" s="1034"/>
      <c r="F32" s="1034"/>
      <c r="G32" s="1034"/>
      <c r="H32" s="1034"/>
      <c r="I32" s="1034"/>
      <c r="J32" s="1035"/>
      <c r="K32" s="1046"/>
      <c r="L32" s="1038"/>
      <c r="M32" s="918"/>
      <c r="N32" s="1033" t="s">
        <v>685</v>
      </c>
      <c r="O32" s="1034"/>
      <c r="P32" s="1034"/>
      <c r="Q32" s="1034"/>
      <c r="R32" s="1034"/>
      <c r="S32" s="1034"/>
      <c r="T32" s="1034"/>
      <c r="U32" s="1035"/>
      <c r="V32" s="1036"/>
      <c r="Y32" s="38"/>
    </row>
    <row r="33" spans="1:25" ht="13.5" customHeight="1">
      <c r="A33" s="1051" t="s">
        <v>416</v>
      </c>
      <c r="B33" s="917" t="s">
        <v>31</v>
      </c>
      <c r="C33" s="1033" t="s">
        <v>684</v>
      </c>
      <c r="D33" s="1034"/>
      <c r="E33" s="1034"/>
      <c r="F33" s="1034"/>
      <c r="G33" s="1034"/>
      <c r="H33" s="1034"/>
      <c r="I33" s="1034"/>
      <c r="J33" s="1035"/>
      <c r="K33" s="1045" t="s">
        <v>370</v>
      </c>
      <c r="L33" s="1025">
        <v>29</v>
      </c>
      <c r="M33" s="1016" t="s">
        <v>32</v>
      </c>
      <c r="N33" s="1033"/>
      <c r="O33" s="1034"/>
      <c r="P33" s="1034"/>
      <c r="Q33" s="1034"/>
      <c r="R33" s="1034"/>
      <c r="S33" s="1034"/>
      <c r="T33" s="1034"/>
      <c r="U33" s="1035"/>
      <c r="V33" s="1036"/>
      <c r="Y33" s="38"/>
    </row>
    <row r="34" spans="1:25" ht="13.5" customHeight="1">
      <c r="A34" s="1051"/>
      <c r="B34" s="918"/>
      <c r="C34" s="1033" t="s">
        <v>685</v>
      </c>
      <c r="D34" s="1034"/>
      <c r="E34" s="1034"/>
      <c r="F34" s="1034"/>
      <c r="G34" s="1034"/>
      <c r="H34" s="1034"/>
      <c r="I34" s="1034"/>
      <c r="J34" s="1035"/>
      <c r="K34" s="1046"/>
      <c r="L34" s="1025"/>
      <c r="M34" s="1017"/>
      <c r="N34" s="1033"/>
      <c r="O34" s="1034"/>
      <c r="P34" s="1034"/>
      <c r="Q34" s="1034"/>
      <c r="R34" s="1034"/>
      <c r="S34" s="1034"/>
      <c r="T34" s="1034"/>
      <c r="U34" s="1035"/>
      <c r="V34" s="1036"/>
      <c r="Y34" s="38"/>
    </row>
    <row r="35" spans="1:25" ht="13.5" customHeight="1">
      <c r="A35" s="1042" t="s">
        <v>417</v>
      </c>
      <c r="B35" s="1043" t="s">
        <v>32</v>
      </c>
      <c r="C35" s="1033"/>
      <c r="D35" s="1034"/>
      <c r="E35" s="1034"/>
      <c r="F35" s="1034"/>
      <c r="G35" s="1034"/>
      <c r="H35" s="1034"/>
      <c r="I35" s="1034"/>
      <c r="J35" s="1035"/>
      <c r="K35" s="1045"/>
      <c r="L35" s="1025">
        <v>30</v>
      </c>
      <c r="M35" s="1016" t="s">
        <v>10</v>
      </c>
      <c r="N35" s="1033"/>
      <c r="O35" s="1034"/>
      <c r="P35" s="1034"/>
      <c r="Q35" s="1034"/>
      <c r="R35" s="1034"/>
      <c r="S35" s="1034"/>
      <c r="T35" s="1034"/>
      <c r="U35" s="1035"/>
      <c r="V35" s="1036"/>
      <c r="Y35" s="38"/>
    </row>
    <row r="36" spans="1:25" ht="13.5" customHeight="1">
      <c r="A36" s="1042"/>
      <c r="B36" s="1044"/>
      <c r="C36" s="1033"/>
      <c r="D36" s="1034"/>
      <c r="E36" s="1034"/>
      <c r="F36" s="1034"/>
      <c r="G36" s="1034"/>
      <c r="H36" s="1034"/>
      <c r="I36" s="1034"/>
      <c r="J36" s="1035"/>
      <c r="K36" s="1046"/>
      <c r="L36" s="1025"/>
      <c r="M36" s="1017"/>
      <c r="N36" s="1033"/>
      <c r="O36" s="1034"/>
      <c r="P36" s="1034"/>
      <c r="Q36" s="1034"/>
      <c r="R36" s="1034"/>
      <c r="S36" s="1034"/>
      <c r="T36" s="1034"/>
      <c r="U36" s="1035"/>
      <c r="V36" s="1036"/>
    </row>
    <row r="37" spans="1:25">
      <c r="A37" s="983"/>
      <c r="B37" s="983"/>
      <c r="C37" s="1033"/>
      <c r="D37" s="1034"/>
      <c r="E37" s="1034"/>
      <c r="F37" s="1034"/>
      <c r="G37" s="1034"/>
      <c r="H37" s="1034"/>
      <c r="I37" s="1034"/>
      <c r="J37" s="1035"/>
      <c r="K37" s="1045"/>
      <c r="L37" s="1038"/>
      <c r="M37" s="917"/>
      <c r="N37" s="1033"/>
      <c r="O37" s="1034"/>
      <c r="P37" s="1034"/>
      <c r="Q37" s="1034"/>
      <c r="R37" s="1034"/>
      <c r="S37" s="1034"/>
      <c r="T37" s="1034"/>
      <c r="U37" s="1035"/>
      <c r="V37" s="1040"/>
    </row>
    <row r="38" spans="1:25" ht="13.5" customHeight="1">
      <c r="A38" s="1037"/>
      <c r="B38" s="1037"/>
      <c r="C38" s="1047"/>
      <c r="D38" s="1048"/>
      <c r="E38" s="1048"/>
      <c r="F38" s="1048"/>
      <c r="G38" s="1048"/>
      <c r="H38" s="1048"/>
      <c r="I38" s="1048"/>
      <c r="J38" s="1049"/>
      <c r="K38" s="1050"/>
      <c r="L38" s="1039"/>
      <c r="M38" s="952"/>
      <c r="N38" s="1047"/>
      <c r="O38" s="1048"/>
      <c r="P38" s="1048"/>
      <c r="Q38" s="1048"/>
      <c r="R38" s="1048"/>
      <c r="S38" s="1048"/>
      <c r="T38" s="1048"/>
      <c r="U38" s="1049"/>
      <c r="V38" s="1041"/>
    </row>
    <row r="39" spans="1:25">
      <c r="C39" s="334"/>
      <c r="D39" s="334"/>
      <c r="E39" s="334"/>
      <c r="F39" s="334"/>
      <c r="G39" s="334"/>
      <c r="H39" s="334"/>
      <c r="I39" s="334"/>
      <c r="J39" s="334"/>
    </row>
    <row r="44" spans="1:25">
      <c r="A44" s="1006">
        <v>44866</v>
      </c>
      <c r="B44" s="1008" t="s">
        <v>28</v>
      </c>
      <c r="C44" s="1067"/>
      <c r="D44" s="1068"/>
      <c r="E44" s="1068"/>
      <c r="F44" s="1068"/>
      <c r="G44" s="1068"/>
      <c r="H44" s="1068"/>
      <c r="I44" s="1068"/>
      <c r="J44" s="1069"/>
      <c r="K44" s="1061"/>
      <c r="L44" s="1010">
        <v>44881</v>
      </c>
      <c r="M44" s="1008" t="s">
        <v>29</v>
      </c>
      <c r="N44" s="1033" t="s">
        <v>647</v>
      </c>
      <c r="O44" s="1034"/>
      <c r="P44" s="1034"/>
      <c r="Q44" s="1034"/>
      <c r="R44" s="1034"/>
      <c r="S44" s="1034"/>
      <c r="T44" s="1034"/>
      <c r="U44" s="1035"/>
      <c r="V44" s="1065" t="s">
        <v>370</v>
      </c>
    </row>
    <row r="45" spans="1:25">
      <c r="A45" s="1007"/>
      <c r="B45" s="1009"/>
      <c r="C45" s="1033"/>
      <c r="D45" s="1034"/>
      <c r="E45" s="1034"/>
      <c r="F45" s="1034"/>
      <c r="G45" s="1034"/>
      <c r="H45" s="1034"/>
      <c r="I45" s="1034"/>
      <c r="J45" s="1035"/>
      <c r="K45" s="1046"/>
      <c r="L45" s="1011"/>
      <c r="M45" s="1009"/>
      <c r="N45" s="1033"/>
      <c r="O45" s="1034"/>
      <c r="P45" s="1034"/>
      <c r="Q45" s="1034"/>
      <c r="R45" s="1034"/>
      <c r="S45" s="1034"/>
      <c r="T45" s="1034"/>
      <c r="U45" s="1035"/>
      <c r="V45" s="1070"/>
    </row>
    <row r="46" spans="1:25">
      <c r="A46" s="1012" t="s">
        <v>404</v>
      </c>
      <c r="B46" s="1013" t="s">
        <v>29</v>
      </c>
      <c r="C46" s="1033"/>
      <c r="D46" s="1034"/>
      <c r="E46" s="1034"/>
      <c r="F46" s="1034"/>
      <c r="G46" s="1034"/>
      <c r="H46" s="1034"/>
      <c r="I46" s="1034"/>
      <c r="J46" s="1035"/>
      <c r="K46" s="1045"/>
      <c r="L46" s="1014">
        <v>17</v>
      </c>
      <c r="M46" s="1013" t="s">
        <v>30</v>
      </c>
      <c r="N46" s="1033" t="s">
        <v>684</v>
      </c>
      <c r="O46" s="1034"/>
      <c r="P46" s="1034"/>
      <c r="Q46" s="1034"/>
      <c r="R46" s="1034"/>
      <c r="S46" s="1034"/>
      <c r="T46" s="1034"/>
      <c r="U46" s="1035"/>
      <c r="V46" s="1040" t="s">
        <v>419</v>
      </c>
    </row>
    <row r="47" spans="1:25">
      <c r="A47" s="1012"/>
      <c r="B47" s="1009"/>
      <c r="C47" s="1033"/>
      <c r="D47" s="1034"/>
      <c r="E47" s="1034"/>
      <c r="F47" s="1034"/>
      <c r="G47" s="1034"/>
      <c r="H47" s="1034"/>
      <c r="I47" s="1034"/>
      <c r="J47" s="1035"/>
      <c r="K47" s="1046"/>
      <c r="L47" s="1014"/>
      <c r="M47" s="1009"/>
      <c r="N47" s="1033" t="s">
        <v>685</v>
      </c>
      <c r="O47" s="1034"/>
      <c r="P47" s="1034"/>
      <c r="Q47" s="1034"/>
      <c r="R47" s="1034"/>
      <c r="S47" s="1034"/>
      <c r="T47" s="1034"/>
      <c r="U47" s="1035"/>
      <c r="V47" s="1070"/>
    </row>
    <row r="48" spans="1:25">
      <c r="A48" s="1015" t="s">
        <v>405</v>
      </c>
      <c r="B48" s="1016" t="s">
        <v>30</v>
      </c>
      <c r="C48" s="1033" t="s">
        <v>684</v>
      </c>
      <c r="D48" s="1034"/>
      <c r="E48" s="1034"/>
      <c r="F48" s="1034"/>
      <c r="G48" s="1034"/>
      <c r="H48" s="1034"/>
      <c r="I48" s="1034"/>
      <c r="J48" s="1035"/>
      <c r="K48" s="1045" t="s">
        <v>370</v>
      </c>
      <c r="L48" s="1014" t="s">
        <v>648</v>
      </c>
      <c r="M48" s="1013" t="s">
        <v>31</v>
      </c>
      <c r="N48" s="1033" t="s">
        <v>684</v>
      </c>
      <c r="O48" s="1034"/>
      <c r="P48" s="1034"/>
      <c r="Q48" s="1034"/>
      <c r="R48" s="1034"/>
      <c r="S48" s="1034"/>
      <c r="T48" s="1034"/>
      <c r="U48" s="1035"/>
      <c r="V48" s="1040" t="s">
        <v>419</v>
      </c>
    </row>
    <row r="49" spans="1:22">
      <c r="A49" s="1015"/>
      <c r="B49" s="1017"/>
      <c r="C49" s="1033" t="s">
        <v>685</v>
      </c>
      <c r="D49" s="1034"/>
      <c r="E49" s="1034"/>
      <c r="F49" s="1034"/>
      <c r="G49" s="1034"/>
      <c r="H49" s="1034"/>
      <c r="I49" s="1034"/>
      <c r="J49" s="1035"/>
      <c r="K49" s="1046"/>
      <c r="L49" s="1014"/>
      <c r="M49" s="1009"/>
      <c r="N49" s="1033" t="s">
        <v>685</v>
      </c>
      <c r="O49" s="1034"/>
      <c r="P49" s="1034"/>
      <c r="Q49" s="1034"/>
      <c r="R49" s="1034"/>
      <c r="S49" s="1034"/>
      <c r="T49" s="1034"/>
      <c r="U49" s="1035"/>
      <c r="V49" s="1070"/>
    </row>
    <row r="50" spans="1:22">
      <c r="A50" s="1012" t="s">
        <v>406</v>
      </c>
      <c r="B50" s="1013" t="s">
        <v>31</v>
      </c>
      <c r="C50" s="1033" t="s">
        <v>684</v>
      </c>
      <c r="D50" s="1034"/>
      <c r="E50" s="1034"/>
      <c r="F50" s="1034"/>
      <c r="G50" s="1034"/>
      <c r="H50" s="1034"/>
      <c r="I50" s="1034"/>
      <c r="J50" s="1035"/>
      <c r="K50" s="1045" t="s">
        <v>370</v>
      </c>
      <c r="L50" s="1021" t="s">
        <v>649</v>
      </c>
      <c r="M50" s="1022" t="s">
        <v>32</v>
      </c>
      <c r="N50" s="1033" t="s">
        <v>684</v>
      </c>
      <c r="O50" s="1034"/>
      <c r="P50" s="1034"/>
      <c r="Q50" s="1034"/>
      <c r="R50" s="1034"/>
      <c r="S50" s="1034"/>
      <c r="T50" s="1034"/>
      <c r="U50" s="1035"/>
      <c r="V50" s="1040" t="s">
        <v>419</v>
      </c>
    </row>
    <row r="51" spans="1:22">
      <c r="A51" s="1012"/>
      <c r="B51" s="1009"/>
      <c r="C51" s="1033" t="s">
        <v>685</v>
      </c>
      <c r="D51" s="1034"/>
      <c r="E51" s="1034"/>
      <c r="F51" s="1034"/>
      <c r="G51" s="1034"/>
      <c r="H51" s="1034"/>
      <c r="I51" s="1034"/>
      <c r="J51" s="1035"/>
      <c r="K51" s="1046"/>
      <c r="L51" s="1021"/>
      <c r="M51" s="1023"/>
      <c r="N51" s="1033" t="s">
        <v>685</v>
      </c>
      <c r="O51" s="1034"/>
      <c r="P51" s="1034"/>
      <c r="Q51" s="1034"/>
      <c r="R51" s="1034"/>
      <c r="S51" s="1034"/>
      <c r="T51" s="1034"/>
      <c r="U51" s="1035"/>
      <c r="V51" s="1070"/>
    </row>
    <row r="52" spans="1:22">
      <c r="A52" s="1024" t="s">
        <v>407</v>
      </c>
      <c r="B52" s="1022" t="s">
        <v>32</v>
      </c>
      <c r="C52" s="1033" t="s">
        <v>684</v>
      </c>
      <c r="D52" s="1034"/>
      <c r="E52" s="1034"/>
      <c r="F52" s="1034"/>
      <c r="G52" s="1034"/>
      <c r="H52" s="1034"/>
      <c r="I52" s="1034"/>
      <c r="J52" s="1035"/>
      <c r="K52" s="1045" t="s">
        <v>419</v>
      </c>
      <c r="L52" s="1025" t="s">
        <v>650</v>
      </c>
      <c r="M52" s="1016" t="s">
        <v>10</v>
      </c>
      <c r="N52" s="1033" t="s">
        <v>684</v>
      </c>
      <c r="O52" s="1034"/>
      <c r="P52" s="1034"/>
      <c r="Q52" s="1034"/>
      <c r="R52" s="1034"/>
      <c r="S52" s="1034"/>
      <c r="T52" s="1034"/>
      <c r="U52" s="1035"/>
      <c r="V52" s="1040" t="s">
        <v>418</v>
      </c>
    </row>
    <row r="53" spans="1:22">
      <c r="A53" s="1024"/>
      <c r="B53" s="1023"/>
      <c r="C53" s="1033" t="s">
        <v>685</v>
      </c>
      <c r="D53" s="1034"/>
      <c r="E53" s="1034"/>
      <c r="F53" s="1034"/>
      <c r="G53" s="1034"/>
      <c r="H53" s="1034"/>
      <c r="I53" s="1034"/>
      <c r="J53" s="1035"/>
      <c r="K53" s="1046"/>
      <c r="L53" s="1025"/>
      <c r="M53" s="1017"/>
      <c r="N53" s="1033" t="s">
        <v>685</v>
      </c>
      <c r="O53" s="1034"/>
      <c r="P53" s="1034"/>
      <c r="Q53" s="1034"/>
      <c r="R53" s="1034"/>
      <c r="S53" s="1034"/>
      <c r="T53" s="1034"/>
      <c r="U53" s="1035"/>
      <c r="V53" s="1070"/>
    </row>
    <row r="54" spans="1:22">
      <c r="A54" s="1015" t="s">
        <v>408</v>
      </c>
      <c r="B54" s="1016" t="s">
        <v>10</v>
      </c>
      <c r="C54" s="1033" t="s">
        <v>684</v>
      </c>
      <c r="D54" s="1034"/>
      <c r="E54" s="1034"/>
      <c r="F54" s="1034"/>
      <c r="G54" s="1034"/>
      <c r="H54" s="1034"/>
      <c r="I54" s="1034"/>
      <c r="J54" s="1035"/>
      <c r="K54" s="1045" t="s">
        <v>419</v>
      </c>
      <c r="L54" s="1014" t="s">
        <v>651</v>
      </c>
      <c r="M54" s="1013" t="s">
        <v>27</v>
      </c>
      <c r="N54" s="1033" t="s">
        <v>684</v>
      </c>
      <c r="O54" s="1034"/>
      <c r="P54" s="1034"/>
      <c r="Q54" s="1034"/>
      <c r="R54" s="1034"/>
      <c r="S54" s="1034"/>
      <c r="T54" s="1034"/>
      <c r="U54" s="1035"/>
      <c r="V54" s="1040" t="s">
        <v>370</v>
      </c>
    </row>
    <row r="55" spans="1:22">
      <c r="A55" s="1015"/>
      <c r="B55" s="1017"/>
      <c r="C55" s="1033" t="s">
        <v>685</v>
      </c>
      <c r="D55" s="1034"/>
      <c r="E55" s="1034"/>
      <c r="F55" s="1034"/>
      <c r="G55" s="1034"/>
      <c r="H55" s="1034"/>
      <c r="I55" s="1034"/>
      <c r="J55" s="1035"/>
      <c r="K55" s="1046"/>
      <c r="L55" s="1014"/>
      <c r="M55" s="1009"/>
      <c r="N55" s="1033" t="s">
        <v>685</v>
      </c>
      <c r="O55" s="1034"/>
      <c r="P55" s="1034"/>
      <c r="Q55" s="1034"/>
      <c r="R55" s="1034"/>
      <c r="S55" s="1034"/>
      <c r="T55" s="1034"/>
      <c r="U55" s="1035"/>
      <c r="V55" s="1070"/>
    </row>
    <row r="56" spans="1:22">
      <c r="A56" s="1012" t="s">
        <v>409</v>
      </c>
      <c r="B56" s="1013" t="s">
        <v>27</v>
      </c>
      <c r="C56" s="1033" t="s">
        <v>684</v>
      </c>
      <c r="D56" s="1034"/>
      <c r="E56" s="1034"/>
      <c r="F56" s="1034"/>
      <c r="G56" s="1034"/>
      <c r="H56" s="1034"/>
      <c r="I56" s="1034"/>
      <c r="J56" s="1035"/>
      <c r="K56" s="1045" t="s">
        <v>419</v>
      </c>
      <c r="L56" s="1014" t="s">
        <v>652</v>
      </c>
      <c r="M56" s="1013" t="s">
        <v>28</v>
      </c>
      <c r="N56" s="1033"/>
      <c r="O56" s="1034"/>
      <c r="P56" s="1034"/>
      <c r="Q56" s="1034"/>
      <c r="R56" s="1034"/>
      <c r="S56" s="1034"/>
      <c r="T56" s="1034"/>
      <c r="U56" s="1035"/>
      <c r="V56" s="1040"/>
    </row>
    <row r="57" spans="1:22">
      <c r="A57" s="1012"/>
      <c r="B57" s="1009"/>
      <c r="C57" s="1033" t="s">
        <v>685</v>
      </c>
      <c r="D57" s="1034"/>
      <c r="E57" s="1034"/>
      <c r="F57" s="1034"/>
      <c r="G57" s="1034"/>
      <c r="H57" s="1034"/>
      <c r="I57" s="1034"/>
      <c r="J57" s="1035"/>
      <c r="K57" s="1046"/>
      <c r="L57" s="1014"/>
      <c r="M57" s="1009"/>
      <c r="N57" s="1033"/>
      <c r="O57" s="1034"/>
      <c r="P57" s="1034"/>
      <c r="Q57" s="1034"/>
      <c r="R57" s="1034"/>
      <c r="S57" s="1034"/>
      <c r="T57" s="1034"/>
      <c r="U57" s="1035"/>
      <c r="V57" s="1070"/>
    </row>
    <row r="58" spans="1:22">
      <c r="A58" s="1012" t="s">
        <v>410</v>
      </c>
      <c r="B58" s="1013" t="s">
        <v>28</v>
      </c>
      <c r="C58" s="1033"/>
      <c r="D58" s="1034"/>
      <c r="E58" s="1034"/>
      <c r="F58" s="1034"/>
      <c r="G58" s="1034"/>
      <c r="H58" s="1034"/>
      <c r="I58" s="1034"/>
      <c r="J58" s="1035"/>
      <c r="K58" s="1045"/>
      <c r="L58" s="1025" t="s">
        <v>653</v>
      </c>
      <c r="M58" s="1016" t="s">
        <v>29</v>
      </c>
      <c r="N58" s="1033"/>
      <c r="O58" s="1034"/>
      <c r="P58" s="1034"/>
      <c r="Q58" s="1034"/>
      <c r="R58" s="1034"/>
      <c r="S58" s="1034"/>
      <c r="T58" s="1034"/>
      <c r="U58" s="1035"/>
      <c r="V58" s="1040"/>
    </row>
    <row r="59" spans="1:22">
      <c r="A59" s="1012"/>
      <c r="B59" s="1009"/>
      <c r="C59" s="1033"/>
      <c r="D59" s="1034"/>
      <c r="E59" s="1034"/>
      <c r="F59" s="1034"/>
      <c r="G59" s="1034"/>
      <c r="H59" s="1034"/>
      <c r="I59" s="1034"/>
      <c r="J59" s="1035"/>
      <c r="K59" s="1046"/>
      <c r="L59" s="1025"/>
      <c r="M59" s="1017"/>
      <c r="N59" s="1033"/>
      <c r="O59" s="1034"/>
      <c r="P59" s="1034"/>
      <c r="Q59" s="1034"/>
      <c r="R59" s="1034"/>
      <c r="S59" s="1034"/>
      <c r="T59" s="1034"/>
      <c r="U59" s="1035"/>
      <c r="V59" s="1070"/>
    </row>
    <row r="60" spans="1:22">
      <c r="A60" s="1031" t="s">
        <v>411</v>
      </c>
      <c r="B60" s="1013" t="s">
        <v>29</v>
      </c>
      <c r="C60" s="1033"/>
      <c r="D60" s="1034"/>
      <c r="E60" s="1034"/>
      <c r="F60" s="1034"/>
      <c r="G60" s="1034"/>
      <c r="H60" s="1034"/>
      <c r="I60" s="1034"/>
      <c r="J60" s="1035"/>
      <c r="K60" s="1045"/>
      <c r="L60" s="1014" t="s">
        <v>654</v>
      </c>
      <c r="M60" s="1013" t="s">
        <v>30</v>
      </c>
      <c r="N60" s="1033" t="s">
        <v>684</v>
      </c>
      <c r="O60" s="1034"/>
      <c r="P60" s="1034"/>
      <c r="Q60" s="1034"/>
      <c r="R60" s="1034"/>
      <c r="S60" s="1034"/>
      <c r="T60" s="1034"/>
      <c r="U60" s="1035"/>
      <c r="V60" s="1040" t="s">
        <v>370</v>
      </c>
    </row>
    <row r="61" spans="1:22">
      <c r="A61" s="1032"/>
      <c r="B61" s="1009"/>
      <c r="C61" s="1033"/>
      <c r="D61" s="1034"/>
      <c r="E61" s="1034"/>
      <c r="F61" s="1034"/>
      <c r="G61" s="1034"/>
      <c r="H61" s="1034"/>
      <c r="I61" s="1034"/>
      <c r="J61" s="1035"/>
      <c r="K61" s="1046"/>
      <c r="L61" s="1014"/>
      <c r="M61" s="1009"/>
      <c r="N61" s="1033" t="s">
        <v>685</v>
      </c>
      <c r="O61" s="1034"/>
      <c r="P61" s="1034"/>
      <c r="Q61" s="1034"/>
      <c r="R61" s="1034"/>
      <c r="S61" s="1034"/>
      <c r="T61" s="1034"/>
      <c r="U61" s="1035"/>
      <c r="V61" s="1070"/>
    </row>
    <row r="62" spans="1:22">
      <c r="A62" s="1012" t="s">
        <v>412</v>
      </c>
      <c r="B62" s="1013" t="s">
        <v>30</v>
      </c>
      <c r="C62" s="1033"/>
      <c r="D62" s="1034"/>
      <c r="E62" s="1034"/>
      <c r="F62" s="1034"/>
      <c r="G62" s="1034"/>
      <c r="H62" s="1034"/>
      <c r="I62" s="1034"/>
      <c r="J62" s="1035"/>
      <c r="K62" s="1045"/>
      <c r="L62" s="1014" t="s">
        <v>655</v>
      </c>
      <c r="M62" s="1013" t="s">
        <v>31</v>
      </c>
      <c r="N62" s="1033" t="s">
        <v>684</v>
      </c>
      <c r="O62" s="1034"/>
      <c r="P62" s="1034"/>
      <c r="Q62" s="1034"/>
      <c r="R62" s="1034"/>
      <c r="S62" s="1034"/>
      <c r="T62" s="1034"/>
      <c r="U62" s="1035"/>
      <c r="V62" s="1040" t="s">
        <v>370</v>
      </c>
    </row>
    <row r="63" spans="1:22">
      <c r="A63" s="1012"/>
      <c r="B63" s="1009"/>
      <c r="C63" s="1033"/>
      <c r="D63" s="1034"/>
      <c r="E63" s="1034"/>
      <c r="F63" s="1034"/>
      <c r="G63" s="1034"/>
      <c r="H63" s="1034"/>
      <c r="I63" s="1034"/>
      <c r="J63" s="1035"/>
      <c r="K63" s="1046"/>
      <c r="L63" s="1014"/>
      <c r="M63" s="1009"/>
      <c r="N63" s="1033" t="s">
        <v>685</v>
      </c>
      <c r="O63" s="1034"/>
      <c r="P63" s="1034"/>
      <c r="Q63" s="1034"/>
      <c r="R63" s="1034"/>
      <c r="S63" s="1034"/>
      <c r="T63" s="1034"/>
      <c r="U63" s="1035"/>
      <c r="V63" s="1070"/>
    </row>
    <row r="64" spans="1:22">
      <c r="A64" s="1012" t="s">
        <v>413</v>
      </c>
      <c r="B64" s="1013" t="s">
        <v>31</v>
      </c>
      <c r="C64" s="1033" t="s">
        <v>684</v>
      </c>
      <c r="D64" s="1034"/>
      <c r="E64" s="1034"/>
      <c r="F64" s="1034"/>
      <c r="G64" s="1034"/>
      <c r="H64" s="1034"/>
      <c r="I64" s="1034"/>
      <c r="J64" s="1035"/>
      <c r="K64" s="1045" t="s">
        <v>418</v>
      </c>
      <c r="L64" s="1021" t="s">
        <v>656</v>
      </c>
      <c r="M64" s="1022" t="s">
        <v>32</v>
      </c>
      <c r="N64" s="1033" t="s">
        <v>684</v>
      </c>
      <c r="O64" s="1034"/>
      <c r="P64" s="1034"/>
      <c r="Q64" s="1034"/>
      <c r="R64" s="1034"/>
      <c r="S64" s="1034"/>
      <c r="T64" s="1034"/>
      <c r="U64" s="1035"/>
      <c r="V64" s="1040" t="s">
        <v>419</v>
      </c>
    </row>
    <row r="65" spans="1:22">
      <c r="A65" s="1012"/>
      <c r="B65" s="1009"/>
      <c r="C65" s="1033" t="s">
        <v>685</v>
      </c>
      <c r="D65" s="1034"/>
      <c r="E65" s="1034"/>
      <c r="F65" s="1034"/>
      <c r="G65" s="1034"/>
      <c r="H65" s="1034"/>
      <c r="I65" s="1034"/>
      <c r="J65" s="1035"/>
      <c r="K65" s="1046"/>
      <c r="L65" s="1021"/>
      <c r="M65" s="1023"/>
      <c r="N65" s="1033" t="s">
        <v>685</v>
      </c>
      <c r="O65" s="1034"/>
      <c r="P65" s="1034"/>
      <c r="Q65" s="1034"/>
      <c r="R65" s="1034"/>
      <c r="S65" s="1034"/>
      <c r="T65" s="1034"/>
      <c r="U65" s="1035"/>
      <c r="V65" s="1070"/>
    </row>
    <row r="66" spans="1:22">
      <c r="A66" s="1024" t="s">
        <v>414</v>
      </c>
      <c r="B66" s="1022" t="s">
        <v>32</v>
      </c>
      <c r="C66" s="1033" t="s">
        <v>684</v>
      </c>
      <c r="D66" s="1034"/>
      <c r="E66" s="1034"/>
      <c r="F66" s="1034"/>
      <c r="G66" s="1034"/>
      <c r="H66" s="1034"/>
      <c r="I66" s="1034"/>
      <c r="J66" s="1035"/>
      <c r="K66" s="1045" t="s">
        <v>418</v>
      </c>
      <c r="L66" s="1025" t="s">
        <v>657</v>
      </c>
      <c r="M66" s="1016" t="s">
        <v>10</v>
      </c>
      <c r="N66" s="1033" t="s">
        <v>684</v>
      </c>
      <c r="O66" s="1034"/>
      <c r="P66" s="1034"/>
      <c r="Q66" s="1034"/>
      <c r="R66" s="1034"/>
      <c r="S66" s="1034"/>
      <c r="T66" s="1034"/>
      <c r="U66" s="1035"/>
      <c r="V66" s="1040" t="s">
        <v>419</v>
      </c>
    </row>
    <row r="67" spans="1:22">
      <c r="A67" s="1024"/>
      <c r="B67" s="1023"/>
      <c r="C67" s="1033" t="s">
        <v>685</v>
      </c>
      <c r="D67" s="1034"/>
      <c r="E67" s="1034"/>
      <c r="F67" s="1034"/>
      <c r="G67" s="1034"/>
      <c r="H67" s="1034"/>
      <c r="I67" s="1034"/>
      <c r="J67" s="1035"/>
      <c r="K67" s="1046"/>
      <c r="L67" s="1025"/>
      <c r="M67" s="1017"/>
      <c r="N67" s="1033" t="s">
        <v>685</v>
      </c>
      <c r="O67" s="1034"/>
      <c r="P67" s="1034"/>
      <c r="Q67" s="1034"/>
      <c r="R67" s="1034"/>
      <c r="S67" s="1034"/>
      <c r="T67" s="1034"/>
      <c r="U67" s="1035"/>
      <c r="V67" s="1070"/>
    </row>
    <row r="68" spans="1:22">
      <c r="A68" s="1015" t="s">
        <v>415</v>
      </c>
      <c r="B68" s="1016" t="s">
        <v>10</v>
      </c>
      <c r="C68" s="1033" t="s">
        <v>684</v>
      </c>
      <c r="D68" s="1034"/>
      <c r="E68" s="1034"/>
      <c r="F68" s="1034"/>
      <c r="G68" s="1034"/>
      <c r="H68" s="1034"/>
      <c r="I68" s="1034"/>
      <c r="J68" s="1035"/>
      <c r="K68" s="1045" t="s">
        <v>418</v>
      </c>
      <c r="L68" s="1014" t="s">
        <v>658</v>
      </c>
      <c r="M68" s="1013" t="s">
        <v>27</v>
      </c>
      <c r="N68" s="1033" t="s">
        <v>684</v>
      </c>
      <c r="O68" s="1034"/>
      <c r="P68" s="1034"/>
      <c r="Q68" s="1034"/>
      <c r="R68" s="1034"/>
      <c r="S68" s="1034"/>
      <c r="T68" s="1034"/>
      <c r="U68" s="1035"/>
      <c r="V68" s="1040" t="s">
        <v>419</v>
      </c>
    </row>
    <row r="69" spans="1:22">
      <c r="A69" s="1015"/>
      <c r="B69" s="1017"/>
      <c r="C69" s="1033" t="s">
        <v>685</v>
      </c>
      <c r="D69" s="1034"/>
      <c r="E69" s="1034"/>
      <c r="F69" s="1034"/>
      <c r="G69" s="1034"/>
      <c r="H69" s="1034"/>
      <c r="I69" s="1034"/>
      <c r="J69" s="1035"/>
      <c r="K69" s="1046"/>
      <c r="L69" s="1014"/>
      <c r="M69" s="1009"/>
      <c r="N69" s="1033" t="s">
        <v>685</v>
      </c>
      <c r="O69" s="1034"/>
      <c r="P69" s="1034"/>
      <c r="Q69" s="1034"/>
      <c r="R69" s="1034"/>
      <c r="S69" s="1034"/>
      <c r="T69" s="1034"/>
      <c r="U69" s="1035"/>
      <c r="V69" s="1070"/>
    </row>
    <row r="70" spans="1:22">
      <c r="A70" s="1012" t="s">
        <v>416</v>
      </c>
      <c r="B70" s="1013" t="s">
        <v>27</v>
      </c>
      <c r="C70" s="1033" t="s">
        <v>684</v>
      </c>
      <c r="D70" s="1034"/>
      <c r="E70" s="1034"/>
      <c r="F70" s="1034"/>
      <c r="G70" s="1034"/>
      <c r="H70" s="1034"/>
      <c r="I70" s="1034"/>
      <c r="J70" s="1035"/>
      <c r="K70" s="1045" t="s">
        <v>418</v>
      </c>
      <c r="L70" s="1014">
        <v>29</v>
      </c>
      <c r="M70" s="1013" t="s">
        <v>28</v>
      </c>
      <c r="N70" s="1033"/>
      <c r="O70" s="1034"/>
      <c r="P70" s="1034"/>
      <c r="Q70" s="1034"/>
      <c r="R70" s="1034"/>
      <c r="S70" s="1034"/>
      <c r="T70" s="1034"/>
      <c r="U70" s="1035"/>
      <c r="V70" s="1040"/>
    </row>
    <row r="71" spans="1:22">
      <c r="A71" s="1012"/>
      <c r="B71" s="1009"/>
      <c r="C71" s="1033" t="s">
        <v>685</v>
      </c>
      <c r="D71" s="1034"/>
      <c r="E71" s="1034"/>
      <c r="F71" s="1034"/>
      <c r="G71" s="1034"/>
      <c r="H71" s="1034"/>
      <c r="I71" s="1034"/>
      <c r="J71" s="1035"/>
      <c r="K71" s="1046"/>
      <c r="L71" s="1014"/>
      <c r="M71" s="1009"/>
      <c r="N71" s="1033"/>
      <c r="O71" s="1034"/>
      <c r="P71" s="1034"/>
      <c r="Q71" s="1034"/>
      <c r="R71" s="1034"/>
      <c r="S71" s="1034"/>
      <c r="T71" s="1034"/>
      <c r="U71" s="1035"/>
      <c r="V71" s="1070"/>
    </row>
    <row r="72" spans="1:22">
      <c r="A72" s="1012" t="s">
        <v>417</v>
      </c>
      <c r="B72" s="1013" t="s">
        <v>28</v>
      </c>
      <c r="C72" s="1033"/>
      <c r="D72" s="1034"/>
      <c r="E72" s="1034"/>
      <c r="F72" s="1034"/>
      <c r="G72" s="1034"/>
      <c r="H72" s="1034"/>
      <c r="I72" s="1034"/>
      <c r="J72" s="1035"/>
      <c r="K72" s="1045"/>
      <c r="L72" s="1014">
        <v>30</v>
      </c>
      <c r="M72" s="1013" t="s">
        <v>29</v>
      </c>
      <c r="N72" s="1033"/>
      <c r="O72" s="1034"/>
      <c r="P72" s="1034"/>
      <c r="Q72" s="1034"/>
      <c r="R72" s="1034"/>
      <c r="S72" s="1034"/>
      <c r="T72" s="1034"/>
      <c r="U72" s="1035"/>
      <c r="V72" s="1040"/>
    </row>
    <row r="73" spans="1:22">
      <c r="A73" s="1012"/>
      <c r="B73" s="1009"/>
      <c r="C73" s="1033"/>
      <c r="D73" s="1034"/>
      <c r="E73" s="1034"/>
      <c r="F73" s="1034"/>
      <c r="G73" s="1034"/>
      <c r="H73" s="1034"/>
      <c r="I73" s="1034"/>
      <c r="J73" s="1035"/>
      <c r="K73" s="1046"/>
      <c r="L73" s="1014"/>
      <c r="M73" s="1009"/>
      <c r="N73" s="1033"/>
      <c r="O73" s="1034"/>
      <c r="P73" s="1034"/>
      <c r="Q73" s="1034"/>
      <c r="R73" s="1034"/>
      <c r="S73" s="1034"/>
      <c r="T73" s="1034"/>
      <c r="U73" s="1035"/>
      <c r="V73" s="1070"/>
    </row>
  </sheetData>
  <mergeCells count="313">
    <mergeCell ref="A72:A73"/>
    <mergeCell ref="B72:B73"/>
    <mergeCell ref="C72:J72"/>
    <mergeCell ref="K72:K73"/>
    <mergeCell ref="L72:L73"/>
    <mergeCell ref="M72:M73"/>
    <mergeCell ref="N72:U72"/>
    <mergeCell ref="V72:V73"/>
    <mergeCell ref="C73:J73"/>
    <mergeCell ref="N73:U73"/>
    <mergeCell ref="A70:A71"/>
    <mergeCell ref="B70:B71"/>
    <mergeCell ref="C70:J70"/>
    <mergeCell ref="K70:K71"/>
    <mergeCell ref="L70:L71"/>
    <mergeCell ref="M70:M71"/>
    <mergeCell ref="N70:U70"/>
    <mergeCell ref="V70:V71"/>
    <mergeCell ref="C71:J71"/>
    <mergeCell ref="N71:U71"/>
    <mergeCell ref="A68:A69"/>
    <mergeCell ref="B68:B69"/>
    <mergeCell ref="C68:J68"/>
    <mergeCell ref="K68:K69"/>
    <mergeCell ref="L68:L69"/>
    <mergeCell ref="M68:M69"/>
    <mergeCell ref="N68:U68"/>
    <mergeCell ref="V68:V69"/>
    <mergeCell ref="C69:J69"/>
    <mergeCell ref="N69:U69"/>
    <mergeCell ref="A66:A67"/>
    <mergeCell ref="B66:B67"/>
    <mergeCell ref="C66:J66"/>
    <mergeCell ref="K66:K67"/>
    <mergeCell ref="L66:L67"/>
    <mergeCell ref="M66:M67"/>
    <mergeCell ref="N66:U66"/>
    <mergeCell ref="V66:V67"/>
    <mergeCell ref="C67:J67"/>
    <mergeCell ref="N67:U67"/>
    <mergeCell ref="A64:A65"/>
    <mergeCell ref="B64:B65"/>
    <mergeCell ref="C64:J64"/>
    <mergeCell ref="K64:K65"/>
    <mergeCell ref="L64:L65"/>
    <mergeCell ref="M64:M65"/>
    <mergeCell ref="N64:U64"/>
    <mergeCell ref="V64:V65"/>
    <mergeCell ref="C65:J65"/>
    <mergeCell ref="N65:U65"/>
    <mergeCell ref="A62:A63"/>
    <mergeCell ref="B62:B63"/>
    <mergeCell ref="C62:J62"/>
    <mergeCell ref="K62:K63"/>
    <mergeCell ref="L62:L63"/>
    <mergeCell ref="M62:M63"/>
    <mergeCell ref="N62:U62"/>
    <mergeCell ref="V62:V63"/>
    <mergeCell ref="C63:J63"/>
    <mergeCell ref="N63:U63"/>
    <mergeCell ref="A60:A61"/>
    <mergeCell ref="B60:B61"/>
    <mergeCell ref="C60:J60"/>
    <mergeCell ref="K60:K61"/>
    <mergeCell ref="L60:L61"/>
    <mergeCell ref="M60:M61"/>
    <mergeCell ref="N60:U60"/>
    <mergeCell ref="V60:V61"/>
    <mergeCell ref="C61:J61"/>
    <mergeCell ref="N61:U61"/>
    <mergeCell ref="A58:A59"/>
    <mergeCell ref="B58:B59"/>
    <mergeCell ref="C58:J58"/>
    <mergeCell ref="K58:K59"/>
    <mergeCell ref="L58:L59"/>
    <mergeCell ref="M58:M59"/>
    <mergeCell ref="N58:U58"/>
    <mergeCell ref="V58:V59"/>
    <mergeCell ref="C59:J59"/>
    <mergeCell ref="N59:U59"/>
    <mergeCell ref="A56:A57"/>
    <mergeCell ref="B56:B57"/>
    <mergeCell ref="C56:J56"/>
    <mergeCell ref="K56:K57"/>
    <mergeCell ref="L56:L57"/>
    <mergeCell ref="M56:M57"/>
    <mergeCell ref="N56:U56"/>
    <mergeCell ref="V56:V57"/>
    <mergeCell ref="C57:J57"/>
    <mergeCell ref="N57:U57"/>
    <mergeCell ref="A54:A55"/>
    <mergeCell ref="B54:B55"/>
    <mergeCell ref="C54:J54"/>
    <mergeCell ref="K54:K55"/>
    <mergeCell ref="L54:L55"/>
    <mergeCell ref="M54:M55"/>
    <mergeCell ref="N54:U54"/>
    <mergeCell ref="V54:V55"/>
    <mergeCell ref="C55:J55"/>
    <mergeCell ref="N55:U55"/>
    <mergeCell ref="A52:A53"/>
    <mergeCell ref="B52:B53"/>
    <mergeCell ref="C52:J52"/>
    <mergeCell ref="K52:K53"/>
    <mergeCell ref="L52:L53"/>
    <mergeCell ref="M52:M53"/>
    <mergeCell ref="N52:U52"/>
    <mergeCell ref="V52:V53"/>
    <mergeCell ref="C53:J53"/>
    <mergeCell ref="N53:U53"/>
    <mergeCell ref="A50:A51"/>
    <mergeCell ref="B50:B51"/>
    <mergeCell ref="C50:J50"/>
    <mergeCell ref="K50:K51"/>
    <mergeCell ref="L50:L51"/>
    <mergeCell ref="M50:M51"/>
    <mergeCell ref="N50:U50"/>
    <mergeCell ref="V50:V51"/>
    <mergeCell ref="C51:J51"/>
    <mergeCell ref="N51:U51"/>
    <mergeCell ref="A48:A49"/>
    <mergeCell ref="B48:B49"/>
    <mergeCell ref="C48:J48"/>
    <mergeCell ref="K48:K49"/>
    <mergeCell ref="L48:L49"/>
    <mergeCell ref="M48:M49"/>
    <mergeCell ref="N48:U48"/>
    <mergeCell ref="V48:V49"/>
    <mergeCell ref="C49:J49"/>
    <mergeCell ref="N49:U49"/>
    <mergeCell ref="A46:A47"/>
    <mergeCell ref="B46:B47"/>
    <mergeCell ref="C46:J46"/>
    <mergeCell ref="K46:K47"/>
    <mergeCell ref="L46:L47"/>
    <mergeCell ref="M46:M47"/>
    <mergeCell ref="N46:U46"/>
    <mergeCell ref="V46:V47"/>
    <mergeCell ref="C47:J47"/>
    <mergeCell ref="N47:U47"/>
    <mergeCell ref="A44:A45"/>
    <mergeCell ref="B44:B45"/>
    <mergeCell ref="C44:J44"/>
    <mergeCell ref="K44:K45"/>
    <mergeCell ref="L44:L45"/>
    <mergeCell ref="M44:M45"/>
    <mergeCell ref="N44:U44"/>
    <mergeCell ref="V44:V45"/>
    <mergeCell ref="C45:J45"/>
    <mergeCell ref="N45:U45"/>
    <mergeCell ref="A4:F4"/>
    <mergeCell ref="C6:J6"/>
    <mergeCell ref="N6:U6"/>
    <mergeCell ref="A7:A8"/>
    <mergeCell ref="B7:B8"/>
    <mergeCell ref="K7:K8"/>
    <mergeCell ref="L7:L8"/>
    <mergeCell ref="M7:M8"/>
    <mergeCell ref="V7:V8"/>
    <mergeCell ref="A9:A10"/>
    <mergeCell ref="B9:B10"/>
    <mergeCell ref="C9:J9"/>
    <mergeCell ref="K9:K10"/>
    <mergeCell ref="L9:L10"/>
    <mergeCell ref="M9:M10"/>
    <mergeCell ref="N7:U7"/>
    <mergeCell ref="V9:V10"/>
    <mergeCell ref="C10:J10"/>
    <mergeCell ref="N8:U8"/>
    <mergeCell ref="C7:J7"/>
    <mergeCell ref="N9:U9"/>
    <mergeCell ref="N10:U10"/>
    <mergeCell ref="C8:J8"/>
    <mergeCell ref="A13:A14"/>
    <mergeCell ref="B13:B14"/>
    <mergeCell ref="C13:J13"/>
    <mergeCell ref="L13:L14"/>
    <mergeCell ref="M13:M14"/>
    <mergeCell ref="V15:V16"/>
    <mergeCell ref="C14:J14"/>
    <mergeCell ref="K13:K14"/>
    <mergeCell ref="A11:A12"/>
    <mergeCell ref="B11:B12"/>
    <mergeCell ref="C11:J11"/>
    <mergeCell ref="K11:K12"/>
    <mergeCell ref="L11:L12"/>
    <mergeCell ref="M11:M12"/>
    <mergeCell ref="N11:U11"/>
    <mergeCell ref="V11:V12"/>
    <mergeCell ref="C12:J12"/>
    <mergeCell ref="N12:U12"/>
    <mergeCell ref="N13:U13"/>
    <mergeCell ref="N14:U14"/>
    <mergeCell ref="V13:V14"/>
    <mergeCell ref="C16:J16"/>
    <mergeCell ref="V21:V22"/>
    <mergeCell ref="K21:K22"/>
    <mergeCell ref="A19:A20"/>
    <mergeCell ref="B19:B20"/>
    <mergeCell ref="A15:A16"/>
    <mergeCell ref="B15:B16"/>
    <mergeCell ref="L15:L16"/>
    <mergeCell ref="M15:M16"/>
    <mergeCell ref="A21:A22"/>
    <mergeCell ref="B21:B22"/>
    <mergeCell ref="K15:K16"/>
    <mergeCell ref="L21:L22"/>
    <mergeCell ref="M21:M22"/>
    <mergeCell ref="L19:L20"/>
    <mergeCell ref="M19:M20"/>
    <mergeCell ref="V19:V20"/>
    <mergeCell ref="K19:K20"/>
    <mergeCell ref="A17:A18"/>
    <mergeCell ref="B17:B18"/>
    <mergeCell ref="K17:K18"/>
    <mergeCell ref="L17:L18"/>
    <mergeCell ref="M17:M18"/>
    <mergeCell ref="V17:V18"/>
    <mergeCell ref="C15:J15"/>
    <mergeCell ref="A25:A26"/>
    <mergeCell ref="B25:B26"/>
    <mergeCell ref="C25:J25"/>
    <mergeCell ref="K25:K26"/>
    <mergeCell ref="L25:L26"/>
    <mergeCell ref="M25:M26"/>
    <mergeCell ref="V25:V26"/>
    <mergeCell ref="C26:J26"/>
    <mergeCell ref="A23:A24"/>
    <mergeCell ref="B23:B24"/>
    <mergeCell ref="K23:K24"/>
    <mergeCell ref="L23:L24"/>
    <mergeCell ref="M23:M24"/>
    <mergeCell ref="V23:V24"/>
    <mergeCell ref="C24:J24"/>
    <mergeCell ref="N24:U24"/>
    <mergeCell ref="N25:U25"/>
    <mergeCell ref="N26:U26"/>
    <mergeCell ref="A29:A30"/>
    <mergeCell ref="B29:B30"/>
    <mergeCell ref="C29:J29"/>
    <mergeCell ref="K29:K30"/>
    <mergeCell ref="L29:L30"/>
    <mergeCell ref="M29:M30"/>
    <mergeCell ref="V29:V30"/>
    <mergeCell ref="C30:J30"/>
    <mergeCell ref="A27:A28"/>
    <mergeCell ref="B27:B28"/>
    <mergeCell ref="C27:J27"/>
    <mergeCell ref="K27:K28"/>
    <mergeCell ref="L27:L28"/>
    <mergeCell ref="M27:M28"/>
    <mergeCell ref="V27:V28"/>
    <mergeCell ref="C28:J28"/>
    <mergeCell ref="N27:U27"/>
    <mergeCell ref="N28:U28"/>
    <mergeCell ref="N29:U29"/>
    <mergeCell ref="N30:U30"/>
    <mergeCell ref="A31:A32"/>
    <mergeCell ref="B31:B32"/>
    <mergeCell ref="C31:J31"/>
    <mergeCell ref="K31:K32"/>
    <mergeCell ref="L31:L32"/>
    <mergeCell ref="M31:M32"/>
    <mergeCell ref="N31:U31"/>
    <mergeCell ref="V31:V32"/>
    <mergeCell ref="C32:J32"/>
    <mergeCell ref="N32:U32"/>
    <mergeCell ref="A33:A34"/>
    <mergeCell ref="B33:B34"/>
    <mergeCell ref="C33:J33"/>
    <mergeCell ref="K33:K34"/>
    <mergeCell ref="L33:L34"/>
    <mergeCell ref="M33:M34"/>
    <mergeCell ref="N33:U33"/>
    <mergeCell ref="V33:V34"/>
    <mergeCell ref="C34:J34"/>
    <mergeCell ref="N34:U34"/>
    <mergeCell ref="V35:V36"/>
    <mergeCell ref="C36:J36"/>
    <mergeCell ref="N36:U36"/>
    <mergeCell ref="A37:A38"/>
    <mergeCell ref="B37:B38"/>
    <mergeCell ref="C37:J37"/>
    <mergeCell ref="L37:L38"/>
    <mergeCell ref="M37:M38"/>
    <mergeCell ref="V37:V38"/>
    <mergeCell ref="A35:A36"/>
    <mergeCell ref="B35:B36"/>
    <mergeCell ref="C35:J35"/>
    <mergeCell ref="K35:K36"/>
    <mergeCell ref="L35:L36"/>
    <mergeCell ref="M35:M36"/>
    <mergeCell ref="N35:U35"/>
    <mergeCell ref="C38:J38"/>
    <mergeCell ref="K37:K38"/>
    <mergeCell ref="N38:U38"/>
    <mergeCell ref="N37:U37"/>
    <mergeCell ref="C17:J17"/>
    <mergeCell ref="C18:J18"/>
    <mergeCell ref="C19:J19"/>
    <mergeCell ref="C20:J20"/>
    <mergeCell ref="C21:J21"/>
    <mergeCell ref="C22:J22"/>
    <mergeCell ref="C23:J23"/>
    <mergeCell ref="N15:U15"/>
    <mergeCell ref="N16:U16"/>
    <mergeCell ref="N17:U17"/>
    <mergeCell ref="N18:U18"/>
    <mergeCell ref="N19:U19"/>
    <mergeCell ref="N20:U20"/>
    <mergeCell ref="N21:U21"/>
    <mergeCell ref="N22:U22"/>
    <mergeCell ref="N23:U23"/>
  </mergeCells>
  <phoneticPr fontId="7"/>
  <conditionalFormatting sqref="M44">
    <cfRule type="cellIs" dxfId="1999" priority="81" stopIfTrue="1" operator="equal">
      <formula>"土"</formula>
    </cfRule>
    <cfRule type="cellIs" dxfId="1998" priority="82" stopIfTrue="1" operator="equal">
      <formula>"日"</formula>
    </cfRule>
  </conditionalFormatting>
  <conditionalFormatting sqref="M44">
    <cfRule type="cellIs" dxfId="1997" priority="95" stopIfTrue="1" operator="equal">
      <formula>"日"</formula>
    </cfRule>
    <cfRule type="cellIs" dxfId="1996" priority="96" stopIfTrue="1" operator="equal">
      <formula>"土"</formula>
    </cfRule>
  </conditionalFormatting>
  <conditionalFormatting sqref="M44">
    <cfRule type="cellIs" dxfId="1995" priority="93" stopIfTrue="1" operator="equal">
      <formula>"土"</formula>
    </cfRule>
    <cfRule type="cellIs" dxfId="1994" priority="94" stopIfTrue="1" operator="equal">
      <formula>"日"</formula>
    </cfRule>
  </conditionalFormatting>
  <conditionalFormatting sqref="M44">
    <cfRule type="cellIs" dxfId="1993" priority="89" stopIfTrue="1" operator="equal">
      <formula>"土"</formula>
    </cfRule>
    <cfRule type="cellIs" dxfId="1992" priority="90" stopIfTrue="1" operator="equal">
      <formula>"日"</formula>
    </cfRule>
  </conditionalFormatting>
  <conditionalFormatting sqref="M44">
    <cfRule type="cellIs" dxfId="1991" priority="91" stopIfTrue="1" operator="equal">
      <formula>"土"</formula>
    </cfRule>
    <cfRule type="cellIs" dxfId="1990" priority="92" stopIfTrue="1" operator="equal">
      <formula>"日"</formula>
    </cfRule>
  </conditionalFormatting>
  <conditionalFormatting sqref="M44">
    <cfRule type="cellIs" dxfId="1989" priority="87" stopIfTrue="1" operator="equal">
      <formula>"日"</formula>
    </cfRule>
    <cfRule type="cellIs" dxfId="1988" priority="88" stopIfTrue="1" operator="equal">
      <formula>"土"</formula>
    </cfRule>
  </conditionalFormatting>
  <conditionalFormatting sqref="M44">
    <cfRule type="cellIs" dxfId="1987" priority="85" stopIfTrue="1" operator="equal">
      <formula>"土"</formula>
    </cfRule>
    <cfRule type="cellIs" dxfId="1986" priority="86" stopIfTrue="1" operator="equal">
      <formula>"日"</formula>
    </cfRule>
  </conditionalFormatting>
  <conditionalFormatting sqref="M44">
    <cfRule type="cellIs" dxfId="1985" priority="83" stopIfTrue="1" operator="equal">
      <formula>"土"</formula>
    </cfRule>
    <cfRule type="cellIs" dxfId="1984" priority="84" stopIfTrue="1" operator="equal">
      <formula>"日"</formula>
    </cfRule>
  </conditionalFormatting>
  <conditionalFormatting sqref="M7">
    <cfRule type="cellIs" dxfId="1983" priority="1" stopIfTrue="1" operator="equal">
      <formula>"土"</formula>
    </cfRule>
    <cfRule type="cellIs" dxfId="1982" priority="2" stopIfTrue="1" operator="equal">
      <formula>"日"</formula>
    </cfRule>
  </conditionalFormatting>
  <conditionalFormatting sqref="M7">
    <cfRule type="cellIs" dxfId="1981" priority="15" stopIfTrue="1" operator="equal">
      <formula>"日"</formula>
    </cfRule>
    <cfRule type="cellIs" dxfId="1980" priority="16" stopIfTrue="1" operator="equal">
      <formula>"土"</formula>
    </cfRule>
  </conditionalFormatting>
  <conditionalFormatting sqref="M7">
    <cfRule type="cellIs" dxfId="1979" priority="13" stopIfTrue="1" operator="equal">
      <formula>"土"</formula>
    </cfRule>
    <cfRule type="cellIs" dxfId="1978" priority="14" stopIfTrue="1" operator="equal">
      <formula>"日"</formula>
    </cfRule>
  </conditionalFormatting>
  <conditionalFormatting sqref="M7">
    <cfRule type="cellIs" dxfId="1977" priority="9" stopIfTrue="1" operator="equal">
      <formula>"土"</formula>
    </cfRule>
    <cfRule type="cellIs" dxfId="1976" priority="10" stopIfTrue="1" operator="equal">
      <formula>"日"</formula>
    </cfRule>
  </conditionalFormatting>
  <conditionalFormatting sqref="M7">
    <cfRule type="cellIs" dxfId="1975" priority="11" stopIfTrue="1" operator="equal">
      <formula>"土"</formula>
    </cfRule>
    <cfRule type="cellIs" dxfId="1974" priority="12" stopIfTrue="1" operator="equal">
      <formula>"日"</formula>
    </cfRule>
  </conditionalFormatting>
  <conditionalFormatting sqref="M7">
    <cfRule type="cellIs" dxfId="1973" priority="7" stopIfTrue="1" operator="equal">
      <formula>"日"</formula>
    </cfRule>
    <cfRule type="cellIs" dxfId="1972" priority="8" stopIfTrue="1" operator="equal">
      <formula>"土"</formula>
    </cfRule>
  </conditionalFormatting>
  <conditionalFormatting sqref="M7">
    <cfRule type="cellIs" dxfId="1971" priority="5" stopIfTrue="1" operator="equal">
      <formula>"土"</formula>
    </cfRule>
    <cfRule type="cellIs" dxfId="1970" priority="6" stopIfTrue="1" operator="equal">
      <formula>"日"</formula>
    </cfRule>
  </conditionalFormatting>
  <conditionalFormatting sqref="M7">
    <cfRule type="cellIs" dxfId="1969" priority="3" stopIfTrue="1" operator="equal">
      <formula>"土"</formula>
    </cfRule>
    <cfRule type="cellIs" dxfId="1968" priority="4" stopIfTrue="1" operator="equal">
      <formula>"日"</formula>
    </cfRule>
  </conditionalFormatting>
  <dataValidations count="1">
    <dataValidation type="list" allowBlank="1" showInputMessage="1" showErrorMessage="1" sqref="M44 M46 M48 M50 M52 M54 M56 M58 M60 M62 M64 M66 M68 M70 B60 M72 B7 M37 B9 B11 B13 B15 B17 B19 B21 B23 B25 B27 B29 B31 B33 B62 B64 B66 B68 B70 B72 B48 B44 B46 B50 B52 B54 B56 B58 B35 M7 M9 M11 M13 M15 M17 M19 M21 M23 M25 M27 M29 M31 M33 M35" xr:uid="{00000000-0002-0000-0600-000000000000}">
      <formula1>"日,月,火,水,木,金,土"</formula1>
    </dataValidation>
  </dataValidations>
  <pageMargins left="0.70866141732283472" right="0.70866141732283472" top="0.74803149606299213" bottom="0.74803149606299213" header="0.31496062992125984" footer="0.31496062992125984"/>
  <pageSetup paperSize="9" scale="67" orientation="landscape"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pageSetUpPr fitToPage="1"/>
  </sheetPr>
  <dimension ref="A1:AB102"/>
  <sheetViews>
    <sheetView view="pageBreakPreview" topLeftCell="A4" zoomScale="85" zoomScaleNormal="85" zoomScaleSheetLayoutView="85" workbookViewId="0">
      <selection activeCell="E15" sqref="E15:J15"/>
    </sheetView>
  </sheetViews>
  <sheetFormatPr defaultColWidth="9" defaultRowHeight="13.2"/>
  <cols>
    <col min="1" max="16384" width="9" style="12"/>
  </cols>
  <sheetData>
    <row r="1" spans="1:28" ht="24" thickBot="1">
      <c r="A1" s="873" t="s">
        <v>24</v>
      </c>
      <c r="B1" s="874"/>
      <c r="C1" s="10"/>
      <c r="D1" s="10"/>
      <c r="E1" s="10"/>
      <c r="F1" s="10"/>
      <c r="G1" s="10"/>
      <c r="H1" s="10"/>
      <c r="I1" s="11"/>
      <c r="J1" s="10"/>
      <c r="K1" s="10"/>
      <c r="L1" s="10"/>
      <c r="M1" s="10"/>
      <c r="N1" s="10"/>
      <c r="O1" s="10"/>
      <c r="P1" s="10"/>
      <c r="Q1" s="10"/>
      <c r="R1" s="10"/>
      <c r="S1" s="10"/>
      <c r="T1" s="10"/>
      <c r="U1" s="10"/>
      <c r="V1" s="10"/>
      <c r="W1" s="10"/>
      <c r="X1" s="10"/>
      <c r="Y1" s="10"/>
      <c r="Z1" s="10"/>
      <c r="AA1" s="10"/>
      <c r="AB1" s="10"/>
    </row>
    <row r="2" spans="1:28" ht="17.25" customHeight="1" thickTop="1">
      <c r="A2" s="876"/>
      <c r="B2" s="877"/>
      <c r="I2" s="13"/>
    </row>
    <row r="3" spans="1:28" ht="17.25" customHeight="1">
      <c r="A3" s="876"/>
      <c r="B3" s="877"/>
      <c r="I3" s="13"/>
      <c r="L3" s="101"/>
    </row>
    <row r="4" spans="1:28" s="5" customFormat="1" ht="18" customHeight="1">
      <c r="A4" s="925" t="s">
        <v>42</v>
      </c>
      <c r="B4" s="926"/>
      <c r="C4" s="926"/>
      <c r="D4" s="927"/>
      <c r="E4" s="9"/>
    </row>
    <row r="5" spans="1:28" s="5" customFormat="1" ht="14.1" customHeight="1"/>
    <row r="6" spans="1:28" ht="15" customHeight="1">
      <c r="A6" s="6" t="s">
        <v>5</v>
      </c>
      <c r="B6" s="6" t="s">
        <v>6</v>
      </c>
      <c r="C6" s="928" t="s">
        <v>7</v>
      </c>
      <c r="D6" s="930"/>
      <c r="E6" s="928" t="s">
        <v>11</v>
      </c>
      <c r="F6" s="929"/>
      <c r="G6" s="929"/>
      <c r="H6" s="929"/>
      <c r="I6" s="929"/>
      <c r="J6" s="930"/>
      <c r="K6" s="928" t="s">
        <v>12</v>
      </c>
      <c r="L6" s="929"/>
      <c r="M6" s="930"/>
      <c r="N6" s="373" t="s">
        <v>13</v>
      </c>
      <c r="O6" s="355" t="s">
        <v>5</v>
      </c>
      <c r="P6" s="879" t="s">
        <v>6</v>
      </c>
      <c r="Q6" s="928" t="s">
        <v>7</v>
      </c>
      <c r="R6" s="930"/>
      <c r="S6" s="928" t="s">
        <v>11</v>
      </c>
      <c r="T6" s="929"/>
      <c r="U6" s="929"/>
      <c r="V6" s="929"/>
      <c r="W6" s="929"/>
      <c r="X6" s="930"/>
      <c r="Y6" s="928" t="s">
        <v>12</v>
      </c>
      <c r="Z6" s="929"/>
      <c r="AA6" s="930"/>
      <c r="AB6" s="6" t="s">
        <v>13</v>
      </c>
    </row>
    <row r="7" spans="1:28" ht="13.5" customHeight="1">
      <c r="A7" s="931">
        <v>45017</v>
      </c>
      <c r="B7" s="933" t="s">
        <v>32</v>
      </c>
      <c r="C7" s="968"/>
      <c r="D7" s="969"/>
      <c r="E7" s="1083"/>
      <c r="F7" s="1084"/>
      <c r="G7" s="1084"/>
      <c r="H7" s="1084"/>
      <c r="I7" s="1084"/>
      <c r="J7" s="1085"/>
      <c r="K7" s="1086"/>
      <c r="L7" s="1087"/>
      <c r="M7" s="1088"/>
      <c r="N7" s="384"/>
      <c r="O7" s="958">
        <v>45032</v>
      </c>
      <c r="P7" s="933" t="s">
        <v>10</v>
      </c>
      <c r="Q7" s="968"/>
      <c r="R7" s="969"/>
      <c r="S7" s="1083"/>
      <c r="T7" s="1084"/>
      <c r="U7" s="1084"/>
      <c r="V7" s="1084"/>
      <c r="W7" s="1084"/>
      <c r="X7" s="1085"/>
      <c r="Y7" s="921"/>
      <c r="Z7" s="922"/>
      <c r="AA7" s="923"/>
      <c r="AB7" s="354"/>
    </row>
    <row r="8" spans="1:28" ht="13.5" customHeight="1">
      <c r="A8" s="932"/>
      <c r="B8" s="918"/>
      <c r="C8" s="915"/>
      <c r="D8" s="916"/>
      <c r="E8" s="921"/>
      <c r="F8" s="922"/>
      <c r="G8" s="922"/>
      <c r="H8" s="922"/>
      <c r="I8" s="922"/>
      <c r="J8" s="923"/>
      <c r="K8" s="921"/>
      <c r="L8" s="922"/>
      <c r="M8" s="923"/>
      <c r="N8" s="384"/>
      <c r="O8" s="938"/>
      <c r="P8" s="918"/>
      <c r="Q8" s="915"/>
      <c r="R8" s="916"/>
      <c r="S8" s="921"/>
      <c r="T8" s="922"/>
      <c r="U8" s="922"/>
      <c r="V8" s="922"/>
      <c r="W8" s="922"/>
      <c r="X8" s="923"/>
      <c r="Y8" s="921"/>
      <c r="Z8" s="922"/>
      <c r="AA8" s="923"/>
      <c r="AB8" s="103"/>
    </row>
    <row r="9" spans="1:28" ht="13.5" customHeight="1">
      <c r="A9" s="914" t="s">
        <v>404</v>
      </c>
      <c r="B9" s="917" t="s">
        <v>10</v>
      </c>
      <c r="C9" s="915"/>
      <c r="D9" s="916"/>
      <c r="E9" s="921"/>
      <c r="F9" s="922"/>
      <c r="G9" s="922"/>
      <c r="H9" s="922"/>
      <c r="I9" s="922"/>
      <c r="J9" s="923"/>
      <c r="K9" s="921"/>
      <c r="L9" s="922"/>
      <c r="M9" s="923"/>
      <c r="N9" s="384"/>
      <c r="O9" s="938">
        <v>17</v>
      </c>
      <c r="P9" s="917" t="s">
        <v>27</v>
      </c>
      <c r="Q9" s="915"/>
      <c r="R9" s="916"/>
      <c r="S9" s="921"/>
      <c r="T9" s="922"/>
      <c r="U9" s="922"/>
      <c r="V9" s="922"/>
      <c r="W9" s="922"/>
      <c r="X9" s="923"/>
      <c r="Y9" s="921"/>
      <c r="Z9" s="922"/>
      <c r="AA9" s="923"/>
      <c r="AB9" s="356"/>
    </row>
    <row r="10" spans="1:28" ht="13.5" customHeight="1">
      <c r="A10" s="914"/>
      <c r="B10" s="918"/>
      <c r="C10" s="915"/>
      <c r="D10" s="916"/>
      <c r="E10" s="921"/>
      <c r="F10" s="922"/>
      <c r="G10" s="922"/>
      <c r="H10" s="922"/>
      <c r="I10" s="922"/>
      <c r="J10" s="923"/>
      <c r="K10" s="921"/>
      <c r="L10" s="922"/>
      <c r="M10" s="923"/>
      <c r="N10" s="384"/>
      <c r="O10" s="938"/>
      <c r="P10" s="918"/>
      <c r="Q10" s="915"/>
      <c r="R10" s="916"/>
      <c r="S10" s="921"/>
      <c r="T10" s="922"/>
      <c r="U10" s="922"/>
      <c r="V10" s="922"/>
      <c r="W10" s="922"/>
      <c r="X10" s="923"/>
      <c r="Y10" s="921"/>
      <c r="Z10" s="922"/>
      <c r="AA10" s="923"/>
      <c r="AB10" s="103"/>
    </row>
    <row r="11" spans="1:28" ht="13.5" customHeight="1">
      <c r="A11" s="914" t="s">
        <v>405</v>
      </c>
      <c r="B11" s="917" t="s">
        <v>27</v>
      </c>
      <c r="C11" s="915"/>
      <c r="D11" s="916"/>
      <c r="E11" s="921"/>
      <c r="F11" s="922"/>
      <c r="G11" s="922"/>
      <c r="H11" s="922"/>
      <c r="I11" s="922"/>
      <c r="J11" s="923"/>
      <c r="K11" s="921"/>
      <c r="L11" s="922"/>
      <c r="M11" s="923"/>
      <c r="N11" s="384"/>
      <c r="O11" s="938" t="s">
        <v>648</v>
      </c>
      <c r="P11" s="917" t="s">
        <v>28</v>
      </c>
      <c r="Q11" s="915"/>
      <c r="R11" s="916"/>
      <c r="S11" s="962"/>
      <c r="T11" s="963"/>
      <c r="U11" s="963"/>
      <c r="V11" s="963"/>
      <c r="W11" s="963"/>
      <c r="X11" s="964"/>
      <c r="Y11" s="921"/>
      <c r="Z11" s="922"/>
      <c r="AA11" s="923"/>
      <c r="AB11" s="356"/>
    </row>
    <row r="12" spans="1:28" ht="13.5" customHeight="1">
      <c r="A12" s="914"/>
      <c r="B12" s="918"/>
      <c r="C12" s="915"/>
      <c r="D12" s="916"/>
      <c r="E12" s="921"/>
      <c r="F12" s="922"/>
      <c r="G12" s="922"/>
      <c r="H12" s="922"/>
      <c r="I12" s="922"/>
      <c r="J12" s="923"/>
      <c r="K12" s="921"/>
      <c r="L12" s="922"/>
      <c r="M12" s="923"/>
      <c r="N12" s="384"/>
      <c r="O12" s="938"/>
      <c r="P12" s="918"/>
      <c r="Q12" s="915"/>
      <c r="R12" s="916"/>
      <c r="S12" s="921"/>
      <c r="T12" s="922"/>
      <c r="U12" s="922"/>
      <c r="V12" s="922"/>
      <c r="W12" s="922"/>
      <c r="X12" s="923"/>
      <c r="Y12" s="921"/>
      <c r="Z12" s="922"/>
      <c r="AA12" s="923"/>
      <c r="AB12" s="103"/>
    </row>
    <row r="13" spans="1:28" ht="13.5" customHeight="1">
      <c r="A13" s="914" t="s">
        <v>406</v>
      </c>
      <c r="B13" s="917" t="s">
        <v>28</v>
      </c>
      <c r="C13" s="915"/>
      <c r="D13" s="916"/>
      <c r="E13" s="921"/>
      <c r="F13" s="922"/>
      <c r="G13" s="922"/>
      <c r="H13" s="922"/>
      <c r="I13" s="922"/>
      <c r="J13" s="923"/>
      <c r="K13" s="921"/>
      <c r="L13" s="922"/>
      <c r="M13" s="923"/>
      <c r="N13" s="384"/>
      <c r="O13" s="938" t="s">
        <v>649</v>
      </c>
      <c r="P13" s="917" t="s">
        <v>29</v>
      </c>
      <c r="Q13" s="915"/>
      <c r="R13" s="916"/>
      <c r="S13" s="962"/>
      <c r="T13" s="963"/>
      <c r="U13" s="963"/>
      <c r="V13" s="963"/>
      <c r="W13" s="963"/>
      <c r="X13" s="964"/>
      <c r="Y13" s="921"/>
      <c r="Z13" s="922"/>
      <c r="AA13" s="923"/>
      <c r="AB13" s="356"/>
    </row>
    <row r="14" spans="1:28" ht="13.5" customHeight="1">
      <c r="A14" s="914"/>
      <c r="B14" s="918"/>
      <c r="C14" s="915"/>
      <c r="D14" s="916"/>
      <c r="E14" s="921"/>
      <c r="F14" s="922"/>
      <c r="G14" s="922"/>
      <c r="H14" s="922"/>
      <c r="I14" s="922"/>
      <c r="J14" s="923"/>
      <c r="K14" s="921"/>
      <c r="L14" s="922"/>
      <c r="M14" s="923"/>
      <c r="N14" s="384"/>
      <c r="O14" s="938"/>
      <c r="P14" s="918"/>
      <c r="Q14" s="915"/>
      <c r="R14" s="916"/>
      <c r="S14" s="921"/>
      <c r="T14" s="922"/>
      <c r="U14" s="922"/>
      <c r="V14" s="922"/>
      <c r="W14" s="922"/>
      <c r="X14" s="923"/>
      <c r="Y14" s="921"/>
      <c r="Z14" s="922"/>
      <c r="AA14" s="923"/>
      <c r="AB14" s="103"/>
    </row>
    <row r="15" spans="1:28" ht="13.5" customHeight="1">
      <c r="A15" s="914" t="s">
        <v>407</v>
      </c>
      <c r="B15" s="917" t="s">
        <v>29</v>
      </c>
      <c r="C15" s="915"/>
      <c r="D15" s="916"/>
      <c r="E15" s="921"/>
      <c r="F15" s="922"/>
      <c r="G15" s="922"/>
      <c r="H15" s="922"/>
      <c r="I15" s="922"/>
      <c r="J15" s="923"/>
      <c r="K15" s="921"/>
      <c r="L15" s="922"/>
      <c r="M15" s="923"/>
      <c r="N15" s="384"/>
      <c r="O15" s="938" t="s">
        <v>650</v>
      </c>
      <c r="P15" s="917" t="s">
        <v>30</v>
      </c>
      <c r="Q15" s="915"/>
      <c r="R15" s="916"/>
      <c r="S15" s="990"/>
      <c r="T15" s="922"/>
      <c r="U15" s="922"/>
      <c r="V15" s="922"/>
      <c r="W15" s="922"/>
      <c r="X15" s="923"/>
      <c r="Y15" s="921"/>
      <c r="Z15" s="922"/>
      <c r="AA15" s="923"/>
      <c r="AB15" s="883"/>
    </row>
    <row r="16" spans="1:28" ht="13.5" customHeight="1">
      <c r="A16" s="914"/>
      <c r="B16" s="918"/>
      <c r="C16" s="915"/>
      <c r="D16" s="916"/>
      <c r="E16" s="921"/>
      <c r="F16" s="922"/>
      <c r="G16" s="922"/>
      <c r="H16" s="922"/>
      <c r="I16" s="922"/>
      <c r="J16" s="923"/>
      <c r="K16" s="921"/>
      <c r="L16" s="922"/>
      <c r="M16" s="923"/>
      <c r="N16" s="384"/>
      <c r="O16" s="938"/>
      <c r="P16" s="918"/>
      <c r="Q16" s="915"/>
      <c r="R16" s="916"/>
      <c r="S16" s="921"/>
      <c r="T16" s="922"/>
      <c r="U16" s="922"/>
      <c r="V16" s="922"/>
      <c r="W16" s="922"/>
      <c r="X16" s="923"/>
      <c r="Y16" s="921"/>
      <c r="Z16" s="922"/>
      <c r="AA16" s="923"/>
      <c r="AB16" s="103"/>
    </row>
    <row r="17" spans="1:28" ht="13.5" customHeight="1">
      <c r="A17" s="914" t="s">
        <v>408</v>
      </c>
      <c r="B17" s="917" t="s">
        <v>30</v>
      </c>
      <c r="C17" s="915"/>
      <c r="D17" s="916"/>
      <c r="E17" s="921"/>
      <c r="F17" s="922"/>
      <c r="G17" s="922"/>
      <c r="H17" s="922"/>
      <c r="I17" s="922"/>
      <c r="J17" s="923"/>
      <c r="K17" s="962"/>
      <c r="L17" s="922"/>
      <c r="M17" s="923"/>
      <c r="N17" s="384"/>
      <c r="O17" s="938" t="s">
        <v>651</v>
      </c>
      <c r="P17" s="917" t="s">
        <v>31</v>
      </c>
      <c r="Q17" s="915"/>
      <c r="R17" s="916"/>
      <c r="S17" s="962"/>
      <c r="T17" s="963"/>
      <c r="U17" s="963"/>
      <c r="V17" s="963"/>
      <c r="W17" s="963"/>
      <c r="X17" s="964"/>
      <c r="Y17" s="921"/>
      <c r="Z17" s="922"/>
      <c r="AA17" s="923"/>
      <c r="AB17" s="356"/>
    </row>
    <row r="18" spans="1:28" ht="13.5" customHeight="1">
      <c r="A18" s="914"/>
      <c r="B18" s="918"/>
      <c r="C18" s="915"/>
      <c r="D18" s="916"/>
      <c r="E18" s="921"/>
      <c r="F18" s="922"/>
      <c r="G18" s="922"/>
      <c r="H18" s="922"/>
      <c r="I18" s="922"/>
      <c r="J18" s="923"/>
      <c r="K18" s="962"/>
      <c r="L18" s="922"/>
      <c r="M18" s="923"/>
      <c r="N18" s="384"/>
      <c r="O18" s="938"/>
      <c r="P18" s="918"/>
      <c r="Q18" s="915"/>
      <c r="R18" s="916"/>
      <c r="S18" s="921"/>
      <c r="T18" s="922"/>
      <c r="U18" s="922"/>
      <c r="V18" s="922"/>
      <c r="W18" s="922"/>
      <c r="X18" s="923"/>
      <c r="Y18" s="921"/>
      <c r="Z18" s="922"/>
      <c r="AA18" s="923"/>
      <c r="AB18" s="103"/>
    </row>
    <row r="19" spans="1:28" ht="13.5" customHeight="1">
      <c r="A19" s="914" t="s">
        <v>409</v>
      </c>
      <c r="B19" s="917" t="s">
        <v>31</v>
      </c>
      <c r="C19" s="915"/>
      <c r="D19" s="916"/>
      <c r="E19" s="921"/>
      <c r="F19" s="922"/>
      <c r="G19" s="922"/>
      <c r="H19" s="922"/>
      <c r="I19" s="922"/>
      <c r="J19" s="923"/>
      <c r="K19" s="921"/>
      <c r="L19" s="922"/>
      <c r="M19" s="923"/>
      <c r="N19" s="384"/>
      <c r="O19" s="938" t="s">
        <v>652</v>
      </c>
      <c r="P19" s="917" t="s">
        <v>32</v>
      </c>
      <c r="Q19" s="915" t="s">
        <v>729</v>
      </c>
      <c r="R19" s="916"/>
      <c r="S19" s="921" t="s">
        <v>728</v>
      </c>
      <c r="T19" s="922"/>
      <c r="U19" s="922"/>
      <c r="V19" s="922"/>
      <c r="W19" s="922"/>
      <c r="X19" s="923"/>
      <c r="Y19" s="921" t="s">
        <v>730</v>
      </c>
      <c r="Z19" s="922"/>
      <c r="AA19" s="923"/>
      <c r="AB19" s="356" t="s">
        <v>731</v>
      </c>
    </row>
    <row r="20" spans="1:28" ht="13.5" customHeight="1">
      <c r="A20" s="914"/>
      <c r="B20" s="918"/>
      <c r="C20" s="915"/>
      <c r="D20" s="916"/>
      <c r="E20" s="921"/>
      <c r="F20" s="922"/>
      <c r="G20" s="922"/>
      <c r="H20" s="922"/>
      <c r="I20" s="922"/>
      <c r="J20" s="923"/>
      <c r="K20" s="921"/>
      <c r="L20" s="922"/>
      <c r="M20" s="923"/>
      <c r="N20" s="384"/>
      <c r="O20" s="938"/>
      <c r="P20" s="918"/>
      <c r="Q20" s="915"/>
      <c r="R20" s="916"/>
      <c r="S20" s="921"/>
      <c r="T20" s="922"/>
      <c r="U20" s="922"/>
      <c r="V20" s="922"/>
      <c r="W20" s="922"/>
      <c r="X20" s="923"/>
      <c r="Y20" s="921"/>
      <c r="Z20" s="922"/>
      <c r="AA20" s="923"/>
      <c r="AB20" s="103"/>
    </row>
    <row r="21" spans="1:28" ht="13.5" customHeight="1">
      <c r="A21" s="914" t="s">
        <v>410</v>
      </c>
      <c r="B21" s="917" t="s">
        <v>32</v>
      </c>
      <c r="C21" s="915"/>
      <c r="D21" s="916"/>
      <c r="E21" s="921"/>
      <c r="F21" s="922"/>
      <c r="G21" s="922"/>
      <c r="H21" s="922"/>
      <c r="I21" s="922"/>
      <c r="J21" s="923"/>
      <c r="K21" s="921"/>
      <c r="L21" s="922"/>
      <c r="M21" s="923"/>
      <c r="N21" s="384"/>
      <c r="O21" s="938" t="s">
        <v>653</v>
      </c>
      <c r="P21" s="917" t="s">
        <v>10</v>
      </c>
      <c r="Q21" s="915"/>
      <c r="R21" s="916"/>
      <c r="S21" s="921"/>
      <c r="T21" s="922"/>
      <c r="U21" s="922"/>
      <c r="V21" s="922"/>
      <c r="W21" s="922"/>
      <c r="X21" s="923"/>
      <c r="Y21" s="921"/>
      <c r="Z21" s="922"/>
      <c r="AA21" s="923"/>
      <c r="AB21" s="103"/>
    </row>
    <row r="22" spans="1:28" ht="13.5" customHeight="1">
      <c r="A22" s="914"/>
      <c r="B22" s="918"/>
      <c r="C22" s="915"/>
      <c r="D22" s="916"/>
      <c r="E22" s="921"/>
      <c r="F22" s="922"/>
      <c r="G22" s="922"/>
      <c r="H22" s="922"/>
      <c r="I22" s="922"/>
      <c r="J22" s="923"/>
      <c r="K22" s="921"/>
      <c r="L22" s="922"/>
      <c r="M22" s="923"/>
      <c r="N22" s="384"/>
      <c r="O22" s="938"/>
      <c r="P22" s="918"/>
      <c r="Q22" s="915"/>
      <c r="R22" s="916"/>
      <c r="S22" s="921"/>
      <c r="T22" s="922"/>
      <c r="U22" s="922"/>
      <c r="V22" s="922"/>
      <c r="W22" s="922"/>
      <c r="X22" s="923"/>
      <c r="Y22" s="921"/>
      <c r="Z22" s="922"/>
      <c r="AA22" s="923"/>
      <c r="AB22" s="103"/>
    </row>
    <row r="23" spans="1:28" ht="13.5" customHeight="1">
      <c r="A23" s="912" t="s">
        <v>411</v>
      </c>
      <c r="B23" s="917" t="s">
        <v>10</v>
      </c>
      <c r="C23" s="1081"/>
      <c r="D23" s="1082"/>
      <c r="E23" s="1078"/>
      <c r="F23" s="1079"/>
      <c r="G23" s="1079"/>
      <c r="H23" s="1079"/>
      <c r="I23" s="1079"/>
      <c r="J23" s="1080"/>
      <c r="K23" s="921"/>
      <c r="L23" s="922"/>
      <c r="M23" s="923"/>
      <c r="N23" s="381"/>
      <c r="O23" s="938" t="s">
        <v>654</v>
      </c>
      <c r="P23" s="917" t="s">
        <v>27</v>
      </c>
      <c r="Q23" s="915"/>
      <c r="R23" s="916"/>
      <c r="S23" s="921"/>
      <c r="T23" s="922"/>
      <c r="U23" s="922"/>
      <c r="V23" s="922"/>
      <c r="W23" s="922"/>
      <c r="X23" s="923"/>
      <c r="Y23" s="921"/>
      <c r="Z23" s="922"/>
      <c r="AA23" s="923"/>
      <c r="AB23" s="356"/>
    </row>
    <row r="24" spans="1:28" ht="13.5" customHeight="1">
      <c r="A24" s="913"/>
      <c r="B24" s="918"/>
      <c r="C24" s="915"/>
      <c r="D24" s="916"/>
      <c r="E24" s="921"/>
      <c r="F24" s="922"/>
      <c r="G24" s="922"/>
      <c r="H24" s="922"/>
      <c r="I24" s="922"/>
      <c r="J24" s="923"/>
      <c r="K24" s="921"/>
      <c r="L24" s="922"/>
      <c r="M24" s="923"/>
      <c r="N24" s="384"/>
      <c r="O24" s="938"/>
      <c r="P24" s="918"/>
      <c r="Q24" s="915"/>
      <c r="R24" s="916"/>
      <c r="S24" s="921"/>
      <c r="T24" s="922"/>
      <c r="U24" s="922"/>
      <c r="V24" s="922"/>
      <c r="W24" s="922"/>
      <c r="X24" s="923"/>
      <c r="Y24" s="921"/>
      <c r="Z24" s="922"/>
      <c r="AA24" s="923"/>
      <c r="AB24" s="356"/>
    </row>
    <row r="25" spans="1:28" ht="13.5" customHeight="1">
      <c r="A25" s="914" t="s">
        <v>412</v>
      </c>
      <c r="B25" s="917" t="s">
        <v>27</v>
      </c>
      <c r="C25" s="915"/>
      <c r="D25" s="916"/>
      <c r="E25" s="921"/>
      <c r="F25" s="922"/>
      <c r="G25" s="922"/>
      <c r="H25" s="922"/>
      <c r="I25" s="922"/>
      <c r="J25" s="923"/>
      <c r="K25" s="921"/>
      <c r="L25" s="922"/>
      <c r="M25" s="923"/>
      <c r="N25" s="384"/>
      <c r="O25" s="938" t="s">
        <v>655</v>
      </c>
      <c r="P25" s="917" t="s">
        <v>28</v>
      </c>
      <c r="Q25" s="915"/>
      <c r="R25" s="916"/>
      <c r="S25" s="921"/>
      <c r="T25" s="922"/>
      <c r="U25" s="922"/>
      <c r="V25" s="922"/>
      <c r="W25" s="922"/>
      <c r="X25" s="923"/>
      <c r="Y25" s="921"/>
      <c r="Z25" s="922"/>
      <c r="AA25" s="923"/>
      <c r="AB25" s="103"/>
    </row>
    <row r="26" spans="1:28" ht="13.5" customHeight="1">
      <c r="A26" s="914"/>
      <c r="B26" s="918"/>
      <c r="C26" s="915"/>
      <c r="D26" s="916"/>
      <c r="E26" s="921"/>
      <c r="F26" s="922"/>
      <c r="G26" s="922"/>
      <c r="H26" s="922"/>
      <c r="I26" s="922"/>
      <c r="J26" s="923"/>
      <c r="K26" s="921"/>
      <c r="L26" s="922"/>
      <c r="M26" s="923"/>
      <c r="N26" s="384"/>
      <c r="O26" s="938"/>
      <c r="P26" s="918"/>
      <c r="Q26" s="915"/>
      <c r="R26" s="916"/>
      <c r="S26" s="921"/>
      <c r="T26" s="922"/>
      <c r="U26" s="922"/>
      <c r="V26" s="922"/>
      <c r="W26" s="922"/>
      <c r="X26" s="923"/>
      <c r="Y26" s="921"/>
      <c r="Z26" s="922"/>
      <c r="AA26" s="923"/>
      <c r="AB26" s="103"/>
    </row>
    <row r="27" spans="1:28" ht="13.5" customHeight="1">
      <c r="A27" s="914" t="s">
        <v>413</v>
      </c>
      <c r="B27" s="917" t="s">
        <v>28</v>
      </c>
      <c r="C27" s="915"/>
      <c r="D27" s="916"/>
      <c r="E27" s="921"/>
      <c r="F27" s="922"/>
      <c r="G27" s="922"/>
      <c r="H27" s="922"/>
      <c r="I27" s="922"/>
      <c r="J27" s="923"/>
      <c r="K27" s="921"/>
      <c r="L27" s="922"/>
      <c r="M27" s="923"/>
      <c r="N27" s="375"/>
      <c r="O27" s="938" t="s">
        <v>656</v>
      </c>
      <c r="P27" s="917" t="s">
        <v>29</v>
      </c>
      <c r="Q27" s="915"/>
      <c r="R27" s="916"/>
      <c r="S27" s="962"/>
      <c r="T27" s="963"/>
      <c r="U27" s="963"/>
      <c r="V27" s="963"/>
      <c r="W27" s="963"/>
      <c r="X27" s="964"/>
      <c r="Y27" s="921"/>
      <c r="Z27" s="922"/>
      <c r="AA27" s="923"/>
      <c r="AB27" s="103"/>
    </row>
    <row r="28" spans="1:28" ht="13.5" customHeight="1">
      <c r="A28" s="914"/>
      <c r="B28" s="918"/>
      <c r="C28" s="915"/>
      <c r="D28" s="916"/>
      <c r="E28" s="921"/>
      <c r="F28" s="922"/>
      <c r="G28" s="922"/>
      <c r="H28" s="922"/>
      <c r="I28" s="922"/>
      <c r="J28" s="923"/>
      <c r="K28" s="921"/>
      <c r="L28" s="922"/>
      <c r="M28" s="923"/>
      <c r="N28" s="384"/>
      <c r="O28" s="938"/>
      <c r="P28" s="918"/>
      <c r="Q28" s="915"/>
      <c r="R28" s="916"/>
      <c r="S28" s="921"/>
      <c r="T28" s="922"/>
      <c r="U28" s="922"/>
      <c r="V28" s="922"/>
      <c r="W28" s="922"/>
      <c r="X28" s="923"/>
      <c r="Y28" s="921"/>
      <c r="Z28" s="922"/>
      <c r="AA28" s="923"/>
      <c r="AB28" s="103"/>
    </row>
    <row r="29" spans="1:28" ht="13.5" customHeight="1">
      <c r="A29" s="914" t="s">
        <v>414</v>
      </c>
      <c r="B29" s="917" t="s">
        <v>29</v>
      </c>
      <c r="C29" s="915"/>
      <c r="D29" s="916"/>
      <c r="E29" s="921"/>
      <c r="F29" s="922"/>
      <c r="G29" s="922"/>
      <c r="H29" s="922"/>
      <c r="I29" s="922"/>
      <c r="J29" s="923"/>
      <c r="K29" s="921"/>
      <c r="L29" s="922"/>
      <c r="M29" s="923"/>
      <c r="N29" s="384"/>
      <c r="O29" s="938" t="s">
        <v>657</v>
      </c>
      <c r="P29" s="917" t="s">
        <v>30</v>
      </c>
      <c r="Q29" s="915"/>
      <c r="R29" s="916"/>
      <c r="S29" s="962"/>
      <c r="T29" s="922"/>
      <c r="U29" s="922"/>
      <c r="V29" s="922"/>
      <c r="W29" s="922"/>
      <c r="X29" s="923"/>
      <c r="Y29" s="921"/>
      <c r="Z29" s="922"/>
      <c r="AA29" s="923"/>
      <c r="AB29" s="356"/>
    </row>
    <row r="30" spans="1:28" ht="13.5" customHeight="1">
      <c r="A30" s="914"/>
      <c r="B30" s="918"/>
      <c r="C30" s="915"/>
      <c r="D30" s="916"/>
      <c r="E30" s="921"/>
      <c r="F30" s="922"/>
      <c r="G30" s="922"/>
      <c r="H30" s="922"/>
      <c r="I30" s="922"/>
      <c r="J30" s="923"/>
      <c r="K30" s="921"/>
      <c r="L30" s="922"/>
      <c r="M30" s="923"/>
      <c r="N30" s="384"/>
      <c r="O30" s="938"/>
      <c r="P30" s="918"/>
      <c r="Q30" s="915"/>
      <c r="R30" s="916"/>
      <c r="S30" s="921"/>
      <c r="T30" s="922"/>
      <c r="U30" s="922"/>
      <c r="V30" s="922"/>
      <c r="W30" s="922"/>
      <c r="X30" s="923"/>
      <c r="Y30" s="921"/>
      <c r="Z30" s="922"/>
      <c r="AA30" s="923"/>
      <c r="AB30" s="103"/>
    </row>
    <row r="31" spans="1:28" ht="13.5" customHeight="1">
      <c r="A31" s="914" t="s">
        <v>415</v>
      </c>
      <c r="B31" s="917" t="s">
        <v>30</v>
      </c>
      <c r="C31" s="915"/>
      <c r="D31" s="916"/>
      <c r="E31" s="962"/>
      <c r="F31" s="963"/>
      <c r="G31" s="963"/>
      <c r="H31" s="963"/>
      <c r="I31" s="963"/>
      <c r="J31" s="964"/>
      <c r="K31" s="921"/>
      <c r="L31" s="922"/>
      <c r="M31" s="923"/>
      <c r="N31" s="384"/>
      <c r="O31" s="938" t="s">
        <v>658</v>
      </c>
      <c r="P31" s="917" t="s">
        <v>31</v>
      </c>
      <c r="Q31" s="915"/>
      <c r="R31" s="916"/>
      <c r="S31" s="921"/>
      <c r="T31" s="922"/>
      <c r="U31" s="922"/>
      <c r="V31" s="922"/>
      <c r="W31" s="922"/>
      <c r="X31" s="923"/>
      <c r="Y31" s="921"/>
      <c r="Z31" s="922"/>
      <c r="AA31" s="923"/>
      <c r="AB31" s="356"/>
    </row>
    <row r="32" spans="1:28" ht="13.5" customHeight="1">
      <c r="A32" s="914"/>
      <c r="B32" s="918"/>
      <c r="C32" s="915"/>
      <c r="D32" s="916"/>
      <c r="E32" s="921"/>
      <c r="F32" s="922"/>
      <c r="G32" s="922"/>
      <c r="H32" s="922"/>
      <c r="I32" s="922"/>
      <c r="J32" s="923"/>
      <c r="K32" s="921"/>
      <c r="L32" s="922"/>
      <c r="M32" s="923"/>
      <c r="N32" s="384"/>
      <c r="O32" s="938"/>
      <c r="P32" s="918"/>
      <c r="Q32" s="915"/>
      <c r="R32" s="916"/>
      <c r="S32" s="921"/>
      <c r="T32" s="922"/>
      <c r="U32" s="922"/>
      <c r="V32" s="922"/>
      <c r="W32" s="922"/>
      <c r="X32" s="923"/>
      <c r="Y32" s="921"/>
      <c r="Z32" s="922"/>
      <c r="AA32" s="923"/>
      <c r="AB32" s="356"/>
    </row>
    <row r="33" spans="1:28" ht="13.5" customHeight="1">
      <c r="A33" s="914" t="s">
        <v>416</v>
      </c>
      <c r="B33" s="917" t="s">
        <v>31</v>
      </c>
      <c r="C33" s="915"/>
      <c r="D33" s="916"/>
      <c r="E33" s="921"/>
      <c r="F33" s="922"/>
      <c r="G33" s="922"/>
      <c r="H33" s="922"/>
      <c r="I33" s="922"/>
      <c r="J33" s="923"/>
      <c r="K33" s="921"/>
      <c r="L33" s="922"/>
      <c r="M33" s="923"/>
      <c r="N33" s="384"/>
      <c r="O33" s="938">
        <v>29</v>
      </c>
      <c r="P33" s="917" t="s">
        <v>32</v>
      </c>
      <c r="Q33" s="915"/>
      <c r="R33" s="916"/>
      <c r="S33" s="921"/>
      <c r="T33" s="922"/>
      <c r="U33" s="922"/>
      <c r="V33" s="922"/>
      <c r="W33" s="922"/>
      <c r="X33" s="923"/>
      <c r="Y33" s="921"/>
      <c r="Z33" s="922"/>
      <c r="AA33" s="923"/>
      <c r="AB33" s="103"/>
    </row>
    <row r="34" spans="1:28" ht="13.5" customHeight="1">
      <c r="A34" s="914"/>
      <c r="B34" s="918"/>
      <c r="C34" s="915"/>
      <c r="D34" s="916"/>
      <c r="E34" s="921"/>
      <c r="F34" s="922"/>
      <c r="G34" s="922"/>
      <c r="H34" s="922"/>
      <c r="I34" s="922"/>
      <c r="J34" s="923"/>
      <c r="K34" s="921"/>
      <c r="L34" s="922"/>
      <c r="M34" s="923"/>
      <c r="N34" s="384"/>
      <c r="O34" s="938"/>
      <c r="P34" s="918"/>
      <c r="Q34" s="915"/>
      <c r="R34" s="916"/>
      <c r="S34" s="921"/>
      <c r="T34" s="922"/>
      <c r="U34" s="922"/>
      <c r="V34" s="922"/>
      <c r="W34" s="922"/>
      <c r="X34" s="923"/>
      <c r="Y34" s="921"/>
      <c r="Z34" s="922"/>
      <c r="AA34" s="923"/>
      <c r="AB34" s="103"/>
    </row>
    <row r="35" spans="1:28" ht="13.5" customHeight="1">
      <c r="A35" s="914" t="s">
        <v>417</v>
      </c>
      <c r="B35" s="917" t="s">
        <v>32</v>
      </c>
      <c r="C35" s="915"/>
      <c r="D35" s="916"/>
      <c r="E35" s="921"/>
      <c r="F35" s="922"/>
      <c r="G35" s="922"/>
      <c r="H35" s="922"/>
      <c r="I35" s="922"/>
      <c r="J35" s="923"/>
      <c r="K35" s="921"/>
      <c r="L35" s="922"/>
      <c r="M35" s="923"/>
      <c r="N35" s="384"/>
      <c r="O35" s="938">
        <v>30</v>
      </c>
      <c r="P35" s="917" t="s">
        <v>10</v>
      </c>
      <c r="Q35" s="915"/>
      <c r="R35" s="916"/>
      <c r="S35" s="990"/>
      <c r="T35" s="991"/>
      <c r="U35" s="991"/>
      <c r="V35" s="991"/>
      <c r="W35" s="991"/>
      <c r="X35" s="992"/>
      <c r="Y35" s="921"/>
      <c r="Z35" s="922"/>
      <c r="AA35" s="923"/>
      <c r="AB35" s="103"/>
    </row>
    <row r="36" spans="1:28" ht="13.5" customHeight="1">
      <c r="A36" s="914"/>
      <c r="B36" s="918"/>
      <c r="C36" s="915"/>
      <c r="D36" s="916"/>
      <c r="E36" s="921"/>
      <c r="F36" s="922"/>
      <c r="G36" s="922"/>
      <c r="H36" s="922"/>
      <c r="I36" s="922"/>
      <c r="J36" s="923"/>
      <c r="K36" s="921"/>
      <c r="L36" s="922"/>
      <c r="M36" s="923"/>
      <c r="N36" s="871"/>
      <c r="O36" s="938"/>
      <c r="P36" s="918"/>
      <c r="Q36" s="915"/>
      <c r="R36" s="916"/>
      <c r="S36" s="921"/>
      <c r="T36" s="922"/>
      <c r="U36" s="922"/>
      <c r="V36" s="922"/>
      <c r="W36" s="922"/>
      <c r="X36" s="923"/>
      <c r="Y36" s="921"/>
      <c r="Z36" s="922"/>
      <c r="AA36" s="923"/>
      <c r="AB36" s="103"/>
    </row>
    <row r="37" spans="1:28" ht="13.5" customHeight="1">
      <c r="A37" s="981"/>
      <c r="B37" s="983"/>
      <c r="C37" s="915"/>
      <c r="D37" s="916"/>
      <c r="E37" s="921"/>
      <c r="F37" s="922"/>
      <c r="G37" s="922"/>
      <c r="H37" s="922"/>
      <c r="I37" s="922"/>
      <c r="J37" s="923"/>
      <c r="K37" s="921"/>
      <c r="L37" s="922"/>
      <c r="M37" s="923"/>
      <c r="N37" s="377"/>
      <c r="O37" s="938"/>
      <c r="P37" s="917"/>
      <c r="Q37" s="915"/>
      <c r="R37" s="916"/>
      <c r="S37" s="921"/>
      <c r="T37" s="922"/>
      <c r="U37" s="922"/>
      <c r="V37" s="922"/>
      <c r="W37" s="922"/>
      <c r="X37" s="923"/>
      <c r="Y37" s="921"/>
      <c r="Z37" s="922"/>
      <c r="AA37" s="923"/>
      <c r="AB37" s="356"/>
    </row>
    <row r="38" spans="1:28" ht="13.5" customHeight="1">
      <c r="A38" s="1074"/>
      <c r="B38" s="1037"/>
      <c r="C38" s="955"/>
      <c r="D38" s="956"/>
      <c r="E38" s="986"/>
      <c r="F38" s="987"/>
      <c r="G38" s="987"/>
      <c r="H38" s="987"/>
      <c r="I38" s="987"/>
      <c r="J38" s="988"/>
      <c r="K38" s="986"/>
      <c r="L38" s="987"/>
      <c r="M38" s="988"/>
      <c r="N38" s="378"/>
      <c r="O38" s="954"/>
      <c r="P38" s="952"/>
      <c r="Q38" s="955"/>
      <c r="R38" s="956"/>
      <c r="S38" s="986"/>
      <c r="T38" s="987"/>
      <c r="U38" s="987"/>
      <c r="V38" s="987"/>
      <c r="W38" s="987"/>
      <c r="X38" s="988"/>
      <c r="Y38" s="986"/>
      <c r="Z38" s="987"/>
      <c r="AA38" s="988"/>
      <c r="AB38" s="336"/>
    </row>
    <row r="39" spans="1:28">
      <c r="A39" s="337"/>
      <c r="B39" s="337"/>
      <c r="C39" s="338"/>
      <c r="D39" s="338"/>
      <c r="E39" s="338"/>
      <c r="F39" s="338"/>
      <c r="G39" s="338"/>
      <c r="H39" s="338"/>
      <c r="I39" s="338"/>
      <c r="J39" s="338"/>
      <c r="K39" s="338"/>
      <c r="L39" s="338"/>
      <c r="M39" s="338"/>
      <c r="N39" s="41"/>
    </row>
    <row r="40" spans="1:28">
      <c r="A40" s="337"/>
      <c r="B40" s="337"/>
      <c r="C40" s="338"/>
      <c r="D40" s="338"/>
      <c r="E40" s="338"/>
      <c r="F40" s="338"/>
      <c r="G40" s="338"/>
      <c r="H40" s="338"/>
      <c r="I40" s="338"/>
      <c r="J40" s="338"/>
      <c r="K40" s="338"/>
      <c r="L40" s="338"/>
      <c r="M40" s="338"/>
      <c r="N40" s="41"/>
    </row>
    <row r="41" spans="1:28" ht="18" customHeight="1">
      <c r="A41" s="1075" t="s">
        <v>43</v>
      </c>
      <c r="B41" s="1076"/>
      <c r="C41" s="1076"/>
      <c r="D41" s="1077"/>
      <c r="E41" s="338"/>
      <c r="F41" s="338"/>
      <c r="G41" s="338"/>
      <c r="H41" s="338"/>
      <c r="I41" s="338"/>
      <c r="J41" s="338"/>
      <c r="K41" s="338"/>
      <c r="L41" s="338"/>
      <c r="M41" s="338"/>
      <c r="N41" s="41"/>
    </row>
    <row r="43" spans="1:28">
      <c r="A43" s="1071" t="s">
        <v>699</v>
      </c>
      <c r="B43" s="1072"/>
      <c r="C43" s="1072"/>
      <c r="D43" s="1072"/>
      <c r="E43" s="1072"/>
      <c r="F43" s="1072"/>
      <c r="G43" s="1072"/>
      <c r="H43" s="1072"/>
      <c r="I43" s="1072"/>
      <c r="J43" s="1072"/>
      <c r="K43" s="1072"/>
      <c r="L43" s="1072"/>
      <c r="M43" s="1072"/>
      <c r="N43" s="1072"/>
      <c r="O43" s="1072"/>
      <c r="P43" s="1072"/>
      <c r="Q43" s="1072"/>
      <c r="R43" s="1072"/>
      <c r="S43" s="1072"/>
      <c r="T43" s="1072"/>
      <c r="U43" s="1072"/>
      <c r="V43" s="1072"/>
      <c r="W43" s="1072"/>
      <c r="X43" s="1072"/>
      <c r="Y43" s="1072"/>
      <c r="Z43" s="1072"/>
      <c r="AA43" s="1072"/>
      <c r="AB43" s="1073"/>
    </row>
    <row r="44" spans="1:28">
      <c r="A44" s="1102"/>
      <c r="B44" s="1103"/>
      <c r="C44" s="1103"/>
      <c r="D44" s="1103"/>
      <c r="E44" s="1103"/>
      <c r="F44" s="1103"/>
      <c r="G44" s="1103"/>
      <c r="H44" s="1103"/>
      <c r="I44" s="1103"/>
      <c r="J44" s="1103"/>
      <c r="K44" s="1103"/>
      <c r="L44" s="1103"/>
      <c r="M44" s="1103"/>
      <c r="N44" s="1103"/>
      <c r="O44" s="1103"/>
      <c r="P44" s="1103"/>
      <c r="Q44" s="1103"/>
      <c r="R44" s="1103"/>
      <c r="S44" s="1103"/>
      <c r="T44" s="1103"/>
      <c r="U44" s="1103"/>
      <c r="V44" s="1103"/>
      <c r="W44" s="1103"/>
      <c r="X44" s="1103"/>
      <c r="Y44" s="1103"/>
      <c r="Z44" s="1103"/>
      <c r="AA44" s="1103"/>
      <c r="AB44" s="1104"/>
    </row>
    <row r="45" spans="1:28">
      <c r="A45" s="943"/>
      <c r="B45" s="944"/>
      <c r="C45" s="944"/>
      <c r="D45" s="944"/>
      <c r="E45" s="944"/>
      <c r="F45" s="944"/>
      <c r="G45" s="944"/>
      <c r="H45" s="944"/>
      <c r="I45" s="944"/>
      <c r="J45" s="944"/>
      <c r="K45" s="944"/>
      <c r="L45" s="944"/>
      <c r="M45" s="944"/>
      <c r="N45" s="944"/>
      <c r="O45" s="944"/>
      <c r="P45" s="944"/>
      <c r="Q45" s="944"/>
      <c r="R45" s="944"/>
      <c r="S45" s="944"/>
      <c r="T45" s="944"/>
      <c r="U45" s="944"/>
      <c r="V45" s="944"/>
      <c r="W45" s="944"/>
      <c r="X45" s="944"/>
      <c r="Y45" s="944"/>
      <c r="Z45" s="944"/>
      <c r="AA45" s="944"/>
      <c r="AB45" s="945"/>
    </row>
    <row r="46" spans="1:28">
      <c r="A46" s="943"/>
      <c r="B46" s="944"/>
      <c r="C46" s="944"/>
      <c r="D46" s="944"/>
      <c r="E46" s="944"/>
      <c r="F46" s="944"/>
      <c r="G46" s="944"/>
      <c r="H46" s="944"/>
      <c r="I46" s="944"/>
      <c r="J46" s="944"/>
      <c r="K46" s="944"/>
      <c r="L46" s="944"/>
      <c r="M46" s="944"/>
      <c r="N46" s="944"/>
      <c r="O46" s="944"/>
      <c r="P46" s="944"/>
      <c r="Q46" s="944"/>
      <c r="R46" s="944"/>
      <c r="S46" s="944"/>
      <c r="T46" s="944"/>
      <c r="U46" s="944"/>
      <c r="V46" s="944"/>
      <c r="W46" s="944"/>
      <c r="X46" s="944"/>
      <c r="Y46" s="944"/>
      <c r="Z46" s="944"/>
      <c r="AA46" s="944"/>
      <c r="AB46" s="945"/>
    </row>
    <row r="47" spans="1:28">
      <c r="A47" s="943"/>
      <c r="B47" s="944"/>
      <c r="C47" s="944"/>
      <c r="D47" s="944"/>
      <c r="E47" s="944"/>
      <c r="F47" s="944"/>
      <c r="G47" s="944"/>
      <c r="H47" s="944"/>
      <c r="I47" s="944"/>
      <c r="J47" s="944"/>
      <c r="K47" s="944"/>
      <c r="L47" s="944"/>
      <c r="M47" s="944"/>
      <c r="N47" s="944"/>
      <c r="O47" s="944"/>
      <c r="P47" s="944"/>
      <c r="Q47" s="944"/>
      <c r="R47" s="944"/>
      <c r="S47" s="944"/>
      <c r="T47" s="944"/>
      <c r="U47" s="944"/>
      <c r="V47" s="944"/>
      <c r="W47" s="944"/>
      <c r="X47" s="944"/>
      <c r="Y47" s="944"/>
      <c r="Z47" s="944"/>
      <c r="AA47" s="944"/>
      <c r="AB47" s="945"/>
    </row>
    <row r="48" spans="1:28">
      <c r="A48" s="943"/>
      <c r="B48" s="944"/>
      <c r="C48" s="944"/>
      <c r="D48" s="944"/>
      <c r="E48" s="944"/>
      <c r="F48" s="944"/>
      <c r="G48" s="944"/>
      <c r="H48" s="944"/>
      <c r="I48" s="944"/>
      <c r="J48" s="944"/>
      <c r="K48" s="944"/>
      <c r="L48" s="944"/>
      <c r="M48" s="944"/>
      <c r="N48" s="944"/>
      <c r="O48" s="944"/>
      <c r="P48" s="944"/>
      <c r="Q48" s="944"/>
      <c r="R48" s="944"/>
      <c r="S48" s="944"/>
      <c r="T48" s="944"/>
      <c r="U48" s="944"/>
      <c r="V48" s="944"/>
      <c r="W48" s="944"/>
      <c r="X48" s="944"/>
      <c r="Y48" s="944"/>
      <c r="Z48" s="944"/>
      <c r="AA48" s="944"/>
      <c r="AB48" s="945"/>
    </row>
    <row r="49" spans="1:28">
      <c r="A49" s="943"/>
      <c r="B49" s="944"/>
      <c r="C49" s="944"/>
      <c r="D49" s="944"/>
      <c r="E49" s="944"/>
      <c r="F49" s="944"/>
      <c r="G49" s="944"/>
      <c r="H49" s="944"/>
      <c r="I49" s="944"/>
      <c r="J49" s="944"/>
      <c r="K49" s="944"/>
      <c r="L49" s="944"/>
      <c r="M49" s="944"/>
      <c r="N49" s="944"/>
      <c r="O49" s="944"/>
      <c r="P49" s="944"/>
      <c r="Q49" s="944"/>
      <c r="R49" s="944"/>
      <c r="S49" s="944"/>
      <c r="T49" s="944"/>
      <c r="U49" s="944"/>
      <c r="V49" s="944"/>
      <c r="W49" s="944"/>
      <c r="X49" s="944"/>
      <c r="Y49" s="944"/>
      <c r="Z49" s="944"/>
      <c r="AA49" s="944"/>
      <c r="AB49" s="945"/>
    </row>
    <row r="50" spans="1:28">
      <c r="A50" s="14"/>
      <c r="B50" s="1094"/>
      <c r="C50" s="1094"/>
      <c r="D50" s="1094"/>
      <c r="E50" s="1094"/>
      <c r="F50" s="1094"/>
      <c r="G50" s="1094"/>
      <c r="H50" s="1094"/>
      <c r="I50" s="339"/>
      <c r="J50" s="944"/>
      <c r="K50" s="944"/>
      <c r="L50" s="944"/>
      <c r="M50" s="944"/>
      <c r="N50" s="944"/>
      <c r="O50" s="944"/>
      <c r="P50" s="944"/>
      <c r="Q50" s="340"/>
      <c r="R50" s="340"/>
      <c r="S50" s="340"/>
      <c r="T50" s="340"/>
      <c r="U50" s="340"/>
      <c r="V50" s="340"/>
      <c r="W50" s="340"/>
      <c r="X50" s="340"/>
      <c r="Y50" s="340"/>
      <c r="Z50" s="340"/>
      <c r="AA50" s="341"/>
      <c r="AB50" s="342"/>
    </row>
    <row r="51" spans="1:28">
      <c r="A51" s="14"/>
      <c r="B51" s="944"/>
      <c r="C51" s="944"/>
      <c r="D51" s="944"/>
      <c r="E51" s="944"/>
      <c r="F51" s="944"/>
      <c r="G51" s="944"/>
      <c r="H51" s="944"/>
      <c r="I51" s="15"/>
      <c r="J51" s="944"/>
      <c r="K51" s="944"/>
      <c r="L51" s="944"/>
      <c r="M51" s="944"/>
      <c r="N51" s="944"/>
      <c r="O51" s="944"/>
      <c r="P51" s="944"/>
      <c r="Q51" s="341"/>
      <c r="R51" s="341"/>
      <c r="S51" s="341"/>
      <c r="T51" s="341"/>
      <c r="U51" s="341"/>
      <c r="V51" s="341"/>
      <c r="W51" s="341"/>
      <c r="X51" s="341"/>
      <c r="Y51" s="341"/>
      <c r="Z51" s="341"/>
      <c r="AA51" s="341"/>
      <c r="AB51" s="342"/>
    </row>
    <row r="52" spans="1:28">
      <c r="A52" s="14"/>
      <c r="B52" s="15"/>
      <c r="C52" s="944"/>
      <c r="D52" s="944"/>
      <c r="E52" s="944"/>
      <c r="F52" s="944"/>
      <c r="G52" s="944"/>
      <c r="H52" s="944"/>
      <c r="I52" s="15"/>
      <c r="J52" s="944"/>
      <c r="K52" s="944"/>
      <c r="L52" s="944"/>
      <c r="M52" s="944"/>
      <c r="N52" s="944"/>
      <c r="O52" s="944"/>
      <c r="P52" s="944"/>
      <c r="Q52" s="341"/>
      <c r="R52" s="341"/>
      <c r="S52" s="341"/>
      <c r="T52" s="341"/>
      <c r="U52" s="341"/>
      <c r="V52" s="341"/>
      <c r="W52" s="341"/>
      <c r="X52" s="341"/>
      <c r="Y52" s="341"/>
      <c r="Z52" s="341"/>
      <c r="AA52" s="341"/>
      <c r="AB52" s="342"/>
    </row>
    <row r="53" spans="1:28">
      <c r="A53" s="16"/>
      <c r="B53" s="17"/>
      <c r="C53" s="1100"/>
      <c r="D53" s="1100"/>
      <c r="E53" s="1100"/>
      <c r="F53" s="1100"/>
      <c r="G53" s="1100"/>
      <c r="H53" s="1100"/>
      <c r="I53" s="17"/>
      <c r="J53" s="1100"/>
      <c r="K53" s="1100"/>
      <c r="L53" s="1100"/>
      <c r="M53" s="1100"/>
      <c r="N53" s="1100"/>
      <c r="O53" s="1100"/>
      <c r="P53" s="1100"/>
      <c r="Q53" s="343"/>
      <c r="R53" s="343"/>
      <c r="S53" s="343"/>
      <c r="T53" s="343"/>
      <c r="U53" s="343"/>
      <c r="V53" s="343"/>
      <c r="W53" s="343"/>
      <c r="X53" s="343"/>
      <c r="Y53" s="343"/>
      <c r="Z53" s="343"/>
      <c r="AA53" s="343"/>
      <c r="AB53" s="344"/>
    </row>
    <row r="54" spans="1:28">
      <c r="A54" s="345"/>
      <c r="B54" s="41"/>
      <c r="C54" s="41"/>
      <c r="D54" s="41"/>
      <c r="E54" s="41"/>
      <c r="F54" s="41"/>
      <c r="G54" s="41"/>
      <c r="H54" s="41"/>
      <c r="I54" s="41"/>
      <c r="J54" s="41"/>
      <c r="K54" s="41"/>
      <c r="L54" s="41"/>
      <c r="M54" s="41"/>
      <c r="N54" s="41"/>
      <c r="O54" s="346"/>
      <c r="P54" s="346"/>
      <c r="Q54" s="346"/>
      <c r="R54" s="346"/>
      <c r="S54" s="346"/>
      <c r="T54" s="346"/>
      <c r="U54" s="346"/>
      <c r="V54" s="346"/>
      <c r="W54" s="346"/>
      <c r="X54" s="346"/>
      <c r="Y54" s="346"/>
      <c r="Z54" s="346"/>
      <c r="AA54" s="346"/>
      <c r="AB54" s="346"/>
    </row>
    <row r="55" spans="1:28" s="348" customFormat="1" ht="19.2">
      <c r="A55" s="1092" t="s">
        <v>17</v>
      </c>
      <c r="B55" s="1093"/>
      <c r="C55" s="347"/>
    </row>
    <row r="56" spans="1:28" s="348" customFormat="1" ht="13.5" customHeight="1">
      <c r="A56" s="112"/>
      <c r="B56" s="113"/>
      <c r="C56" s="347"/>
    </row>
    <row r="57" spans="1:28" s="348" customFormat="1">
      <c r="A57" s="1095" t="s">
        <v>750</v>
      </c>
      <c r="B57" s="1096"/>
      <c r="C57" s="1096"/>
      <c r="D57" s="1096"/>
      <c r="E57" s="1096"/>
      <c r="F57" s="1096"/>
      <c r="G57" s="1096"/>
      <c r="H57" s="1096"/>
      <c r="I57" s="1096"/>
      <c r="J57" s="1096"/>
      <c r="K57" s="1096"/>
      <c r="L57" s="1096"/>
      <c r="M57" s="1096"/>
      <c r="N57" s="1096"/>
      <c r="O57" s="1096"/>
      <c r="P57" s="1096"/>
      <c r="Q57" s="1096"/>
      <c r="R57" s="1096"/>
      <c r="S57" s="1096"/>
      <c r="T57" s="1096"/>
      <c r="U57" s="1096"/>
      <c r="V57" s="1096"/>
      <c r="W57" s="1096"/>
      <c r="X57" s="1096"/>
      <c r="Y57" s="1096"/>
      <c r="Z57" s="1096"/>
      <c r="AA57" s="1096"/>
      <c r="AB57" s="1097"/>
    </row>
    <row r="58" spans="1:28">
      <c r="A58" s="943"/>
      <c r="B58" s="944"/>
      <c r="C58" s="944"/>
      <c r="D58" s="944"/>
      <c r="E58" s="944"/>
      <c r="F58" s="944"/>
      <c r="G58" s="944"/>
      <c r="H58" s="944"/>
      <c r="I58" s="944"/>
      <c r="J58" s="944"/>
      <c r="K58" s="944"/>
      <c r="L58" s="944"/>
      <c r="M58" s="944"/>
      <c r="N58" s="944"/>
      <c r="O58" s="944"/>
      <c r="P58" s="944"/>
      <c r="Q58" s="944"/>
      <c r="R58" s="944"/>
      <c r="S58" s="944"/>
      <c r="T58" s="944"/>
      <c r="U58" s="944"/>
      <c r="V58" s="944"/>
      <c r="W58" s="944"/>
      <c r="X58" s="944"/>
      <c r="Y58" s="944"/>
      <c r="Z58" s="944"/>
      <c r="AA58" s="944"/>
      <c r="AB58" s="945"/>
    </row>
    <row r="59" spans="1:28">
      <c r="A59" s="943"/>
      <c r="B59" s="944"/>
      <c r="C59" s="944"/>
      <c r="D59" s="944"/>
      <c r="E59" s="944"/>
      <c r="F59" s="944"/>
      <c r="G59" s="944"/>
      <c r="H59" s="944"/>
      <c r="I59" s="944"/>
      <c r="J59" s="944"/>
      <c r="K59" s="944"/>
      <c r="L59" s="944"/>
      <c r="M59" s="944"/>
      <c r="N59" s="944"/>
      <c r="O59" s="944"/>
      <c r="P59" s="944"/>
      <c r="Q59" s="944"/>
      <c r="R59" s="944"/>
      <c r="S59" s="944"/>
      <c r="T59" s="944"/>
      <c r="U59" s="944"/>
      <c r="V59" s="944"/>
      <c r="W59" s="944"/>
      <c r="X59" s="944"/>
      <c r="Y59" s="944"/>
      <c r="Z59" s="944"/>
      <c r="AA59" s="944"/>
      <c r="AB59" s="945"/>
    </row>
    <row r="60" spans="1:28">
      <c r="A60" s="943"/>
      <c r="B60" s="944"/>
      <c r="C60" s="944"/>
      <c r="D60" s="944"/>
      <c r="E60" s="944"/>
      <c r="F60" s="944"/>
      <c r="G60" s="944"/>
      <c r="H60" s="944"/>
      <c r="I60" s="944"/>
      <c r="J60" s="944"/>
      <c r="K60" s="944"/>
      <c r="L60" s="944"/>
      <c r="M60" s="944"/>
      <c r="N60" s="944"/>
      <c r="O60" s="944"/>
      <c r="P60" s="944"/>
      <c r="Q60" s="944"/>
      <c r="R60" s="944"/>
      <c r="S60" s="944"/>
      <c r="T60" s="944"/>
      <c r="U60" s="944"/>
      <c r="V60" s="944"/>
      <c r="W60" s="944"/>
      <c r="X60" s="944"/>
      <c r="Y60" s="944"/>
      <c r="Z60" s="944"/>
      <c r="AA60" s="881"/>
      <c r="AB60" s="882"/>
    </row>
    <row r="61" spans="1:28">
      <c r="A61" s="943"/>
      <c r="B61" s="944"/>
      <c r="C61" s="944"/>
      <c r="D61" s="944"/>
      <c r="E61" s="944"/>
      <c r="F61" s="944"/>
      <c r="G61" s="944"/>
      <c r="H61" s="944"/>
      <c r="I61" s="944"/>
      <c r="J61" s="944"/>
      <c r="K61" s="944"/>
      <c r="L61" s="944"/>
      <c r="M61" s="944"/>
      <c r="N61" s="944"/>
      <c r="O61" s="944"/>
      <c r="P61" s="944"/>
      <c r="Q61" s="944"/>
      <c r="R61" s="944"/>
      <c r="S61" s="944"/>
      <c r="T61" s="944"/>
      <c r="U61" s="944"/>
      <c r="V61" s="944"/>
      <c r="W61" s="944"/>
      <c r="X61" s="944"/>
      <c r="Y61" s="944"/>
      <c r="Z61" s="944"/>
      <c r="AA61" s="944"/>
      <c r="AB61" s="945"/>
    </row>
    <row r="62" spans="1:28">
      <c r="A62" s="943"/>
      <c r="B62" s="944"/>
      <c r="C62" s="944"/>
      <c r="D62" s="944"/>
      <c r="E62" s="944"/>
      <c r="F62" s="944"/>
      <c r="G62" s="944"/>
      <c r="H62" s="944"/>
      <c r="I62" s="944"/>
      <c r="J62" s="944"/>
      <c r="K62" s="944"/>
      <c r="L62" s="944"/>
      <c r="M62" s="944"/>
      <c r="N62" s="944"/>
      <c r="O62" s="944"/>
      <c r="P62" s="944"/>
      <c r="Q62" s="944"/>
      <c r="R62" s="944"/>
      <c r="S62" s="944"/>
      <c r="T62" s="944"/>
      <c r="U62" s="944"/>
      <c r="V62" s="944"/>
      <c r="W62" s="944"/>
      <c r="X62" s="944"/>
      <c r="Y62" s="944"/>
      <c r="Z62" s="944"/>
      <c r="AA62" s="944"/>
      <c r="AB62" s="945"/>
    </row>
    <row r="63" spans="1:28">
      <c r="A63" s="943"/>
      <c r="B63" s="944"/>
      <c r="C63" s="944"/>
      <c r="D63" s="944"/>
      <c r="E63" s="944"/>
      <c r="F63" s="944"/>
      <c r="G63" s="944"/>
      <c r="H63" s="944"/>
      <c r="I63" s="944"/>
      <c r="J63" s="944"/>
      <c r="K63" s="944"/>
      <c r="L63" s="944"/>
      <c r="M63" s="944"/>
      <c r="N63" s="944"/>
      <c r="O63" s="944"/>
      <c r="P63" s="944"/>
      <c r="Q63" s="944"/>
      <c r="R63" s="944"/>
      <c r="S63" s="944"/>
      <c r="T63" s="944"/>
      <c r="U63" s="944"/>
      <c r="V63" s="944"/>
      <c r="W63" s="944"/>
      <c r="X63" s="944"/>
      <c r="Y63" s="944"/>
      <c r="Z63" s="944"/>
      <c r="AA63" s="944"/>
      <c r="AB63" s="945"/>
    </row>
    <row r="64" spans="1:28">
      <c r="A64" s="943"/>
      <c r="B64" s="944"/>
      <c r="C64" s="944"/>
      <c r="D64" s="944"/>
      <c r="E64" s="944"/>
      <c r="F64" s="944"/>
      <c r="G64" s="944"/>
      <c r="H64" s="944"/>
      <c r="I64" s="944"/>
      <c r="J64" s="944"/>
      <c r="K64" s="944"/>
      <c r="L64" s="944"/>
      <c r="M64" s="944"/>
      <c r="N64" s="944"/>
      <c r="O64" s="944"/>
      <c r="P64" s="944"/>
      <c r="Q64" s="944"/>
      <c r="R64" s="944"/>
      <c r="S64" s="944"/>
      <c r="T64" s="944"/>
      <c r="U64" s="944"/>
      <c r="V64" s="944"/>
      <c r="W64" s="944"/>
      <c r="X64" s="944"/>
      <c r="Y64" s="944"/>
      <c r="Z64" s="944"/>
      <c r="AA64" s="944"/>
      <c r="AB64" s="945"/>
    </row>
    <row r="65" spans="1:28">
      <c r="A65" s="943"/>
      <c r="B65" s="944"/>
      <c r="C65" s="944"/>
      <c r="D65" s="944"/>
      <c r="E65" s="944"/>
      <c r="F65" s="944"/>
      <c r="G65" s="944"/>
      <c r="H65" s="944"/>
      <c r="I65" s="944"/>
      <c r="J65" s="944"/>
      <c r="K65" s="944"/>
      <c r="L65" s="944"/>
      <c r="M65" s="944"/>
      <c r="N65" s="944"/>
      <c r="O65" s="944"/>
      <c r="P65" s="944"/>
      <c r="Q65" s="944"/>
      <c r="R65" s="944"/>
      <c r="S65" s="944"/>
      <c r="T65" s="944"/>
      <c r="U65" s="944"/>
      <c r="V65" s="944"/>
      <c r="W65" s="944"/>
      <c r="X65" s="944"/>
      <c r="Y65" s="944"/>
      <c r="Z65" s="944"/>
      <c r="AA65" s="944"/>
      <c r="AB65" s="945"/>
    </row>
    <row r="66" spans="1:28">
      <c r="A66" s="14"/>
      <c r="B66" s="15"/>
      <c r="C66" s="944"/>
      <c r="D66" s="944"/>
      <c r="E66" s="944"/>
      <c r="F66" s="944"/>
      <c r="G66" s="944"/>
      <c r="H66" s="944"/>
      <c r="I66" s="944"/>
      <c r="J66" s="944"/>
      <c r="K66" s="944"/>
      <c r="L66" s="944"/>
      <c r="M66" s="944"/>
      <c r="N66" s="944"/>
      <c r="O66" s="944"/>
      <c r="P66" s="944"/>
      <c r="Q66" s="944"/>
      <c r="R66" s="944"/>
      <c r="S66" s="944"/>
      <c r="T66" s="944"/>
      <c r="U66" s="944"/>
      <c r="V66" s="944"/>
      <c r="W66" s="944"/>
      <c r="X66" s="944"/>
      <c r="Y66" s="944"/>
      <c r="Z66" s="944"/>
      <c r="AA66" s="944"/>
      <c r="AB66" s="945"/>
    </row>
    <row r="67" spans="1:28">
      <c r="A67" s="1089"/>
      <c r="B67" s="1090"/>
      <c r="C67" s="1090"/>
      <c r="D67" s="1090"/>
      <c r="E67" s="1090"/>
      <c r="F67" s="1090"/>
      <c r="G67" s="1090"/>
      <c r="H67" s="1090"/>
      <c r="I67" s="1090"/>
      <c r="J67" s="1090"/>
      <c r="K67" s="1090"/>
      <c r="L67" s="1090"/>
      <c r="M67" s="1090"/>
      <c r="N67" s="1090"/>
      <c r="O67" s="1090"/>
      <c r="P67" s="1090"/>
      <c r="Q67" s="1090"/>
      <c r="R67" s="1090"/>
      <c r="S67" s="1090"/>
      <c r="T67" s="1090"/>
      <c r="U67" s="1090"/>
      <c r="V67" s="1090"/>
      <c r="W67" s="1090"/>
      <c r="X67" s="1090"/>
      <c r="Y67" s="1090"/>
      <c r="Z67" s="1090"/>
      <c r="AA67" s="1090"/>
      <c r="AB67" s="1091"/>
    </row>
    <row r="68" spans="1:28">
      <c r="A68" s="16"/>
      <c r="B68" s="17"/>
      <c r="C68" s="1100"/>
      <c r="D68" s="1100"/>
      <c r="E68" s="1100"/>
      <c r="F68" s="1100"/>
      <c r="G68" s="1100"/>
      <c r="H68" s="1100"/>
      <c r="I68" s="1100"/>
      <c r="J68" s="1100"/>
      <c r="K68" s="1100"/>
      <c r="L68" s="1100"/>
      <c r="M68" s="1100"/>
      <c r="N68" s="1100"/>
      <c r="O68" s="1100"/>
      <c r="P68" s="1100"/>
      <c r="Q68" s="1100"/>
      <c r="R68" s="1100"/>
      <c r="S68" s="1100"/>
      <c r="T68" s="1100"/>
      <c r="U68" s="1100"/>
      <c r="V68" s="1100"/>
      <c r="W68" s="1100"/>
      <c r="X68" s="1100"/>
      <c r="Y68" s="1100"/>
      <c r="Z68" s="1100"/>
      <c r="AA68" s="1100"/>
      <c r="AB68" s="1101"/>
    </row>
    <row r="73" spans="1:28">
      <c r="A73" s="1105">
        <v>44866</v>
      </c>
      <c r="B73" s="1098" t="s">
        <v>28</v>
      </c>
      <c r="C73" s="968"/>
      <c r="D73" s="969"/>
      <c r="E73" s="1083"/>
      <c r="F73" s="1084"/>
      <c r="G73" s="1084"/>
      <c r="H73" s="1084"/>
      <c r="I73" s="1084"/>
      <c r="J73" s="1085"/>
      <c r="K73" s="1086"/>
      <c r="L73" s="1087"/>
      <c r="M73" s="1088"/>
      <c r="N73" s="384"/>
      <c r="O73" s="1010">
        <v>44881</v>
      </c>
      <c r="P73" s="1008" t="s">
        <v>29</v>
      </c>
      <c r="Q73" s="968"/>
      <c r="R73" s="969"/>
      <c r="S73" s="1083"/>
      <c r="T73" s="1084"/>
      <c r="U73" s="1084"/>
      <c r="V73" s="1084"/>
      <c r="W73" s="1084"/>
      <c r="X73" s="1085"/>
      <c r="Y73" s="921"/>
      <c r="Z73" s="922"/>
      <c r="AA73" s="923"/>
      <c r="AB73" s="354"/>
    </row>
    <row r="74" spans="1:28">
      <c r="A74" s="1106"/>
      <c r="B74" s="1099"/>
      <c r="C74" s="915"/>
      <c r="D74" s="916"/>
      <c r="E74" s="921"/>
      <c r="F74" s="922"/>
      <c r="G74" s="922"/>
      <c r="H74" s="922"/>
      <c r="I74" s="922"/>
      <c r="J74" s="923"/>
      <c r="K74" s="921"/>
      <c r="L74" s="922"/>
      <c r="M74" s="923"/>
      <c r="N74" s="384"/>
      <c r="O74" s="1011"/>
      <c r="P74" s="1009"/>
      <c r="Q74" s="915"/>
      <c r="R74" s="916"/>
      <c r="S74" s="921"/>
      <c r="T74" s="922"/>
      <c r="U74" s="922"/>
      <c r="V74" s="922"/>
      <c r="W74" s="922"/>
      <c r="X74" s="923"/>
      <c r="Y74" s="921"/>
      <c r="Z74" s="922"/>
      <c r="AA74" s="923"/>
      <c r="AB74" s="103"/>
    </row>
    <row r="75" spans="1:28">
      <c r="A75" s="1015" t="s">
        <v>404</v>
      </c>
      <c r="B75" s="1016" t="s">
        <v>29</v>
      </c>
      <c r="C75" s="915"/>
      <c r="D75" s="916"/>
      <c r="E75" s="921"/>
      <c r="F75" s="922"/>
      <c r="G75" s="922"/>
      <c r="H75" s="922"/>
      <c r="I75" s="922"/>
      <c r="J75" s="923"/>
      <c r="K75" s="921"/>
      <c r="L75" s="922"/>
      <c r="M75" s="923"/>
      <c r="N75" s="384"/>
      <c r="O75" s="1014">
        <v>17</v>
      </c>
      <c r="P75" s="1013" t="s">
        <v>30</v>
      </c>
      <c r="Q75" s="915"/>
      <c r="R75" s="916"/>
      <c r="S75" s="921"/>
      <c r="T75" s="922"/>
      <c r="U75" s="922"/>
      <c r="V75" s="922"/>
      <c r="W75" s="922"/>
      <c r="X75" s="923"/>
      <c r="Y75" s="921"/>
      <c r="Z75" s="922"/>
      <c r="AA75" s="923"/>
      <c r="AB75" s="356"/>
    </row>
    <row r="76" spans="1:28">
      <c r="A76" s="1015"/>
      <c r="B76" s="1017"/>
      <c r="C76" s="915"/>
      <c r="D76" s="916"/>
      <c r="E76" s="921"/>
      <c r="F76" s="922"/>
      <c r="G76" s="922"/>
      <c r="H76" s="922"/>
      <c r="I76" s="922"/>
      <c r="J76" s="923"/>
      <c r="K76" s="921"/>
      <c r="L76" s="922"/>
      <c r="M76" s="923"/>
      <c r="N76" s="384"/>
      <c r="O76" s="1014"/>
      <c r="P76" s="1009"/>
      <c r="Q76" s="915"/>
      <c r="R76" s="916"/>
      <c r="S76" s="921"/>
      <c r="T76" s="922"/>
      <c r="U76" s="922"/>
      <c r="V76" s="922"/>
      <c r="W76" s="922"/>
      <c r="X76" s="923"/>
      <c r="Y76" s="921"/>
      <c r="Z76" s="922"/>
      <c r="AA76" s="923"/>
      <c r="AB76" s="103"/>
    </row>
    <row r="77" spans="1:28">
      <c r="A77" s="1051" t="s">
        <v>405</v>
      </c>
      <c r="B77" s="917" t="s">
        <v>30</v>
      </c>
      <c r="C77" s="915"/>
      <c r="D77" s="916"/>
      <c r="E77" s="921"/>
      <c r="F77" s="922"/>
      <c r="G77" s="922"/>
      <c r="H77" s="922"/>
      <c r="I77" s="922"/>
      <c r="J77" s="923"/>
      <c r="K77" s="921"/>
      <c r="L77" s="922"/>
      <c r="M77" s="923"/>
      <c r="N77" s="384"/>
      <c r="O77" s="1014" t="s">
        <v>648</v>
      </c>
      <c r="P77" s="1013" t="s">
        <v>31</v>
      </c>
      <c r="Q77" s="915"/>
      <c r="R77" s="916"/>
      <c r="S77" s="962"/>
      <c r="T77" s="963"/>
      <c r="U77" s="963"/>
      <c r="V77" s="963"/>
      <c r="W77" s="963"/>
      <c r="X77" s="964"/>
      <c r="Y77" s="921"/>
      <c r="Z77" s="922"/>
      <c r="AA77" s="923"/>
      <c r="AB77" s="356"/>
    </row>
    <row r="78" spans="1:28">
      <c r="A78" s="1051"/>
      <c r="B78" s="918"/>
      <c r="C78" s="915"/>
      <c r="D78" s="916"/>
      <c r="E78" s="921"/>
      <c r="F78" s="922"/>
      <c r="G78" s="922"/>
      <c r="H78" s="922"/>
      <c r="I78" s="922"/>
      <c r="J78" s="923"/>
      <c r="K78" s="921"/>
      <c r="L78" s="922"/>
      <c r="M78" s="923"/>
      <c r="N78" s="384"/>
      <c r="O78" s="1014"/>
      <c r="P78" s="1009"/>
      <c r="Q78" s="915"/>
      <c r="R78" s="916"/>
      <c r="S78" s="921"/>
      <c r="T78" s="922"/>
      <c r="U78" s="922"/>
      <c r="V78" s="922"/>
      <c r="W78" s="922"/>
      <c r="X78" s="923"/>
      <c r="Y78" s="921"/>
      <c r="Z78" s="922"/>
      <c r="AA78" s="923"/>
      <c r="AB78" s="103"/>
    </row>
    <row r="79" spans="1:28">
      <c r="A79" s="1051" t="s">
        <v>406</v>
      </c>
      <c r="B79" s="917" t="s">
        <v>31</v>
      </c>
      <c r="C79" s="915"/>
      <c r="D79" s="916"/>
      <c r="E79" s="921"/>
      <c r="F79" s="922"/>
      <c r="G79" s="922"/>
      <c r="H79" s="922"/>
      <c r="I79" s="922"/>
      <c r="J79" s="923"/>
      <c r="K79" s="921"/>
      <c r="L79" s="922"/>
      <c r="M79" s="923"/>
      <c r="N79" s="384"/>
      <c r="O79" s="1021" t="s">
        <v>649</v>
      </c>
      <c r="P79" s="1022" t="s">
        <v>32</v>
      </c>
      <c r="Q79" s="915"/>
      <c r="R79" s="916"/>
      <c r="S79" s="962"/>
      <c r="T79" s="963"/>
      <c r="U79" s="963"/>
      <c r="V79" s="963"/>
      <c r="W79" s="963"/>
      <c r="X79" s="964"/>
      <c r="Y79" s="921"/>
      <c r="Z79" s="922"/>
      <c r="AA79" s="923"/>
      <c r="AB79" s="356"/>
    </row>
    <row r="80" spans="1:28">
      <c r="A80" s="1051"/>
      <c r="B80" s="918"/>
      <c r="C80" s="915"/>
      <c r="D80" s="916"/>
      <c r="E80" s="921"/>
      <c r="F80" s="922"/>
      <c r="G80" s="922"/>
      <c r="H80" s="922"/>
      <c r="I80" s="922"/>
      <c r="J80" s="923"/>
      <c r="K80" s="921"/>
      <c r="L80" s="922"/>
      <c r="M80" s="923"/>
      <c r="N80" s="384"/>
      <c r="O80" s="1021"/>
      <c r="P80" s="1023"/>
      <c r="Q80" s="915"/>
      <c r="R80" s="916"/>
      <c r="S80" s="921"/>
      <c r="T80" s="922"/>
      <c r="U80" s="922"/>
      <c r="V80" s="922"/>
      <c r="W80" s="922"/>
      <c r="X80" s="923"/>
      <c r="Y80" s="921"/>
      <c r="Z80" s="922"/>
      <c r="AA80" s="923"/>
      <c r="AB80" s="103"/>
    </row>
    <row r="81" spans="1:28">
      <c r="A81" s="1051" t="s">
        <v>407</v>
      </c>
      <c r="B81" s="917" t="s">
        <v>32</v>
      </c>
      <c r="C81" s="915"/>
      <c r="D81" s="916"/>
      <c r="E81" s="921"/>
      <c r="F81" s="922"/>
      <c r="G81" s="922"/>
      <c r="H81" s="922"/>
      <c r="I81" s="922"/>
      <c r="J81" s="923"/>
      <c r="K81" s="921"/>
      <c r="L81" s="922"/>
      <c r="M81" s="923"/>
      <c r="N81" s="384"/>
      <c r="O81" s="1025" t="s">
        <v>650</v>
      </c>
      <c r="P81" s="1016" t="s">
        <v>10</v>
      </c>
      <c r="Q81" s="915"/>
      <c r="R81" s="916"/>
      <c r="S81" s="990"/>
      <c r="T81" s="922"/>
      <c r="U81" s="922"/>
      <c r="V81" s="922"/>
      <c r="W81" s="922"/>
      <c r="X81" s="923"/>
      <c r="Y81" s="921"/>
      <c r="Z81" s="922"/>
      <c r="AA81" s="923"/>
      <c r="AB81" s="883"/>
    </row>
    <row r="82" spans="1:28">
      <c r="A82" s="1051"/>
      <c r="B82" s="918"/>
      <c r="C82" s="915"/>
      <c r="D82" s="916"/>
      <c r="E82" s="921"/>
      <c r="F82" s="922"/>
      <c r="G82" s="922"/>
      <c r="H82" s="922"/>
      <c r="I82" s="922"/>
      <c r="J82" s="923"/>
      <c r="K82" s="921"/>
      <c r="L82" s="922"/>
      <c r="M82" s="923"/>
      <c r="N82" s="384"/>
      <c r="O82" s="1025"/>
      <c r="P82" s="1017"/>
      <c r="Q82" s="915"/>
      <c r="R82" s="916"/>
      <c r="S82" s="921"/>
      <c r="T82" s="922"/>
      <c r="U82" s="922"/>
      <c r="V82" s="922"/>
      <c r="W82" s="922"/>
      <c r="X82" s="923"/>
      <c r="Y82" s="921"/>
      <c r="Z82" s="922"/>
      <c r="AA82" s="923"/>
      <c r="AB82" s="103"/>
    </row>
    <row r="83" spans="1:28">
      <c r="A83" s="1051" t="s">
        <v>408</v>
      </c>
      <c r="B83" s="917" t="s">
        <v>10</v>
      </c>
      <c r="C83" s="915"/>
      <c r="D83" s="916"/>
      <c r="E83" s="921"/>
      <c r="F83" s="922"/>
      <c r="G83" s="922"/>
      <c r="H83" s="922"/>
      <c r="I83" s="922"/>
      <c r="J83" s="923"/>
      <c r="K83" s="962"/>
      <c r="L83" s="922"/>
      <c r="M83" s="923"/>
      <c r="N83" s="384"/>
      <c r="O83" s="1014" t="s">
        <v>651</v>
      </c>
      <c r="P83" s="1013" t="s">
        <v>27</v>
      </c>
      <c r="Q83" s="915"/>
      <c r="R83" s="916"/>
      <c r="S83" s="962"/>
      <c r="T83" s="963"/>
      <c r="U83" s="963"/>
      <c r="V83" s="963"/>
      <c r="W83" s="963"/>
      <c r="X83" s="964"/>
      <c r="Y83" s="962"/>
      <c r="Z83" s="922"/>
      <c r="AA83" s="923"/>
      <c r="AB83" s="374"/>
    </row>
    <row r="84" spans="1:28">
      <c r="A84" s="1051"/>
      <c r="B84" s="918"/>
      <c r="C84" s="915"/>
      <c r="D84" s="916"/>
      <c r="E84" s="921"/>
      <c r="F84" s="922"/>
      <c r="G84" s="922"/>
      <c r="H84" s="922"/>
      <c r="I84" s="922"/>
      <c r="J84" s="923"/>
      <c r="K84" s="962"/>
      <c r="L84" s="922"/>
      <c r="M84" s="923"/>
      <c r="N84" s="384"/>
      <c r="O84" s="1014"/>
      <c r="P84" s="1009"/>
      <c r="Q84" s="915"/>
      <c r="R84" s="916"/>
      <c r="S84" s="921"/>
      <c r="T84" s="922"/>
      <c r="U84" s="922"/>
      <c r="V84" s="922"/>
      <c r="W84" s="922"/>
      <c r="X84" s="923"/>
      <c r="Y84" s="921"/>
      <c r="Z84" s="922"/>
      <c r="AA84" s="923"/>
      <c r="AB84" s="103"/>
    </row>
    <row r="85" spans="1:28">
      <c r="A85" s="1051" t="s">
        <v>409</v>
      </c>
      <c r="B85" s="917" t="s">
        <v>27</v>
      </c>
      <c r="C85" s="915"/>
      <c r="D85" s="916"/>
      <c r="E85" s="921"/>
      <c r="F85" s="922"/>
      <c r="G85" s="922"/>
      <c r="H85" s="922"/>
      <c r="I85" s="922"/>
      <c r="J85" s="923"/>
      <c r="K85" s="921"/>
      <c r="L85" s="922"/>
      <c r="M85" s="923"/>
      <c r="N85" s="384"/>
      <c r="O85" s="1014" t="s">
        <v>652</v>
      </c>
      <c r="P85" s="1013" t="s">
        <v>28</v>
      </c>
      <c r="Q85" s="915"/>
      <c r="R85" s="916"/>
      <c r="S85" s="921"/>
      <c r="T85" s="922"/>
      <c r="U85" s="922"/>
      <c r="V85" s="922"/>
      <c r="W85" s="922"/>
      <c r="X85" s="923"/>
      <c r="Y85" s="921"/>
      <c r="Z85" s="922"/>
      <c r="AA85" s="923"/>
      <c r="AB85" s="356"/>
    </row>
    <row r="86" spans="1:28">
      <c r="A86" s="1051"/>
      <c r="B86" s="918"/>
      <c r="C86" s="915"/>
      <c r="D86" s="916"/>
      <c r="E86" s="921"/>
      <c r="F86" s="922"/>
      <c r="G86" s="922"/>
      <c r="H86" s="922"/>
      <c r="I86" s="922"/>
      <c r="J86" s="923"/>
      <c r="K86" s="921"/>
      <c r="L86" s="922"/>
      <c r="M86" s="923"/>
      <c r="N86" s="384"/>
      <c r="O86" s="1014"/>
      <c r="P86" s="1009"/>
      <c r="Q86" s="915"/>
      <c r="R86" s="916"/>
      <c r="S86" s="921"/>
      <c r="T86" s="922"/>
      <c r="U86" s="922"/>
      <c r="V86" s="922"/>
      <c r="W86" s="922"/>
      <c r="X86" s="923"/>
      <c r="Y86" s="921"/>
      <c r="Z86" s="922"/>
      <c r="AA86" s="923"/>
      <c r="AB86" s="103"/>
    </row>
    <row r="87" spans="1:28">
      <c r="A87" s="1107" t="s">
        <v>410</v>
      </c>
      <c r="B87" s="1108" t="s">
        <v>28</v>
      </c>
      <c r="C87" s="915" t="s">
        <v>665</v>
      </c>
      <c r="D87" s="916"/>
      <c r="E87" s="921" t="s">
        <v>668</v>
      </c>
      <c r="F87" s="922"/>
      <c r="G87" s="922"/>
      <c r="H87" s="922"/>
      <c r="I87" s="922"/>
      <c r="J87" s="923"/>
      <c r="K87" s="921" t="s">
        <v>669</v>
      </c>
      <c r="L87" s="922"/>
      <c r="M87" s="923"/>
      <c r="N87" s="384" t="s">
        <v>670</v>
      </c>
      <c r="O87" s="1025" t="s">
        <v>653</v>
      </c>
      <c r="P87" s="1016" t="s">
        <v>29</v>
      </c>
      <c r="Q87" s="915"/>
      <c r="R87" s="916"/>
      <c r="S87" s="921"/>
      <c r="T87" s="922"/>
      <c r="U87" s="922"/>
      <c r="V87" s="922"/>
      <c r="W87" s="922"/>
      <c r="X87" s="923"/>
      <c r="Y87" s="921"/>
      <c r="Z87" s="922"/>
      <c r="AA87" s="923"/>
      <c r="AB87" s="103"/>
    </row>
    <row r="88" spans="1:28">
      <c r="A88" s="1107"/>
      <c r="B88" s="1099"/>
      <c r="C88" s="915"/>
      <c r="D88" s="916"/>
      <c r="E88" s="921"/>
      <c r="F88" s="922"/>
      <c r="G88" s="922"/>
      <c r="H88" s="922"/>
      <c r="I88" s="922"/>
      <c r="J88" s="923"/>
      <c r="K88" s="921"/>
      <c r="L88" s="922"/>
      <c r="M88" s="923"/>
      <c r="N88" s="384"/>
      <c r="O88" s="1025"/>
      <c r="P88" s="1017"/>
      <c r="Q88" s="915"/>
      <c r="R88" s="916"/>
      <c r="S88" s="921"/>
      <c r="T88" s="922"/>
      <c r="U88" s="922"/>
      <c r="V88" s="922"/>
      <c r="W88" s="922"/>
      <c r="X88" s="923"/>
      <c r="Y88" s="921"/>
      <c r="Z88" s="922"/>
      <c r="AA88" s="923"/>
      <c r="AB88" s="103"/>
    </row>
    <row r="89" spans="1:28">
      <c r="A89" s="1052" t="s">
        <v>411</v>
      </c>
      <c r="B89" s="1016" t="s">
        <v>29</v>
      </c>
      <c r="C89" s="1081"/>
      <c r="D89" s="1082"/>
      <c r="E89" s="1078"/>
      <c r="F89" s="1079"/>
      <c r="G89" s="1079"/>
      <c r="H89" s="1079"/>
      <c r="I89" s="1079"/>
      <c r="J89" s="1080"/>
      <c r="K89" s="921"/>
      <c r="L89" s="922"/>
      <c r="M89" s="923"/>
      <c r="N89" s="381"/>
      <c r="O89" s="1014" t="s">
        <v>654</v>
      </c>
      <c r="P89" s="1013" t="s">
        <v>30</v>
      </c>
      <c r="Q89" s="915"/>
      <c r="R89" s="916"/>
      <c r="S89" s="921"/>
      <c r="T89" s="922"/>
      <c r="U89" s="922"/>
      <c r="V89" s="922"/>
      <c r="W89" s="922"/>
      <c r="X89" s="923"/>
      <c r="Y89" s="921"/>
      <c r="Z89" s="922"/>
      <c r="AA89" s="923"/>
      <c r="AB89" s="356"/>
    </row>
    <row r="90" spans="1:28">
      <c r="A90" s="1053"/>
      <c r="B90" s="1017"/>
      <c r="C90" s="915"/>
      <c r="D90" s="916"/>
      <c r="E90" s="921"/>
      <c r="F90" s="922"/>
      <c r="G90" s="922"/>
      <c r="H90" s="922"/>
      <c r="I90" s="922"/>
      <c r="J90" s="923"/>
      <c r="K90" s="921"/>
      <c r="L90" s="922"/>
      <c r="M90" s="923"/>
      <c r="N90" s="384"/>
      <c r="O90" s="1014"/>
      <c r="P90" s="1009"/>
      <c r="Q90" s="915"/>
      <c r="R90" s="916"/>
      <c r="S90" s="921"/>
      <c r="T90" s="922"/>
      <c r="U90" s="922"/>
      <c r="V90" s="922"/>
      <c r="W90" s="922"/>
      <c r="X90" s="923"/>
      <c r="Y90" s="921"/>
      <c r="Z90" s="922"/>
      <c r="AA90" s="923"/>
      <c r="AB90" s="356"/>
    </row>
    <row r="91" spans="1:28">
      <c r="A91" s="1015" t="s">
        <v>412</v>
      </c>
      <c r="B91" s="1016" t="s">
        <v>30</v>
      </c>
      <c r="C91" s="915"/>
      <c r="D91" s="916"/>
      <c r="E91" s="921"/>
      <c r="F91" s="922"/>
      <c r="G91" s="922"/>
      <c r="H91" s="922"/>
      <c r="I91" s="922"/>
      <c r="J91" s="923"/>
      <c r="K91" s="921"/>
      <c r="L91" s="922"/>
      <c r="M91" s="923"/>
      <c r="N91" s="375"/>
      <c r="O91" s="1014" t="s">
        <v>655</v>
      </c>
      <c r="P91" s="1013" t="s">
        <v>31</v>
      </c>
      <c r="Q91" s="915"/>
      <c r="R91" s="916"/>
      <c r="S91" s="921"/>
      <c r="T91" s="922"/>
      <c r="U91" s="922"/>
      <c r="V91" s="922"/>
      <c r="W91" s="922"/>
      <c r="X91" s="923"/>
      <c r="Y91" s="921"/>
      <c r="Z91" s="922"/>
      <c r="AA91" s="923"/>
      <c r="AB91" s="103"/>
    </row>
    <row r="92" spans="1:28">
      <c r="A92" s="1015"/>
      <c r="B92" s="1017"/>
      <c r="C92" s="915"/>
      <c r="D92" s="916"/>
      <c r="E92" s="921"/>
      <c r="F92" s="922"/>
      <c r="G92" s="922"/>
      <c r="H92" s="922"/>
      <c r="I92" s="922"/>
      <c r="J92" s="923"/>
      <c r="K92" s="921"/>
      <c r="L92" s="922"/>
      <c r="M92" s="923"/>
      <c r="N92" s="384"/>
      <c r="O92" s="1014"/>
      <c r="P92" s="1009"/>
      <c r="Q92" s="915"/>
      <c r="R92" s="916"/>
      <c r="S92" s="921"/>
      <c r="T92" s="922"/>
      <c r="U92" s="922"/>
      <c r="V92" s="922"/>
      <c r="W92" s="922"/>
      <c r="X92" s="923"/>
      <c r="Y92" s="921"/>
      <c r="Z92" s="922"/>
      <c r="AA92" s="923"/>
      <c r="AB92" s="103"/>
    </row>
    <row r="93" spans="1:28">
      <c r="A93" s="1051" t="s">
        <v>413</v>
      </c>
      <c r="B93" s="917" t="s">
        <v>31</v>
      </c>
      <c r="C93" s="915"/>
      <c r="D93" s="916"/>
      <c r="E93" s="921"/>
      <c r="F93" s="922"/>
      <c r="G93" s="922"/>
      <c r="H93" s="922"/>
      <c r="I93" s="922"/>
      <c r="J93" s="923"/>
      <c r="K93" s="921"/>
      <c r="L93" s="922"/>
      <c r="M93" s="923"/>
      <c r="N93" s="375"/>
      <c r="O93" s="1021" t="s">
        <v>656</v>
      </c>
      <c r="P93" s="1022" t="s">
        <v>32</v>
      </c>
      <c r="Q93" s="915"/>
      <c r="R93" s="916"/>
      <c r="S93" s="962"/>
      <c r="T93" s="963"/>
      <c r="U93" s="963"/>
      <c r="V93" s="963"/>
      <c r="W93" s="963"/>
      <c r="X93" s="964"/>
      <c r="Y93" s="921"/>
      <c r="Z93" s="922"/>
      <c r="AA93" s="923"/>
      <c r="AB93" s="103"/>
    </row>
    <row r="94" spans="1:28">
      <c r="A94" s="1051"/>
      <c r="B94" s="918"/>
      <c r="C94" s="915"/>
      <c r="D94" s="916"/>
      <c r="E94" s="921"/>
      <c r="F94" s="922"/>
      <c r="G94" s="922"/>
      <c r="H94" s="922"/>
      <c r="I94" s="922"/>
      <c r="J94" s="923"/>
      <c r="K94" s="921"/>
      <c r="L94" s="922"/>
      <c r="M94" s="923"/>
      <c r="N94" s="384"/>
      <c r="O94" s="1021"/>
      <c r="P94" s="1023"/>
      <c r="Q94" s="915"/>
      <c r="R94" s="916"/>
      <c r="S94" s="921"/>
      <c r="T94" s="922"/>
      <c r="U94" s="922"/>
      <c r="V94" s="922"/>
      <c r="W94" s="922"/>
      <c r="X94" s="923"/>
      <c r="Y94" s="921"/>
      <c r="Z94" s="922"/>
      <c r="AA94" s="923"/>
      <c r="AB94" s="103"/>
    </row>
    <row r="95" spans="1:28">
      <c r="A95" s="1051" t="s">
        <v>414</v>
      </c>
      <c r="B95" s="917" t="s">
        <v>32</v>
      </c>
      <c r="C95" s="915"/>
      <c r="D95" s="916"/>
      <c r="E95" s="921"/>
      <c r="F95" s="922"/>
      <c r="G95" s="922"/>
      <c r="H95" s="922"/>
      <c r="I95" s="922"/>
      <c r="J95" s="923"/>
      <c r="K95" s="921"/>
      <c r="L95" s="922"/>
      <c r="M95" s="923"/>
      <c r="N95" s="384"/>
      <c r="O95" s="1025" t="s">
        <v>657</v>
      </c>
      <c r="P95" s="1016" t="s">
        <v>10</v>
      </c>
      <c r="Q95" s="915" t="s">
        <v>423</v>
      </c>
      <c r="R95" s="916"/>
      <c r="S95" s="962" t="s">
        <v>672</v>
      </c>
      <c r="T95" s="922"/>
      <c r="U95" s="922"/>
      <c r="V95" s="922"/>
      <c r="W95" s="922"/>
      <c r="X95" s="923"/>
      <c r="Y95" s="921" t="s">
        <v>673</v>
      </c>
      <c r="Z95" s="922"/>
      <c r="AA95" s="923"/>
      <c r="AB95" s="356" t="s">
        <v>670</v>
      </c>
    </row>
    <row r="96" spans="1:28">
      <c r="A96" s="1051"/>
      <c r="B96" s="918"/>
      <c r="C96" s="915"/>
      <c r="D96" s="916"/>
      <c r="E96" s="921"/>
      <c r="F96" s="922"/>
      <c r="G96" s="922"/>
      <c r="H96" s="922"/>
      <c r="I96" s="922"/>
      <c r="J96" s="923"/>
      <c r="K96" s="921"/>
      <c r="L96" s="922"/>
      <c r="M96" s="923"/>
      <c r="N96" s="384"/>
      <c r="O96" s="1025"/>
      <c r="P96" s="1017"/>
      <c r="Q96" s="915"/>
      <c r="R96" s="916"/>
      <c r="S96" s="921"/>
      <c r="T96" s="922"/>
      <c r="U96" s="922"/>
      <c r="V96" s="922"/>
      <c r="W96" s="922"/>
      <c r="X96" s="923"/>
      <c r="Y96" s="921"/>
      <c r="Z96" s="922"/>
      <c r="AA96" s="923"/>
      <c r="AB96" s="103"/>
    </row>
    <row r="97" spans="1:28">
      <c r="A97" s="1051" t="s">
        <v>415</v>
      </c>
      <c r="B97" s="917" t="s">
        <v>10</v>
      </c>
      <c r="C97" s="915"/>
      <c r="D97" s="916"/>
      <c r="E97" s="962"/>
      <c r="F97" s="963"/>
      <c r="G97" s="963"/>
      <c r="H97" s="963"/>
      <c r="I97" s="963"/>
      <c r="J97" s="964"/>
      <c r="K97" s="921"/>
      <c r="L97" s="922"/>
      <c r="M97" s="923"/>
      <c r="N97" s="384"/>
      <c r="O97" s="1014" t="s">
        <v>658</v>
      </c>
      <c r="P97" s="1013" t="s">
        <v>27</v>
      </c>
      <c r="Q97" s="915"/>
      <c r="R97" s="916"/>
      <c r="S97" s="921"/>
      <c r="T97" s="922"/>
      <c r="U97" s="922"/>
      <c r="V97" s="922"/>
      <c r="W97" s="922"/>
      <c r="X97" s="923"/>
      <c r="Y97" s="921"/>
      <c r="Z97" s="922"/>
      <c r="AA97" s="923"/>
      <c r="AB97" s="356"/>
    </row>
    <row r="98" spans="1:28">
      <c r="A98" s="1051"/>
      <c r="B98" s="918"/>
      <c r="C98" s="915"/>
      <c r="D98" s="916"/>
      <c r="E98" s="921"/>
      <c r="F98" s="922"/>
      <c r="G98" s="922"/>
      <c r="H98" s="922"/>
      <c r="I98" s="922"/>
      <c r="J98" s="923"/>
      <c r="K98" s="921"/>
      <c r="L98" s="922"/>
      <c r="M98" s="923"/>
      <c r="N98" s="384"/>
      <c r="O98" s="1014"/>
      <c r="P98" s="1009"/>
      <c r="Q98" s="915"/>
      <c r="R98" s="916"/>
      <c r="S98" s="921"/>
      <c r="T98" s="922"/>
      <c r="U98" s="922"/>
      <c r="V98" s="922"/>
      <c r="W98" s="922"/>
      <c r="X98" s="923"/>
      <c r="Y98" s="921"/>
      <c r="Z98" s="922"/>
      <c r="AA98" s="923"/>
      <c r="AB98" s="356"/>
    </row>
    <row r="99" spans="1:28">
      <c r="A99" s="1051" t="s">
        <v>416</v>
      </c>
      <c r="B99" s="917" t="s">
        <v>27</v>
      </c>
      <c r="C99" s="915"/>
      <c r="D99" s="916"/>
      <c r="E99" s="921"/>
      <c r="F99" s="922"/>
      <c r="G99" s="922"/>
      <c r="H99" s="922"/>
      <c r="I99" s="922"/>
      <c r="J99" s="923"/>
      <c r="K99" s="921"/>
      <c r="L99" s="922"/>
      <c r="M99" s="923"/>
      <c r="N99" s="384"/>
      <c r="O99" s="1014">
        <v>29</v>
      </c>
      <c r="P99" s="1013" t="s">
        <v>28</v>
      </c>
      <c r="Q99" s="915"/>
      <c r="R99" s="916"/>
      <c r="S99" s="921"/>
      <c r="T99" s="922"/>
      <c r="U99" s="922"/>
      <c r="V99" s="922"/>
      <c r="W99" s="922"/>
      <c r="X99" s="923"/>
      <c r="Y99" s="921"/>
      <c r="Z99" s="922"/>
      <c r="AA99" s="923"/>
      <c r="AB99" s="103"/>
    </row>
    <row r="100" spans="1:28">
      <c r="A100" s="1051"/>
      <c r="B100" s="918"/>
      <c r="C100" s="915"/>
      <c r="D100" s="916"/>
      <c r="E100" s="921"/>
      <c r="F100" s="922"/>
      <c r="G100" s="922"/>
      <c r="H100" s="922"/>
      <c r="I100" s="922"/>
      <c r="J100" s="923"/>
      <c r="K100" s="921"/>
      <c r="L100" s="922"/>
      <c r="M100" s="923"/>
      <c r="N100" s="384"/>
      <c r="O100" s="1014"/>
      <c r="P100" s="1009"/>
      <c r="Q100" s="915"/>
      <c r="R100" s="916"/>
      <c r="S100" s="921"/>
      <c r="T100" s="922"/>
      <c r="U100" s="922"/>
      <c r="V100" s="922"/>
      <c r="W100" s="922"/>
      <c r="X100" s="923"/>
      <c r="Y100" s="921"/>
      <c r="Z100" s="922"/>
      <c r="AA100" s="923"/>
      <c r="AB100" s="103"/>
    </row>
    <row r="101" spans="1:28">
      <c r="A101" s="1107" t="s">
        <v>417</v>
      </c>
      <c r="B101" s="1108" t="s">
        <v>28</v>
      </c>
      <c r="C101" s="915"/>
      <c r="D101" s="916"/>
      <c r="E101" s="921"/>
      <c r="F101" s="922"/>
      <c r="G101" s="922"/>
      <c r="H101" s="922"/>
      <c r="I101" s="922"/>
      <c r="J101" s="923"/>
      <c r="K101" s="921"/>
      <c r="L101" s="922"/>
      <c r="M101" s="923"/>
      <c r="N101" s="384"/>
      <c r="O101" s="1014">
        <v>30</v>
      </c>
      <c r="P101" s="1013" t="s">
        <v>29</v>
      </c>
      <c r="Q101" s="915"/>
      <c r="R101" s="916"/>
      <c r="S101" s="990"/>
      <c r="T101" s="991"/>
      <c r="U101" s="991"/>
      <c r="V101" s="991"/>
      <c r="W101" s="991"/>
      <c r="X101" s="992"/>
      <c r="Y101" s="921"/>
      <c r="Z101" s="922"/>
      <c r="AA101" s="923"/>
      <c r="AB101" s="103"/>
    </row>
    <row r="102" spans="1:28">
      <c r="A102" s="1107"/>
      <c r="B102" s="1099"/>
      <c r="C102" s="915"/>
      <c r="D102" s="916"/>
      <c r="E102" s="921"/>
      <c r="F102" s="922"/>
      <c r="G102" s="922"/>
      <c r="H102" s="922"/>
      <c r="I102" s="922"/>
      <c r="J102" s="923"/>
      <c r="K102" s="921"/>
      <c r="L102" s="922"/>
      <c r="M102" s="923"/>
      <c r="N102" s="871"/>
      <c r="O102" s="1014"/>
      <c r="P102" s="1009"/>
      <c r="Q102" s="915"/>
      <c r="R102" s="916"/>
      <c r="S102" s="921"/>
      <c r="T102" s="922"/>
      <c r="U102" s="922"/>
      <c r="V102" s="922"/>
      <c r="W102" s="922"/>
      <c r="X102" s="923"/>
      <c r="Y102" s="921"/>
      <c r="Z102" s="922"/>
      <c r="AA102" s="923"/>
      <c r="AB102" s="103"/>
    </row>
  </sheetData>
  <mergeCells count="532">
    <mergeCell ref="A97:A98"/>
    <mergeCell ref="C102:D102"/>
    <mergeCell ref="E102:J102"/>
    <mergeCell ref="K102:M102"/>
    <mergeCell ref="Q102:R102"/>
    <mergeCell ref="S102:X102"/>
    <mergeCell ref="Y102:AA102"/>
    <mergeCell ref="A101:A102"/>
    <mergeCell ref="B101:B102"/>
    <mergeCell ref="C101:D101"/>
    <mergeCell ref="E101:J101"/>
    <mergeCell ref="K101:M101"/>
    <mergeCell ref="O101:O102"/>
    <mergeCell ref="P101:P102"/>
    <mergeCell ref="Q101:R101"/>
    <mergeCell ref="S101:X101"/>
    <mergeCell ref="Y101:AA101"/>
    <mergeCell ref="A99:A100"/>
    <mergeCell ref="B99:B100"/>
    <mergeCell ref="C99:D99"/>
    <mergeCell ref="E99:J99"/>
    <mergeCell ref="K99:M99"/>
    <mergeCell ref="O99:O100"/>
    <mergeCell ref="P99:P100"/>
    <mergeCell ref="Q99:R99"/>
    <mergeCell ref="S99:X99"/>
    <mergeCell ref="Y99:AA99"/>
    <mergeCell ref="C100:D100"/>
    <mergeCell ref="E100:J100"/>
    <mergeCell ref="K100:M100"/>
    <mergeCell ref="Q100:R100"/>
    <mergeCell ref="S100:X100"/>
    <mergeCell ref="Y100:AA100"/>
    <mergeCell ref="B97:B98"/>
    <mergeCell ref="C97:D97"/>
    <mergeCell ref="E97:J97"/>
    <mergeCell ref="K97:M97"/>
    <mergeCell ref="O97:O98"/>
    <mergeCell ref="P97:P98"/>
    <mergeCell ref="Y93:AA93"/>
    <mergeCell ref="C94:D94"/>
    <mergeCell ref="E94:J94"/>
    <mergeCell ref="K94:M94"/>
    <mergeCell ref="Q94:R94"/>
    <mergeCell ref="S94:X94"/>
    <mergeCell ref="Y94:AA94"/>
    <mergeCell ref="Y95:AA95"/>
    <mergeCell ref="Y96:AA96"/>
    <mergeCell ref="C98:D98"/>
    <mergeCell ref="E98:J98"/>
    <mergeCell ref="K98:M98"/>
    <mergeCell ref="Q98:R98"/>
    <mergeCell ref="S98:X98"/>
    <mergeCell ref="Y98:AA98"/>
    <mergeCell ref="Q97:R97"/>
    <mergeCell ref="S97:X97"/>
    <mergeCell ref="Y97:AA97"/>
    <mergeCell ref="A95:A96"/>
    <mergeCell ref="B95:B96"/>
    <mergeCell ref="C95:D95"/>
    <mergeCell ref="E95:J95"/>
    <mergeCell ref="K95:M95"/>
    <mergeCell ref="O95:O96"/>
    <mergeCell ref="P95:P96"/>
    <mergeCell ref="Q95:R95"/>
    <mergeCell ref="S95:X95"/>
    <mergeCell ref="C96:D96"/>
    <mergeCell ref="E96:J96"/>
    <mergeCell ref="K96:M96"/>
    <mergeCell ref="Q96:R96"/>
    <mergeCell ref="S96:X96"/>
    <mergeCell ref="Y91:AA91"/>
    <mergeCell ref="C92:D92"/>
    <mergeCell ref="E92:J92"/>
    <mergeCell ref="K92:M92"/>
    <mergeCell ref="Q92:R92"/>
    <mergeCell ref="S92:X92"/>
    <mergeCell ref="Y92:AA92"/>
    <mergeCell ref="A89:A90"/>
    <mergeCell ref="A93:A94"/>
    <mergeCell ref="B93:B94"/>
    <mergeCell ref="C93:D93"/>
    <mergeCell ref="E93:J93"/>
    <mergeCell ref="K93:M93"/>
    <mergeCell ref="O93:O94"/>
    <mergeCell ref="P93:P94"/>
    <mergeCell ref="Q93:R93"/>
    <mergeCell ref="S93:X93"/>
    <mergeCell ref="A91:A92"/>
    <mergeCell ref="B91:B92"/>
    <mergeCell ref="C91:D91"/>
    <mergeCell ref="E91:J91"/>
    <mergeCell ref="K91:M91"/>
    <mergeCell ref="O91:O92"/>
    <mergeCell ref="P91:P92"/>
    <mergeCell ref="Q91:R91"/>
    <mergeCell ref="S91:X91"/>
    <mergeCell ref="B89:B90"/>
    <mergeCell ref="C89:D89"/>
    <mergeCell ref="E89:J89"/>
    <mergeCell ref="K89:M89"/>
    <mergeCell ref="O89:O90"/>
    <mergeCell ref="P89:P90"/>
    <mergeCell ref="Q89:R89"/>
    <mergeCell ref="S89:X89"/>
    <mergeCell ref="Y85:AA85"/>
    <mergeCell ref="C86:D86"/>
    <mergeCell ref="E86:J86"/>
    <mergeCell ref="K86:M86"/>
    <mergeCell ref="Q86:R86"/>
    <mergeCell ref="S86:X86"/>
    <mergeCell ref="Y86:AA86"/>
    <mergeCell ref="Y87:AA87"/>
    <mergeCell ref="Y88:AA88"/>
    <mergeCell ref="Y89:AA89"/>
    <mergeCell ref="C90:D90"/>
    <mergeCell ref="E90:J90"/>
    <mergeCell ref="K90:M90"/>
    <mergeCell ref="Q90:R90"/>
    <mergeCell ref="S90:X90"/>
    <mergeCell ref="Y90:AA90"/>
    <mergeCell ref="A87:A88"/>
    <mergeCell ref="B87:B88"/>
    <mergeCell ref="C87:D87"/>
    <mergeCell ref="E87:J87"/>
    <mergeCell ref="K87:M87"/>
    <mergeCell ref="O87:O88"/>
    <mergeCell ref="P87:P88"/>
    <mergeCell ref="Q87:R87"/>
    <mergeCell ref="S87:X87"/>
    <mergeCell ref="C88:D88"/>
    <mergeCell ref="E88:J88"/>
    <mergeCell ref="K88:M88"/>
    <mergeCell ref="Q88:R88"/>
    <mergeCell ref="S88:X88"/>
    <mergeCell ref="Y83:AA83"/>
    <mergeCell ref="C84:D84"/>
    <mergeCell ref="E84:J84"/>
    <mergeCell ref="K84:M84"/>
    <mergeCell ref="Q84:R84"/>
    <mergeCell ref="S84:X84"/>
    <mergeCell ref="Y84:AA84"/>
    <mergeCell ref="A81:A82"/>
    <mergeCell ref="A85:A86"/>
    <mergeCell ref="B85:B86"/>
    <mergeCell ref="C85:D85"/>
    <mergeCell ref="E85:J85"/>
    <mergeCell ref="K85:M85"/>
    <mergeCell ref="O85:O86"/>
    <mergeCell ref="P85:P86"/>
    <mergeCell ref="Q85:R85"/>
    <mergeCell ref="S85:X85"/>
    <mergeCell ref="A83:A84"/>
    <mergeCell ref="B83:B84"/>
    <mergeCell ref="C83:D83"/>
    <mergeCell ref="E83:J83"/>
    <mergeCell ref="K83:M83"/>
    <mergeCell ref="O83:O84"/>
    <mergeCell ref="P83:P84"/>
    <mergeCell ref="Q83:R83"/>
    <mergeCell ref="S83:X83"/>
    <mergeCell ref="B81:B82"/>
    <mergeCell ref="C81:D81"/>
    <mergeCell ref="E81:J81"/>
    <mergeCell ref="K81:M81"/>
    <mergeCell ref="O81:O82"/>
    <mergeCell ref="P81:P82"/>
    <mergeCell ref="Q81:R81"/>
    <mergeCell ref="S81:X81"/>
    <mergeCell ref="Y81:AA81"/>
    <mergeCell ref="C82:D82"/>
    <mergeCell ref="E82:J82"/>
    <mergeCell ref="K82:M82"/>
    <mergeCell ref="Q82:R82"/>
    <mergeCell ref="S82:X82"/>
    <mergeCell ref="Y82:AA82"/>
    <mergeCell ref="A79:A80"/>
    <mergeCell ref="B79:B80"/>
    <mergeCell ref="C79:D79"/>
    <mergeCell ref="E79:J79"/>
    <mergeCell ref="K79:M79"/>
    <mergeCell ref="O79:O80"/>
    <mergeCell ref="P79:P80"/>
    <mergeCell ref="Q79:R79"/>
    <mergeCell ref="S79:X79"/>
    <mergeCell ref="C80:D80"/>
    <mergeCell ref="E80:J80"/>
    <mergeCell ref="K80:M80"/>
    <mergeCell ref="Q80:R80"/>
    <mergeCell ref="S80:X80"/>
    <mergeCell ref="Y79:AA79"/>
    <mergeCell ref="Y80:AA80"/>
    <mergeCell ref="Y75:AA75"/>
    <mergeCell ref="C76:D76"/>
    <mergeCell ref="E76:J76"/>
    <mergeCell ref="K76:M76"/>
    <mergeCell ref="Q76:R76"/>
    <mergeCell ref="S76:X76"/>
    <mergeCell ref="Y76:AA76"/>
    <mergeCell ref="A73:A74"/>
    <mergeCell ref="A77:A78"/>
    <mergeCell ref="B77:B78"/>
    <mergeCell ref="C77:D77"/>
    <mergeCell ref="E77:J77"/>
    <mergeCell ref="K77:M77"/>
    <mergeCell ref="O77:O78"/>
    <mergeCell ref="P77:P78"/>
    <mergeCell ref="Q77:R77"/>
    <mergeCell ref="S77:X77"/>
    <mergeCell ref="Y77:AA77"/>
    <mergeCell ref="C78:D78"/>
    <mergeCell ref="E78:J78"/>
    <mergeCell ref="K78:M78"/>
    <mergeCell ref="Q78:R78"/>
    <mergeCell ref="S78:X78"/>
    <mergeCell ref="Y78:AA78"/>
    <mergeCell ref="A75:A76"/>
    <mergeCell ref="B75:B76"/>
    <mergeCell ref="C75:D75"/>
    <mergeCell ref="E75:J75"/>
    <mergeCell ref="K75:M75"/>
    <mergeCell ref="O75:O76"/>
    <mergeCell ref="P75:P76"/>
    <mergeCell ref="Q75:R75"/>
    <mergeCell ref="S75:X75"/>
    <mergeCell ref="A44:AB44"/>
    <mergeCell ref="A45:AB45"/>
    <mergeCell ref="B31:B32"/>
    <mergeCell ref="Y35:AA35"/>
    <mergeCell ref="S23:X23"/>
    <mergeCell ref="O33:O34"/>
    <mergeCell ref="Y33:AA33"/>
    <mergeCell ref="S33:X33"/>
    <mergeCell ref="K33:M33"/>
    <mergeCell ref="S34:X34"/>
    <mergeCell ref="K32:M32"/>
    <mergeCell ref="P23:P24"/>
    <mergeCell ref="Q24:R24"/>
    <mergeCell ref="Y23:AA23"/>
    <mergeCell ref="Y30:AA30"/>
    <mergeCell ref="Y27:AA27"/>
    <mergeCell ref="Y29:AA29"/>
    <mergeCell ref="A23:A24"/>
    <mergeCell ref="A33:A34"/>
    <mergeCell ref="C29:D29"/>
    <mergeCell ref="C30:D30"/>
    <mergeCell ref="A31:A32"/>
    <mergeCell ref="A29:A30"/>
    <mergeCell ref="E27:J27"/>
    <mergeCell ref="B73:B74"/>
    <mergeCell ref="C73:D73"/>
    <mergeCell ref="E73:J73"/>
    <mergeCell ref="K73:M73"/>
    <mergeCell ref="O73:O74"/>
    <mergeCell ref="P73:P74"/>
    <mergeCell ref="Q73:R73"/>
    <mergeCell ref="S73:X73"/>
    <mergeCell ref="A48:AB48"/>
    <mergeCell ref="Y73:AA73"/>
    <mergeCell ref="C74:D74"/>
    <mergeCell ref="E74:J74"/>
    <mergeCell ref="K74:M74"/>
    <mergeCell ref="Q74:R74"/>
    <mergeCell ref="S74:X74"/>
    <mergeCell ref="Y74:AA74"/>
    <mergeCell ref="C68:AB68"/>
    <mergeCell ref="C66:AB66"/>
    <mergeCell ref="J50:P50"/>
    <mergeCell ref="C52:H52"/>
    <mergeCell ref="C53:H53"/>
    <mergeCell ref="J53:P53"/>
    <mergeCell ref="J51:P51"/>
    <mergeCell ref="J52:P52"/>
    <mergeCell ref="A47:AB47"/>
    <mergeCell ref="A46:AB46"/>
    <mergeCell ref="K24:M24"/>
    <mergeCell ref="K26:M26"/>
    <mergeCell ref="S24:X24"/>
    <mergeCell ref="Y24:AA24"/>
    <mergeCell ref="Q37:R37"/>
    <mergeCell ref="Q38:R38"/>
    <mergeCell ref="C38:D38"/>
    <mergeCell ref="K35:M35"/>
    <mergeCell ref="C35:D35"/>
    <mergeCell ref="E37:J37"/>
    <mergeCell ref="K36:M36"/>
    <mergeCell ref="O37:O38"/>
    <mergeCell ref="K38:M38"/>
    <mergeCell ref="C36:D36"/>
    <mergeCell ref="P37:P38"/>
    <mergeCell ref="E36:J36"/>
    <mergeCell ref="Q36:R36"/>
    <mergeCell ref="O31:O32"/>
    <mergeCell ref="O23:O24"/>
    <mergeCell ref="S29:X29"/>
    <mergeCell ref="C33:D33"/>
    <mergeCell ref="O27:O28"/>
    <mergeCell ref="K11:M11"/>
    <mergeCell ref="Y19:AA19"/>
    <mergeCell ref="P13:P14"/>
    <mergeCell ref="O15:O16"/>
    <mergeCell ref="P15:P16"/>
    <mergeCell ref="K9:M9"/>
    <mergeCell ref="O11:O12"/>
    <mergeCell ref="Y11:AA11"/>
    <mergeCell ref="S11:X11"/>
    <mergeCell ref="K14:M14"/>
    <mergeCell ref="Q13:R13"/>
    <mergeCell ref="Q14:R14"/>
    <mergeCell ref="Q11:R11"/>
    <mergeCell ref="Q12:R12"/>
    <mergeCell ref="S19:X19"/>
    <mergeCell ref="P11:P12"/>
    <mergeCell ref="Y10:AA10"/>
    <mergeCell ref="K10:M10"/>
    <mergeCell ref="K19:M19"/>
    <mergeCell ref="K15:M15"/>
    <mergeCell ref="Y15:AA15"/>
    <mergeCell ref="Y12:AA12"/>
    <mergeCell ref="Y9:AA9"/>
    <mergeCell ref="S12:X12"/>
    <mergeCell ref="K22:M22"/>
    <mergeCell ref="K21:M21"/>
    <mergeCell ref="C22:D22"/>
    <mergeCell ref="P19:P20"/>
    <mergeCell ref="C15:D15"/>
    <mergeCell ref="E16:J16"/>
    <mergeCell ref="C16:D16"/>
    <mergeCell ref="E17:J17"/>
    <mergeCell ref="E18:J18"/>
    <mergeCell ref="E22:J22"/>
    <mergeCell ref="C7:D7"/>
    <mergeCell ref="C8:D8"/>
    <mergeCell ref="E9:J9"/>
    <mergeCell ref="E10:J10"/>
    <mergeCell ref="C11:D11"/>
    <mergeCell ref="C12:D12"/>
    <mergeCell ref="C13:D13"/>
    <mergeCell ref="C14:D14"/>
    <mergeCell ref="C21:D21"/>
    <mergeCell ref="E20:J20"/>
    <mergeCell ref="E19:J19"/>
    <mergeCell ref="E21:J21"/>
    <mergeCell ref="A58:AB58"/>
    <mergeCell ref="A55:B55"/>
    <mergeCell ref="B51:H51"/>
    <mergeCell ref="A61:AB61"/>
    <mergeCell ref="A63:AB63"/>
    <mergeCell ref="A64:AB64"/>
    <mergeCell ref="A62:AB62"/>
    <mergeCell ref="B50:H50"/>
    <mergeCell ref="A57:AB57"/>
    <mergeCell ref="A59:AB59"/>
    <mergeCell ref="A60:Z60"/>
    <mergeCell ref="A49:AB49"/>
    <mergeCell ref="C37:D37"/>
    <mergeCell ref="K34:M34"/>
    <mergeCell ref="E38:J38"/>
    <mergeCell ref="A67:AB67"/>
    <mergeCell ref="A65:AB65"/>
    <mergeCell ref="K12:M12"/>
    <mergeCell ref="K29:M29"/>
    <mergeCell ref="K25:M25"/>
    <mergeCell ref="S20:X20"/>
    <mergeCell ref="Y21:AA21"/>
    <mergeCell ref="Y14:AA14"/>
    <mergeCell ref="S16:X16"/>
    <mergeCell ref="Y13:AA13"/>
    <mergeCell ref="S21:X21"/>
    <mergeCell ref="Y20:AA20"/>
    <mergeCell ref="P21:P22"/>
    <mergeCell ref="O21:O22"/>
    <mergeCell ref="Y22:AA22"/>
    <mergeCell ref="S22:X22"/>
    <mergeCell ref="K27:M27"/>
    <mergeCell ref="K23:M23"/>
    <mergeCell ref="Y26:AA26"/>
    <mergeCell ref="Y25:AA25"/>
    <mergeCell ref="Y16:AA16"/>
    <mergeCell ref="Y17:AA17"/>
    <mergeCell ref="Q21:R21"/>
    <mergeCell ref="P29:P30"/>
    <mergeCell ref="Q19:R19"/>
    <mergeCell ref="Q20:R20"/>
    <mergeCell ref="Q23:R23"/>
    <mergeCell ref="Q26:R26"/>
    <mergeCell ref="P25:P26"/>
    <mergeCell ref="P27:P28"/>
    <mergeCell ref="Q30:R30"/>
    <mergeCell ref="S25:X25"/>
    <mergeCell ref="S26:X26"/>
    <mergeCell ref="S28:X28"/>
    <mergeCell ref="Q27:R27"/>
    <mergeCell ref="Q28:R28"/>
    <mergeCell ref="S27:X27"/>
    <mergeCell ref="Q25:R25"/>
    <mergeCell ref="Y18:AA18"/>
    <mergeCell ref="S17:X17"/>
    <mergeCell ref="S18:X18"/>
    <mergeCell ref="Q22:R22"/>
    <mergeCell ref="Y28:AA28"/>
    <mergeCell ref="K6:M6"/>
    <mergeCell ref="Y6:AA6"/>
    <mergeCell ref="S6:X6"/>
    <mergeCell ref="Y7:AA7"/>
    <mergeCell ref="O7:O8"/>
    <mergeCell ref="P9:P10"/>
    <mergeCell ref="O9:O10"/>
    <mergeCell ref="P7:P8"/>
    <mergeCell ref="Y8:AA8"/>
    <mergeCell ref="Q6:R6"/>
    <mergeCell ref="Q7:R7"/>
    <mergeCell ref="Q9:R9"/>
    <mergeCell ref="Q10:R10"/>
    <mergeCell ref="S7:X7"/>
    <mergeCell ref="S8:X8"/>
    <mergeCell ref="Q8:R8"/>
    <mergeCell ref="S9:X9"/>
    <mergeCell ref="S10:X10"/>
    <mergeCell ref="K7:M7"/>
    <mergeCell ref="K8:M8"/>
    <mergeCell ref="S14:X14"/>
    <mergeCell ref="K13:M13"/>
    <mergeCell ref="K20:M20"/>
    <mergeCell ref="O19:O20"/>
    <mergeCell ref="K18:M18"/>
    <mergeCell ref="Q15:R15"/>
    <mergeCell ref="Q16:R16"/>
    <mergeCell ref="P17:P18"/>
    <mergeCell ref="K16:M16"/>
    <mergeCell ref="K17:M17"/>
    <mergeCell ref="O17:O18"/>
    <mergeCell ref="Q17:R17"/>
    <mergeCell ref="Q18:R18"/>
    <mergeCell ref="S15:X15"/>
    <mergeCell ref="O13:O14"/>
    <mergeCell ref="S13:X13"/>
    <mergeCell ref="A4:D4"/>
    <mergeCell ref="E6:J6"/>
    <mergeCell ref="E7:J7"/>
    <mergeCell ref="E8:J8"/>
    <mergeCell ref="C18:D18"/>
    <mergeCell ref="C17:D17"/>
    <mergeCell ref="E14:J14"/>
    <mergeCell ref="A9:A10"/>
    <mergeCell ref="E13:J13"/>
    <mergeCell ref="E11:J11"/>
    <mergeCell ref="E12:J12"/>
    <mergeCell ref="B9:B10"/>
    <mergeCell ref="C6:D6"/>
    <mergeCell ref="A7:A8"/>
    <mergeCell ref="B7:B8"/>
    <mergeCell ref="A17:A18"/>
    <mergeCell ref="C9:D9"/>
    <mergeCell ref="C10:D10"/>
    <mergeCell ref="B11:B12"/>
    <mergeCell ref="A13:A14"/>
    <mergeCell ref="B13:B14"/>
    <mergeCell ref="A11:A12"/>
    <mergeCell ref="E15:J15"/>
    <mergeCell ref="B15:B16"/>
    <mergeCell ref="A15:A16"/>
    <mergeCell ref="C19:D19"/>
    <mergeCell ref="C20:D20"/>
    <mergeCell ref="B19:B20"/>
    <mergeCell ref="A21:A22"/>
    <mergeCell ref="A27:A28"/>
    <mergeCell ref="A25:A26"/>
    <mergeCell ref="B25:B26"/>
    <mergeCell ref="B17:B18"/>
    <mergeCell ref="B21:B22"/>
    <mergeCell ref="C27:D27"/>
    <mergeCell ref="B23:B24"/>
    <mergeCell ref="A19:A20"/>
    <mergeCell ref="B27:B28"/>
    <mergeCell ref="E28:J28"/>
    <mergeCell ref="E25:J25"/>
    <mergeCell ref="E23:J23"/>
    <mergeCell ref="E32:J32"/>
    <mergeCell ref="C23:D23"/>
    <mergeCell ref="E31:J31"/>
    <mergeCell ref="K31:M31"/>
    <mergeCell ref="E30:J30"/>
    <mergeCell ref="E29:J29"/>
    <mergeCell ref="E24:J24"/>
    <mergeCell ref="C31:D31"/>
    <mergeCell ref="C32:D32"/>
    <mergeCell ref="C28:D28"/>
    <mergeCell ref="C24:D24"/>
    <mergeCell ref="K30:M30"/>
    <mergeCell ref="C25:D25"/>
    <mergeCell ref="C26:D26"/>
    <mergeCell ref="E26:J26"/>
    <mergeCell ref="K28:M28"/>
    <mergeCell ref="Y32:AA32"/>
    <mergeCell ref="Q29:R29"/>
    <mergeCell ref="Q35:R35"/>
    <mergeCell ref="O35:O36"/>
    <mergeCell ref="Q34:R34"/>
    <mergeCell ref="C34:D34"/>
    <mergeCell ref="E33:J33"/>
    <mergeCell ref="O29:O30"/>
    <mergeCell ref="Y31:AA31"/>
    <mergeCell ref="P31:P32"/>
    <mergeCell ref="Q31:R31"/>
    <mergeCell ref="S32:X32"/>
    <mergeCell ref="S31:X31"/>
    <mergeCell ref="S30:X30"/>
    <mergeCell ref="O25:O26"/>
    <mergeCell ref="A43:AB43"/>
    <mergeCell ref="E34:J34"/>
    <mergeCell ref="B35:B36"/>
    <mergeCell ref="E35:J35"/>
    <mergeCell ref="Y36:AA36"/>
    <mergeCell ref="Y37:AA37"/>
    <mergeCell ref="S36:X36"/>
    <mergeCell ref="S35:X35"/>
    <mergeCell ref="S37:X37"/>
    <mergeCell ref="A37:A38"/>
    <mergeCell ref="B37:B38"/>
    <mergeCell ref="Y38:AA38"/>
    <mergeCell ref="A35:A36"/>
    <mergeCell ref="S38:X38"/>
    <mergeCell ref="B33:B34"/>
    <mergeCell ref="Q33:R33"/>
    <mergeCell ref="P33:P34"/>
    <mergeCell ref="P35:P36"/>
    <mergeCell ref="Y34:AA34"/>
    <mergeCell ref="Q32:R32"/>
    <mergeCell ref="K37:M37"/>
    <mergeCell ref="B29:B30"/>
    <mergeCell ref="A41:D41"/>
  </mergeCells>
  <phoneticPr fontId="7"/>
  <dataValidations count="1">
    <dataValidation type="list" allowBlank="1" showInputMessage="1" showErrorMessage="1" sqref="P73 P75 P77 P79 P81 P83 P85 P87 P89 P91 P93 P95 P97 P99 P101 B93 B35 B7 B9 B11 B13 B15 B17 B19 B21 B23 B25 B27 B29 B31 B33 B95 B97 B99 B101 B77 B73 B75 B79 B81 B83 B85 B87 B89 B91 P37 P7 P9 P11 P13 P15 P17 P19 P21 P23 P25 P27 P29 P31 P33 P35" xr:uid="{00000000-0002-0000-0700-000000000000}">
      <formula1>"日,月,火,水,木,金,土"</formula1>
    </dataValidation>
  </dataValidations>
  <pageMargins left="0.78740157480314965" right="0.59055118110236227" top="0.98425196850393704" bottom="0.74803149606299213" header="0.51181102362204722" footer="0.51181102362204722"/>
  <pageSetup paperSize="9" scale="53"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BM57"/>
  <sheetViews>
    <sheetView view="pageBreakPreview" zoomScale="115" zoomScaleNormal="100" zoomScaleSheetLayoutView="115" workbookViewId="0">
      <selection activeCell="C9" sqref="C9"/>
    </sheetView>
  </sheetViews>
  <sheetFormatPr defaultColWidth="9" defaultRowHeight="13.2"/>
  <cols>
    <col min="1" max="1" width="11.88671875" style="36" customWidth="1"/>
    <col min="2" max="3" width="14.109375" style="36" customWidth="1"/>
    <col min="4" max="4" width="11.6640625" style="36" customWidth="1"/>
    <col min="5" max="5" width="2.6640625" style="36" customWidth="1"/>
    <col min="6" max="6" width="11.88671875" style="36" customWidth="1"/>
    <col min="7" max="8" width="14.6640625" style="36" customWidth="1"/>
    <col min="9" max="9" width="10.6640625" style="36" customWidth="1"/>
    <col min="10" max="10" width="13" style="36" bestFit="1" customWidth="1"/>
    <col min="11" max="13" width="10.6640625" style="36" customWidth="1"/>
    <col min="14" max="16384" width="9" style="36"/>
  </cols>
  <sheetData>
    <row r="1" spans="1:65" s="5" customFormat="1" ht="20.25" customHeight="1">
      <c r="A1" s="1111" t="s">
        <v>55</v>
      </c>
      <c r="B1" s="1112"/>
      <c r="C1" s="1113"/>
      <c r="D1" s="51" t="s">
        <v>74</v>
      </c>
      <c r="E1" s="52"/>
      <c r="F1" s="52"/>
      <c r="G1" s="52"/>
      <c r="H1" s="52"/>
      <c r="I1" s="52"/>
      <c r="J1"/>
      <c r="K1"/>
      <c r="L1" s="1109" t="s">
        <v>369</v>
      </c>
      <c r="M1" s="1109"/>
      <c r="N1" s="1109"/>
      <c r="O1" s="1109"/>
      <c r="P1" s="1109"/>
      <c r="Q1" s="1109"/>
      <c r="R1" s="1109"/>
      <c r="S1" s="1109"/>
      <c r="T1" s="1109"/>
      <c r="U1" s="1109"/>
      <c r="V1" s="96"/>
      <c r="W1" s="96"/>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row>
    <row r="2" spans="1:65" s="5" customFormat="1" ht="20.25" customHeight="1">
      <c r="A2"/>
      <c r="B2"/>
      <c r="C2"/>
      <c r="D2"/>
      <c r="E2"/>
      <c r="F2"/>
      <c r="G2"/>
      <c r="H2"/>
      <c r="I2"/>
      <c r="J2"/>
      <c r="K2"/>
      <c r="L2" s="1109"/>
      <c r="M2" s="1109"/>
      <c r="N2" s="1109"/>
      <c r="O2" s="1109"/>
      <c r="P2" s="1109"/>
      <c r="Q2" s="1109"/>
      <c r="R2" s="1109"/>
      <c r="S2" s="1109"/>
      <c r="T2" s="1109"/>
      <c r="U2" s="1109"/>
      <c r="V2" s="96"/>
      <c r="W2" s="96"/>
      <c r="X2"/>
      <c r="Y2"/>
      <c r="Z2"/>
      <c r="AA2"/>
      <c r="AB2"/>
      <c r="AC2"/>
      <c r="AD2"/>
      <c r="AE2"/>
      <c r="AF2"/>
      <c r="AG2"/>
      <c r="AH2"/>
      <c r="AI2"/>
      <c r="AJ2"/>
      <c r="AK2"/>
      <c r="AL2"/>
      <c r="AM2"/>
      <c r="AN2"/>
      <c r="AO2"/>
      <c r="AP2"/>
      <c r="AQ2"/>
      <c r="AR2"/>
      <c r="AS2"/>
      <c r="AT2"/>
      <c r="AU2"/>
      <c r="AV2"/>
      <c r="AW2"/>
      <c r="AX2"/>
      <c r="AY2"/>
    </row>
    <row r="3" spans="1:65" ht="22.5" customHeight="1">
      <c r="A3" s="48" t="s">
        <v>0</v>
      </c>
      <c r="B3" s="5"/>
      <c r="C3" s="7"/>
      <c r="D3" s="5"/>
      <c r="E3" s="5"/>
      <c r="F3" s="48" t="s">
        <v>1</v>
      </c>
      <c r="G3" s="5"/>
      <c r="H3" s="7"/>
      <c r="I3" s="5"/>
      <c r="J3"/>
      <c r="K3"/>
      <c r="L3" s="1109"/>
      <c r="M3" s="1109"/>
      <c r="N3" s="1109"/>
      <c r="O3" s="1109"/>
      <c r="P3" s="1109"/>
      <c r="Q3" s="1109"/>
      <c r="R3" s="1109"/>
      <c r="S3" s="1109"/>
      <c r="T3" s="1109"/>
      <c r="U3" s="1109"/>
      <c r="V3" s="96"/>
      <c r="W3" s="96"/>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row>
    <row r="4" spans="1:65" ht="30" customHeight="1">
      <c r="A4" s="361"/>
      <c r="B4" s="362" t="s">
        <v>25</v>
      </c>
      <c r="C4" s="102" t="s">
        <v>26</v>
      </c>
      <c r="D4" s="102" t="s">
        <v>22</v>
      </c>
      <c r="E4" s="101"/>
      <c r="F4" s="361"/>
      <c r="G4" s="102" t="s">
        <v>25</v>
      </c>
      <c r="H4" s="102" t="s">
        <v>26</v>
      </c>
      <c r="I4" s="102" t="s">
        <v>22</v>
      </c>
      <c r="J4" s="363" t="s">
        <v>65</v>
      </c>
      <c r="K4" s="102" t="s">
        <v>67</v>
      </c>
      <c r="L4" s="1109"/>
      <c r="M4" s="1109"/>
      <c r="N4" s="1109"/>
      <c r="O4" s="1109"/>
      <c r="P4" s="1109"/>
      <c r="Q4" s="1109"/>
      <c r="R4" s="1109"/>
      <c r="S4" s="1109"/>
      <c r="T4" s="1109"/>
      <c r="U4" s="1109"/>
      <c r="V4" s="96"/>
      <c r="W4" s="96"/>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row>
    <row r="5" spans="1:65" ht="20.25" customHeight="1">
      <c r="A5" s="105">
        <v>45017</v>
      </c>
      <c r="B5" s="358">
        <v>102</v>
      </c>
      <c r="C5" s="358">
        <v>89</v>
      </c>
      <c r="D5" s="382">
        <f t="shared" ref="D5:D16" si="0">C5/B5</f>
        <v>0.87254901960784315</v>
      </c>
      <c r="E5" s="101"/>
      <c r="F5" s="105">
        <v>45017</v>
      </c>
      <c r="G5" s="320">
        <v>26055</v>
      </c>
      <c r="H5" s="320">
        <v>21485</v>
      </c>
      <c r="I5" s="880">
        <f t="shared" ref="I5:I16" si="1">H5/G5</f>
        <v>0.82460180387641524</v>
      </c>
      <c r="J5" s="370">
        <f t="shared" ref="J5:J16" si="2">IF(K5="","",K5*600)</f>
        <v>86.399999999999991</v>
      </c>
      <c r="K5" s="102">
        <v>0.14399999999999999</v>
      </c>
      <c r="L5" s="1109"/>
      <c r="M5" s="1109"/>
      <c r="N5" s="1109"/>
      <c r="O5" s="1109"/>
      <c r="P5" s="1109"/>
      <c r="Q5" s="1109"/>
      <c r="R5" s="1109"/>
      <c r="S5" s="1109"/>
      <c r="T5" s="1109"/>
      <c r="U5" s="1109"/>
      <c r="V5" s="96"/>
      <c r="W5" s="96"/>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row>
    <row r="6" spans="1:65" ht="20.25" customHeight="1">
      <c r="A6" s="57" t="s">
        <v>33</v>
      </c>
      <c r="B6" s="358">
        <v>75</v>
      </c>
      <c r="C6" s="321"/>
      <c r="D6" s="382">
        <f t="shared" si="0"/>
        <v>0</v>
      </c>
      <c r="E6" s="101"/>
      <c r="F6" s="105" t="s">
        <v>33</v>
      </c>
      <c r="G6" s="320">
        <v>20305</v>
      </c>
      <c r="H6" s="320"/>
      <c r="I6" s="382">
        <f t="shared" si="1"/>
        <v>0</v>
      </c>
      <c r="J6" s="371" t="str">
        <f t="shared" si="2"/>
        <v/>
      </c>
      <c r="K6" s="102"/>
      <c r="L6" s="1109"/>
      <c r="M6" s="1109"/>
      <c r="N6" s="1109"/>
      <c r="O6" s="1109"/>
      <c r="P6" s="1109"/>
      <c r="Q6" s="1109"/>
      <c r="R6" s="1109"/>
      <c r="S6" s="1109"/>
      <c r="T6" s="1109"/>
      <c r="U6" s="1109"/>
      <c r="V6" s="96"/>
      <c r="W6" s="9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row>
    <row r="7" spans="1:65" ht="20.25" customHeight="1">
      <c r="A7" s="105" t="s">
        <v>400</v>
      </c>
      <c r="B7" s="358">
        <v>88</v>
      </c>
      <c r="C7" s="358"/>
      <c r="D7" s="382">
        <f t="shared" si="0"/>
        <v>0</v>
      </c>
      <c r="E7" s="101"/>
      <c r="F7" s="105" t="s">
        <v>34</v>
      </c>
      <c r="G7" s="320">
        <v>23121</v>
      </c>
      <c r="H7" s="320"/>
      <c r="I7" s="382">
        <f t="shared" si="1"/>
        <v>0</v>
      </c>
      <c r="J7" s="371" t="str">
        <f>IF(K7="","",K7*600)</f>
        <v/>
      </c>
      <c r="K7" s="364"/>
      <c r="L7" s="1109"/>
      <c r="M7" s="1109"/>
      <c r="N7" s="1109"/>
      <c r="O7" s="1109"/>
      <c r="P7" s="1109"/>
      <c r="Q7" s="1109"/>
      <c r="R7" s="1109"/>
      <c r="S7" s="1109"/>
      <c r="T7" s="1109"/>
      <c r="U7" s="1109"/>
      <c r="V7" s="96"/>
      <c r="W7" s="96"/>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row>
    <row r="8" spans="1:65" ht="20.25" customHeight="1">
      <c r="A8" s="57" t="s">
        <v>35</v>
      </c>
      <c r="B8" s="358">
        <v>82</v>
      </c>
      <c r="C8" s="321"/>
      <c r="D8" s="382">
        <f t="shared" si="0"/>
        <v>0</v>
      </c>
      <c r="E8" s="101"/>
      <c r="F8" s="57" t="s">
        <v>35</v>
      </c>
      <c r="G8" s="320">
        <v>30180</v>
      </c>
      <c r="H8" s="320"/>
      <c r="I8" s="382">
        <f t="shared" si="1"/>
        <v>0</v>
      </c>
      <c r="J8" s="370" t="str">
        <f t="shared" si="2"/>
        <v/>
      </c>
      <c r="K8" s="365"/>
      <c r="L8" s="1109"/>
      <c r="M8" s="1109"/>
      <c r="N8" s="1109"/>
      <c r="O8" s="1109"/>
      <c r="P8" s="1109"/>
      <c r="Q8" s="1109"/>
      <c r="R8" s="1109"/>
      <c r="S8" s="1109"/>
      <c r="T8" s="1109"/>
      <c r="U8" s="1109"/>
      <c r="V8" s="96"/>
      <c r="W8" s="350"/>
      <c r="X8" s="104"/>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row>
    <row r="9" spans="1:65" ht="20.25" customHeight="1">
      <c r="A9" s="57" t="s">
        <v>36</v>
      </c>
      <c r="B9" s="358">
        <v>76</v>
      </c>
      <c r="C9" s="358"/>
      <c r="D9" s="382">
        <f t="shared" si="0"/>
        <v>0</v>
      </c>
      <c r="E9" s="101"/>
      <c r="F9" s="57" t="s">
        <v>36</v>
      </c>
      <c r="G9" s="320">
        <v>33277</v>
      </c>
      <c r="H9" s="320"/>
      <c r="I9" s="880">
        <f t="shared" si="1"/>
        <v>0</v>
      </c>
      <c r="J9" s="371" t="str">
        <f t="shared" si="2"/>
        <v/>
      </c>
      <c r="K9" s="366"/>
      <c r="L9" s="1109"/>
      <c r="M9" s="1109"/>
      <c r="N9" s="1109"/>
      <c r="O9" s="1109"/>
      <c r="P9" s="1109"/>
      <c r="Q9" s="1109"/>
      <c r="R9" s="1109"/>
      <c r="S9" s="1109"/>
      <c r="T9" s="1109"/>
      <c r="U9" s="1109"/>
      <c r="V9" s="96"/>
      <c r="W9" s="350"/>
      <c r="X9" s="104"/>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row>
    <row r="10" spans="1:65" ht="20.25" customHeight="1">
      <c r="A10" s="57" t="s">
        <v>37</v>
      </c>
      <c r="B10" s="358">
        <v>75</v>
      </c>
      <c r="C10" s="321"/>
      <c r="D10" s="382">
        <f t="shared" si="0"/>
        <v>0</v>
      </c>
      <c r="E10" s="101"/>
      <c r="F10" s="57" t="s">
        <v>37</v>
      </c>
      <c r="G10" s="320">
        <v>28586</v>
      </c>
      <c r="H10" s="320"/>
      <c r="I10" s="382">
        <f t="shared" si="1"/>
        <v>0</v>
      </c>
      <c r="J10" s="371" t="str">
        <f t="shared" si="2"/>
        <v/>
      </c>
      <c r="K10" s="364"/>
      <c r="L10" s="1109"/>
      <c r="M10" s="1109"/>
      <c r="N10" s="1109"/>
      <c r="O10" s="1109"/>
      <c r="P10" s="1109"/>
      <c r="Q10" s="1109"/>
      <c r="R10" s="1109"/>
      <c r="S10" s="1109"/>
      <c r="T10" s="1109"/>
      <c r="U10" s="1109"/>
      <c r="V10" s="96"/>
      <c r="W10" s="350"/>
      <c r="X10" s="104"/>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row>
    <row r="11" spans="1:65" ht="20.25" customHeight="1">
      <c r="A11" s="57" t="s">
        <v>401</v>
      </c>
      <c r="B11" s="358">
        <v>70</v>
      </c>
      <c r="C11" s="358"/>
      <c r="D11" s="382">
        <f t="shared" si="0"/>
        <v>0</v>
      </c>
      <c r="E11" s="101"/>
      <c r="F11" s="57" t="s">
        <v>38</v>
      </c>
      <c r="G11" s="320">
        <v>20904</v>
      </c>
      <c r="H11" s="320"/>
      <c r="I11" s="382">
        <f t="shared" si="1"/>
        <v>0</v>
      </c>
      <c r="J11" s="371" t="str">
        <f t="shared" si="2"/>
        <v/>
      </c>
      <c r="K11" s="366"/>
      <c r="L11" s="1109"/>
      <c r="M11" s="1109"/>
      <c r="N11" s="1109"/>
      <c r="O11" s="1109"/>
      <c r="P11" s="1109"/>
      <c r="Q11" s="1109"/>
      <c r="R11" s="1109"/>
      <c r="S11" s="1109"/>
      <c r="T11" s="1109"/>
      <c r="U11" s="1109"/>
      <c r="V11" s="96"/>
      <c r="W11" s="350"/>
      <c r="X11" s="104"/>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row>
    <row r="12" spans="1:65" ht="20.25" customHeight="1">
      <c r="A12" s="57" t="s">
        <v>39</v>
      </c>
      <c r="B12" s="358">
        <v>101</v>
      </c>
      <c r="C12" s="321"/>
      <c r="D12" s="382">
        <f t="shared" si="0"/>
        <v>0</v>
      </c>
      <c r="E12" s="101"/>
      <c r="F12" s="57" t="s">
        <v>39</v>
      </c>
      <c r="G12" s="320">
        <v>22934</v>
      </c>
      <c r="H12" s="320"/>
      <c r="I12" s="382">
        <f t="shared" si="1"/>
        <v>0</v>
      </c>
      <c r="J12" s="371" t="str">
        <f t="shared" si="2"/>
        <v/>
      </c>
      <c r="K12" s="366"/>
      <c r="L12" s="1109"/>
      <c r="M12" s="1109"/>
      <c r="N12" s="1109"/>
      <c r="O12" s="1109"/>
      <c r="P12" s="1109"/>
      <c r="Q12" s="1109"/>
      <c r="R12" s="1109"/>
      <c r="S12" s="1109"/>
      <c r="T12" s="1109"/>
      <c r="U12" s="1109"/>
      <c r="V12" s="96"/>
      <c r="W12" s="350"/>
      <c r="X12" s="104"/>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row>
    <row r="13" spans="1:65" ht="20.25" customHeight="1">
      <c r="A13" s="57" t="s">
        <v>40</v>
      </c>
      <c r="B13" s="358">
        <v>100</v>
      </c>
      <c r="C13" s="358"/>
      <c r="D13" s="382">
        <f t="shared" si="0"/>
        <v>0</v>
      </c>
      <c r="E13" s="101"/>
      <c r="F13" s="57" t="s">
        <v>40</v>
      </c>
      <c r="G13" s="320">
        <v>26490</v>
      </c>
      <c r="H13" s="320"/>
      <c r="I13" s="382">
        <f t="shared" si="1"/>
        <v>0</v>
      </c>
      <c r="J13" s="370" t="str">
        <f t="shared" si="2"/>
        <v/>
      </c>
      <c r="K13" s="365"/>
      <c r="L13" s="1109"/>
      <c r="M13" s="1109"/>
      <c r="N13" s="1109"/>
      <c r="O13" s="1109"/>
      <c r="P13" s="1109"/>
      <c r="Q13" s="1109"/>
      <c r="R13" s="1109"/>
      <c r="S13" s="1109"/>
      <c r="T13" s="1109"/>
      <c r="U13" s="1109"/>
      <c r="V13" s="96"/>
      <c r="W13" s="350"/>
      <c r="X13" s="104"/>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row>
    <row r="14" spans="1:65" ht="20.25" customHeight="1">
      <c r="A14" s="105">
        <v>45292</v>
      </c>
      <c r="B14" s="358">
        <v>87</v>
      </c>
      <c r="C14" s="321"/>
      <c r="D14" s="382">
        <f t="shared" si="0"/>
        <v>0</v>
      </c>
      <c r="E14" s="101"/>
      <c r="F14" s="105">
        <v>45292</v>
      </c>
      <c r="G14" s="360">
        <v>30211</v>
      </c>
      <c r="H14" s="320"/>
      <c r="I14" s="382">
        <f t="shared" si="1"/>
        <v>0</v>
      </c>
      <c r="J14" s="370" t="str">
        <f t="shared" si="2"/>
        <v/>
      </c>
      <c r="K14" s="365"/>
      <c r="L14" s="1109"/>
      <c r="M14" s="1109"/>
      <c r="N14" s="1109"/>
      <c r="O14" s="1109"/>
      <c r="P14" s="1109"/>
      <c r="Q14" s="1109"/>
      <c r="R14" s="1109"/>
      <c r="S14" s="1109"/>
      <c r="T14" s="1109"/>
      <c r="U14" s="1109"/>
      <c r="V14" s="96"/>
      <c r="W14" s="350"/>
      <c r="X14" s="10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row>
    <row r="15" spans="1:65" ht="20.25" customHeight="1">
      <c r="A15" s="57" t="s">
        <v>41</v>
      </c>
      <c r="B15" s="358">
        <v>116</v>
      </c>
      <c r="C15" s="358"/>
      <c r="D15" s="382">
        <f t="shared" si="0"/>
        <v>0</v>
      </c>
      <c r="E15" s="101"/>
      <c r="F15" s="57" t="s">
        <v>41</v>
      </c>
      <c r="G15" s="360">
        <v>40175</v>
      </c>
      <c r="H15" s="320"/>
      <c r="I15" s="382">
        <f t="shared" si="1"/>
        <v>0</v>
      </c>
      <c r="J15" s="370" t="str">
        <f t="shared" si="2"/>
        <v/>
      </c>
      <c r="K15" s="366"/>
      <c r="L15" s="1109"/>
      <c r="M15" s="1109"/>
      <c r="N15" s="1109"/>
      <c r="O15" s="1109"/>
      <c r="P15" s="1109"/>
      <c r="Q15" s="1109"/>
      <c r="R15" s="1109"/>
      <c r="S15" s="1109"/>
      <c r="T15" s="1109"/>
      <c r="U15" s="1109"/>
      <c r="V15" s="96"/>
      <c r="W15" s="350"/>
      <c r="X15" s="104"/>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row>
    <row r="16" spans="1:65" ht="20.25" customHeight="1" thickBot="1">
      <c r="A16" s="105" t="s">
        <v>322</v>
      </c>
      <c r="B16" s="359">
        <v>99</v>
      </c>
      <c r="C16" s="357"/>
      <c r="D16" s="385">
        <f t="shared" si="0"/>
        <v>0</v>
      </c>
      <c r="E16" s="101"/>
      <c r="F16" s="105" t="s">
        <v>322</v>
      </c>
      <c r="G16" s="360">
        <v>26136</v>
      </c>
      <c r="H16" s="320"/>
      <c r="I16" s="382">
        <f t="shared" si="1"/>
        <v>0</v>
      </c>
      <c r="J16" s="370" t="str">
        <f t="shared" si="2"/>
        <v/>
      </c>
      <c r="K16" s="364"/>
      <c r="L16" s="1109"/>
      <c r="M16" s="1109"/>
      <c r="N16" s="1109"/>
      <c r="O16" s="1109"/>
      <c r="P16" s="1109"/>
      <c r="Q16" s="1109"/>
      <c r="R16" s="1109"/>
      <c r="S16" s="1109"/>
      <c r="T16" s="1109"/>
      <c r="U16" s="1109"/>
      <c r="V16" s="96"/>
      <c r="W16" s="350"/>
      <c r="X16" s="351"/>
      <c r="Y16" s="38"/>
    </row>
    <row r="17" spans="1:25" ht="20.25" customHeight="1" thickTop="1">
      <c r="A17" s="367" t="s">
        <v>2</v>
      </c>
      <c r="B17" s="368">
        <f>SUM(B5)</f>
        <v>102</v>
      </c>
      <c r="C17" s="368">
        <f>SUM(C5:C16)</f>
        <v>89</v>
      </c>
      <c r="D17" s="383">
        <f>C17/B17</f>
        <v>0.87254901960784315</v>
      </c>
      <c r="E17" s="101"/>
      <c r="F17" s="367" t="s">
        <v>66</v>
      </c>
      <c r="G17" s="380">
        <f>SUM(G5)</f>
        <v>26055</v>
      </c>
      <c r="H17" s="380">
        <f>SUM(H5:H16)</f>
        <v>21485</v>
      </c>
      <c r="I17" s="369">
        <f>H17/G17</f>
        <v>0.82460180387641524</v>
      </c>
      <c r="J17" s="372"/>
      <c r="K17"/>
      <c r="L17" s="1109"/>
      <c r="M17" s="1109"/>
      <c r="N17" s="1109"/>
      <c r="O17" s="1109"/>
      <c r="P17" s="1109"/>
      <c r="Q17" s="1109"/>
      <c r="R17" s="1109"/>
      <c r="S17" s="1109"/>
      <c r="T17" s="1109"/>
      <c r="U17" s="1109"/>
      <c r="V17" s="349"/>
      <c r="W17" s="350"/>
      <c r="X17" s="351"/>
      <c r="Y17" s="38"/>
    </row>
    <row r="18" spans="1:25" ht="20.25" customHeight="1">
      <c r="A18" s="5"/>
      <c r="B18" s="5"/>
      <c r="C18" s="5"/>
      <c r="D18" s="41"/>
      <c r="E18" s="41"/>
      <c r="F18" s="41"/>
      <c r="G18" s="53"/>
      <c r="H18" s="41"/>
      <c r="I18" s="41"/>
      <c r="L18" s="1109"/>
      <c r="M18" s="1109"/>
      <c r="N18" s="1109"/>
      <c r="O18" s="1109"/>
      <c r="P18" s="1109"/>
      <c r="Q18" s="1109"/>
      <c r="R18" s="1109"/>
      <c r="S18" s="1109"/>
      <c r="T18" s="1109"/>
      <c r="U18" s="1109"/>
      <c r="V18" s="349"/>
      <c r="W18" s="350"/>
      <c r="X18" s="351"/>
      <c r="Y18" s="38"/>
    </row>
    <row r="19" spans="1:25" ht="18.75" customHeight="1">
      <c r="A19" s="45" t="s">
        <v>3</v>
      </c>
      <c r="B19" s="46"/>
      <c r="C19" s="106"/>
      <c r="D19" s="107"/>
      <c r="E19" s="107"/>
      <c r="F19" s="107"/>
      <c r="G19" s="107"/>
      <c r="H19" s="107"/>
      <c r="I19" s="107"/>
      <c r="J19" s="97"/>
      <c r="L19" s="1109"/>
      <c r="M19" s="1109"/>
      <c r="N19" s="1109"/>
      <c r="O19" s="1109"/>
      <c r="P19" s="1109"/>
      <c r="Q19" s="1109"/>
      <c r="R19" s="1109"/>
      <c r="S19" s="1109"/>
      <c r="T19" s="1109"/>
      <c r="U19" s="1109"/>
      <c r="V19" s="349"/>
      <c r="W19" s="350"/>
      <c r="X19" s="351"/>
    </row>
    <row r="20" spans="1:25" ht="12" customHeight="1">
      <c r="A20" s="1114"/>
      <c r="B20" s="1115"/>
      <c r="C20" s="1115"/>
      <c r="D20" s="1115"/>
      <c r="E20" s="1115"/>
      <c r="F20" s="1115"/>
      <c r="G20" s="1115"/>
      <c r="H20" s="1115"/>
      <c r="I20" s="1115"/>
      <c r="J20" s="1116"/>
      <c r="L20" s="1109"/>
      <c r="M20" s="1109"/>
      <c r="N20" s="1109"/>
      <c r="O20" s="1109"/>
      <c r="P20" s="1109"/>
      <c r="Q20" s="1109"/>
      <c r="R20" s="1109"/>
      <c r="S20" s="1109"/>
      <c r="T20" s="1109"/>
      <c r="U20" s="1109"/>
      <c r="V20" s="349"/>
      <c r="W20" s="350"/>
      <c r="X20" s="351"/>
    </row>
    <row r="21" spans="1:25" ht="12" customHeight="1">
      <c r="A21" s="1117"/>
      <c r="B21" s="1118"/>
      <c r="C21" s="1118"/>
      <c r="D21" s="1118"/>
      <c r="E21" s="1118"/>
      <c r="F21" s="1118"/>
      <c r="G21" s="1118"/>
      <c r="H21" s="1118"/>
      <c r="I21" s="1118"/>
      <c r="J21" s="1119"/>
      <c r="L21" s="1109"/>
      <c r="M21" s="1109"/>
      <c r="N21" s="1109"/>
      <c r="O21" s="1109"/>
      <c r="P21" s="1109"/>
      <c r="Q21" s="1109"/>
      <c r="R21" s="1109"/>
      <c r="S21" s="1109"/>
      <c r="T21" s="1109"/>
      <c r="U21" s="1109"/>
      <c r="V21" s="349"/>
      <c r="W21" s="350"/>
      <c r="X21" s="351"/>
    </row>
    <row r="22" spans="1:25" ht="12" customHeight="1">
      <c r="A22" s="1117"/>
      <c r="B22" s="1118"/>
      <c r="C22" s="1118"/>
      <c r="D22" s="1118"/>
      <c r="E22" s="1118"/>
      <c r="F22" s="1118"/>
      <c r="G22" s="1118"/>
      <c r="H22" s="1118"/>
      <c r="I22" s="1118"/>
      <c r="J22" s="1119"/>
      <c r="L22" s="1109"/>
      <c r="M22" s="1109"/>
      <c r="N22" s="1109"/>
      <c r="O22" s="1109"/>
      <c r="P22" s="1109"/>
      <c r="Q22" s="1109"/>
      <c r="R22" s="1109"/>
      <c r="S22" s="1109"/>
      <c r="T22" s="1109"/>
      <c r="U22" s="1109"/>
      <c r="V22" s="349"/>
      <c r="W22" s="350"/>
      <c r="X22" s="351"/>
    </row>
    <row r="23" spans="1:25" ht="12" customHeight="1">
      <c r="A23" s="1117"/>
      <c r="B23" s="1118"/>
      <c r="C23" s="1118"/>
      <c r="D23" s="1118"/>
      <c r="E23" s="1118"/>
      <c r="F23" s="1118"/>
      <c r="G23" s="1118"/>
      <c r="H23" s="1118"/>
      <c r="I23" s="1118"/>
      <c r="J23" s="1119"/>
      <c r="L23" s="1109"/>
      <c r="M23" s="1109"/>
      <c r="N23" s="1109"/>
      <c r="O23" s="1109"/>
      <c r="P23" s="1109"/>
      <c r="Q23" s="1109"/>
      <c r="R23" s="1109"/>
      <c r="S23" s="1109"/>
      <c r="T23" s="1109"/>
      <c r="U23" s="1109"/>
      <c r="V23" s="349"/>
      <c r="W23" s="350"/>
      <c r="X23" s="351"/>
    </row>
    <row r="24" spans="1:25" ht="12" customHeight="1">
      <c r="A24" s="1117"/>
      <c r="B24" s="1118"/>
      <c r="C24" s="1118"/>
      <c r="D24" s="1118"/>
      <c r="E24" s="1118"/>
      <c r="F24" s="1118"/>
      <c r="G24" s="1118"/>
      <c r="H24" s="1118"/>
      <c r="I24" s="1118"/>
      <c r="J24" s="1119"/>
      <c r="L24" s="1109"/>
      <c r="M24" s="1109"/>
      <c r="N24" s="1109"/>
      <c r="O24" s="1109"/>
      <c r="P24" s="1109"/>
      <c r="Q24" s="1109"/>
      <c r="R24" s="1109"/>
      <c r="S24" s="1109"/>
      <c r="T24" s="1109"/>
      <c r="U24" s="1109"/>
      <c r="V24" s="349"/>
      <c r="W24" s="350"/>
      <c r="X24" s="351"/>
    </row>
    <row r="25" spans="1:25" ht="12" customHeight="1">
      <c r="A25" s="1117"/>
      <c r="B25" s="1118"/>
      <c r="C25" s="1118"/>
      <c r="D25" s="1118"/>
      <c r="E25" s="1118"/>
      <c r="F25" s="1118"/>
      <c r="G25" s="1118"/>
      <c r="H25" s="1118"/>
      <c r="I25" s="1118"/>
      <c r="J25" s="1119"/>
      <c r="L25" s="1109"/>
      <c r="M25" s="1109"/>
      <c r="N25" s="1109"/>
      <c r="O25" s="1109"/>
      <c r="P25" s="1109"/>
      <c r="Q25" s="1109"/>
      <c r="R25" s="1109"/>
      <c r="S25" s="1109"/>
      <c r="T25" s="1109"/>
      <c r="U25" s="1109"/>
      <c r="V25" s="349"/>
      <c r="W25" s="350"/>
      <c r="X25" s="351"/>
    </row>
    <row r="26" spans="1:25" ht="12" customHeight="1">
      <c r="A26" s="1117"/>
      <c r="B26" s="1118"/>
      <c r="C26" s="1118"/>
      <c r="D26" s="1118"/>
      <c r="E26" s="1118"/>
      <c r="F26" s="1118"/>
      <c r="G26" s="1118"/>
      <c r="H26" s="1118"/>
      <c r="I26" s="1118"/>
      <c r="J26" s="1119"/>
      <c r="L26" s="1109"/>
      <c r="M26" s="1109"/>
      <c r="N26" s="1109"/>
      <c r="O26" s="1109"/>
      <c r="P26" s="1109"/>
      <c r="Q26" s="1109"/>
      <c r="R26" s="1109"/>
      <c r="S26" s="1109"/>
      <c r="T26" s="1109"/>
      <c r="U26" s="1109"/>
      <c r="V26" s="352"/>
      <c r="W26" s="350"/>
      <c r="X26" s="351"/>
    </row>
    <row r="27" spans="1:25" ht="12" customHeight="1">
      <c r="A27" s="1117"/>
      <c r="B27" s="1118"/>
      <c r="C27" s="1118"/>
      <c r="D27" s="1118"/>
      <c r="E27" s="1118"/>
      <c r="F27" s="1118"/>
      <c r="G27" s="1118"/>
      <c r="H27" s="1118"/>
      <c r="I27" s="1118"/>
      <c r="J27" s="1119"/>
      <c r="L27" s="1109"/>
      <c r="M27" s="1109"/>
      <c r="N27" s="1109"/>
      <c r="O27" s="1109"/>
      <c r="P27" s="1109"/>
      <c r="Q27" s="1109"/>
      <c r="R27" s="1109"/>
      <c r="S27" s="1109"/>
      <c r="T27" s="1109"/>
      <c r="U27" s="1109"/>
      <c r="V27" s="352"/>
      <c r="W27" s="96"/>
    </row>
    <row r="28" spans="1:25" ht="12" customHeight="1">
      <c r="A28" s="1120"/>
      <c r="B28" s="1121"/>
      <c r="C28" s="1121"/>
      <c r="D28" s="1121"/>
      <c r="E28" s="1121"/>
      <c r="F28" s="1121"/>
      <c r="G28" s="1121"/>
      <c r="H28" s="1121"/>
      <c r="I28" s="1121"/>
      <c r="J28" s="1122"/>
      <c r="L28" s="1109"/>
      <c r="M28" s="1109"/>
      <c r="N28" s="1109"/>
      <c r="O28" s="1109"/>
      <c r="P28" s="1109"/>
      <c r="Q28" s="1109"/>
      <c r="R28" s="1109"/>
      <c r="S28" s="1109"/>
      <c r="T28" s="1109"/>
      <c r="U28" s="1109"/>
      <c r="V28" s="352"/>
      <c r="W28" s="96"/>
    </row>
    <row r="29" spans="1:25" ht="12" customHeight="1">
      <c r="A29" s="1120"/>
      <c r="B29" s="1121"/>
      <c r="C29" s="1121"/>
      <c r="D29" s="1121"/>
      <c r="E29" s="1121"/>
      <c r="F29" s="1121"/>
      <c r="G29" s="1121"/>
      <c r="H29" s="1121"/>
      <c r="I29" s="1121"/>
      <c r="J29" s="1122"/>
      <c r="L29" s="1109"/>
      <c r="M29" s="1109"/>
      <c r="N29" s="1109"/>
      <c r="O29" s="1109"/>
      <c r="P29" s="1109"/>
      <c r="Q29" s="1109"/>
      <c r="R29" s="1109"/>
      <c r="S29" s="1109"/>
      <c r="T29" s="1109"/>
      <c r="U29" s="1109"/>
      <c r="V29" s="353"/>
      <c r="W29" s="96"/>
    </row>
    <row r="30" spans="1:25" ht="12" customHeight="1">
      <c r="A30" s="109"/>
      <c r="B30" s="110"/>
      <c r="C30" s="110"/>
      <c r="D30" s="110"/>
      <c r="E30" s="110"/>
      <c r="F30" s="110"/>
      <c r="G30" s="110"/>
      <c r="H30" s="110"/>
      <c r="I30" s="110"/>
      <c r="J30" s="111"/>
      <c r="L30" s="1109"/>
      <c r="M30" s="1109"/>
      <c r="N30" s="1109"/>
      <c r="O30" s="1109"/>
      <c r="P30" s="1109"/>
      <c r="Q30" s="1109"/>
      <c r="R30" s="1109"/>
      <c r="S30" s="1109"/>
      <c r="T30" s="1109"/>
      <c r="U30" s="1109"/>
      <c r="V30" s="353"/>
      <c r="W30" s="96"/>
    </row>
    <row r="31" spans="1:25" ht="12" customHeight="1">
      <c r="A31" s="92"/>
      <c r="B31" s="47"/>
      <c r="C31" s="1110"/>
      <c r="D31" s="1110"/>
      <c r="E31" s="1110"/>
      <c r="F31" s="1110"/>
      <c r="G31" s="1110"/>
      <c r="H31" s="1110"/>
      <c r="I31" s="1110"/>
      <c r="J31" s="98"/>
      <c r="L31" s="1109"/>
      <c r="M31" s="1109"/>
      <c r="N31" s="1109"/>
      <c r="O31" s="1109"/>
      <c r="P31" s="1109"/>
      <c r="Q31" s="1109"/>
      <c r="R31" s="1109"/>
      <c r="S31" s="1109"/>
      <c r="T31" s="1109"/>
      <c r="U31" s="1109"/>
      <c r="V31" s="353"/>
      <c r="W31" s="96"/>
    </row>
    <row r="32" spans="1:25" ht="15.75" customHeight="1">
      <c r="A32" s="93"/>
      <c r="B32" s="94"/>
      <c r="C32" s="93"/>
      <c r="D32" s="93"/>
      <c r="E32" s="93"/>
      <c r="F32" s="93"/>
      <c r="G32" s="93"/>
      <c r="H32" s="93"/>
      <c r="I32" s="93"/>
      <c r="L32" s="1109"/>
      <c r="M32" s="1109"/>
      <c r="N32" s="1109"/>
      <c r="O32" s="1109"/>
      <c r="P32" s="1109"/>
      <c r="Q32" s="1109"/>
      <c r="R32" s="1109"/>
      <c r="S32" s="1109"/>
      <c r="T32" s="1109"/>
      <c r="U32" s="1109"/>
      <c r="V32" s="353"/>
      <c r="W32" s="96"/>
    </row>
    <row r="33" spans="1:22" ht="15.75" customHeight="1">
      <c r="A33" s="93"/>
      <c r="B33" s="94"/>
      <c r="C33" s="93"/>
      <c r="D33" s="93"/>
      <c r="E33" s="93"/>
      <c r="F33" s="93"/>
      <c r="G33" s="93"/>
      <c r="H33" s="93"/>
      <c r="I33" s="93"/>
      <c r="J33" s="93"/>
      <c r="L33" s="1109"/>
      <c r="M33" s="1109"/>
      <c r="N33" s="1109"/>
      <c r="O33" s="1109"/>
      <c r="P33" s="1109"/>
      <c r="Q33" s="1109"/>
      <c r="R33" s="1109"/>
      <c r="S33" s="1109"/>
      <c r="T33" s="1109"/>
      <c r="U33" s="1109"/>
      <c r="V33" s="351"/>
    </row>
    <row r="34" spans="1:22" ht="15.75" customHeight="1">
      <c r="A34" s="93"/>
      <c r="B34" s="94"/>
      <c r="C34" s="95"/>
      <c r="D34" s="95"/>
      <c r="E34" s="95"/>
      <c r="F34" s="95"/>
      <c r="G34" s="95"/>
      <c r="H34" s="95"/>
      <c r="I34" s="95"/>
      <c r="J34" s="95"/>
      <c r="L34" s="1109"/>
      <c r="M34" s="1109"/>
      <c r="N34" s="1109"/>
      <c r="O34" s="1109"/>
      <c r="P34" s="1109"/>
      <c r="Q34" s="1109"/>
      <c r="R34" s="1109"/>
      <c r="S34" s="1109"/>
      <c r="T34" s="1109"/>
      <c r="U34" s="1109"/>
      <c r="V34" s="351"/>
    </row>
    <row r="35" spans="1:22" ht="15.75" customHeight="1">
      <c r="A35" s="40"/>
      <c r="B35" s="40"/>
      <c r="C35" s="40"/>
      <c r="D35" s="40"/>
      <c r="E35" s="40"/>
      <c r="F35" s="40"/>
      <c r="G35" s="40"/>
      <c r="H35" s="40"/>
      <c r="I35" s="41"/>
      <c r="K35" s="93"/>
      <c r="L35" s="1109"/>
      <c r="M35" s="1109"/>
      <c r="N35" s="1109"/>
      <c r="O35" s="1109"/>
      <c r="P35" s="1109"/>
      <c r="Q35" s="1109"/>
      <c r="R35" s="1109"/>
      <c r="S35" s="1109"/>
      <c r="T35" s="1109"/>
      <c r="U35" s="1109"/>
      <c r="V35" s="351"/>
    </row>
    <row r="36" spans="1:22" ht="15.75" customHeight="1">
      <c r="A36" s="40"/>
      <c r="B36" s="40"/>
      <c r="C36" s="40"/>
      <c r="D36" s="40"/>
      <c r="E36" s="40"/>
      <c r="F36" s="40"/>
      <c r="G36" s="40"/>
      <c r="H36" s="40"/>
      <c r="I36" s="41"/>
      <c r="K36" s="95"/>
      <c r="V36" s="351"/>
    </row>
    <row r="37" spans="1:22" ht="15.75" customHeight="1">
      <c r="A37" s="40"/>
      <c r="B37" s="40"/>
      <c r="L37" s="93"/>
      <c r="M37" s="93"/>
    </row>
    <row r="38" spans="1:22" ht="15.75" customHeight="1">
      <c r="A38" s="40"/>
      <c r="B38" s="40"/>
      <c r="L38" s="95"/>
      <c r="M38" s="95"/>
    </row>
    <row r="39" spans="1:22" ht="15.75" customHeight="1">
      <c r="A39" s="40"/>
      <c r="B39" s="40"/>
    </row>
    <row r="40" spans="1:22" ht="15.75" customHeight="1">
      <c r="A40" s="40"/>
      <c r="B40" s="40"/>
    </row>
    <row r="41" spans="1:22" ht="15.75" customHeight="1">
      <c r="A41" s="40"/>
      <c r="B41" s="40"/>
    </row>
    <row r="42" spans="1:22" ht="15.75" customHeight="1">
      <c r="A42" s="40"/>
      <c r="B42" s="40"/>
    </row>
    <row r="43" spans="1:22" ht="15.75" customHeight="1">
      <c r="A43" s="40"/>
      <c r="B43" s="40"/>
    </row>
    <row r="44" spans="1:22" ht="15.75" customHeight="1">
      <c r="A44" s="40"/>
      <c r="B44" s="40"/>
    </row>
    <row r="45" spans="1:22" ht="15.75" customHeight="1">
      <c r="A45" s="40"/>
      <c r="B45" s="40"/>
    </row>
    <row r="46" spans="1:22" ht="15.75" customHeight="1">
      <c r="A46" s="40"/>
      <c r="B46" s="40"/>
    </row>
    <row r="47" spans="1:22" ht="15.75" customHeight="1">
      <c r="A47" s="40"/>
      <c r="B47" s="40"/>
    </row>
    <row r="48" spans="1:22" ht="18" customHeight="1">
      <c r="A48" s="40"/>
      <c r="B48" s="40"/>
    </row>
    <row r="49" spans="1:3" ht="15.75" customHeight="1">
      <c r="A49" s="40"/>
      <c r="B49" s="40"/>
    </row>
    <row r="50" spans="1:3" ht="15.75" customHeight="1">
      <c r="A50" s="40"/>
      <c r="B50" s="40"/>
    </row>
    <row r="51" spans="1:3" ht="15.75" customHeight="1">
      <c r="A51" s="40"/>
      <c r="B51" s="40"/>
    </row>
    <row r="52" spans="1:3" ht="15.75" customHeight="1">
      <c r="A52" s="40"/>
      <c r="B52" s="54"/>
      <c r="C52" s="54"/>
    </row>
    <row r="53" spans="1:3" ht="15.75" customHeight="1">
      <c r="A53" s="40"/>
      <c r="B53" s="54"/>
      <c r="C53" s="54"/>
    </row>
    <row r="54" spans="1:3" ht="15.75" customHeight="1"/>
    <row r="55" spans="1:3" ht="15.75" customHeight="1"/>
    <row r="56" spans="1:3" ht="15.75" customHeight="1"/>
    <row r="57" spans="1:3" ht="15.75" customHeight="1"/>
  </sheetData>
  <mergeCells count="13">
    <mergeCell ref="L1:U35"/>
    <mergeCell ref="C31:I31"/>
    <mergeCell ref="A1:C1"/>
    <mergeCell ref="A20:J20"/>
    <mergeCell ref="A21:J21"/>
    <mergeCell ref="A22:J22"/>
    <mergeCell ref="A23:J23"/>
    <mergeCell ref="A24:J24"/>
    <mergeCell ref="A25:J25"/>
    <mergeCell ref="A26:J26"/>
    <mergeCell ref="A27:J27"/>
    <mergeCell ref="A28:J28"/>
    <mergeCell ref="A29:J29"/>
  </mergeCells>
  <phoneticPr fontId="7"/>
  <conditionalFormatting sqref="I17">
    <cfRule type="cellIs" dxfId="1967" priority="3" stopIfTrue="1" operator="notBetween">
      <formula>1.3</formula>
      <formula>0.7</formula>
    </cfRule>
  </conditionalFormatting>
  <printOptions horizontalCentered="1" verticalCentered="1"/>
  <pageMargins left="0.62992125984251968" right="0.62992125984251968" top="0.74803149606299213" bottom="0.59055118110236227" header="0.51181102362204722" footer="0.51181102362204722"/>
  <pageSetup paperSize="9" scale="94" orientation="landscape"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BN183"/>
  <sheetViews>
    <sheetView view="pageBreakPreview" zoomScale="85" zoomScaleNormal="85" zoomScaleSheetLayoutView="85" workbookViewId="0">
      <selection activeCell="J10" sqref="J10:P10"/>
    </sheetView>
  </sheetViews>
  <sheetFormatPr defaultColWidth="9" defaultRowHeight="13.2"/>
  <cols>
    <col min="1" max="1" width="8.6640625" style="3" customWidth="1"/>
    <col min="2" max="2" width="5.6640625" style="3" customWidth="1"/>
    <col min="3" max="4" width="7.109375" style="3" customWidth="1"/>
    <col min="5" max="6" width="7" style="3" customWidth="1"/>
    <col min="7" max="16" width="7.109375" style="3" customWidth="1"/>
    <col min="17" max="17" width="8.6640625" style="3" bestFit="1" customWidth="1"/>
    <col min="18" max="18" width="5.6640625" style="3" customWidth="1"/>
    <col min="19" max="32" width="7.109375" style="3" customWidth="1"/>
    <col min="33" max="33" width="9" style="3"/>
    <col min="34" max="39" width="7.6640625" style="3" customWidth="1"/>
    <col min="40" max="16384" width="9" style="3"/>
  </cols>
  <sheetData>
    <row r="1" spans="1:66" s="5" customFormat="1" ht="20.25" customHeight="1">
      <c r="A1" s="1133" t="s">
        <v>56</v>
      </c>
      <c r="B1" s="1134"/>
      <c r="C1" s="1134"/>
      <c r="D1" s="1134"/>
      <c r="E1" s="1134"/>
      <c r="F1" s="1134"/>
      <c r="G1" s="1135"/>
      <c r="AU1" s="3"/>
      <c r="AV1" s="3"/>
      <c r="AW1" s="3"/>
      <c r="AX1" s="3"/>
      <c r="AY1" s="3"/>
      <c r="AZ1" s="3"/>
      <c r="BA1" s="3"/>
      <c r="BB1" s="3"/>
      <c r="BC1" s="3"/>
      <c r="BD1" s="3"/>
      <c r="BE1" s="3"/>
      <c r="BF1" s="3"/>
      <c r="BG1" s="3"/>
      <c r="BH1" s="3"/>
      <c r="BI1" s="3"/>
      <c r="BJ1" s="3"/>
      <c r="BK1" s="3"/>
      <c r="BL1" s="3"/>
      <c r="BM1" s="3"/>
      <c r="BN1" s="3"/>
    </row>
    <row r="2" spans="1:66" s="5" customFormat="1" ht="18.75" customHeight="1">
      <c r="A2" s="1143">
        <v>45047</v>
      </c>
      <c r="B2" s="1143"/>
      <c r="C2" s="1143"/>
      <c r="D2" s="1143"/>
      <c r="E2" s="42"/>
      <c r="F2" s="42"/>
      <c r="G2" s="39"/>
      <c r="H2" s="39"/>
      <c r="I2" s="39"/>
      <c r="J2" s="39"/>
      <c r="K2" s="39"/>
      <c r="L2" s="39"/>
      <c r="M2" s="41"/>
      <c r="N2" s="41"/>
      <c r="O2" s="41"/>
      <c r="P2" s="41"/>
      <c r="Q2" s="41"/>
      <c r="R2" s="41"/>
      <c r="S2" s="41"/>
      <c r="T2" s="41"/>
      <c r="U2" s="41"/>
      <c r="V2" s="41"/>
      <c r="W2" s="41"/>
      <c r="X2" s="41"/>
      <c r="Y2" s="41"/>
      <c r="Z2" s="41"/>
      <c r="AA2" s="41"/>
      <c r="AB2" s="41"/>
      <c r="AC2" s="41"/>
      <c r="AD2" s="41"/>
      <c r="AE2" s="41"/>
      <c r="AF2" s="41"/>
      <c r="AG2" s="41"/>
      <c r="AR2" s="3"/>
      <c r="AS2" s="3"/>
      <c r="AT2" s="3"/>
      <c r="AU2" s="3"/>
      <c r="AV2" s="3"/>
      <c r="AW2" s="3"/>
      <c r="AX2" s="3"/>
      <c r="AY2" s="3"/>
      <c r="AZ2" s="3"/>
      <c r="BA2" s="3"/>
      <c r="BB2" s="3"/>
      <c r="BC2" s="3"/>
      <c r="BD2" s="3"/>
      <c r="BE2" s="3"/>
      <c r="BF2" s="3"/>
      <c r="BG2" s="3"/>
      <c r="BH2" s="3"/>
      <c r="BI2" s="3"/>
      <c r="BJ2" s="3"/>
      <c r="BK2" s="3"/>
    </row>
    <row r="3" spans="1:66" ht="22.5" customHeight="1">
      <c r="A3" s="37" t="s">
        <v>5</v>
      </c>
      <c r="B3" s="37" t="s">
        <v>6</v>
      </c>
      <c r="C3" s="1142" t="s">
        <v>60</v>
      </c>
      <c r="D3" s="1136"/>
      <c r="E3" s="1136"/>
      <c r="F3" s="1136"/>
      <c r="G3" s="1136"/>
      <c r="H3" s="1136"/>
      <c r="I3" s="1137"/>
      <c r="J3" s="1136" t="s">
        <v>59</v>
      </c>
      <c r="K3" s="1136"/>
      <c r="L3" s="1136"/>
      <c r="M3" s="1136"/>
      <c r="N3" s="1136"/>
      <c r="O3" s="1136"/>
      <c r="P3" s="1137"/>
      <c r="Q3" s="37" t="s">
        <v>5</v>
      </c>
      <c r="R3" s="37" t="s">
        <v>6</v>
      </c>
      <c r="S3" s="1142" t="s">
        <v>60</v>
      </c>
      <c r="T3" s="1136"/>
      <c r="U3" s="1136"/>
      <c r="V3" s="1136"/>
      <c r="W3" s="1136"/>
      <c r="X3" s="1136"/>
      <c r="Y3" s="1137"/>
      <c r="Z3" s="1136" t="s">
        <v>59</v>
      </c>
      <c r="AA3" s="1136"/>
      <c r="AB3" s="1136"/>
      <c r="AC3" s="1136"/>
      <c r="AD3" s="1136"/>
      <c r="AE3" s="1136"/>
      <c r="AF3" s="1137"/>
      <c r="AG3" s="43"/>
    </row>
    <row r="4" spans="1:66" ht="21.75" customHeight="1">
      <c r="A4" s="931">
        <v>45047</v>
      </c>
      <c r="B4" s="933" t="s">
        <v>689</v>
      </c>
      <c r="C4" s="1138"/>
      <c r="D4" s="1139"/>
      <c r="E4" s="1139"/>
      <c r="F4" s="1139"/>
      <c r="G4" s="1139"/>
      <c r="H4" s="1139"/>
      <c r="I4" s="1140"/>
      <c r="J4" s="1141"/>
      <c r="K4" s="1139"/>
      <c r="L4" s="1139"/>
      <c r="M4" s="1139"/>
      <c r="N4" s="1139"/>
      <c r="O4" s="1139"/>
      <c r="P4" s="1140"/>
      <c r="Q4" s="1132">
        <v>45062</v>
      </c>
      <c r="R4" s="933" t="s">
        <v>738</v>
      </c>
      <c r="S4" s="1126"/>
      <c r="T4" s="1127"/>
      <c r="U4" s="1127"/>
      <c r="V4" s="1127"/>
      <c r="W4" s="1127"/>
      <c r="X4" s="1127"/>
      <c r="Y4" s="1128"/>
      <c r="Z4" s="1126" t="s">
        <v>747</v>
      </c>
      <c r="AA4" s="1127"/>
      <c r="AB4" s="1127"/>
      <c r="AC4" s="1127"/>
      <c r="AD4" s="1127"/>
      <c r="AE4" s="1127"/>
      <c r="AF4" s="1128"/>
      <c r="AG4" s="376"/>
    </row>
    <row r="5" spans="1:66" ht="21.75" customHeight="1">
      <c r="A5" s="932"/>
      <c r="B5" s="918"/>
      <c r="C5" s="1123"/>
      <c r="D5" s="1124"/>
      <c r="E5" s="1124"/>
      <c r="F5" s="1124"/>
      <c r="G5" s="1124"/>
      <c r="H5" s="1124"/>
      <c r="I5" s="1125"/>
      <c r="J5" s="1123"/>
      <c r="K5" s="1124"/>
      <c r="L5" s="1124"/>
      <c r="M5" s="1124"/>
      <c r="N5" s="1124"/>
      <c r="O5" s="1124"/>
      <c r="P5" s="1125"/>
      <c r="Q5" s="914"/>
      <c r="R5" s="918"/>
      <c r="S5" s="1129"/>
      <c r="T5" s="1124"/>
      <c r="U5" s="1124"/>
      <c r="V5" s="1124"/>
      <c r="W5" s="1124"/>
      <c r="X5" s="1124"/>
      <c r="Y5" s="1125"/>
      <c r="Z5" s="1123"/>
      <c r="AA5" s="1124"/>
      <c r="AB5" s="1124"/>
      <c r="AC5" s="1124"/>
      <c r="AD5" s="1124"/>
      <c r="AE5" s="1124"/>
      <c r="AF5" s="1125"/>
      <c r="AG5" s="376"/>
    </row>
    <row r="6" spans="1:66" ht="21.75" customHeight="1">
      <c r="A6" s="914" t="s">
        <v>404</v>
      </c>
      <c r="B6" s="917" t="s">
        <v>738</v>
      </c>
      <c r="C6" s="1126"/>
      <c r="D6" s="1127"/>
      <c r="E6" s="1127"/>
      <c r="F6" s="1127"/>
      <c r="G6" s="1127"/>
      <c r="H6" s="1127"/>
      <c r="I6" s="1128"/>
      <c r="J6" s="1130"/>
      <c r="K6" s="1127"/>
      <c r="L6" s="1127"/>
      <c r="M6" s="1127"/>
      <c r="N6" s="1127"/>
      <c r="O6" s="1127"/>
      <c r="P6" s="1127"/>
      <c r="Q6" s="914">
        <v>17</v>
      </c>
      <c r="R6" s="917" t="s">
        <v>739</v>
      </c>
      <c r="S6" s="1131"/>
      <c r="T6" s="1115"/>
      <c r="U6" s="1115"/>
      <c r="V6" s="1115"/>
      <c r="W6" s="1115"/>
      <c r="X6" s="1115"/>
      <c r="Y6" s="1116"/>
      <c r="Z6" s="1126"/>
      <c r="AA6" s="1127"/>
      <c r="AB6" s="1127"/>
      <c r="AC6" s="1127"/>
      <c r="AD6" s="1127"/>
      <c r="AE6" s="1127"/>
      <c r="AF6" s="1128"/>
      <c r="AG6" s="376"/>
    </row>
    <row r="7" spans="1:66" ht="21.75" customHeight="1">
      <c r="A7" s="914"/>
      <c r="B7" s="918"/>
      <c r="C7" s="1114"/>
      <c r="D7" s="1115"/>
      <c r="E7" s="1115"/>
      <c r="F7" s="1115"/>
      <c r="G7" s="1115"/>
      <c r="H7" s="1115"/>
      <c r="I7" s="1116"/>
      <c r="J7" s="1123"/>
      <c r="K7" s="1124"/>
      <c r="L7" s="1124"/>
      <c r="M7" s="1124"/>
      <c r="N7" s="1124"/>
      <c r="O7" s="1124"/>
      <c r="P7" s="1125"/>
      <c r="Q7" s="914"/>
      <c r="R7" s="918"/>
      <c r="S7" s="1129"/>
      <c r="T7" s="1124"/>
      <c r="U7" s="1124"/>
      <c r="V7" s="1124"/>
      <c r="W7" s="1124"/>
      <c r="X7" s="1124"/>
      <c r="Y7" s="1125"/>
      <c r="Z7" s="1129"/>
      <c r="AA7" s="1124"/>
      <c r="AB7" s="1124"/>
      <c r="AC7" s="1124"/>
      <c r="AD7" s="1124"/>
      <c r="AE7" s="1124"/>
      <c r="AF7" s="1125"/>
      <c r="AG7" s="376"/>
    </row>
    <row r="8" spans="1:66" ht="21.75" customHeight="1">
      <c r="A8" s="914" t="s">
        <v>405</v>
      </c>
      <c r="B8" s="917" t="s">
        <v>29</v>
      </c>
      <c r="C8" s="1126"/>
      <c r="D8" s="1127"/>
      <c r="E8" s="1127"/>
      <c r="F8" s="1127"/>
      <c r="G8" s="1127"/>
      <c r="H8" s="1127"/>
      <c r="I8" s="1128"/>
      <c r="J8" s="1130"/>
      <c r="K8" s="1127"/>
      <c r="L8" s="1127"/>
      <c r="M8" s="1127"/>
      <c r="N8" s="1127"/>
      <c r="O8" s="1127"/>
      <c r="P8" s="1127"/>
      <c r="Q8" s="914" t="s">
        <v>648</v>
      </c>
      <c r="R8" s="917" t="s">
        <v>30</v>
      </c>
      <c r="S8" s="1126" t="s">
        <v>697</v>
      </c>
      <c r="T8" s="1127"/>
      <c r="U8" s="1127"/>
      <c r="V8" s="1127"/>
      <c r="W8" s="1127"/>
      <c r="X8" s="1128"/>
      <c r="Y8" s="1128"/>
      <c r="Z8" s="1131"/>
      <c r="AA8" s="1115"/>
      <c r="AB8" s="1115"/>
      <c r="AC8" s="1115"/>
      <c r="AD8" s="1115"/>
      <c r="AE8" s="1115"/>
      <c r="AF8" s="1116"/>
      <c r="AG8" s="376"/>
    </row>
    <row r="9" spans="1:66" ht="21.75" customHeight="1">
      <c r="A9" s="914"/>
      <c r="B9" s="918"/>
      <c r="C9" s="1129"/>
      <c r="D9" s="1124"/>
      <c r="E9" s="1124"/>
      <c r="F9" s="1124"/>
      <c r="G9" s="1124"/>
      <c r="H9" s="1124"/>
      <c r="I9" s="1125"/>
      <c r="J9" s="1123"/>
      <c r="K9" s="1124"/>
      <c r="L9" s="1124"/>
      <c r="M9" s="1124"/>
      <c r="N9" s="1124"/>
      <c r="O9" s="1124"/>
      <c r="P9" s="1124"/>
      <c r="Q9" s="914"/>
      <c r="R9" s="918"/>
      <c r="S9" s="1129"/>
      <c r="T9" s="1124"/>
      <c r="U9" s="1124"/>
      <c r="V9" s="1124"/>
      <c r="W9" s="1124"/>
      <c r="X9" s="1125"/>
      <c r="Y9" s="1125"/>
      <c r="Z9" s="1131"/>
      <c r="AA9" s="1115"/>
      <c r="AB9" s="1115"/>
      <c r="AC9" s="1115"/>
      <c r="AD9" s="1115"/>
      <c r="AE9" s="1115"/>
      <c r="AF9" s="1116"/>
      <c r="AG9" s="376"/>
    </row>
    <row r="10" spans="1:66" ht="21.75" customHeight="1">
      <c r="A10" s="914" t="s">
        <v>406</v>
      </c>
      <c r="B10" s="917" t="s">
        <v>30</v>
      </c>
      <c r="C10" s="1126"/>
      <c r="D10" s="1127"/>
      <c r="E10" s="1127"/>
      <c r="F10" s="1127"/>
      <c r="G10" s="1127"/>
      <c r="H10" s="1127"/>
      <c r="I10" s="1128"/>
      <c r="J10" s="1130"/>
      <c r="K10" s="1127"/>
      <c r="L10" s="1127"/>
      <c r="M10" s="1127"/>
      <c r="N10" s="1127"/>
      <c r="O10" s="1127"/>
      <c r="P10" s="1127"/>
      <c r="Q10" s="914" t="s">
        <v>649</v>
      </c>
      <c r="R10" s="917" t="s">
        <v>31</v>
      </c>
      <c r="S10" s="1126"/>
      <c r="T10" s="1127"/>
      <c r="U10" s="1127"/>
      <c r="V10" s="1127"/>
      <c r="W10" s="1127"/>
      <c r="X10" s="1128"/>
      <c r="Y10" s="1128"/>
      <c r="Z10" s="1126"/>
      <c r="AA10" s="1127"/>
      <c r="AB10" s="1127"/>
      <c r="AC10" s="1127"/>
      <c r="AD10" s="1127"/>
      <c r="AE10" s="1127"/>
      <c r="AF10" s="1128"/>
      <c r="AG10" s="376"/>
    </row>
    <row r="11" spans="1:66" ht="21.75" customHeight="1">
      <c r="A11" s="914"/>
      <c r="B11" s="918"/>
      <c r="C11" s="1114"/>
      <c r="D11" s="1115"/>
      <c r="E11" s="1115"/>
      <c r="F11" s="1115"/>
      <c r="G11" s="1115"/>
      <c r="H11" s="1115"/>
      <c r="I11" s="1116"/>
      <c r="J11" s="1123"/>
      <c r="K11" s="1124"/>
      <c r="L11" s="1124"/>
      <c r="M11" s="1124"/>
      <c r="N11" s="1124"/>
      <c r="O11" s="1124"/>
      <c r="P11" s="1124"/>
      <c r="Q11" s="914"/>
      <c r="R11" s="918"/>
      <c r="S11" s="1129"/>
      <c r="T11" s="1124"/>
      <c r="U11" s="1124"/>
      <c r="V11" s="1124"/>
      <c r="W11" s="1124"/>
      <c r="X11" s="1125"/>
      <c r="Y11" s="1125"/>
      <c r="Z11" s="1123"/>
      <c r="AA11" s="1124"/>
      <c r="AB11" s="1124"/>
      <c r="AC11" s="1124"/>
      <c r="AD11" s="1124"/>
      <c r="AE11" s="1124"/>
      <c r="AF11" s="1125"/>
      <c r="AG11" s="376"/>
    </row>
    <row r="12" spans="1:66" ht="21.75" customHeight="1">
      <c r="A12" s="914" t="s">
        <v>407</v>
      </c>
      <c r="B12" s="917" t="s">
        <v>31</v>
      </c>
      <c r="C12" s="1126"/>
      <c r="D12" s="1127"/>
      <c r="E12" s="1127"/>
      <c r="F12" s="1127"/>
      <c r="G12" s="1127"/>
      <c r="H12" s="1127"/>
      <c r="I12" s="1128"/>
      <c r="J12" s="1130"/>
      <c r="K12" s="1127"/>
      <c r="L12" s="1127"/>
      <c r="M12" s="1127"/>
      <c r="N12" s="1127"/>
      <c r="O12" s="1127"/>
      <c r="P12" s="1127"/>
      <c r="Q12" s="914" t="s">
        <v>650</v>
      </c>
      <c r="R12" s="917" t="s">
        <v>32</v>
      </c>
      <c r="S12" s="1126"/>
      <c r="T12" s="1127"/>
      <c r="U12" s="1127"/>
      <c r="V12" s="1127"/>
      <c r="W12" s="1127"/>
      <c r="X12" s="1127"/>
      <c r="Y12" s="1128"/>
      <c r="Z12" s="1131"/>
      <c r="AA12" s="1115"/>
      <c r="AB12" s="1115"/>
      <c r="AC12" s="1115"/>
      <c r="AD12" s="1115"/>
      <c r="AE12" s="1115"/>
      <c r="AF12" s="1116"/>
      <c r="AG12" s="376"/>
    </row>
    <row r="13" spans="1:66" ht="21.75" customHeight="1">
      <c r="A13" s="914"/>
      <c r="B13" s="918"/>
      <c r="C13" s="1114"/>
      <c r="D13" s="1115"/>
      <c r="E13" s="1115"/>
      <c r="F13" s="1115"/>
      <c r="G13" s="1115"/>
      <c r="H13" s="1115"/>
      <c r="I13" s="1116"/>
      <c r="J13" s="1123"/>
      <c r="K13" s="1124"/>
      <c r="L13" s="1124"/>
      <c r="M13" s="1124"/>
      <c r="N13" s="1124"/>
      <c r="O13" s="1124"/>
      <c r="P13" s="1124"/>
      <c r="Q13" s="914"/>
      <c r="R13" s="918"/>
      <c r="S13" s="1131"/>
      <c r="T13" s="1115"/>
      <c r="U13" s="1115"/>
      <c r="V13" s="1115"/>
      <c r="W13" s="1115"/>
      <c r="X13" s="1115"/>
      <c r="Y13" s="1116"/>
      <c r="Z13" s="1129"/>
      <c r="AA13" s="1124"/>
      <c r="AB13" s="1124"/>
      <c r="AC13" s="1124"/>
      <c r="AD13" s="1124"/>
      <c r="AE13" s="1124"/>
      <c r="AF13" s="1125"/>
      <c r="AG13" s="376"/>
    </row>
    <row r="14" spans="1:66" ht="21.75" customHeight="1">
      <c r="A14" s="914" t="s">
        <v>408</v>
      </c>
      <c r="B14" s="917" t="s">
        <v>32</v>
      </c>
      <c r="C14" s="1126"/>
      <c r="D14" s="1144"/>
      <c r="E14" s="1144"/>
      <c r="F14" s="1144"/>
      <c r="G14" s="1144"/>
      <c r="H14" s="1144"/>
      <c r="I14" s="1145"/>
      <c r="J14" s="1126"/>
      <c r="K14" s="1144"/>
      <c r="L14" s="1144"/>
      <c r="M14" s="1144"/>
      <c r="N14" s="1144"/>
      <c r="O14" s="1144"/>
      <c r="P14" s="1145"/>
      <c r="Q14" s="914" t="s">
        <v>651</v>
      </c>
      <c r="R14" s="917" t="s">
        <v>10</v>
      </c>
      <c r="S14" s="1126"/>
      <c r="T14" s="1127"/>
      <c r="U14" s="1127"/>
      <c r="V14" s="1127"/>
      <c r="W14" s="1127"/>
      <c r="X14" s="1127"/>
      <c r="Y14" s="1128"/>
      <c r="Z14" s="1126" t="s">
        <v>746</v>
      </c>
      <c r="AA14" s="1127"/>
      <c r="AB14" s="1127"/>
      <c r="AC14" s="1127"/>
      <c r="AD14" s="1127"/>
      <c r="AE14" s="1127"/>
      <c r="AF14" s="1128"/>
      <c r="AG14" s="376"/>
    </row>
    <row r="15" spans="1:66" ht="21.75" customHeight="1">
      <c r="A15" s="914"/>
      <c r="B15" s="918"/>
      <c r="C15" s="1114"/>
      <c r="D15" s="1115"/>
      <c r="E15" s="1115"/>
      <c r="F15" s="1115"/>
      <c r="G15" s="1115"/>
      <c r="H15" s="1115"/>
      <c r="I15" s="1116"/>
      <c r="J15" s="1114"/>
      <c r="K15" s="1115"/>
      <c r="L15" s="1115"/>
      <c r="M15" s="1115"/>
      <c r="N15" s="1115"/>
      <c r="O15" s="1115"/>
      <c r="P15" s="1115"/>
      <c r="Q15" s="914"/>
      <c r="R15" s="918"/>
      <c r="S15" s="1131"/>
      <c r="T15" s="1115"/>
      <c r="U15" s="1115"/>
      <c r="V15" s="1115"/>
      <c r="W15" s="1115"/>
      <c r="X15" s="1115"/>
      <c r="Y15" s="1116"/>
      <c r="Z15" s="1129"/>
      <c r="AA15" s="1124"/>
      <c r="AB15" s="1124"/>
      <c r="AC15" s="1124"/>
      <c r="AD15" s="1124"/>
      <c r="AE15" s="1124"/>
      <c r="AF15" s="1125"/>
      <c r="AG15" s="376"/>
    </row>
    <row r="16" spans="1:66" ht="21.75" customHeight="1">
      <c r="A16" s="914" t="s">
        <v>409</v>
      </c>
      <c r="B16" s="917" t="s">
        <v>10</v>
      </c>
      <c r="C16" s="1149"/>
      <c r="D16" s="1127"/>
      <c r="E16" s="1127"/>
      <c r="F16" s="1127"/>
      <c r="G16" s="1127"/>
      <c r="H16" s="1127"/>
      <c r="I16" s="1128"/>
      <c r="J16" s="1126"/>
      <c r="K16" s="1127"/>
      <c r="L16" s="1127"/>
      <c r="M16" s="1127"/>
      <c r="N16" s="1127"/>
      <c r="O16" s="1127"/>
      <c r="P16" s="1127"/>
      <c r="Q16" s="914" t="s">
        <v>652</v>
      </c>
      <c r="R16" s="917" t="s">
        <v>27</v>
      </c>
      <c r="S16" s="1126"/>
      <c r="T16" s="1127"/>
      <c r="U16" s="1127"/>
      <c r="V16" s="1127"/>
      <c r="W16" s="1127"/>
      <c r="X16" s="1127"/>
      <c r="Y16" s="1128"/>
      <c r="Z16" s="1126"/>
      <c r="AA16" s="1127"/>
      <c r="AB16" s="1127"/>
      <c r="AC16" s="1127"/>
      <c r="AD16" s="1127"/>
      <c r="AE16" s="1127"/>
      <c r="AF16" s="1128"/>
      <c r="AG16" s="376"/>
    </row>
    <row r="17" spans="1:33" ht="21.75" customHeight="1">
      <c r="A17" s="914"/>
      <c r="B17" s="918"/>
      <c r="C17" s="1129"/>
      <c r="D17" s="1124"/>
      <c r="E17" s="1124"/>
      <c r="F17" s="1124"/>
      <c r="G17" s="1124"/>
      <c r="H17" s="1124"/>
      <c r="I17" s="1125"/>
      <c r="J17" s="1123"/>
      <c r="K17" s="1124"/>
      <c r="L17" s="1124"/>
      <c r="M17" s="1124"/>
      <c r="N17" s="1124"/>
      <c r="O17" s="1124"/>
      <c r="P17" s="1124"/>
      <c r="Q17" s="914"/>
      <c r="R17" s="918"/>
      <c r="S17" s="1131"/>
      <c r="T17" s="1115"/>
      <c r="U17" s="1115"/>
      <c r="V17" s="1115"/>
      <c r="W17" s="1115"/>
      <c r="X17" s="1115"/>
      <c r="Y17" s="1116"/>
      <c r="Z17" s="1123"/>
      <c r="AA17" s="1124"/>
      <c r="AB17" s="1124"/>
      <c r="AC17" s="1124"/>
      <c r="AD17" s="1124"/>
      <c r="AE17" s="1124"/>
      <c r="AF17" s="1125"/>
      <c r="AG17" s="376"/>
    </row>
    <row r="18" spans="1:33" ht="21.75" customHeight="1">
      <c r="A18" s="914" t="s">
        <v>410</v>
      </c>
      <c r="B18" s="917" t="s">
        <v>27</v>
      </c>
      <c r="C18" s="1126" t="s">
        <v>741</v>
      </c>
      <c r="D18" s="1127"/>
      <c r="E18" s="1127"/>
      <c r="F18" s="1127"/>
      <c r="G18" s="1127"/>
      <c r="H18" s="1127"/>
      <c r="I18" s="1128"/>
      <c r="J18" s="1126" t="s">
        <v>742</v>
      </c>
      <c r="K18" s="1127"/>
      <c r="L18" s="1127"/>
      <c r="M18" s="1127"/>
      <c r="N18" s="1127"/>
      <c r="O18" s="1127"/>
      <c r="P18" s="1128"/>
      <c r="Q18" s="914" t="s">
        <v>653</v>
      </c>
      <c r="R18" s="917" t="s">
        <v>28</v>
      </c>
      <c r="S18" s="1126"/>
      <c r="T18" s="1127"/>
      <c r="U18" s="1127"/>
      <c r="V18" s="1127"/>
      <c r="W18" s="1127"/>
      <c r="X18" s="1127"/>
      <c r="Y18" s="1128"/>
      <c r="Z18" s="1114"/>
      <c r="AA18" s="1115"/>
      <c r="AB18" s="1115"/>
      <c r="AC18" s="1115"/>
      <c r="AD18" s="1115"/>
      <c r="AE18" s="1115"/>
      <c r="AF18" s="1116"/>
      <c r="AG18" s="376"/>
    </row>
    <row r="19" spans="1:33" ht="21.75" customHeight="1">
      <c r="A19" s="914"/>
      <c r="B19" s="918"/>
      <c r="C19" s="1129" t="s">
        <v>740</v>
      </c>
      <c r="D19" s="1124"/>
      <c r="E19" s="1124"/>
      <c r="F19" s="1124"/>
      <c r="G19" s="1124"/>
      <c r="H19" s="1124"/>
      <c r="I19" s="1125"/>
      <c r="J19" s="1123"/>
      <c r="K19" s="1124"/>
      <c r="L19" s="1124"/>
      <c r="M19" s="1124"/>
      <c r="N19" s="1124"/>
      <c r="O19" s="1124"/>
      <c r="P19" s="1125"/>
      <c r="Q19" s="914"/>
      <c r="R19" s="918"/>
      <c r="S19" s="1131"/>
      <c r="T19" s="1115"/>
      <c r="U19" s="1115"/>
      <c r="V19" s="1115"/>
      <c r="W19" s="1115"/>
      <c r="X19" s="1115"/>
      <c r="Y19" s="1116"/>
      <c r="Z19" s="1157"/>
      <c r="AA19" s="1158"/>
      <c r="AB19" s="1158"/>
      <c r="AC19" s="1158"/>
      <c r="AD19" s="1158"/>
      <c r="AE19" s="1158"/>
      <c r="AF19" s="1159"/>
      <c r="AG19" s="376"/>
    </row>
    <row r="20" spans="1:33" ht="21.75" customHeight="1">
      <c r="A20" s="912" t="s">
        <v>411</v>
      </c>
      <c r="B20" s="917" t="s">
        <v>28</v>
      </c>
      <c r="C20" s="1126" t="s">
        <v>743</v>
      </c>
      <c r="D20" s="1127"/>
      <c r="E20" s="1127"/>
      <c r="F20" s="1127"/>
      <c r="G20" s="1127"/>
      <c r="H20" s="1127"/>
      <c r="I20" s="1128"/>
      <c r="J20" s="1130" t="s">
        <v>764</v>
      </c>
      <c r="K20" s="1127"/>
      <c r="L20" s="1127"/>
      <c r="M20" s="1127"/>
      <c r="N20" s="1127"/>
      <c r="O20" s="1127"/>
      <c r="P20" s="1127"/>
      <c r="Q20" s="914" t="s">
        <v>654</v>
      </c>
      <c r="R20" s="917" t="s">
        <v>29</v>
      </c>
      <c r="S20" s="1126"/>
      <c r="T20" s="1127"/>
      <c r="U20" s="1127"/>
      <c r="V20" s="1130"/>
      <c r="W20" s="1127"/>
      <c r="X20" s="1128"/>
      <c r="Y20" s="1128"/>
      <c r="Z20" s="1131"/>
      <c r="AA20" s="1115"/>
      <c r="AB20" s="1115"/>
      <c r="AC20" s="1115"/>
      <c r="AD20" s="1115"/>
      <c r="AE20" s="1115"/>
      <c r="AF20" s="1116"/>
      <c r="AG20" s="376"/>
    </row>
    <row r="21" spans="1:33" ht="21.75" customHeight="1">
      <c r="A21" s="913"/>
      <c r="B21" s="918"/>
      <c r="C21" s="1114"/>
      <c r="D21" s="1115"/>
      <c r="E21" s="1115"/>
      <c r="F21" s="1115"/>
      <c r="G21" s="1115"/>
      <c r="H21" s="1115"/>
      <c r="I21" s="1116"/>
      <c r="J21" s="1114"/>
      <c r="K21" s="1115"/>
      <c r="L21" s="1115"/>
      <c r="M21" s="1115"/>
      <c r="N21" s="1115"/>
      <c r="O21" s="1115"/>
      <c r="P21" s="1115"/>
      <c r="Q21" s="914"/>
      <c r="R21" s="918"/>
      <c r="S21" s="1123"/>
      <c r="T21" s="1124"/>
      <c r="U21" s="1124"/>
      <c r="V21" s="1123"/>
      <c r="W21" s="1124"/>
      <c r="X21" s="1125"/>
      <c r="Y21" s="1125"/>
      <c r="Z21" s="1114"/>
      <c r="AA21" s="1115"/>
      <c r="AB21" s="1115"/>
      <c r="AC21" s="1115"/>
      <c r="AD21" s="1115"/>
      <c r="AE21" s="1115"/>
      <c r="AF21" s="1116"/>
      <c r="AG21" s="376"/>
    </row>
    <row r="22" spans="1:33" ht="21.75" customHeight="1">
      <c r="A22" s="914" t="s">
        <v>412</v>
      </c>
      <c r="B22" s="917" t="s">
        <v>29</v>
      </c>
      <c r="C22" s="1126"/>
      <c r="D22" s="1127"/>
      <c r="E22" s="1127"/>
      <c r="F22" s="1127"/>
      <c r="G22" s="1127"/>
      <c r="H22" s="1127"/>
      <c r="I22" s="1128"/>
      <c r="J22" s="1126"/>
      <c r="K22" s="1127"/>
      <c r="L22" s="1127"/>
      <c r="M22" s="1127"/>
      <c r="N22" s="1127"/>
      <c r="O22" s="1127"/>
      <c r="P22" s="1127"/>
      <c r="Q22" s="914" t="s">
        <v>655</v>
      </c>
      <c r="R22" s="917" t="s">
        <v>30</v>
      </c>
      <c r="S22" s="1126"/>
      <c r="T22" s="1127"/>
      <c r="U22" s="1127"/>
      <c r="V22" s="1127"/>
      <c r="W22" s="1127"/>
      <c r="X22" s="1128"/>
      <c r="Y22" s="1128"/>
      <c r="Z22" s="1126"/>
      <c r="AA22" s="1127"/>
      <c r="AB22" s="1127"/>
      <c r="AC22" s="1127"/>
      <c r="AD22" s="1127"/>
      <c r="AE22" s="1127"/>
      <c r="AF22" s="1128"/>
      <c r="AG22" s="376"/>
    </row>
    <row r="23" spans="1:33" ht="21.75" customHeight="1">
      <c r="A23" s="914"/>
      <c r="B23" s="918"/>
      <c r="C23" s="1131"/>
      <c r="D23" s="1115"/>
      <c r="E23" s="1115"/>
      <c r="F23" s="1115"/>
      <c r="G23" s="1115"/>
      <c r="H23" s="1115"/>
      <c r="I23" s="1116"/>
      <c r="J23" s="1123"/>
      <c r="K23" s="1124"/>
      <c r="L23" s="1124"/>
      <c r="M23" s="1124"/>
      <c r="N23" s="1124"/>
      <c r="O23" s="1124"/>
      <c r="P23" s="1125"/>
      <c r="Q23" s="914"/>
      <c r="R23" s="918"/>
      <c r="S23" s="1114"/>
      <c r="T23" s="1115"/>
      <c r="U23" s="1115"/>
      <c r="V23" s="1114"/>
      <c r="W23" s="1115"/>
      <c r="X23" s="1116"/>
      <c r="Y23" s="1116"/>
      <c r="Z23" s="1123"/>
      <c r="AA23" s="1124"/>
      <c r="AB23" s="1124"/>
      <c r="AC23" s="1124"/>
      <c r="AD23" s="1124"/>
      <c r="AE23" s="1124"/>
      <c r="AF23" s="1125"/>
      <c r="AG23" s="376"/>
    </row>
    <row r="24" spans="1:33" ht="21.75" customHeight="1">
      <c r="A24" s="914" t="s">
        <v>413</v>
      </c>
      <c r="B24" s="917" t="s">
        <v>30</v>
      </c>
      <c r="C24" s="1126"/>
      <c r="D24" s="1127"/>
      <c r="E24" s="1127"/>
      <c r="F24" s="1127"/>
      <c r="G24" s="1127"/>
      <c r="H24" s="1127"/>
      <c r="I24" s="1128"/>
      <c r="J24" s="1126"/>
      <c r="K24" s="1144"/>
      <c r="L24" s="1127"/>
      <c r="M24" s="1144"/>
      <c r="N24" s="1144"/>
      <c r="O24" s="1144"/>
      <c r="P24" s="1145"/>
      <c r="Q24" s="914" t="s">
        <v>656</v>
      </c>
      <c r="R24" s="917" t="s">
        <v>31</v>
      </c>
      <c r="S24" s="1126"/>
      <c r="T24" s="1127"/>
      <c r="U24" s="1127"/>
      <c r="V24" s="1130"/>
      <c r="W24" s="1127"/>
      <c r="X24" s="1128"/>
      <c r="Y24" s="1128"/>
      <c r="Z24" s="1126"/>
      <c r="AA24" s="1127"/>
      <c r="AB24" s="1127"/>
      <c r="AC24" s="1127"/>
      <c r="AD24" s="1127"/>
      <c r="AE24" s="1127"/>
      <c r="AF24" s="1128"/>
      <c r="AG24" s="376"/>
    </row>
    <row r="25" spans="1:33" ht="21.75" customHeight="1">
      <c r="A25" s="914"/>
      <c r="B25" s="918"/>
      <c r="C25" s="1114"/>
      <c r="D25" s="1115"/>
      <c r="E25" s="1115"/>
      <c r="F25" s="1115"/>
      <c r="G25" s="1115"/>
      <c r="H25" s="1115"/>
      <c r="I25" s="1116"/>
      <c r="J25" s="1129"/>
      <c r="K25" s="1124"/>
      <c r="L25" s="1124"/>
      <c r="M25" s="1124"/>
      <c r="N25" s="1124"/>
      <c r="O25" s="1124"/>
      <c r="P25" s="1125"/>
      <c r="Q25" s="914"/>
      <c r="R25" s="918"/>
      <c r="S25" s="1129"/>
      <c r="T25" s="1124"/>
      <c r="U25" s="1124"/>
      <c r="V25" s="1123"/>
      <c r="W25" s="1124"/>
      <c r="X25" s="1125"/>
      <c r="Y25" s="1125"/>
      <c r="Z25" s="1129"/>
      <c r="AA25" s="1124"/>
      <c r="AB25" s="1124"/>
      <c r="AC25" s="1124"/>
      <c r="AD25" s="1124"/>
      <c r="AE25" s="1124"/>
      <c r="AF25" s="1125"/>
      <c r="AG25" s="376"/>
    </row>
    <row r="26" spans="1:33" ht="21.75" customHeight="1">
      <c r="A26" s="914" t="s">
        <v>414</v>
      </c>
      <c r="B26" s="917" t="s">
        <v>31</v>
      </c>
      <c r="C26" s="1126"/>
      <c r="D26" s="1127"/>
      <c r="E26" s="1127"/>
      <c r="F26" s="1127"/>
      <c r="G26" s="1127"/>
      <c r="H26" s="1127"/>
      <c r="I26" s="1128"/>
      <c r="J26" s="1126"/>
      <c r="K26" s="1144"/>
      <c r="L26" s="1127"/>
      <c r="M26" s="1144"/>
      <c r="N26" s="1144"/>
      <c r="O26" s="1144"/>
      <c r="P26" s="1145"/>
      <c r="Q26" s="914" t="s">
        <v>657</v>
      </c>
      <c r="R26" s="917" t="s">
        <v>32</v>
      </c>
      <c r="S26" s="1126"/>
      <c r="T26" s="1127"/>
      <c r="U26" s="1127"/>
      <c r="V26" s="1130"/>
      <c r="W26" s="1127"/>
      <c r="X26" s="1128"/>
      <c r="Y26" s="1128"/>
      <c r="Z26" s="1130"/>
      <c r="AA26" s="1127"/>
      <c r="AB26" s="1127"/>
      <c r="AC26" s="1127"/>
      <c r="AD26" s="1127"/>
      <c r="AE26" s="1127"/>
      <c r="AF26" s="1128"/>
      <c r="AG26" s="376"/>
    </row>
    <row r="27" spans="1:33" ht="21.75" customHeight="1">
      <c r="A27" s="914"/>
      <c r="B27" s="918"/>
      <c r="C27" s="1131"/>
      <c r="D27" s="1115"/>
      <c r="E27" s="1115"/>
      <c r="F27" s="1115"/>
      <c r="G27" s="1115"/>
      <c r="H27" s="1115"/>
      <c r="I27" s="1116"/>
      <c r="J27" s="1123"/>
      <c r="K27" s="1124"/>
      <c r="L27" s="1124"/>
      <c r="M27" s="1124"/>
      <c r="N27" s="1124"/>
      <c r="O27" s="1124"/>
      <c r="P27" s="1125"/>
      <c r="Q27" s="914"/>
      <c r="R27" s="918"/>
      <c r="S27" s="1131"/>
      <c r="T27" s="1115"/>
      <c r="U27" s="1115"/>
      <c r="V27" s="1114"/>
      <c r="W27" s="1115"/>
      <c r="X27" s="1116"/>
      <c r="Y27" s="1116"/>
      <c r="Z27" s="1123"/>
      <c r="AA27" s="1124"/>
      <c r="AB27" s="1124"/>
      <c r="AC27" s="1124"/>
      <c r="AD27" s="1124"/>
      <c r="AE27" s="1124"/>
      <c r="AF27" s="1125"/>
      <c r="AG27" s="376"/>
    </row>
    <row r="28" spans="1:33" ht="21.75" customHeight="1">
      <c r="A28" s="914" t="s">
        <v>415</v>
      </c>
      <c r="B28" s="917" t="s">
        <v>32</v>
      </c>
      <c r="C28" s="1126"/>
      <c r="D28" s="1127"/>
      <c r="E28" s="1127"/>
      <c r="F28" s="1127"/>
      <c r="G28" s="1127"/>
      <c r="H28" s="1127"/>
      <c r="I28" s="1128"/>
      <c r="J28" s="1126" t="s">
        <v>744</v>
      </c>
      <c r="K28" s="1127"/>
      <c r="L28" s="1127"/>
      <c r="M28" s="1127"/>
      <c r="N28" s="1127"/>
      <c r="O28" s="1127"/>
      <c r="P28" s="1127"/>
      <c r="Q28" s="914" t="s">
        <v>658</v>
      </c>
      <c r="R28" s="917" t="s">
        <v>10</v>
      </c>
      <c r="S28" s="1126" t="s">
        <v>748</v>
      </c>
      <c r="T28" s="1127"/>
      <c r="U28" s="1127"/>
      <c r="V28" s="1161"/>
      <c r="W28" s="1127"/>
      <c r="X28" s="1128"/>
      <c r="Y28" s="1128"/>
      <c r="Z28" s="1131"/>
      <c r="AA28" s="1115"/>
      <c r="AB28" s="1115"/>
      <c r="AC28" s="1115"/>
      <c r="AD28" s="1115"/>
      <c r="AE28" s="1115"/>
      <c r="AF28" s="1116"/>
      <c r="AG28" s="376"/>
    </row>
    <row r="29" spans="1:33" ht="21.75" customHeight="1">
      <c r="A29" s="914"/>
      <c r="B29" s="918"/>
      <c r="C29" s="1129"/>
      <c r="D29" s="1124"/>
      <c r="E29" s="1124"/>
      <c r="F29" s="1124"/>
      <c r="G29" s="1124"/>
      <c r="H29" s="1124"/>
      <c r="I29" s="1125"/>
      <c r="J29" s="1114"/>
      <c r="K29" s="1115"/>
      <c r="L29" s="1115"/>
      <c r="M29" s="1115"/>
      <c r="N29" s="1115"/>
      <c r="O29" s="1115"/>
      <c r="P29" s="1115"/>
      <c r="Q29" s="914"/>
      <c r="R29" s="918"/>
      <c r="S29" s="1131"/>
      <c r="T29" s="1115"/>
      <c r="U29" s="1115"/>
      <c r="V29" s="1160"/>
      <c r="W29" s="1115"/>
      <c r="X29" s="1115"/>
      <c r="Y29" s="1116"/>
      <c r="Z29" s="1129"/>
      <c r="AA29" s="1124"/>
      <c r="AB29" s="1124"/>
      <c r="AC29" s="1124"/>
      <c r="AD29" s="1124"/>
      <c r="AE29" s="1124"/>
      <c r="AF29" s="1125"/>
      <c r="AG29" s="376"/>
    </row>
    <row r="30" spans="1:33" ht="21.75" customHeight="1">
      <c r="A30" s="914" t="s">
        <v>416</v>
      </c>
      <c r="B30" s="917" t="s">
        <v>10</v>
      </c>
      <c r="C30" s="1149"/>
      <c r="D30" s="1127"/>
      <c r="E30" s="1127"/>
      <c r="F30" s="1127"/>
      <c r="G30" s="1127"/>
      <c r="H30" s="1127"/>
      <c r="I30" s="1128"/>
      <c r="J30" s="1126" t="s">
        <v>745</v>
      </c>
      <c r="K30" s="1127"/>
      <c r="L30" s="1127"/>
      <c r="M30" s="1127"/>
      <c r="N30" s="1127"/>
      <c r="O30" s="1127"/>
      <c r="P30" s="1127"/>
      <c r="Q30" s="914">
        <v>29</v>
      </c>
      <c r="R30" s="917" t="s">
        <v>27</v>
      </c>
      <c r="S30" s="1126"/>
      <c r="T30" s="1127"/>
      <c r="U30" s="1127"/>
      <c r="V30" s="1130"/>
      <c r="W30" s="1127"/>
      <c r="X30" s="1128"/>
      <c r="Y30" s="1128"/>
      <c r="Z30" s="1131" t="s">
        <v>749</v>
      </c>
      <c r="AA30" s="1115"/>
      <c r="AB30" s="1115"/>
      <c r="AC30" s="1115"/>
      <c r="AD30" s="1115"/>
      <c r="AE30" s="1115"/>
      <c r="AF30" s="1116"/>
      <c r="AG30" s="376"/>
    </row>
    <row r="31" spans="1:33" ht="21.75" customHeight="1">
      <c r="A31" s="914"/>
      <c r="B31" s="918"/>
      <c r="C31" s="1129"/>
      <c r="D31" s="1124"/>
      <c r="E31" s="1124"/>
      <c r="F31" s="1124"/>
      <c r="G31" s="1124"/>
      <c r="H31" s="1124"/>
      <c r="I31" s="1125"/>
      <c r="J31" s="1129"/>
      <c r="K31" s="1124"/>
      <c r="L31" s="1124"/>
      <c r="M31" s="1124"/>
      <c r="N31" s="1124"/>
      <c r="O31" s="1124"/>
      <c r="P31" s="1124"/>
      <c r="Q31" s="914"/>
      <c r="R31" s="918"/>
      <c r="S31" s="1123"/>
      <c r="T31" s="1124"/>
      <c r="U31" s="1124"/>
      <c r="V31" s="1123"/>
      <c r="W31" s="1124"/>
      <c r="X31" s="1125"/>
      <c r="Y31" s="1125"/>
      <c r="Z31" s="1123"/>
      <c r="AA31" s="1124"/>
      <c r="AB31" s="1124"/>
      <c r="AC31" s="1124"/>
      <c r="AD31" s="1124"/>
      <c r="AE31" s="1124"/>
      <c r="AF31" s="1125"/>
      <c r="AG31" s="376"/>
    </row>
    <row r="32" spans="1:33" ht="21.75" customHeight="1">
      <c r="A32" s="914" t="s">
        <v>417</v>
      </c>
      <c r="B32" s="917" t="s">
        <v>27</v>
      </c>
      <c r="C32" s="1126"/>
      <c r="D32" s="1127"/>
      <c r="E32" s="1127"/>
      <c r="F32" s="1127"/>
      <c r="G32" s="1127"/>
      <c r="H32" s="1127"/>
      <c r="I32" s="1128"/>
      <c r="J32" s="1126"/>
      <c r="K32" s="1127"/>
      <c r="L32" s="1127"/>
      <c r="M32" s="1127"/>
      <c r="N32" s="1127"/>
      <c r="O32" s="1127"/>
      <c r="P32" s="1128"/>
      <c r="Q32" s="914">
        <v>30</v>
      </c>
      <c r="R32" s="917" t="s">
        <v>28</v>
      </c>
      <c r="S32" s="1126"/>
      <c r="T32" s="1127"/>
      <c r="U32" s="1127"/>
      <c r="V32" s="1127"/>
      <c r="W32" s="1127"/>
      <c r="X32" s="1128"/>
      <c r="Y32" s="1128"/>
      <c r="Z32" s="1126"/>
      <c r="AA32" s="1127"/>
      <c r="AB32" s="1127"/>
      <c r="AC32" s="1127"/>
      <c r="AD32" s="1127"/>
      <c r="AE32" s="1127"/>
      <c r="AF32" s="1128"/>
      <c r="AG32" s="376"/>
    </row>
    <row r="33" spans="1:33" ht="21.75" customHeight="1">
      <c r="A33" s="914"/>
      <c r="B33" s="918"/>
      <c r="C33" s="1114"/>
      <c r="D33" s="1115"/>
      <c r="E33" s="1115"/>
      <c r="F33" s="1115"/>
      <c r="G33" s="1115"/>
      <c r="H33" s="1115"/>
      <c r="I33" s="1116"/>
      <c r="J33" s="1123"/>
      <c r="K33" s="1124"/>
      <c r="L33" s="1124"/>
      <c r="M33" s="1124"/>
      <c r="N33" s="1124"/>
      <c r="O33" s="1124"/>
      <c r="P33" s="1124"/>
      <c r="Q33" s="914"/>
      <c r="R33" s="918"/>
      <c r="S33" s="1114"/>
      <c r="T33" s="1115"/>
      <c r="U33" s="1115"/>
      <c r="V33" s="1114"/>
      <c r="W33" s="1115"/>
      <c r="X33" s="1116"/>
      <c r="Y33" s="1116"/>
      <c r="Z33" s="1123"/>
      <c r="AA33" s="1124"/>
      <c r="AB33" s="1124"/>
      <c r="AC33" s="1124"/>
      <c r="AD33" s="1124"/>
      <c r="AE33" s="1124"/>
      <c r="AF33" s="1125"/>
      <c r="AG33" s="376"/>
    </row>
    <row r="34" spans="1:33" ht="21.75" customHeight="1">
      <c r="A34" s="1153"/>
      <c r="B34" s="917"/>
      <c r="C34" s="1130"/>
      <c r="D34" s="1127"/>
      <c r="E34" s="1127"/>
      <c r="F34" s="1127"/>
      <c r="G34" s="1127"/>
      <c r="H34" s="1127"/>
      <c r="I34" s="1128"/>
      <c r="J34" s="1130"/>
      <c r="K34" s="1127"/>
      <c r="L34" s="1127"/>
      <c r="M34" s="1127"/>
      <c r="N34" s="1127"/>
      <c r="O34" s="1127"/>
      <c r="P34" s="1127"/>
      <c r="Q34" s="914">
        <v>31</v>
      </c>
      <c r="R34" s="917" t="s">
        <v>739</v>
      </c>
      <c r="S34" s="1126"/>
      <c r="T34" s="1127"/>
      <c r="U34" s="1127"/>
      <c r="V34" s="1130"/>
      <c r="W34" s="1127"/>
      <c r="X34" s="1128"/>
      <c r="Y34" s="1128"/>
      <c r="Z34" s="1126"/>
      <c r="AA34" s="1127"/>
      <c r="AB34" s="1127"/>
      <c r="AC34" s="1127"/>
      <c r="AD34" s="1127"/>
      <c r="AE34" s="1127"/>
      <c r="AF34" s="1128"/>
      <c r="AG34" s="376"/>
    </row>
    <row r="35" spans="1:33" ht="21.75" customHeight="1">
      <c r="A35" s="1154"/>
      <c r="B35" s="952"/>
      <c r="C35" s="1146"/>
      <c r="D35" s="1147"/>
      <c r="E35" s="1147"/>
      <c r="F35" s="1147"/>
      <c r="G35" s="1147"/>
      <c r="H35" s="1147"/>
      <c r="I35" s="1148"/>
      <c r="J35" s="1146"/>
      <c r="K35" s="1147"/>
      <c r="L35" s="1147"/>
      <c r="M35" s="1147"/>
      <c r="N35" s="1147"/>
      <c r="O35" s="1147"/>
      <c r="P35" s="1147"/>
      <c r="Q35" s="914"/>
      <c r="R35" s="918"/>
      <c r="S35" s="1123"/>
      <c r="T35" s="1124"/>
      <c r="U35" s="1124"/>
      <c r="V35" s="1123"/>
      <c r="W35" s="1124"/>
      <c r="X35" s="1125"/>
      <c r="Y35" s="1125"/>
      <c r="Z35" s="1146"/>
      <c r="AA35" s="1147"/>
      <c r="AB35" s="1147"/>
      <c r="AC35" s="1147"/>
      <c r="AD35" s="1147"/>
      <c r="AE35" s="1147"/>
      <c r="AF35" s="1148"/>
      <c r="AG35" s="376"/>
    </row>
    <row r="36" spans="1:33" ht="18" customHeight="1">
      <c r="A36" s="1150" t="s">
        <v>4</v>
      </c>
      <c r="B36" s="322"/>
      <c r="C36" s="323"/>
      <c r="D36" s="324"/>
      <c r="E36" s="324"/>
      <c r="F36" s="324"/>
      <c r="G36" s="324"/>
      <c r="H36" s="324"/>
      <c r="I36" s="324"/>
      <c r="J36" s="324"/>
      <c r="K36" s="324"/>
      <c r="L36" s="324"/>
      <c r="M36" s="324"/>
      <c r="N36" s="324"/>
      <c r="O36" s="324"/>
      <c r="P36" s="324"/>
      <c r="Q36" s="324"/>
      <c r="R36" s="324"/>
      <c r="S36" s="1155"/>
      <c r="T36" s="1155"/>
      <c r="U36" s="1155"/>
      <c r="V36" s="1156"/>
      <c r="W36" s="1155"/>
      <c r="X36" s="1155"/>
      <c r="Y36" s="1155"/>
      <c r="Z36" s="1155"/>
      <c r="AA36" s="1155"/>
      <c r="AB36" s="1155"/>
      <c r="AC36" s="1155"/>
      <c r="AD36" s="1155"/>
      <c r="AE36" s="1155"/>
      <c r="AF36" s="1156"/>
      <c r="AG36" s="56"/>
    </row>
    <row r="37" spans="1:33" ht="18" customHeight="1">
      <c r="A37" s="1151"/>
      <c r="B37" s="325"/>
      <c r="C37" s="44"/>
      <c r="D37" s="44"/>
      <c r="E37" s="44"/>
      <c r="F37" s="44"/>
      <c r="G37" s="44"/>
      <c r="H37" s="44"/>
      <c r="I37" s="44"/>
      <c r="J37" s="44"/>
      <c r="K37" s="44"/>
      <c r="L37" s="44"/>
      <c r="M37" s="44"/>
      <c r="N37" s="44"/>
      <c r="O37" s="44"/>
      <c r="P37" s="44"/>
      <c r="Q37" s="44"/>
      <c r="R37" s="44"/>
      <c r="S37" s="44"/>
      <c r="T37" s="44"/>
      <c r="U37" s="44"/>
      <c r="V37" s="44"/>
      <c r="W37" s="44"/>
      <c r="X37" s="44"/>
      <c r="Y37" s="44"/>
      <c r="Z37" s="44"/>
      <c r="AA37" s="44"/>
      <c r="AB37" s="44"/>
      <c r="AC37" s="44"/>
      <c r="AD37" s="44"/>
      <c r="AE37" s="44"/>
      <c r="AF37" s="326"/>
      <c r="AG37" s="44"/>
    </row>
    <row r="38" spans="1:33" ht="18" customHeight="1">
      <c r="A38" s="1151"/>
      <c r="B38" s="325"/>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326"/>
      <c r="AG38" s="44"/>
    </row>
    <row r="39" spans="1:33" ht="18" customHeight="1">
      <c r="A39" s="1151"/>
      <c r="B39" s="325"/>
      <c r="C39" s="44"/>
      <c r="D39" s="44"/>
      <c r="E39" s="44"/>
      <c r="F39" s="44"/>
      <c r="G39" s="44"/>
      <c r="H39" s="44"/>
      <c r="I39" s="44"/>
      <c r="J39" s="44"/>
      <c r="K39" s="44"/>
      <c r="L39" s="44"/>
      <c r="M39" s="44"/>
      <c r="N39" s="44"/>
      <c r="O39" s="44"/>
      <c r="P39" s="44"/>
      <c r="Q39" s="44"/>
      <c r="R39" s="44"/>
      <c r="S39" s="44"/>
      <c r="T39" s="44"/>
      <c r="U39" s="44"/>
      <c r="V39" s="44"/>
      <c r="W39" s="44"/>
      <c r="X39" s="44"/>
      <c r="Y39" s="44"/>
      <c r="Z39" s="44"/>
      <c r="AA39" s="44"/>
      <c r="AB39" s="44"/>
      <c r="AC39" s="44"/>
      <c r="AD39" s="44"/>
      <c r="AE39" s="44"/>
      <c r="AF39" s="326"/>
      <c r="AG39" s="44"/>
    </row>
    <row r="40" spans="1:33" ht="18" customHeight="1">
      <c r="A40" s="1151"/>
      <c r="B40" s="325"/>
      <c r="C40" s="44"/>
      <c r="D40" s="44"/>
      <c r="E40" s="44"/>
      <c r="F40" s="44"/>
      <c r="G40" s="44"/>
      <c r="H40" s="44"/>
      <c r="I40" s="44"/>
      <c r="J40" s="44"/>
      <c r="K40" s="44"/>
      <c r="L40" s="44"/>
      <c r="M40" s="44"/>
      <c r="N40" s="44"/>
      <c r="O40" s="44"/>
      <c r="P40" s="44"/>
      <c r="Q40" s="44"/>
      <c r="R40" s="44"/>
      <c r="S40" s="44"/>
      <c r="T40" s="44"/>
      <c r="U40" s="44"/>
      <c r="V40" s="44"/>
      <c r="W40" s="44"/>
      <c r="X40" s="44"/>
      <c r="Y40" s="44"/>
      <c r="Z40" s="44"/>
      <c r="AA40" s="44"/>
      <c r="AB40" s="44"/>
      <c r="AC40" s="44"/>
      <c r="AD40" s="44"/>
      <c r="AE40" s="44"/>
      <c r="AF40" s="326"/>
      <c r="AG40" s="44"/>
    </row>
    <row r="41" spans="1:33" ht="18" customHeight="1">
      <c r="A41" s="1152"/>
      <c r="B41" s="327"/>
      <c r="C41" s="328"/>
      <c r="D41" s="328"/>
      <c r="E41" s="328"/>
      <c r="F41" s="328"/>
      <c r="G41" s="328"/>
      <c r="H41" s="328"/>
      <c r="I41" s="328"/>
      <c r="J41" s="328"/>
      <c r="K41" s="328"/>
      <c r="L41" s="328"/>
      <c r="M41" s="328"/>
      <c r="N41" s="328"/>
      <c r="O41" s="328"/>
      <c r="P41" s="328"/>
      <c r="Q41" s="328"/>
      <c r="R41" s="328"/>
      <c r="S41" s="328"/>
      <c r="T41" s="328"/>
      <c r="U41" s="328"/>
      <c r="V41" s="328"/>
      <c r="W41" s="328"/>
      <c r="X41" s="328"/>
      <c r="Y41" s="328"/>
      <c r="Z41" s="328"/>
      <c r="AA41" s="328"/>
      <c r="AB41" s="328"/>
      <c r="AC41" s="328"/>
      <c r="AD41" s="328"/>
      <c r="AE41" s="328"/>
      <c r="AF41" s="329"/>
      <c r="AG41" s="44"/>
    </row>
    <row r="42" spans="1:33" ht="15.75" customHeight="1">
      <c r="A42" s="49"/>
      <c r="B42" s="49"/>
      <c r="C42" s="49"/>
      <c r="D42" s="50"/>
      <c r="E42" s="50"/>
      <c r="F42" s="50"/>
      <c r="G42" s="50"/>
      <c r="H42" s="50"/>
      <c r="I42" s="50"/>
      <c r="J42" s="50"/>
      <c r="K42" s="50"/>
      <c r="L42" s="49"/>
      <c r="M42" s="49"/>
      <c r="N42" s="49"/>
      <c r="O42" s="49"/>
      <c r="P42" s="49"/>
      <c r="Q42" s="41"/>
    </row>
    <row r="43" spans="1:33" ht="15.75" customHeight="1">
      <c r="A43" s="49"/>
      <c r="B43" s="49"/>
      <c r="C43" s="49"/>
      <c r="D43" s="50"/>
      <c r="E43" s="50"/>
      <c r="F43" s="50"/>
      <c r="G43" s="50"/>
      <c r="H43" s="50"/>
      <c r="I43" s="50"/>
      <c r="J43" s="50"/>
      <c r="K43" s="50"/>
      <c r="L43" s="49"/>
      <c r="M43" s="49"/>
      <c r="N43" s="49"/>
      <c r="O43" s="49"/>
      <c r="P43" s="49"/>
      <c r="Q43" s="41"/>
    </row>
    <row r="44" spans="1:33" ht="15.75" customHeight="1">
      <c r="A44" s="49"/>
      <c r="B44" s="49"/>
      <c r="C44" s="49"/>
      <c r="D44" s="49"/>
      <c r="E44" s="49"/>
      <c r="F44" s="49"/>
      <c r="G44" s="49"/>
      <c r="H44" s="49"/>
      <c r="I44" s="40"/>
      <c r="J44" s="49"/>
      <c r="K44" s="49"/>
      <c r="L44" s="49"/>
      <c r="M44" s="49"/>
      <c r="N44" s="49"/>
      <c r="O44" s="49"/>
      <c r="P44" s="49"/>
      <c r="Q44" s="41"/>
      <c r="V44"/>
    </row>
    <row r="45" spans="1:33" ht="15.75" customHeight="1">
      <c r="A45" s="1162">
        <v>44896</v>
      </c>
      <c r="B45" s="933" t="s">
        <v>30</v>
      </c>
      <c r="C45" s="1138"/>
      <c r="D45" s="1139"/>
      <c r="E45" s="1139"/>
      <c r="F45" s="1139"/>
      <c r="G45" s="1139"/>
      <c r="H45" s="1139"/>
      <c r="I45" s="1140"/>
      <c r="J45" s="1141"/>
      <c r="K45" s="1139"/>
      <c r="L45" s="1139"/>
      <c r="M45" s="1139"/>
      <c r="N45" s="1139"/>
      <c r="O45" s="1139"/>
      <c r="P45" s="1140"/>
      <c r="Q45" s="1164">
        <v>44911</v>
      </c>
      <c r="R45" s="933" t="s">
        <v>687</v>
      </c>
      <c r="S45" s="1126"/>
      <c r="T45" s="1127"/>
      <c r="U45" s="1127"/>
      <c r="V45" s="1127"/>
      <c r="W45" s="1127"/>
      <c r="X45" s="1127"/>
      <c r="Y45" s="1128"/>
      <c r="Z45" s="1126"/>
      <c r="AA45" s="1127"/>
      <c r="AB45" s="1127"/>
      <c r="AC45" s="1127"/>
      <c r="AD45" s="1127"/>
      <c r="AE45" s="1127"/>
      <c r="AF45" s="1128"/>
    </row>
    <row r="46" spans="1:33" ht="15.75" customHeight="1">
      <c r="A46" s="1163"/>
      <c r="B46" s="918"/>
      <c r="C46" s="1123"/>
      <c r="D46" s="1124"/>
      <c r="E46" s="1124"/>
      <c r="F46" s="1124"/>
      <c r="G46" s="1124"/>
      <c r="H46" s="1124"/>
      <c r="I46" s="1125"/>
      <c r="J46" s="1123"/>
      <c r="K46" s="1124"/>
      <c r="L46" s="1124"/>
      <c r="M46" s="1124"/>
      <c r="N46" s="1124"/>
      <c r="O46" s="1124"/>
      <c r="P46" s="1125"/>
      <c r="Q46" s="1163"/>
      <c r="R46" s="918"/>
      <c r="S46" s="1129"/>
      <c r="T46" s="1124"/>
      <c r="U46" s="1124"/>
      <c r="V46" s="1124"/>
      <c r="W46" s="1124"/>
      <c r="X46" s="1124"/>
      <c r="Y46" s="1125"/>
      <c r="Z46" s="1123"/>
      <c r="AA46" s="1124"/>
      <c r="AB46" s="1124"/>
      <c r="AC46" s="1124"/>
      <c r="AD46" s="1124"/>
      <c r="AE46" s="1124"/>
      <c r="AF46" s="1125"/>
    </row>
    <row r="47" spans="1:33" ht="15.75" customHeight="1">
      <c r="A47" s="1051" t="s">
        <v>404</v>
      </c>
      <c r="B47" s="917" t="s">
        <v>29</v>
      </c>
      <c r="C47" s="1126"/>
      <c r="D47" s="1127"/>
      <c r="E47" s="1127"/>
      <c r="F47" s="1127"/>
      <c r="G47" s="1127"/>
      <c r="H47" s="1127"/>
      <c r="I47" s="1128"/>
      <c r="J47" s="1130"/>
      <c r="K47" s="1127"/>
      <c r="L47" s="1127"/>
      <c r="M47" s="1127"/>
      <c r="N47" s="1127"/>
      <c r="O47" s="1127"/>
      <c r="P47" s="1127"/>
      <c r="Q47" s="1165">
        <v>17</v>
      </c>
      <c r="R47" s="1166" t="s">
        <v>688</v>
      </c>
      <c r="S47" s="1131"/>
      <c r="T47" s="1115"/>
      <c r="U47" s="1115"/>
      <c r="V47" s="1115"/>
      <c r="W47" s="1115"/>
      <c r="X47" s="1115"/>
      <c r="Y47" s="1116"/>
      <c r="Z47" s="1126"/>
      <c r="AA47" s="1127"/>
      <c r="AB47" s="1127"/>
      <c r="AC47" s="1127"/>
      <c r="AD47" s="1127"/>
      <c r="AE47" s="1127"/>
      <c r="AF47" s="1128"/>
    </row>
    <row r="48" spans="1:33" ht="13.5" customHeight="1">
      <c r="A48" s="1051"/>
      <c r="B48" s="918"/>
      <c r="C48" s="1114"/>
      <c r="D48" s="1115"/>
      <c r="E48" s="1115"/>
      <c r="F48" s="1115"/>
      <c r="G48" s="1115"/>
      <c r="H48" s="1115"/>
      <c r="I48" s="1116"/>
      <c r="J48" s="1123"/>
      <c r="K48" s="1124"/>
      <c r="L48" s="1124"/>
      <c r="M48" s="1124"/>
      <c r="N48" s="1124"/>
      <c r="O48" s="1124"/>
      <c r="P48" s="1125"/>
      <c r="Q48" s="1165"/>
      <c r="R48" s="1167"/>
      <c r="S48" s="1129"/>
      <c r="T48" s="1124"/>
      <c r="U48" s="1124"/>
      <c r="V48" s="1124"/>
      <c r="W48" s="1124"/>
      <c r="X48" s="1124"/>
      <c r="Y48" s="1125"/>
      <c r="Z48" s="1129"/>
      <c r="AA48" s="1124"/>
      <c r="AB48" s="1124"/>
      <c r="AC48" s="1124"/>
      <c r="AD48" s="1124"/>
      <c r="AE48" s="1124"/>
      <c r="AF48" s="1125"/>
    </row>
    <row r="49" spans="1:32" ht="13.5" customHeight="1">
      <c r="A49" s="1165" t="s">
        <v>405</v>
      </c>
      <c r="B49" s="1166" t="s">
        <v>32</v>
      </c>
      <c r="C49" s="1126"/>
      <c r="D49" s="1127"/>
      <c r="E49" s="1127"/>
      <c r="F49" s="1127"/>
      <c r="G49" s="1127"/>
      <c r="H49" s="1127"/>
      <c r="I49" s="1128"/>
      <c r="J49" s="1130"/>
      <c r="K49" s="1127"/>
      <c r="L49" s="1127"/>
      <c r="M49" s="1127"/>
      <c r="N49" s="1127"/>
      <c r="O49" s="1127"/>
      <c r="P49" s="1127"/>
      <c r="Q49" s="1015" t="s">
        <v>648</v>
      </c>
      <c r="R49" s="1016" t="s">
        <v>666</v>
      </c>
      <c r="S49" s="1126" t="s">
        <v>422</v>
      </c>
      <c r="T49" s="1127"/>
      <c r="U49" s="1127"/>
      <c r="V49" s="1127"/>
      <c r="W49" s="1127"/>
      <c r="X49" s="1128"/>
      <c r="Y49" s="1128"/>
      <c r="Z49" s="1131"/>
      <c r="AA49" s="1115"/>
      <c r="AB49" s="1115"/>
      <c r="AC49" s="1115"/>
      <c r="AD49" s="1115"/>
      <c r="AE49" s="1115"/>
      <c r="AF49" s="1116"/>
    </row>
    <row r="50" spans="1:32" ht="13.5" customHeight="1">
      <c r="A50" s="1165"/>
      <c r="B50" s="1167"/>
      <c r="C50" s="1129"/>
      <c r="D50" s="1124"/>
      <c r="E50" s="1124"/>
      <c r="F50" s="1124"/>
      <c r="G50" s="1124"/>
      <c r="H50" s="1124"/>
      <c r="I50" s="1125"/>
      <c r="J50" s="1123"/>
      <c r="K50" s="1124"/>
      <c r="L50" s="1124"/>
      <c r="M50" s="1124"/>
      <c r="N50" s="1124"/>
      <c r="O50" s="1124"/>
      <c r="P50" s="1124"/>
      <c r="Q50" s="1015"/>
      <c r="R50" s="1017"/>
      <c r="S50" s="1129" t="s">
        <v>662</v>
      </c>
      <c r="T50" s="1124"/>
      <c r="U50" s="1124"/>
      <c r="V50" s="1124"/>
      <c r="W50" s="1124"/>
      <c r="X50" s="1125"/>
      <c r="Y50" s="1125"/>
      <c r="Z50" s="1131"/>
      <c r="AA50" s="1115"/>
      <c r="AB50" s="1115"/>
      <c r="AC50" s="1115"/>
      <c r="AD50" s="1115"/>
      <c r="AE50" s="1115"/>
      <c r="AF50" s="1116"/>
    </row>
    <row r="51" spans="1:32">
      <c r="A51" s="1015" t="s">
        <v>406</v>
      </c>
      <c r="B51" s="1016" t="s">
        <v>666</v>
      </c>
      <c r="C51" s="1126"/>
      <c r="D51" s="1127"/>
      <c r="E51" s="1127"/>
      <c r="F51" s="1127"/>
      <c r="G51" s="1127"/>
      <c r="H51" s="1127"/>
      <c r="I51" s="1128"/>
      <c r="J51" s="1130"/>
      <c r="K51" s="1127"/>
      <c r="L51" s="1127"/>
      <c r="M51" s="1127"/>
      <c r="N51" s="1127"/>
      <c r="O51" s="1127"/>
      <c r="P51" s="1127"/>
      <c r="Q51" s="1051" t="s">
        <v>649</v>
      </c>
      <c r="R51" s="917" t="s">
        <v>689</v>
      </c>
      <c r="S51" s="1126" t="s">
        <v>681</v>
      </c>
      <c r="T51" s="1127"/>
      <c r="U51" s="1127"/>
      <c r="V51" s="1127"/>
      <c r="W51" s="1127"/>
      <c r="X51" s="1127"/>
      <c r="Y51" s="1128"/>
      <c r="Z51" s="1126" t="s">
        <v>667</v>
      </c>
      <c r="AA51" s="1127"/>
      <c r="AB51" s="1127"/>
      <c r="AC51" s="1127"/>
      <c r="AD51" s="1127"/>
      <c r="AE51" s="1127"/>
      <c r="AF51" s="1128"/>
    </row>
    <row r="52" spans="1:32" ht="13.5" customHeight="1">
      <c r="A52" s="1015"/>
      <c r="B52" s="1017"/>
      <c r="C52" s="1114"/>
      <c r="D52" s="1115"/>
      <c r="E52" s="1115"/>
      <c r="F52" s="1115"/>
      <c r="G52" s="1115"/>
      <c r="H52" s="1115"/>
      <c r="I52" s="1116"/>
      <c r="J52" s="1123"/>
      <c r="K52" s="1124"/>
      <c r="L52" s="1124"/>
      <c r="M52" s="1124"/>
      <c r="N52" s="1124"/>
      <c r="O52" s="1124"/>
      <c r="P52" s="1124"/>
      <c r="Q52" s="1051"/>
      <c r="R52" s="918"/>
      <c r="S52" s="1131"/>
      <c r="T52" s="1115"/>
      <c r="U52" s="1115"/>
      <c r="V52" s="1115"/>
      <c r="W52" s="1115"/>
      <c r="X52" s="1115"/>
      <c r="Y52" s="1116"/>
      <c r="Z52" s="1123"/>
      <c r="AA52" s="1124"/>
      <c r="AB52" s="1124"/>
      <c r="AC52" s="1124"/>
      <c r="AD52" s="1124"/>
      <c r="AE52" s="1124"/>
      <c r="AF52" s="1125"/>
    </row>
    <row r="53" spans="1:32">
      <c r="A53" s="1051" t="s">
        <v>407</v>
      </c>
      <c r="B53" s="917" t="s">
        <v>27</v>
      </c>
      <c r="C53" s="1126" t="s">
        <v>674</v>
      </c>
      <c r="D53" s="1127"/>
      <c r="E53" s="1127"/>
      <c r="F53" s="1127"/>
      <c r="G53" s="1127"/>
      <c r="H53" s="1127"/>
      <c r="I53" s="1128"/>
      <c r="J53" s="1130"/>
      <c r="K53" s="1127"/>
      <c r="L53" s="1127"/>
      <c r="M53" s="1127"/>
      <c r="N53" s="1127"/>
      <c r="O53" s="1127"/>
      <c r="P53" s="1127"/>
      <c r="Q53" s="1051" t="s">
        <v>650</v>
      </c>
      <c r="R53" s="917" t="s">
        <v>28</v>
      </c>
      <c r="S53" s="1126"/>
      <c r="T53" s="1127"/>
      <c r="U53" s="1127"/>
      <c r="V53" s="1127"/>
      <c r="W53" s="1127"/>
      <c r="X53" s="1127"/>
      <c r="Y53" s="1128"/>
      <c r="Z53" s="1131" t="s">
        <v>682</v>
      </c>
      <c r="AA53" s="1115"/>
      <c r="AB53" s="1115"/>
      <c r="AC53" s="1115"/>
      <c r="AD53" s="1115"/>
      <c r="AE53" s="1115"/>
      <c r="AF53" s="1116"/>
    </row>
    <row r="54" spans="1:32">
      <c r="A54" s="1051"/>
      <c r="B54" s="918"/>
      <c r="C54" s="1114" t="s">
        <v>675</v>
      </c>
      <c r="D54" s="1115"/>
      <c r="E54" s="1115"/>
      <c r="F54" s="1115"/>
      <c r="G54" s="1115"/>
      <c r="H54" s="1115"/>
      <c r="I54" s="1116"/>
      <c r="J54" s="1123"/>
      <c r="K54" s="1124"/>
      <c r="L54" s="1124"/>
      <c r="M54" s="1124"/>
      <c r="N54" s="1124"/>
      <c r="O54" s="1124"/>
      <c r="P54" s="1124"/>
      <c r="Q54" s="1051"/>
      <c r="R54" s="918"/>
      <c r="S54" s="1131"/>
      <c r="T54" s="1115"/>
      <c r="U54" s="1115"/>
      <c r="V54" s="1115"/>
      <c r="W54" s="1115"/>
      <c r="X54" s="1115"/>
      <c r="Y54" s="1116"/>
      <c r="Z54" s="1129"/>
      <c r="AA54" s="1124"/>
      <c r="AB54" s="1124"/>
      <c r="AC54" s="1124"/>
      <c r="AD54" s="1124"/>
      <c r="AE54" s="1124"/>
      <c r="AF54" s="1125"/>
    </row>
    <row r="55" spans="1:32">
      <c r="A55" s="1051" t="s">
        <v>408</v>
      </c>
      <c r="B55" s="917" t="s">
        <v>28</v>
      </c>
      <c r="C55" s="1126"/>
      <c r="D55" s="1144"/>
      <c r="E55" s="1144"/>
      <c r="F55" s="1144"/>
      <c r="G55" s="1144"/>
      <c r="H55" s="1144"/>
      <c r="I55" s="1145"/>
      <c r="J55" s="1126"/>
      <c r="K55" s="1144"/>
      <c r="L55" s="1144"/>
      <c r="M55" s="1144"/>
      <c r="N55" s="1144"/>
      <c r="O55" s="1144"/>
      <c r="P55" s="1145"/>
      <c r="Q55" s="1051" t="s">
        <v>651</v>
      </c>
      <c r="R55" s="917" t="s">
        <v>29</v>
      </c>
      <c r="S55" s="1126"/>
      <c r="T55" s="1127"/>
      <c r="U55" s="1127"/>
      <c r="V55" s="1127"/>
      <c r="W55" s="1127"/>
      <c r="X55" s="1127"/>
      <c r="Y55" s="1128"/>
      <c r="Z55" s="1126"/>
      <c r="AA55" s="1127"/>
      <c r="AB55" s="1127"/>
      <c r="AC55" s="1127"/>
      <c r="AD55" s="1127"/>
      <c r="AE55" s="1127"/>
      <c r="AF55" s="1128"/>
    </row>
    <row r="56" spans="1:32">
      <c r="A56" s="1051"/>
      <c r="B56" s="918"/>
      <c r="C56" s="1114"/>
      <c r="D56" s="1115"/>
      <c r="E56" s="1115"/>
      <c r="F56" s="1115"/>
      <c r="G56" s="1115"/>
      <c r="H56" s="1115"/>
      <c r="I56" s="1116"/>
      <c r="J56" s="1114"/>
      <c r="K56" s="1115"/>
      <c r="L56" s="1115"/>
      <c r="M56" s="1115"/>
      <c r="N56" s="1115"/>
      <c r="O56" s="1115"/>
      <c r="P56" s="1115"/>
      <c r="Q56" s="1051"/>
      <c r="R56" s="918"/>
      <c r="S56" s="1131"/>
      <c r="T56" s="1115"/>
      <c r="U56" s="1115"/>
      <c r="V56" s="1115"/>
      <c r="W56" s="1115"/>
      <c r="X56" s="1115"/>
      <c r="Y56" s="1116"/>
      <c r="Z56" s="1129"/>
      <c r="AA56" s="1124"/>
      <c r="AB56" s="1124"/>
      <c r="AC56" s="1124"/>
      <c r="AD56" s="1124"/>
      <c r="AE56" s="1124"/>
      <c r="AF56" s="1125"/>
    </row>
    <row r="57" spans="1:32">
      <c r="A57" s="1051" t="s">
        <v>409</v>
      </c>
      <c r="B57" s="917" t="s">
        <v>29</v>
      </c>
      <c r="C57" s="1126"/>
      <c r="D57" s="1127"/>
      <c r="E57" s="1127"/>
      <c r="F57" s="1127"/>
      <c r="G57" s="1127"/>
      <c r="H57" s="1127"/>
      <c r="I57" s="1128"/>
      <c r="J57" s="1130"/>
      <c r="K57" s="1127"/>
      <c r="L57" s="1127"/>
      <c r="M57" s="1127"/>
      <c r="N57" s="1127"/>
      <c r="O57" s="1127"/>
      <c r="P57" s="1127"/>
      <c r="Q57" s="1051" t="s">
        <v>652</v>
      </c>
      <c r="R57" s="917" t="s">
        <v>30</v>
      </c>
      <c r="S57" s="1126"/>
      <c r="T57" s="1127"/>
      <c r="U57" s="1127"/>
      <c r="V57" s="1127"/>
      <c r="W57" s="1127"/>
      <c r="X57" s="1127"/>
      <c r="Y57" s="1128"/>
      <c r="Z57" s="1126"/>
      <c r="AA57" s="1127"/>
      <c r="AB57" s="1127"/>
      <c r="AC57" s="1127"/>
      <c r="AD57" s="1127"/>
      <c r="AE57" s="1127"/>
      <c r="AF57" s="1128"/>
    </row>
    <row r="58" spans="1:32">
      <c r="A58" s="1051"/>
      <c r="B58" s="918"/>
      <c r="C58" s="1129"/>
      <c r="D58" s="1124"/>
      <c r="E58" s="1124"/>
      <c r="F58" s="1124"/>
      <c r="G58" s="1124"/>
      <c r="H58" s="1124"/>
      <c r="I58" s="1125"/>
      <c r="J58" s="1123"/>
      <c r="K58" s="1124"/>
      <c r="L58" s="1124"/>
      <c r="M58" s="1124"/>
      <c r="N58" s="1124"/>
      <c r="O58" s="1124"/>
      <c r="P58" s="1124"/>
      <c r="Q58" s="1051"/>
      <c r="R58" s="918"/>
      <c r="S58" s="1131"/>
      <c r="T58" s="1115"/>
      <c r="U58" s="1115"/>
      <c r="V58" s="1115"/>
      <c r="W58" s="1115"/>
      <c r="X58" s="1115"/>
      <c r="Y58" s="1116"/>
      <c r="Z58" s="1123"/>
      <c r="AA58" s="1124"/>
      <c r="AB58" s="1124"/>
      <c r="AC58" s="1124"/>
      <c r="AD58" s="1124"/>
      <c r="AE58" s="1124"/>
      <c r="AF58" s="1125"/>
    </row>
    <row r="59" spans="1:32">
      <c r="A59" s="1051" t="s">
        <v>410</v>
      </c>
      <c r="B59" s="917" t="s">
        <v>30</v>
      </c>
      <c r="C59" s="1126"/>
      <c r="D59" s="1127"/>
      <c r="E59" s="1127"/>
      <c r="F59" s="1127"/>
      <c r="G59" s="1127"/>
      <c r="H59" s="1127"/>
      <c r="I59" s="1128"/>
      <c r="J59" s="1126"/>
      <c r="K59" s="1127"/>
      <c r="L59" s="1127"/>
      <c r="M59" s="1127"/>
      <c r="N59" s="1127"/>
      <c r="O59" s="1127"/>
      <c r="P59" s="1128"/>
      <c r="Q59" s="1051" t="s">
        <v>653</v>
      </c>
      <c r="R59" s="917" t="s">
        <v>31</v>
      </c>
      <c r="S59" s="1126"/>
      <c r="T59" s="1127"/>
      <c r="U59" s="1127"/>
      <c r="V59" s="1127"/>
      <c r="W59" s="1127"/>
      <c r="X59" s="1127"/>
      <c r="Y59" s="1128"/>
      <c r="Z59" s="1114"/>
      <c r="AA59" s="1115"/>
      <c r="AB59" s="1115"/>
      <c r="AC59" s="1115"/>
      <c r="AD59" s="1115"/>
      <c r="AE59" s="1115"/>
      <c r="AF59" s="1116"/>
    </row>
    <row r="60" spans="1:32">
      <c r="A60" s="1051"/>
      <c r="B60" s="918"/>
      <c r="C60" s="1129"/>
      <c r="D60" s="1124"/>
      <c r="E60" s="1124"/>
      <c r="F60" s="1124"/>
      <c r="G60" s="1124"/>
      <c r="H60" s="1124"/>
      <c r="I60" s="1125"/>
      <c r="J60" s="1123"/>
      <c r="K60" s="1124"/>
      <c r="L60" s="1124"/>
      <c r="M60" s="1124"/>
      <c r="N60" s="1124"/>
      <c r="O60" s="1124"/>
      <c r="P60" s="1125"/>
      <c r="Q60" s="1051"/>
      <c r="R60" s="918"/>
      <c r="S60" s="1131"/>
      <c r="T60" s="1115"/>
      <c r="U60" s="1115"/>
      <c r="V60" s="1115"/>
      <c r="W60" s="1115"/>
      <c r="X60" s="1115"/>
      <c r="Y60" s="1116"/>
      <c r="Z60" s="1157"/>
      <c r="AA60" s="1158"/>
      <c r="AB60" s="1158"/>
      <c r="AC60" s="1158"/>
      <c r="AD60" s="1158"/>
      <c r="AE60" s="1158"/>
      <c r="AF60" s="1159"/>
    </row>
    <row r="61" spans="1:32">
      <c r="A61" s="1168" t="s">
        <v>411</v>
      </c>
      <c r="B61" s="917" t="s">
        <v>31</v>
      </c>
      <c r="C61" s="1126"/>
      <c r="D61" s="1127"/>
      <c r="E61" s="1127"/>
      <c r="F61" s="1127"/>
      <c r="G61" s="1127"/>
      <c r="H61" s="1127"/>
      <c r="I61" s="1128"/>
      <c r="J61" s="1130" t="s">
        <v>676</v>
      </c>
      <c r="K61" s="1127"/>
      <c r="L61" s="1127"/>
      <c r="M61" s="1127"/>
      <c r="N61" s="1127"/>
      <c r="O61" s="1127"/>
      <c r="P61" s="1127"/>
      <c r="Q61" s="1165" t="s">
        <v>654</v>
      </c>
      <c r="R61" s="1166" t="s">
        <v>32</v>
      </c>
      <c r="S61" s="1126"/>
      <c r="T61" s="1127"/>
      <c r="U61" s="1127"/>
      <c r="V61" s="1130"/>
      <c r="W61" s="1127"/>
      <c r="X61" s="1128"/>
      <c r="Y61" s="1128"/>
      <c r="Z61" s="1131"/>
      <c r="AA61" s="1115"/>
      <c r="AB61" s="1115"/>
      <c r="AC61" s="1115"/>
      <c r="AD61" s="1115"/>
      <c r="AE61" s="1115"/>
      <c r="AF61" s="1116"/>
    </row>
    <row r="62" spans="1:32" ht="13.5" customHeight="1">
      <c r="A62" s="1169"/>
      <c r="B62" s="918"/>
      <c r="C62" s="1114"/>
      <c r="D62" s="1115"/>
      <c r="E62" s="1115"/>
      <c r="F62" s="1115"/>
      <c r="G62" s="1115"/>
      <c r="H62" s="1115"/>
      <c r="I62" s="1116"/>
      <c r="J62" s="1114"/>
      <c r="K62" s="1115"/>
      <c r="L62" s="1115"/>
      <c r="M62" s="1115"/>
      <c r="N62" s="1115"/>
      <c r="O62" s="1115"/>
      <c r="P62" s="1115"/>
      <c r="Q62" s="1165"/>
      <c r="R62" s="1167"/>
      <c r="S62" s="1123"/>
      <c r="T62" s="1124"/>
      <c r="U62" s="1124"/>
      <c r="V62" s="1123"/>
      <c r="W62" s="1124"/>
      <c r="X62" s="1125"/>
      <c r="Y62" s="1125"/>
      <c r="Z62" s="1114"/>
      <c r="AA62" s="1115"/>
      <c r="AB62" s="1115"/>
      <c r="AC62" s="1115"/>
      <c r="AD62" s="1115"/>
      <c r="AE62" s="1115"/>
      <c r="AF62" s="1116"/>
    </row>
    <row r="63" spans="1:32">
      <c r="A63" s="1165" t="s">
        <v>412</v>
      </c>
      <c r="B63" s="1166" t="s">
        <v>32</v>
      </c>
      <c r="C63" s="1126"/>
      <c r="D63" s="1127"/>
      <c r="E63" s="1127"/>
      <c r="F63" s="1127"/>
      <c r="G63" s="1127"/>
      <c r="H63" s="1127"/>
      <c r="I63" s="1128"/>
      <c r="J63" s="1126"/>
      <c r="K63" s="1127"/>
      <c r="L63" s="1127"/>
      <c r="M63" s="1127"/>
      <c r="N63" s="1127"/>
      <c r="O63" s="1127"/>
      <c r="P63" s="1127"/>
      <c r="Q63" s="1015" t="s">
        <v>655</v>
      </c>
      <c r="R63" s="1016" t="s">
        <v>10</v>
      </c>
      <c r="S63" s="1126"/>
      <c r="T63" s="1127"/>
      <c r="U63" s="1127"/>
      <c r="V63" s="1127"/>
      <c r="W63" s="1127"/>
      <c r="X63" s="1128"/>
      <c r="Y63" s="1128"/>
      <c r="Z63" s="1126"/>
      <c r="AA63" s="1127"/>
      <c r="AB63" s="1127"/>
      <c r="AC63" s="1127"/>
      <c r="AD63" s="1127"/>
      <c r="AE63" s="1127"/>
      <c r="AF63" s="1128"/>
    </row>
    <row r="64" spans="1:32">
      <c r="A64" s="1165"/>
      <c r="B64" s="1167"/>
      <c r="C64" s="1131"/>
      <c r="D64" s="1115"/>
      <c r="E64" s="1115"/>
      <c r="F64" s="1115"/>
      <c r="G64" s="1115"/>
      <c r="H64" s="1115"/>
      <c r="I64" s="1116"/>
      <c r="J64" s="1123"/>
      <c r="K64" s="1124"/>
      <c r="L64" s="1124"/>
      <c r="M64" s="1124"/>
      <c r="N64" s="1124"/>
      <c r="O64" s="1124"/>
      <c r="P64" s="1125"/>
      <c r="Q64" s="1015"/>
      <c r="R64" s="1017"/>
      <c r="S64" s="1114"/>
      <c r="T64" s="1115"/>
      <c r="U64" s="1115"/>
      <c r="V64" s="1114"/>
      <c r="W64" s="1115"/>
      <c r="X64" s="1116"/>
      <c r="Y64" s="1116"/>
      <c r="Z64" s="1123"/>
      <c r="AA64" s="1124"/>
      <c r="AB64" s="1124"/>
      <c r="AC64" s="1124"/>
      <c r="AD64" s="1124"/>
      <c r="AE64" s="1124"/>
      <c r="AF64" s="1125"/>
    </row>
    <row r="65" spans="1:32">
      <c r="A65" s="1015" t="s">
        <v>413</v>
      </c>
      <c r="B65" s="1016" t="s">
        <v>10</v>
      </c>
      <c r="C65" s="1126"/>
      <c r="D65" s="1127"/>
      <c r="E65" s="1127"/>
      <c r="F65" s="1127"/>
      <c r="G65" s="1127"/>
      <c r="H65" s="1127"/>
      <c r="I65" s="1128"/>
      <c r="J65" s="1126"/>
      <c r="K65" s="1144"/>
      <c r="L65" s="1127"/>
      <c r="M65" s="1144"/>
      <c r="N65" s="1144"/>
      <c r="O65" s="1144"/>
      <c r="P65" s="1145"/>
      <c r="Q65" s="1051" t="s">
        <v>656</v>
      </c>
      <c r="R65" s="917" t="s">
        <v>27</v>
      </c>
      <c r="S65" s="1126"/>
      <c r="T65" s="1127"/>
      <c r="U65" s="1127"/>
      <c r="V65" s="1130"/>
      <c r="W65" s="1127"/>
      <c r="X65" s="1128"/>
      <c r="Y65" s="1128"/>
      <c r="Z65" s="1126"/>
      <c r="AA65" s="1127"/>
      <c r="AB65" s="1127"/>
      <c r="AC65" s="1127"/>
      <c r="AD65" s="1127"/>
      <c r="AE65" s="1127"/>
      <c r="AF65" s="1128"/>
    </row>
    <row r="66" spans="1:32">
      <c r="A66" s="1015"/>
      <c r="B66" s="1017"/>
      <c r="C66" s="1114"/>
      <c r="D66" s="1115"/>
      <c r="E66" s="1115"/>
      <c r="F66" s="1115"/>
      <c r="G66" s="1115"/>
      <c r="H66" s="1115"/>
      <c r="I66" s="1116"/>
      <c r="J66" s="1123"/>
      <c r="K66" s="1124"/>
      <c r="L66" s="1124"/>
      <c r="M66" s="1124"/>
      <c r="N66" s="1124"/>
      <c r="O66" s="1124"/>
      <c r="P66" s="1125"/>
      <c r="Q66" s="1051"/>
      <c r="R66" s="918"/>
      <c r="S66" s="1129"/>
      <c r="T66" s="1124"/>
      <c r="U66" s="1124"/>
      <c r="V66" s="1123"/>
      <c r="W66" s="1124"/>
      <c r="X66" s="1125"/>
      <c r="Y66" s="1125"/>
      <c r="Z66" s="1129"/>
      <c r="AA66" s="1124"/>
      <c r="AB66" s="1124"/>
      <c r="AC66" s="1124"/>
      <c r="AD66" s="1124"/>
      <c r="AE66" s="1124"/>
      <c r="AF66" s="1125"/>
    </row>
    <row r="67" spans="1:32">
      <c r="A67" s="1051" t="s">
        <v>414</v>
      </c>
      <c r="B67" s="917" t="s">
        <v>27</v>
      </c>
      <c r="C67" s="1126"/>
      <c r="D67" s="1127"/>
      <c r="E67" s="1127"/>
      <c r="F67" s="1127"/>
      <c r="G67" s="1127"/>
      <c r="H67" s="1127"/>
      <c r="I67" s="1128"/>
      <c r="J67" s="1126" t="s">
        <v>677</v>
      </c>
      <c r="K67" s="1144"/>
      <c r="L67" s="1127"/>
      <c r="M67" s="1144"/>
      <c r="N67" s="1144"/>
      <c r="O67" s="1144"/>
      <c r="P67" s="1145"/>
      <c r="Q67" s="1051" t="s">
        <v>657</v>
      </c>
      <c r="R67" s="917" t="s">
        <v>28</v>
      </c>
      <c r="S67" s="1126"/>
      <c r="T67" s="1127"/>
      <c r="U67" s="1127"/>
      <c r="V67" s="1130"/>
      <c r="W67" s="1127"/>
      <c r="X67" s="1128"/>
      <c r="Y67" s="1128"/>
      <c r="Z67" s="1130"/>
      <c r="AA67" s="1127"/>
      <c r="AB67" s="1127"/>
      <c r="AC67" s="1127"/>
      <c r="AD67" s="1127"/>
      <c r="AE67" s="1127"/>
      <c r="AF67" s="1128"/>
    </row>
    <row r="68" spans="1:32">
      <c r="A68" s="1051"/>
      <c r="B68" s="918"/>
      <c r="C68" s="1114"/>
      <c r="D68" s="1115"/>
      <c r="E68" s="1115"/>
      <c r="F68" s="1115"/>
      <c r="G68" s="1115"/>
      <c r="H68" s="1115"/>
      <c r="I68" s="1116"/>
      <c r="J68" s="1123"/>
      <c r="K68" s="1124"/>
      <c r="L68" s="1124"/>
      <c r="M68" s="1124"/>
      <c r="N68" s="1124"/>
      <c r="O68" s="1124"/>
      <c r="P68" s="1125"/>
      <c r="Q68" s="1051"/>
      <c r="R68" s="918"/>
      <c r="S68" s="1131"/>
      <c r="T68" s="1115"/>
      <c r="U68" s="1115"/>
      <c r="V68" s="1114"/>
      <c r="W68" s="1115"/>
      <c r="X68" s="1116"/>
      <c r="Y68" s="1116"/>
      <c r="Z68" s="1123"/>
      <c r="AA68" s="1124"/>
      <c r="AB68" s="1124"/>
      <c r="AC68" s="1124"/>
      <c r="AD68" s="1124"/>
      <c r="AE68" s="1124"/>
      <c r="AF68" s="1125"/>
    </row>
    <row r="69" spans="1:32" ht="13.5" customHeight="1">
      <c r="A69" s="1051" t="s">
        <v>415</v>
      </c>
      <c r="B69" s="917" t="s">
        <v>28</v>
      </c>
      <c r="C69" s="1126"/>
      <c r="D69" s="1127"/>
      <c r="E69" s="1127"/>
      <c r="F69" s="1127"/>
      <c r="G69" s="1127"/>
      <c r="H69" s="1127"/>
      <c r="I69" s="1128"/>
      <c r="J69" s="1126"/>
      <c r="K69" s="1127"/>
      <c r="L69" s="1127"/>
      <c r="M69" s="1127"/>
      <c r="N69" s="1127"/>
      <c r="O69" s="1127"/>
      <c r="P69" s="1127"/>
      <c r="Q69" s="1051" t="s">
        <v>658</v>
      </c>
      <c r="R69" s="917" t="s">
        <v>29</v>
      </c>
      <c r="S69" s="1126"/>
      <c r="T69" s="1127"/>
      <c r="U69" s="1127"/>
      <c r="V69" s="1161"/>
      <c r="W69" s="1127"/>
      <c r="X69" s="1128"/>
      <c r="Y69" s="1128"/>
      <c r="Z69" s="1131"/>
      <c r="AA69" s="1115"/>
      <c r="AB69" s="1115"/>
      <c r="AC69" s="1115"/>
      <c r="AD69" s="1115"/>
      <c r="AE69" s="1115"/>
      <c r="AF69" s="1116"/>
    </row>
    <row r="70" spans="1:32">
      <c r="A70" s="1051"/>
      <c r="B70" s="918"/>
      <c r="C70" s="1129"/>
      <c r="D70" s="1124"/>
      <c r="E70" s="1124"/>
      <c r="F70" s="1124"/>
      <c r="G70" s="1124"/>
      <c r="H70" s="1124"/>
      <c r="I70" s="1125"/>
      <c r="J70" s="1114"/>
      <c r="K70" s="1115"/>
      <c r="L70" s="1115"/>
      <c r="M70" s="1115"/>
      <c r="N70" s="1115"/>
      <c r="O70" s="1115"/>
      <c r="P70" s="1115"/>
      <c r="Q70" s="1051"/>
      <c r="R70" s="918"/>
      <c r="S70" s="1131"/>
      <c r="T70" s="1115"/>
      <c r="U70" s="1115"/>
      <c r="V70" s="1160"/>
      <c r="W70" s="1115"/>
      <c r="X70" s="1115"/>
      <c r="Y70" s="1116"/>
      <c r="Z70" s="1129"/>
      <c r="AA70" s="1124"/>
      <c r="AB70" s="1124"/>
      <c r="AC70" s="1124"/>
      <c r="AD70" s="1124"/>
      <c r="AE70" s="1124"/>
      <c r="AF70" s="1125"/>
    </row>
    <row r="71" spans="1:32">
      <c r="A71" s="1051" t="s">
        <v>416</v>
      </c>
      <c r="B71" s="917" t="s">
        <v>29</v>
      </c>
      <c r="C71" s="1149" t="s">
        <v>678</v>
      </c>
      <c r="D71" s="1127"/>
      <c r="E71" s="1127"/>
      <c r="F71" s="1127"/>
      <c r="G71" s="1127"/>
      <c r="H71" s="1127"/>
      <c r="I71" s="1128"/>
      <c r="J71" s="1126" t="s">
        <v>680</v>
      </c>
      <c r="K71" s="1127"/>
      <c r="L71" s="1127"/>
      <c r="M71" s="1127"/>
      <c r="N71" s="1127"/>
      <c r="O71" s="1127"/>
      <c r="P71" s="1127"/>
      <c r="Q71" s="1051">
        <v>29</v>
      </c>
      <c r="R71" s="917" t="s">
        <v>30</v>
      </c>
      <c r="S71" s="1126"/>
      <c r="T71" s="1127"/>
      <c r="U71" s="1127"/>
      <c r="V71" s="1130"/>
      <c r="W71" s="1127"/>
      <c r="X71" s="1128"/>
      <c r="Y71" s="1128"/>
      <c r="Z71" s="1131" t="s">
        <v>683</v>
      </c>
      <c r="AA71" s="1115"/>
      <c r="AB71" s="1115"/>
      <c r="AC71" s="1115"/>
      <c r="AD71" s="1115"/>
      <c r="AE71" s="1115"/>
      <c r="AF71" s="1116"/>
    </row>
    <row r="72" spans="1:32" ht="13.5" customHeight="1">
      <c r="A72" s="1051"/>
      <c r="B72" s="918"/>
      <c r="C72" s="1129" t="s">
        <v>679</v>
      </c>
      <c r="D72" s="1124"/>
      <c r="E72" s="1124"/>
      <c r="F72" s="1124"/>
      <c r="G72" s="1124"/>
      <c r="H72" s="1124"/>
      <c r="I72" s="1125"/>
      <c r="J72" s="1129"/>
      <c r="K72" s="1124"/>
      <c r="L72" s="1124"/>
      <c r="M72" s="1124"/>
      <c r="N72" s="1124"/>
      <c r="O72" s="1124"/>
      <c r="P72" s="1124"/>
      <c r="Q72" s="1051"/>
      <c r="R72" s="918"/>
      <c r="S72" s="1123"/>
      <c r="T72" s="1124"/>
      <c r="U72" s="1124"/>
      <c r="V72" s="1123"/>
      <c r="W72" s="1124"/>
      <c r="X72" s="1125"/>
      <c r="Y72" s="1125"/>
      <c r="Z72" s="1123"/>
      <c r="AA72" s="1124"/>
      <c r="AB72" s="1124"/>
      <c r="AC72" s="1124"/>
      <c r="AD72" s="1124"/>
      <c r="AE72" s="1124"/>
      <c r="AF72" s="1125"/>
    </row>
    <row r="73" spans="1:32">
      <c r="A73" s="1051" t="s">
        <v>417</v>
      </c>
      <c r="B73" s="917" t="s">
        <v>30</v>
      </c>
      <c r="C73" s="1126"/>
      <c r="D73" s="1127"/>
      <c r="E73" s="1127"/>
      <c r="F73" s="1127"/>
      <c r="G73" s="1127"/>
      <c r="H73" s="1127"/>
      <c r="I73" s="1128"/>
      <c r="J73" s="1126"/>
      <c r="K73" s="1127"/>
      <c r="L73" s="1127"/>
      <c r="M73" s="1127"/>
      <c r="N73" s="1127"/>
      <c r="O73" s="1127"/>
      <c r="P73" s="1128"/>
      <c r="Q73" s="1051">
        <v>30</v>
      </c>
      <c r="R73" s="917" t="s">
        <v>31</v>
      </c>
      <c r="S73" s="1126"/>
      <c r="T73" s="1127"/>
      <c r="U73" s="1127"/>
      <c r="V73" s="1127"/>
      <c r="W73" s="1127"/>
      <c r="X73" s="1128"/>
      <c r="Y73" s="1128"/>
      <c r="Z73" s="1126"/>
      <c r="AA73" s="1127"/>
      <c r="AB73" s="1127"/>
      <c r="AC73" s="1127"/>
      <c r="AD73" s="1127"/>
      <c r="AE73" s="1127"/>
      <c r="AF73" s="1128"/>
    </row>
    <row r="74" spans="1:32">
      <c r="A74" s="1051"/>
      <c r="B74" s="918"/>
      <c r="C74" s="1114"/>
      <c r="D74" s="1115"/>
      <c r="E74" s="1115"/>
      <c r="F74" s="1115"/>
      <c r="G74" s="1115"/>
      <c r="H74" s="1115"/>
      <c r="I74" s="1116"/>
      <c r="J74" s="1123"/>
      <c r="K74" s="1124"/>
      <c r="L74" s="1124"/>
      <c r="M74" s="1124"/>
      <c r="N74" s="1124"/>
      <c r="O74" s="1124"/>
      <c r="P74" s="1124"/>
      <c r="Q74" s="1051"/>
      <c r="R74" s="918"/>
      <c r="S74" s="1114"/>
      <c r="T74" s="1115"/>
      <c r="U74" s="1115"/>
      <c r="V74" s="1114"/>
      <c r="W74" s="1115"/>
      <c r="X74" s="1116"/>
      <c r="Y74" s="1116"/>
      <c r="Z74" s="1123"/>
      <c r="AA74" s="1124"/>
      <c r="AB74" s="1124"/>
      <c r="AC74" s="1124"/>
      <c r="AD74" s="1124"/>
      <c r="AE74" s="1124"/>
      <c r="AF74" s="1125"/>
    </row>
    <row r="75" spans="1:32">
      <c r="A75" s="1170"/>
      <c r="B75" s="917"/>
      <c r="C75" s="1130"/>
      <c r="D75" s="1127"/>
      <c r="E75" s="1127"/>
      <c r="F75" s="1127"/>
      <c r="G75" s="1127"/>
      <c r="H75" s="1127"/>
      <c r="I75" s="1128"/>
      <c r="J75" s="1130"/>
      <c r="K75" s="1127"/>
      <c r="L75" s="1127"/>
      <c r="M75" s="1127"/>
      <c r="N75" s="1127"/>
      <c r="O75" s="1127"/>
      <c r="P75" s="1127"/>
      <c r="Q75" s="1165">
        <v>31</v>
      </c>
      <c r="R75" s="1166" t="s">
        <v>688</v>
      </c>
      <c r="S75" s="1126"/>
      <c r="T75" s="1127"/>
      <c r="U75" s="1127"/>
      <c r="V75" s="1130"/>
      <c r="W75" s="1127"/>
      <c r="X75" s="1128"/>
      <c r="Y75" s="1128"/>
      <c r="Z75" s="1126"/>
      <c r="AA75" s="1127"/>
      <c r="AB75" s="1127"/>
      <c r="AC75" s="1127"/>
      <c r="AD75" s="1127"/>
      <c r="AE75" s="1127"/>
      <c r="AF75" s="1128"/>
    </row>
    <row r="76" spans="1:32" ht="13.5" customHeight="1">
      <c r="A76" s="1171"/>
      <c r="B76" s="952"/>
      <c r="C76" s="1146"/>
      <c r="D76" s="1147"/>
      <c r="E76" s="1147"/>
      <c r="F76" s="1147"/>
      <c r="G76" s="1147"/>
      <c r="H76" s="1147"/>
      <c r="I76" s="1148"/>
      <c r="J76" s="1146"/>
      <c r="K76" s="1147"/>
      <c r="L76" s="1147"/>
      <c r="M76" s="1147"/>
      <c r="N76" s="1147"/>
      <c r="O76" s="1147"/>
      <c r="P76" s="1147"/>
      <c r="Q76" s="1165"/>
      <c r="R76" s="1167"/>
      <c r="S76" s="1123"/>
      <c r="T76" s="1124"/>
      <c r="U76" s="1124"/>
      <c r="V76" s="1123"/>
      <c r="W76" s="1124"/>
      <c r="X76" s="1125"/>
      <c r="Y76" s="1125"/>
      <c r="Z76" s="1146"/>
      <c r="AA76" s="1147"/>
      <c r="AB76" s="1147"/>
      <c r="AC76" s="1147"/>
      <c r="AD76" s="1147"/>
      <c r="AE76" s="1147"/>
      <c r="AF76" s="1148"/>
    </row>
    <row r="80" spans="1:32" ht="13.5" customHeight="1"/>
    <row r="90" ht="13.5" customHeight="1"/>
    <row r="104" ht="13.5" customHeight="1"/>
    <row r="183" ht="13.5" customHeight="1"/>
  </sheetData>
  <mergeCells count="393">
    <mergeCell ref="A75:A76"/>
    <mergeCell ref="B75:B76"/>
    <mergeCell ref="C75:I75"/>
    <mergeCell ref="J75:P75"/>
    <mergeCell ref="Q75:Q76"/>
    <mergeCell ref="R75:R76"/>
    <mergeCell ref="S75:Y75"/>
    <mergeCell ref="Z75:AF75"/>
    <mergeCell ref="C76:I76"/>
    <mergeCell ref="J76:P76"/>
    <mergeCell ref="S76:Y76"/>
    <mergeCell ref="Z76:AF76"/>
    <mergeCell ref="A73:A74"/>
    <mergeCell ref="B73:B74"/>
    <mergeCell ref="C73:I73"/>
    <mergeCell ref="J73:P73"/>
    <mergeCell ref="Q73:Q74"/>
    <mergeCell ref="R73:R74"/>
    <mergeCell ref="S73:Y73"/>
    <mergeCell ref="Z73:AF73"/>
    <mergeCell ref="C74:I74"/>
    <mergeCell ref="J74:P74"/>
    <mergeCell ref="S74:Y74"/>
    <mergeCell ref="Z74:AF74"/>
    <mergeCell ref="A71:A72"/>
    <mergeCell ref="B71:B72"/>
    <mergeCell ref="C71:I71"/>
    <mergeCell ref="J71:P71"/>
    <mergeCell ref="Q71:Q72"/>
    <mergeCell ref="R71:R72"/>
    <mergeCell ref="S71:Y71"/>
    <mergeCell ref="Z71:AF71"/>
    <mergeCell ref="C72:I72"/>
    <mergeCell ref="J72:P72"/>
    <mergeCell ref="S72:Y72"/>
    <mergeCell ref="Z72:AF72"/>
    <mergeCell ref="A69:A70"/>
    <mergeCell ref="B69:B70"/>
    <mergeCell ref="C69:I69"/>
    <mergeCell ref="J69:P69"/>
    <mergeCell ref="Q69:Q70"/>
    <mergeCell ref="R69:R70"/>
    <mergeCell ref="S69:Y69"/>
    <mergeCell ref="Z69:AF69"/>
    <mergeCell ref="C70:I70"/>
    <mergeCell ref="J70:P70"/>
    <mergeCell ref="S70:Y70"/>
    <mergeCell ref="Z70:AF70"/>
    <mergeCell ref="A67:A68"/>
    <mergeCell ref="B67:B68"/>
    <mergeCell ref="C67:I67"/>
    <mergeCell ref="J67:P67"/>
    <mergeCell ref="Q67:Q68"/>
    <mergeCell ref="R67:R68"/>
    <mergeCell ref="S67:Y67"/>
    <mergeCell ref="Z67:AF67"/>
    <mergeCell ref="C68:I68"/>
    <mergeCell ref="J68:P68"/>
    <mergeCell ref="S68:Y68"/>
    <mergeCell ref="Z68:AF68"/>
    <mergeCell ref="A65:A66"/>
    <mergeCell ref="B65:B66"/>
    <mergeCell ref="C65:I65"/>
    <mergeCell ref="J65:P65"/>
    <mergeCell ref="Q65:Q66"/>
    <mergeCell ref="R65:R66"/>
    <mergeCell ref="S65:Y65"/>
    <mergeCell ref="Z65:AF65"/>
    <mergeCell ref="C66:I66"/>
    <mergeCell ref="J66:P66"/>
    <mergeCell ref="S66:Y66"/>
    <mergeCell ref="Z66:AF66"/>
    <mergeCell ref="A63:A64"/>
    <mergeCell ref="B63:B64"/>
    <mergeCell ref="C63:I63"/>
    <mergeCell ref="J63:P63"/>
    <mergeCell ref="Q63:Q64"/>
    <mergeCell ref="R63:R64"/>
    <mergeCell ref="S63:Y63"/>
    <mergeCell ref="Z63:AF63"/>
    <mergeCell ref="C64:I64"/>
    <mergeCell ref="J64:P64"/>
    <mergeCell ref="S64:Y64"/>
    <mergeCell ref="Z64:AF64"/>
    <mergeCell ref="A61:A62"/>
    <mergeCell ref="B61:B62"/>
    <mergeCell ref="C61:I61"/>
    <mergeCell ref="J61:P61"/>
    <mergeCell ref="Q61:Q62"/>
    <mergeCell ref="R61:R62"/>
    <mergeCell ref="S61:Y61"/>
    <mergeCell ref="Z61:AF61"/>
    <mergeCell ref="C62:I62"/>
    <mergeCell ref="J62:P62"/>
    <mergeCell ref="S62:Y62"/>
    <mergeCell ref="Z62:AF62"/>
    <mergeCell ref="A59:A60"/>
    <mergeCell ref="B59:B60"/>
    <mergeCell ref="C59:I59"/>
    <mergeCell ref="J59:P59"/>
    <mergeCell ref="Q59:Q60"/>
    <mergeCell ref="R59:R60"/>
    <mergeCell ref="S59:Y59"/>
    <mergeCell ref="Z59:AF59"/>
    <mergeCell ref="C60:I60"/>
    <mergeCell ref="J60:P60"/>
    <mergeCell ref="S60:Y60"/>
    <mergeCell ref="Z60:AF60"/>
    <mergeCell ref="A57:A58"/>
    <mergeCell ref="B57:B58"/>
    <mergeCell ref="C57:I57"/>
    <mergeCell ref="J57:P57"/>
    <mergeCell ref="Q57:Q58"/>
    <mergeCell ref="R57:R58"/>
    <mergeCell ref="S57:Y57"/>
    <mergeCell ref="Z57:AF57"/>
    <mergeCell ref="C58:I58"/>
    <mergeCell ref="J58:P58"/>
    <mergeCell ref="S58:Y58"/>
    <mergeCell ref="Z58:AF58"/>
    <mergeCell ref="A55:A56"/>
    <mergeCell ref="B55:B56"/>
    <mergeCell ref="C55:I55"/>
    <mergeCell ref="J55:P55"/>
    <mergeCell ref="Q55:Q56"/>
    <mergeCell ref="R55:R56"/>
    <mergeCell ref="S55:Y55"/>
    <mergeCell ref="Z55:AF55"/>
    <mergeCell ref="C56:I56"/>
    <mergeCell ref="J56:P56"/>
    <mergeCell ref="S56:Y56"/>
    <mergeCell ref="Z56:AF56"/>
    <mergeCell ref="A53:A54"/>
    <mergeCell ref="B53:B54"/>
    <mergeCell ref="C53:I53"/>
    <mergeCell ref="J53:P53"/>
    <mergeCell ref="Q53:Q54"/>
    <mergeCell ref="R53:R54"/>
    <mergeCell ref="S53:Y53"/>
    <mergeCell ref="Z53:AF53"/>
    <mergeCell ref="C54:I54"/>
    <mergeCell ref="J54:P54"/>
    <mergeCell ref="S54:Y54"/>
    <mergeCell ref="Z54:AF54"/>
    <mergeCell ref="A51:A52"/>
    <mergeCell ref="B51:B52"/>
    <mergeCell ref="C51:I51"/>
    <mergeCell ref="J51:P51"/>
    <mergeCell ref="Q51:Q52"/>
    <mergeCell ref="R51:R52"/>
    <mergeCell ref="S51:Y51"/>
    <mergeCell ref="Z51:AF51"/>
    <mergeCell ref="C52:I52"/>
    <mergeCell ref="J52:P52"/>
    <mergeCell ref="S52:Y52"/>
    <mergeCell ref="Z52:AF52"/>
    <mergeCell ref="A49:A50"/>
    <mergeCell ref="B49:B50"/>
    <mergeCell ref="C49:I49"/>
    <mergeCell ref="J49:P49"/>
    <mergeCell ref="Q49:Q50"/>
    <mergeCell ref="R49:R50"/>
    <mergeCell ref="S49:Y49"/>
    <mergeCell ref="Z49:AF49"/>
    <mergeCell ref="C50:I50"/>
    <mergeCell ref="J50:P50"/>
    <mergeCell ref="S50:Y50"/>
    <mergeCell ref="Z50:AF50"/>
    <mergeCell ref="A47:A48"/>
    <mergeCell ref="B47:B48"/>
    <mergeCell ref="C47:I47"/>
    <mergeCell ref="J47:P47"/>
    <mergeCell ref="Q47:Q48"/>
    <mergeCell ref="R47:R48"/>
    <mergeCell ref="S47:Y47"/>
    <mergeCell ref="Z47:AF47"/>
    <mergeCell ref="C48:I48"/>
    <mergeCell ref="J48:P48"/>
    <mergeCell ref="S48:Y48"/>
    <mergeCell ref="Z48:AF48"/>
    <mergeCell ref="A45:A46"/>
    <mergeCell ref="B45:B46"/>
    <mergeCell ref="C45:I45"/>
    <mergeCell ref="J45:P45"/>
    <mergeCell ref="Q45:Q46"/>
    <mergeCell ref="R45:R46"/>
    <mergeCell ref="S45:Y45"/>
    <mergeCell ref="Z45:AF45"/>
    <mergeCell ref="C46:I46"/>
    <mergeCell ref="J46:P46"/>
    <mergeCell ref="S46:Y46"/>
    <mergeCell ref="Z46:AF46"/>
    <mergeCell ref="J27:P27"/>
    <mergeCell ref="J28:P28"/>
    <mergeCell ref="Q28:Q29"/>
    <mergeCell ref="Z30:AF30"/>
    <mergeCell ref="Z19:AF19"/>
    <mergeCell ref="S19:Y19"/>
    <mergeCell ref="Z31:AF31"/>
    <mergeCell ref="S29:Y29"/>
    <mergeCell ref="S31:Y31"/>
    <mergeCell ref="Q26:Q27"/>
    <mergeCell ref="Z26:AF26"/>
    <mergeCell ref="Z24:AF24"/>
    <mergeCell ref="Z23:AF23"/>
    <mergeCell ref="Q30:Q31"/>
    <mergeCell ref="Z25:AF25"/>
    <mergeCell ref="Z22:AF22"/>
    <mergeCell ref="Z20:AF20"/>
    <mergeCell ref="Z21:AF21"/>
    <mergeCell ref="Z28:AF28"/>
    <mergeCell ref="S22:Y22"/>
    <mergeCell ref="S28:Y28"/>
    <mergeCell ref="S24:Y24"/>
    <mergeCell ref="S26:Y26"/>
    <mergeCell ref="S21:Y21"/>
    <mergeCell ref="A16:A17"/>
    <mergeCell ref="Q14:Q15"/>
    <mergeCell ref="Q12:Q13"/>
    <mergeCell ref="J17:P17"/>
    <mergeCell ref="J16:P16"/>
    <mergeCell ref="Z17:AF17"/>
    <mergeCell ref="S13:Y13"/>
    <mergeCell ref="S14:Y14"/>
    <mergeCell ref="S16:Y16"/>
    <mergeCell ref="C17:I17"/>
    <mergeCell ref="J12:P12"/>
    <mergeCell ref="S17:Y17"/>
    <mergeCell ref="Z16:AF16"/>
    <mergeCell ref="Z14:AF14"/>
    <mergeCell ref="Z15:AF15"/>
    <mergeCell ref="A30:A31"/>
    <mergeCell ref="Q18:Q19"/>
    <mergeCell ref="B18:B19"/>
    <mergeCell ref="R16:R17"/>
    <mergeCell ref="Q16:Q17"/>
    <mergeCell ref="R24:R25"/>
    <mergeCell ref="J24:P24"/>
    <mergeCell ref="J25:P25"/>
    <mergeCell ref="R30:R31"/>
    <mergeCell ref="J29:P29"/>
    <mergeCell ref="B30:B31"/>
    <mergeCell ref="A28:A29"/>
    <mergeCell ref="B28:B29"/>
    <mergeCell ref="A18:A19"/>
    <mergeCell ref="A26:A27"/>
    <mergeCell ref="B26:B27"/>
    <mergeCell ref="C26:I26"/>
    <mergeCell ref="C27:I27"/>
    <mergeCell ref="C22:I22"/>
    <mergeCell ref="C23:I23"/>
    <mergeCell ref="B20:B21"/>
    <mergeCell ref="C20:I20"/>
    <mergeCell ref="C31:I31"/>
    <mergeCell ref="C18:I18"/>
    <mergeCell ref="C33:I33"/>
    <mergeCell ref="S15:Y15"/>
    <mergeCell ref="C10:I10"/>
    <mergeCell ref="Q10:Q11"/>
    <mergeCell ref="C11:I11"/>
    <mergeCell ref="R12:R13"/>
    <mergeCell ref="C13:I13"/>
    <mergeCell ref="C14:I14"/>
    <mergeCell ref="C15:I15"/>
    <mergeCell ref="R14:R15"/>
    <mergeCell ref="R10:R11"/>
    <mergeCell ref="J10:P10"/>
    <mergeCell ref="R18:R19"/>
    <mergeCell ref="R20:R21"/>
    <mergeCell ref="J18:P18"/>
    <mergeCell ref="J21:P21"/>
    <mergeCell ref="J26:P26"/>
    <mergeCell ref="C30:I30"/>
    <mergeCell ref="S20:Y20"/>
    <mergeCell ref="S25:Y25"/>
    <mergeCell ref="S30:Y30"/>
    <mergeCell ref="C28:I28"/>
    <mergeCell ref="J30:P30"/>
    <mergeCell ref="J31:P31"/>
    <mergeCell ref="A36:A41"/>
    <mergeCell ref="A34:A35"/>
    <mergeCell ref="A32:A33"/>
    <mergeCell ref="B32:B33"/>
    <mergeCell ref="B34:B35"/>
    <mergeCell ref="Z33:AF33"/>
    <mergeCell ref="R32:R33"/>
    <mergeCell ref="Z36:AF36"/>
    <mergeCell ref="S36:Y36"/>
    <mergeCell ref="Z34:AF34"/>
    <mergeCell ref="Z35:AF35"/>
    <mergeCell ref="C32:I32"/>
    <mergeCell ref="Q32:Q33"/>
    <mergeCell ref="J32:P32"/>
    <mergeCell ref="J33:P33"/>
    <mergeCell ref="S34:Y34"/>
    <mergeCell ref="S32:Y32"/>
    <mergeCell ref="J35:P35"/>
    <mergeCell ref="J34:P34"/>
    <mergeCell ref="Q34:Q35"/>
    <mergeCell ref="C34:I34"/>
    <mergeCell ref="Z32:AF32"/>
    <mergeCell ref="S35:Y35"/>
    <mergeCell ref="R34:R35"/>
    <mergeCell ref="C35:I35"/>
    <mergeCell ref="J19:P19"/>
    <mergeCell ref="J15:P15"/>
    <mergeCell ref="R8:R9"/>
    <mergeCell ref="Z18:AF18"/>
    <mergeCell ref="B12:B13"/>
    <mergeCell ref="C19:I19"/>
    <mergeCell ref="Z8:AF8"/>
    <mergeCell ref="S9:Y9"/>
    <mergeCell ref="Z9:AF9"/>
    <mergeCell ref="S8:Y8"/>
    <mergeCell ref="Z10:AF10"/>
    <mergeCell ref="S11:Y11"/>
    <mergeCell ref="Z11:AF11"/>
    <mergeCell ref="S10:Y10"/>
    <mergeCell ref="S12:Y12"/>
    <mergeCell ref="Z12:AF12"/>
    <mergeCell ref="B16:B17"/>
    <mergeCell ref="C16:I16"/>
    <mergeCell ref="Z13:AF13"/>
    <mergeCell ref="Q8:Q9"/>
    <mergeCell ref="S18:Y18"/>
    <mergeCell ref="J11:P11"/>
    <mergeCell ref="S33:Y33"/>
    <mergeCell ref="A6:A7"/>
    <mergeCell ref="B6:B7"/>
    <mergeCell ref="B8:B9"/>
    <mergeCell ref="J8:P8"/>
    <mergeCell ref="J13:P13"/>
    <mergeCell ref="J14:P14"/>
    <mergeCell ref="C8:I8"/>
    <mergeCell ref="A14:A15"/>
    <mergeCell ref="B14:B15"/>
    <mergeCell ref="A8:A9"/>
    <mergeCell ref="A12:A13"/>
    <mergeCell ref="A10:A11"/>
    <mergeCell ref="B10:B11"/>
    <mergeCell ref="C9:I9"/>
    <mergeCell ref="J9:P9"/>
    <mergeCell ref="C12:I12"/>
    <mergeCell ref="C7:I7"/>
    <mergeCell ref="J7:P7"/>
    <mergeCell ref="Z5:AF5"/>
    <mergeCell ref="Q4:Q5"/>
    <mergeCell ref="R4:R5"/>
    <mergeCell ref="S5:Y5"/>
    <mergeCell ref="A1:G1"/>
    <mergeCell ref="J6:P6"/>
    <mergeCell ref="J5:P5"/>
    <mergeCell ref="J3:P3"/>
    <mergeCell ref="C5:I5"/>
    <mergeCell ref="C6:I6"/>
    <mergeCell ref="Z3:AF3"/>
    <mergeCell ref="S4:Y4"/>
    <mergeCell ref="Z4:AF4"/>
    <mergeCell ref="C4:I4"/>
    <mergeCell ref="J4:P4"/>
    <mergeCell ref="S3:Y3"/>
    <mergeCell ref="R6:R7"/>
    <mergeCell ref="Q6:Q7"/>
    <mergeCell ref="A2:D2"/>
    <mergeCell ref="A4:A5"/>
    <mergeCell ref="Z7:AF7"/>
    <mergeCell ref="B4:B5"/>
    <mergeCell ref="C3:I3"/>
    <mergeCell ref="S6:Y6"/>
    <mergeCell ref="A20:A21"/>
    <mergeCell ref="Z27:AF27"/>
    <mergeCell ref="Z6:AF6"/>
    <mergeCell ref="S7:Y7"/>
    <mergeCell ref="J20:P20"/>
    <mergeCell ref="Z29:AF29"/>
    <mergeCell ref="A24:A25"/>
    <mergeCell ref="B24:B25"/>
    <mergeCell ref="C29:I29"/>
    <mergeCell ref="R22:R23"/>
    <mergeCell ref="R26:R27"/>
    <mergeCell ref="S23:Y23"/>
    <mergeCell ref="Q22:Q23"/>
    <mergeCell ref="J22:P22"/>
    <mergeCell ref="Q20:Q21"/>
    <mergeCell ref="C21:I21"/>
    <mergeCell ref="C25:I25"/>
    <mergeCell ref="C24:I24"/>
    <mergeCell ref="J23:P23"/>
    <mergeCell ref="Q24:Q25"/>
    <mergeCell ref="R28:R29"/>
    <mergeCell ref="S27:Y27"/>
    <mergeCell ref="A22:A23"/>
    <mergeCell ref="B22:B23"/>
  </mergeCells>
  <phoneticPr fontId="7"/>
  <dataValidations count="1">
    <dataValidation type="list" allowBlank="1" showInputMessage="1" showErrorMessage="1" sqref="R45 R47 R49 R51 R53 R55 R57 R59 R61 R63 R65 R67 R69 R71 R73 R75 B32 B4 B6 B8 B10 B12 B14 B16 B18 B20 B22 B24 B26 B28 B30 B69 B71 B49 B45 B47 B51 B73 B53 B55 B57 B59 B61 B63 B65 B67 R34 R4 R6 R8 R10 R12 R14 R16 R18 R20 R22 R24 R26 R28 R30 R32" xr:uid="{00000000-0002-0000-0900-000000000000}">
      <formula1>"日,月,火,水,木,金,土"</formula1>
    </dataValidation>
  </dataValidations>
  <pageMargins left="0.39370078740157483" right="0.19685039370078741" top="0.78740157480314965" bottom="0.78740157480314965" header="0.51181102362204722" footer="0.51181102362204722"/>
  <pageSetup paperSize="9" scale="61"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A1:AG36"/>
  <sheetViews>
    <sheetView zoomScale="85" zoomScaleNormal="85" workbookViewId="0">
      <selection activeCell="K186" sqref="K186"/>
    </sheetView>
  </sheetViews>
  <sheetFormatPr defaultRowHeight="14.4"/>
  <cols>
    <col min="1" max="1" width="5.88671875" style="116" customWidth="1"/>
    <col min="2" max="2" width="22.77734375" style="116" customWidth="1"/>
    <col min="3" max="3" width="7.21875" style="116" customWidth="1"/>
    <col min="4" max="27" width="5" style="117" customWidth="1"/>
    <col min="28" max="28" width="25.109375" style="117" customWidth="1"/>
    <col min="29" max="29" width="39.6640625" style="117" customWidth="1"/>
    <col min="30" max="120" width="2.21875" style="116" customWidth="1"/>
    <col min="121" max="256" width="9" style="116"/>
    <col min="257" max="257" width="5.88671875" style="116" customWidth="1"/>
    <col min="258" max="258" width="22.77734375" style="116" customWidth="1"/>
    <col min="259" max="259" width="7.21875" style="116" customWidth="1"/>
    <col min="260" max="283" width="5" style="116" customWidth="1"/>
    <col min="284" max="284" width="25.109375" style="116" customWidth="1"/>
    <col min="285" max="285" width="39.6640625" style="116" customWidth="1"/>
    <col min="286" max="376" width="2.21875" style="116" customWidth="1"/>
    <col min="377" max="512" width="9" style="116"/>
    <col min="513" max="513" width="5.88671875" style="116" customWidth="1"/>
    <col min="514" max="514" width="22.77734375" style="116" customWidth="1"/>
    <col min="515" max="515" width="7.21875" style="116" customWidth="1"/>
    <col min="516" max="539" width="5" style="116" customWidth="1"/>
    <col min="540" max="540" width="25.109375" style="116" customWidth="1"/>
    <col min="541" max="541" width="39.6640625" style="116" customWidth="1"/>
    <col min="542" max="632" width="2.21875" style="116" customWidth="1"/>
    <col min="633" max="768" width="9" style="116"/>
    <col min="769" max="769" width="5.88671875" style="116" customWidth="1"/>
    <col min="770" max="770" width="22.77734375" style="116" customWidth="1"/>
    <col min="771" max="771" width="7.21875" style="116" customWidth="1"/>
    <col min="772" max="795" width="5" style="116" customWidth="1"/>
    <col min="796" max="796" width="25.109375" style="116" customWidth="1"/>
    <col min="797" max="797" width="39.6640625" style="116" customWidth="1"/>
    <col min="798" max="888" width="2.21875" style="116" customWidth="1"/>
    <col min="889" max="1024" width="9" style="116"/>
    <col min="1025" max="1025" width="5.88671875" style="116" customWidth="1"/>
    <col min="1026" max="1026" width="22.77734375" style="116" customWidth="1"/>
    <col min="1027" max="1027" width="7.21875" style="116" customWidth="1"/>
    <col min="1028" max="1051" width="5" style="116" customWidth="1"/>
    <col min="1052" max="1052" width="25.109375" style="116" customWidth="1"/>
    <col min="1053" max="1053" width="39.6640625" style="116" customWidth="1"/>
    <col min="1054" max="1144" width="2.21875" style="116" customWidth="1"/>
    <col min="1145" max="1280" width="9" style="116"/>
    <col min="1281" max="1281" width="5.88671875" style="116" customWidth="1"/>
    <col min="1282" max="1282" width="22.77734375" style="116" customWidth="1"/>
    <col min="1283" max="1283" width="7.21875" style="116" customWidth="1"/>
    <col min="1284" max="1307" width="5" style="116" customWidth="1"/>
    <col min="1308" max="1308" width="25.109375" style="116" customWidth="1"/>
    <col min="1309" max="1309" width="39.6640625" style="116" customWidth="1"/>
    <col min="1310" max="1400" width="2.21875" style="116" customWidth="1"/>
    <col min="1401" max="1536" width="9" style="116"/>
    <col min="1537" max="1537" width="5.88671875" style="116" customWidth="1"/>
    <col min="1538" max="1538" width="22.77734375" style="116" customWidth="1"/>
    <col min="1539" max="1539" width="7.21875" style="116" customWidth="1"/>
    <col min="1540" max="1563" width="5" style="116" customWidth="1"/>
    <col min="1564" max="1564" width="25.109375" style="116" customWidth="1"/>
    <col min="1565" max="1565" width="39.6640625" style="116" customWidth="1"/>
    <col min="1566" max="1656" width="2.21875" style="116" customWidth="1"/>
    <col min="1657" max="1792" width="9" style="116"/>
    <col min="1793" max="1793" width="5.88671875" style="116" customWidth="1"/>
    <col min="1794" max="1794" width="22.77734375" style="116" customWidth="1"/>
    <col min="1795" max="1795" width="7.21875" style="116" customWidth="1"/>
    <col min="1796" max="1819" width="5" style="116" customWidth="1"/>
    <col min="1820" max="1820" width="25.109375" style="116" customWidth="1"/>
    <col min="1821" max="1821" width="39.6640625" style="116" customWidth="1"/>
    <col min="1822" max="1912" width="2.21875" style="116" customWidth="1"/>
    <col min="1913" max="2048" width="9" style="116"/>
    <col min="2049" max="2049" width="5.88671875" style="116" customWidth="1"/>
    <col min="2050" max="2050" width="22.77734375" style="116" customWidth="1"/>
    <col min="2051" max="2051" width="7.21875" style="116" customWidth="1"/>
    <col min="2052" max="2075" width="5" style="116" customWidth="1"/>
    <col min="2076" max="2076" width="25.109375" style="116" customWidth="1"/>
    <col min="2077" max="2077" width="39.6640625" style="116" customWidth="1"/>
    <col min="2078" max="2168" width="2.21875" style="116" customWidth="1"/>
    <col min="2169" max="2304" width="9" style="116"/>
    <col min="2305" max="2305" width="5.88671875" style="116" customWidth="1"/>
    <col min="2306" max="2306" width="22.77734375" style="116" customWidth="1"/>
    <col min="2307" max="2307" width="7.21875" style="116" customWidth="1"/>
    <col min="2308" max="2331" width="5" style="116" customWidth="1"/>
    <col min="2332" max="2332" width="25.109375" style="116" customWidth="1"/>
    <col min="2333" max="2333" width="39.6640625" style="116" customWidth="1"/>
    <col min="2334" max="2424" width="2.21875" style="116" customWidth="1"/>
    <col min="2425" max="2560" width="9" style="116"/>
    <col min="2561" max="2561" width="5.88671875" style="116" customWidth="1"/>
    <col min="2562" max="2562" width="22.77734375" style="116" customWidth="1"/>
    <col min="2563" max="2563" width="7.21875" style="116" customWidth="1"/>
    <col min="2564" max="2587" width="5" style="116" customWidth="1"/>
    <col min="2588" max="2588" width="25.109375" style="116" customWidth="1"/>
    <col min="2589" max="2589" width="39.6640625" style="116" customWidth="1"/>
    <col min="2590" max="2680" width="2.21875" style="116" customWidth="1"/>
    <col min="2681" max="2816" width="9" style="116"/>
    <col min="2817" max="2817" width="5.88671875" style="116" customWidth="1"/>
    <col min="2818" max="2818" width="22.77734375" style="116" customWidth="1"/>
    <col min="2819" max="2819" width="7.21875" style="116" customWidth="1"/>
    <col min="2820" max="2843" width="5" style="116" customWidth="1"/>
    <col min="2844" max="2844" width="25.109375" style="116" customWidth="1"/>
    <col min="2845" max="2845" width="39.6640625" style="116" customWidth="1"/>
    <col min="2846" max="2936" width="2.21875" style="116" customWidth="1"/>
    <col min="2937" max="3072" width="9" style="116"/>
    <col min="3073" max="3073" width="5.88671875" style="116" customWidth="1"/>
    <col min="3074" max="3074" width="22.77734375" style="116" customWidth="1"/>
    <col min="3075" max="3075" width="7.21875" style="116" customWidth="1"/>
    <col min="3076" max="3099" width="5" style="116" customWidth="1"/>
    <col min="3100" max="3100" width="25.109375" style="116" customWidth="1"/>
    <col min="3101" max="3101" width="39.6640625" style="116" customWidth="1"/>
    <col min="3102" max="3192" width="2.21875" style="116" customWidth="1"/>
    <col min="3193" max="3328" width="9" style="116"/>
    <col min="3329" max="3329" width="5.88671875" style="116" customWidth="1"/>
    <col min="3330" max="3330" width="22.77734375" style="116" customWidth="1"/>
    <col min="3331" max="3331" width="7.21875" style="116" customWidth="1"/>
    <col min="3332" max="3355" width="5" style="116" customWidth="1"/>
    <col min="3356" max="3356" width="25.109375" style="116" customWidth="1"/>
    <col min="3357" max="3357" width="39.6640625" style="116" customWidth="1"/>
    <col min="3358" max="3448" width="2.21875" style="116" customWidth="1"/>
    <col min="3449" max="3584" width="9" style="116"/>
    <col min="3585" max="3585" width="5.88671875" style="116" customWidth="1"/>
    <col min="3586" max="3586" width="22.77734375" style="116" customWidth="1"/>
    <col min="3587" max="3587" width="7.21875" style="116" customWidth="1"/>
    <col min="3588" max="3611" width="5" style="116" customWidth="1"/>
    <col min="3612" max="3612" width="25.109375" style="116" customWidth="1"/>
    <col min="3613" max="3613" width="39.6640625" style="116" customWidth="1"/>
    <col min="3614" max="3704" width="2.21875" style="116" customWidth="1"/>
    <col min="3705" max="3840" width="9" style="116"/>
    <col min="3841" max="3841" width="5.88671875" style="116" customWidth="1"/>
    <col min="3842" max="3842" width="22.77734375" style="116" customWidth="1"/>
    <col min="3843" max="3843" width="7.21875" style="116" customWidth="1"/>
    <col min="3844" max="3867" width="5" style="116" customWidth="1"/>
    <col min="3868" max="3868" width="25.109375" style="116" customWidth="1"/>
    <col min="3869" max="3869" width="39.6640625" style="116" customWidth="1"/>
    <col min="3870" max="3960" width="2.21875" style="116" customWidth="1"/>
    <col min="3961" max="4096" width="9" style="116"/>
    <col min="4097" max="4097" width="5.88671875" style="116" customWidth="1"/>
    <col min="4098" max="4098" width="22.77734375" style="116" customWidth="1"/>
    <col min="4099" max="4099" width="7.21875" style="116" customWidth="1"/>
    <col min="4100" max="4123" width="5" style="116" customWidth="1"/>
    <col min="4124" max="4124" width="25.109375" style="116" customWidth="1"/>
    <col min="4125" max="4125" width="39.6640625" style="116" customWidth="1"/>
    <col min="4126" max="4216" width="2.21875" style="116" customWidth="1"/>
    <col min="4217" max="4352" width="9" style="116"/>
    <col min="4353" max="4353" width="5.88671875" style="116" customWidth="1"/>
    <col min="4354" max="4354" width="22.77734375" style="116" customWidth="1"/>
    <col min="4355" max="4355" width="7.21875" style="116" customWidth="1"/>
    <col min="4356" max="4379" width="5" style="116" customWidth="1"/>
    <col min="4380" max="4380" width="25.109375" style="116" customWidth="1"/>
    <col min="4381" max="4381" width="39.6640625" style="116" customWidth="1"/>
    <col min="4382" max="4472" width="2.21875" style="116" customWidth="1"/>
    <col min="4473" max="4608" width="9" style="116"/>
    <col min="4609" max="4609" width="5.88671875" style="116" customWidth="1"/>
    <col min="4610" max="4610" width="22.77734375" style="116" customWidth="1"/>
    <col min="4611" max="4611" width="7.21875" style="116" customWidth="1"/>
    <col min="4612" max="4635" width="5" style="116" customWidth="1"/>
    <col min="4636" max="4636" width="25.109375" style="116" customWidth="1"/>
    <col min="4637" max="4637" width="39.6640625" style="116" customWidth="1"/>
    <col min="4638" max="4728" width="2.21875" style="116" customWidth="1"/>
    <col min="4729" max="4864" width="9" style="116"/>
    <col min="4865" max="4865" width="5.88671875" style="116" customWidth="1"/>
    <col min="4866" max="4866" width="22.77734375" style="116" customWidth="1"/>
    <col min="4867" max="4867" width="7.21875" style="116" customWidth="1"/>
    <col min="4868" max="4891" width="5" style="116" customWidth="1"/>
    <col min="4892" max="4892" width="25.109375" style="116" customWidth="1"/>
    <col min="4893" max="4893" width="39.6640625" style="116" customWidth="1"/>
    <col min="4894" max="4984" width="2.21875" style="116" customWidth="1"/>
    <col min="4985" max="5120" width="9" style="116"/>
    <col min="5121" max="5121" width="5.88671875" style="116" customWidth="1"/>
    <col min="5122" max="5122" width="22.77734375" style="116" customWidth="1"/>
    <col min="5123" max="5123" width="7.21875" style="116" customWidth="1"/>
    <col min="5124" max="5147" width="5" style="116" customWidth="1"/>
    <col min="5148" max="5148" width="25.109375" style="116" customWidth="1"/>
    <col min="5149" max="5149" width="39.6640625" style="116" customWidth="1"/>
    <col min="5150" max="5240" width="2.21875" style="116" customWidth="1"/>
    <col min="5241" max="5376" width="9" style="116"/>
    <col min="5377" max="5377" width="5.88671875" style="116" customWidth="1"/>
    <col min="5378" max="5378" width="22.77734375" style="116" customWidth="1"/>
    <col min="5379" max="5379" width="7.21875" style="116" customWidth="1"/>
    <col min="5380" max="5403" width="5" style="116" customWidth="1"/>
    <col min="5404" max="5404" width="25.109375" style="116" customWidth="1"/>
    <col min="5405" max="5405" width="39.6640625" style="116" customWidth="1"/>
    <col min="5406" max="5496" width="2.21875" style="116" customWidth="1"/>
    <col min="5497" max="5632" width="9" style="116"/>
    <col min="5633" max="5633" width="5.88671875" style="116" customWidth="1"/>
    <col min="5634" max="5634" width="22.77734375" style="116" customWidth="1"/>
    <col min="5635" max="5635" width="7.21875" style="116" customWidth="1"/>
    <col min="5636" max="5659" width="5" style="116" customWidth="1"/>
    <col min="5660" max="5660" width="25.109375" style="116" customWidth="1"/>
    <col min="5661" max="5661" width="39.6640625" style="116" customWidth="1"/>
    <col min="5662" max="5752" width="2.21875" style="116" customWidth="1"/>
    <col min="5753" max="5888" width="9" style="116"/>
    <col min="5889" max="5889" width="5.88671875" style="116" customWidth="1"/>
    <col min="5890" max="5890" width="22.77734375" style="116" customWidth="1"/>
    <col min="5891" max="5891" width="7.21875" style="116" customWidth="1"/>
    <col min="5892" max="5915" width="5" style="116" customWidth="1"/>
    <col min="5916" max="5916" width="25.109375" style="116" customWidth="1"/>
    <col min="5917" max="5917" width="39.6640625" style="116" customWidth="1"/>
    <col min="5918" max="6008" width="2.21875" style="116" customWidth="1"/>
    <col min="6009" max="6144" width="9" style="116"/>
    <col min="6145" max="6145" width="5.88671875" style="116" customWidth="1"/>
    <col min="6146" max="6146" width="22.77734375" style="116" customWidth="1"/>
    <col min="6147" max="6147" width="7.21875" style="116" customWidth="1"/>
    <col min="6148" max="6171" width="5" style="116" customWidth="1"/>
    <col min="6172" max="6172" width="25.109375" style="116" customWidth="1"/>
    <col min="6173" max="6173" width="39.6640625" style="116" customWidth="1"/>
    <col min="6174" max="6264" width="2.21875" style="116" customWidth="1"/>
    <col min="6265" max="6400" width="9" style="116"/>
    <col min="6401" max="6401" width="5.88671875" style="116" customWidth="1"/>
    <col min="6402" max="6402" width="22.77734375" style="116" customWidth="1"/>
    <col min="6403" max="6403" width="7.21875" style="116" customWidth="1"/>
    <col min="6404" max="6427" width="5" style="116" customWidth="1"/>
    <col min="6428" max="6428" width="25.109375" style="116" customWidth="1"/>
    <col min="6429" max="6429" width="39.6640625" style="116" customWidth="1"/>
    <col min="6430" max="6520" width="2.21875" style="116" customWidth="1"/>
    <col min="6521" max="6656" width="9" style="116"/>
    <col min="6657" max="6657" width="5.88671875" style="116" customWidth="1"/>
    <col min="6658" max="6658" width="22.77734375" style="116" customWidth="1"/>
    <col min="6659" max="6659" width="7.21875" style="116" customWidth="1"/>
    <col min="6660" max="6683" width="5" style="116" customWidth="1"/>
    <col min="6684" max="6684" width="25.109375" style="116" customWidth="1"/>
    <col min="6685" max="6685" width="39.6640625" style="116" customWidth="1"/>
    <col min="6686" max="6776" width="2.21875" style="116" customWidth="1"/>
    <col min="6777" max="6912" width="9" style="116"/>
    <col min="6913" max="6913" width="5.88671875" style="116" customWidth="1"/>
    <col min="6914" max="6914" width="22.77734375" style="116" customWidth="1"/>
    <col min="6915" max="6915" width="7.21875" style="116" customWidth="1"/>
    <col min="6916" max="6939" width="5" style="116" customWidth="1"/>
    <col min="6940" max="6940" width="25.109375" style="116" customWidth="1"/>
    <col min="6941" max="6941" width="39.6640625" style="116" customWidth="1"/>
    <col min="6942" max="7032" width="2.21875" style="116" customWidth="1"/>
    <col min="7033" max="7168" width="9" style="116"/>
    <col min="7169" max="7169" width="5.88671875" style="116" customWidth="1"/>
    <col min="7170" max="7170" width="22.77734375" style="116" customWidth="1"/>
    <col min="7171" max="7171" width="7.21875" style="116" customWidth="1"/>
    <col min="7172" max="7195" width="5" style="116" customWidth="1"/>
    <col min="7196" max="7196" width="25.109375" style="116" customWidth="1"/>
    <col min="7197" max="7197" width="39.6640625" style="116" customWidth="1"/>
    <col min="7198" max="7288" width="2.21875" style="116" customWidth="1"/>
    <col min="7289" max="7424" width="9" style="116"/>
    <col min="7425" max="7425" width="5.88671875" style="116" customWidth="1"/>
    <col min="7426" max="7426" width="22.77734375" style="116" customWidth="1"/>
    <col min="7427" max="7427" width="7.21875" style="116" customWidth="1"/>
    <col min="7428" max="7451" width="5" style="116" customWidth="1"/>
    <col min="7452" max="7452" width="25.109375" style="116" customWidth="1"/>
    <col min="7453" max="7453" width="39.6640625" style="116" customWidth="1"/>
    <col min="7454" max="7544" width="2.21875" style="116" customWidth="1"/>
    <col min="7545" max="7680" width="9" style="116"/>
    <col min="7681" max="7681" width="5.88671875" style="116" customWidth="1"/>
    <col min="7682" max="7682" width="22.77734375" style="116" customWidth="1"/>
    <col min="7683" max="7683" width="7.21875" style="116" customWidth="1"/>
    <col min="7684" max="7707" width="5" style="116" customWidth="1"/>
    <col min="7708" max="7708" width="25.109375" style="116" customWidth="1"/>
    <col min="7709" max="7709" width="39.6640625" style="116" customWidth="1"/>
    <col min="7710" max="7800" width="2.21875" style="116" customWidth="1"/>
    <col min="7801" max="7936" width="9" style="116"/>
    <col min="7937" max="7937" width="5.88671875" style="116" customWidth="1"/>
    <col min="7938" max="7938" width="22.77734375" style="116" customWidth="1"/>
    <col min="7939" max="7939" width="7.21875" style="116" customWidth="1"/>
    <col min="7940" max="7963" width="5" style="116" customWidth="1"/>
    <col min="7964" max="7964" width="25.109375" style="116" customWidth="1"/>
    <col min="7965" max="7965" width="39.6640625" style="116" customWidth="1"/>
    <col min="7966" max="8056" width="2.21875" style="116" customWidth="1"/>
    <col min="8057" max="8192" width="9" style="116"/>
    <col min="8193" max="8193" width="5.88671875" style="116" customWidth="1"/>
    <col min="8194" max="8194" width="22.77734375" style="116" customWidth="1"/>
    <col min="8195" max="8195" width="7.21875" style="116" customWidth="1"/>
    <col min="8196" max="8219" width="5" style="116" customWidth="1"/>
    <col min="8220" max="8220" width="25.109375" style="116" customWidth="1"/>
    <col min="8221" max="8221" width="39.6640625" style="116" customWidth="1"/>
    <col min="8222" max="8312" width="2.21875" style="116" customWidth="1"/>
    <col min="8313" max="8448" width="9" style="116"/>
    <col min="8449" max="8449" width="5.88671875" style="116" customWidth="1"/>
    <col min="8450" max="8450" width="22.77734375" style="116" customWidth="1"/>
    <col min="8451" max="8451" width="7.21875" style="116" customWidth="1"/>
    <col min="8452" max="8475" width="5" style="116" customWidth="1"/>
    <col min="8476" max="8476" width="25.109375" style="116" customWidth="1"/>
    <col min="8477" max="8477" width="39.6640625" style="116" customWidth="1"/>
    <col min="8478" max="8568" width="2.21875" style="116" customWidth="1"/>
    <col min="8569" max="8704" width="9" style="116"/>
    <col min="8705" max="8705" width="5.88671875" style="116" customWidth="1"/>
    <col min="8706" max="8706" width="22.77734375" style="116" customWidth="1"/>
    <col min="8707" max="8707" width="7.21875" style="116" customWidth="1"/>
    <col min="8708" max="8731" width="5" style="116" customWidth="1"/>
    <col min="8732" max="8732" width="25.109375" style="116" customWidth="1"/>
    <col min="8733" max="8733" width="39.6640625" style="116" customWidth="1"/>
    <col min="8734" max="8824" width="2.21875" style="116" customWidth="1"/>
    <col min="8825" max="8960" width="9" style="116"/>
    <col min="8961" max="8961" width="5.88671875" style="116" customWidth="1"/>
    <col min="8962" max="8962" width="22.77734375" style="116" customWidth="1"/>
    <col min="8963" max="8963" width="7.21875" style="116" customWidth="1"/>
    <col min="8964" max="8987" width="5" style="116" customWidth="1"/>
    <col min="8988" max="8988" width="25.109375" style="116" customWidth="1"/>
    <col min="8989" max="8989" width="39.6640625" style="116" customWidth="1"/>
    <col min="8990" max="9080" width="2.21875" style="116" customWidth="1"/>
    <col min="9081" max="9216" width="9" style="116"/>
    <col min="9217" max="9217" width="5.88671875" style="116" customWidth="1"/>
    <col min="9218" max="9218" width="22.77734375" style="116" customWidth="1"/>
    <col min="9219" max="9219" width="7.21875" style="116" customWidth="1"/>
    <col min="9220" max="9243" width="5" style="116" customWidth="1"/>
    <col min="9244" max="9244" width="25.109375" style="116" customWidth="1"/>
    <col min="9245" max="9245" width="39.6640625" style="116" customWidth="1"/>
    <col min="9246" max="9336" width="2.21875" style="116" customWidth="1"/>
    <col min="9337" max="9472" width="9" style="116"/>
    <col min="9473" max="9473" width="5.88671875" style="116" customWidth="1"/>
    <col min="9474" max="9474" width="22.77734375" style="116" customWidth="1"/>
    <col min="9475" max="9475" width="7.21875" style="116" customWidth="1"/>
    <col min="9476" max="9499" width="5" style="116" customWidth="1"/>
    <col min="9500" max="9500" width="25.109375" style="116" customWidth="1"/>
    <col min="9501" max="9501" width="39.6640625" style="116" customWidth="1"/>
    <col min="9502" max="9592" width="2.21875" style="116" customWidth="1"/>
    <col min="9593" max="9728" width="9" style="116"/>
    <col min="9729" max="9729" width="5.88671875" style="116" customWidth="1"/>
    <col min="9730" max="9730" width="22.77734375" style="116" customWidth="1"/>
    <col min="9731" max="9731" width="7.21875" style="116" customWidth="1"/>
    <col min="9732" max="9755" width="5" style="116" customWidth="1"/>
    <col min="9756" max="9756" width="25.109375" style="116" customWidth="1"/>
    <col min="9757" max="9757" width="39.6640625" style="116" customWidth="1"/>
    <col min="9758" max="9848" width="2.21875" style="116" customWidth="1"/>
    <col min="9849" max="9984" width="9" style="116"/>
    <col min="9985" max="9985" width="5.88671875" style="116" customWidth="1"/>
    <col min="9986" max="9986" width="22.77734375" style="116" customWidth="1"/>
    <col min="9987" max="9987" width="7.21875" style="116" customWidth="1"/>
    <col min="9988" max="10011" width="5" style="116" customWidth="1"/>
    <col min="10012" max="10012" width="25.109375" style="116" customWidth="1"/>
    <col min="10013" max="10013" width="39.6640625" style="116" customWidth="1"/>
    <col min="10014" max="10104" width="2.21875" style="116" customWidth="1"/>
    <col min="10105" max="10240" width="9" style="116"/>
    <col min="10241" max="10241" width="5.88671875" style="116" customWidth="1"/>
    <col min="10242" max="10242" width="22.77734375" style="116" customWidth="1"/>
    <col min="10243" max="10243" width="7.21875" style="116" customWidth="1"/>
    <col min="10244" max="10267" width="5" style="116" customWidth="1"/>
    <col min="10268" max="10268" width="25.109375" style="116" customWidth="1"/>
    <col min="10269" max="10269" width="39.6640625" style="116" customWidth="1"/>
    <col min="10270" max="10360" width="2.21875" style="116" customWidth="1"/>
    <col min="10361" max="10496" width="9" style="116"/>
    <col min="10497" max="10497" width="5.88671875" style="116" customWidth="1"/>
    <col min="10498" max="10498" width="22.77734375" style="116" customWidth="1"/>
    <col min="10499" max="10499" width="7.21875" style="116" customWidth="1"/>
    <col min="10500" max="10523" width="5" style="116" customWidth="1"/>
    <col min="10524" max="10524" width="25.109375" style="116" customWidth="1"/>
    <col min="10525" max="10525" width="39.6640625" style="116" customWidth="1"/>
    <col min="10526" max="10616" width="2.21875" style="116" customWidth="1"/>
    <col min="10617" max="10752" width="9" style="116"/>
    <col min="10753" max="10753" width="5.88671875" style="116" customWidth="1"/>
    <col min="10754" max="10754" width="22.77734375" style="116" customWidth="1"/>
    <col min="10755" max="10755" width="7.21875" style="116" customWidth="1"/>
    <col min="10756" max="10779" width="5" style="116" customWidth="1"/>
    <col min="10780" max="10780" width="25.109375" style="116" customWidth="1"/>
    <col min="10781" max="10781" width="39.6640625" style="116" customWidth="1"/>
    <col min="10782" max="10872" width="2.21875" style="116" customWidth="1"/>
    <col min="10873" max="11008" width="9" style="116"/>
    <col min="11009" max="11009" width="5.88671875" style="116" customWidth="1"/>
    <col min="11010" max="11010" width="22.77734375" style="116" customWidth="1"/>
    <col min="11011" max="11011" width="7.21875" style="116" customWidth="1"/>
    <col min="11012" max="11035" width="5" style="116" customWidth="1"/>
    <col min="11036" max="11036" width="25.109375" style="116" customWidth="1"/>
    <col min="11037" max="11037" width="39.6640625" style="116" customWidth="1"/>
    <col min="11038" max="11128" width="2.21875" style="116" customWidth="1"/>
    <col min="11129" max="11264" width="9" style="116"/>
    <col min="11265" max="11265" width="5.88671875" style="116" customWidth="1"/>
    <col min="11266" max="11266" width="22.77734375" style="116" customWidth="1"/>
    <col min="11267" max="11267" width="7.21875" style="116" customWidth="1"/>
    <col min="11268" max="11291" width="5" style="116" customWidth="1"/>
    <col min="11292" max="11292" width="25.109375" style="116" customWidth="1"/>
    <col min="11293" max="11293" width="39.6640625" style="116" customWidth="1"/>
    <col min="11294" max="11384" width="2.21875" style="116" customWidth="1"/>
    <col min="11385" max="11520" width="9" style="116"/>
    <col min="11521" max="11521" width="5.88671875" style="116" customWidth="1"/>
    <col min="11522" max="11522" width="22.77734375" style="116" customWidth="1"/>
    <col min="11523" max="11523" width="7.21875" style="116" customWidth="1"/>
    <col min="11524" max="11547" width="5" style="116" customWidth="1"/>
    <col min="11548" max="11548" width="25.109375" style="116" customWidth="1"/>
    <col min="11549" max="11549" width="39.6640625" style="116" customWidth="1"/>
    <col min="11550" max="11640" width="2.21875" style="116" customWidth="1"/>
    <col min="11641" max="11776" width="9" style="116"/>
    <col min="11777" max="11777" width="5.88671875" style="116" customWidth="1"/>
    <col min="11778" max="11778" width="22.77734375" style="116" customWidth="1"/>
    <col min="11779" max="11779" width="7.21875" style="116" customWidth="1"/>
    <col min="11780" max="11803" width="5" style="116" customWidth="1"/>
    <col min="11804" max="11804" width="25.109375" style="116" customWidth="1"/>
    <col min="11805" max="11805" width="39.6640625" style="116" customWidth="1"/>
    <col min="11806" max="11896" width="2.21875" style="116" customWidth="1"/>
    <col min="11897" max="12032" width="9" style="116"/>
    <col min="12033" max="12033" width="5.88671875" style="116" customWidth="1"/>
    <col min="12034" max="12034" width="22.77734375" style="116" customWidth="1"/>
    <col min="12035" max="12035" width="7.21875" style="116" customWidth="1"/>
    <col min="12036" max="12059" width="5" style="116" customWidth="1"/>
    <col min="12060" max="12060" width="25.109375" style="116" customWidth="1"/>
    <col min="12061" max="12061" width="39.6640625" style="116" customWidth="1"/>
    <col min="12062" max="12152" width="2.21875" style="116" customWidth="1"/>
    <col min="12153" max="12288" width="9" style="116"/>
    <col min="12289" max="12289" width="5.88671875" style="116" customWidth="1"/>
    <col min="12290" max="12290" width="22.77734375" style="116" customWidth="1"/>
    <col min="12291" max="12291" width="7.21875" style="116" customWidth="1"/>
    <col min="12292" max="12315" width="5" style="116" customWidth="1"/>
    <col min="12316" max="12316" width="25.109375" style="116" customWidth="1"/>
    <col min="12317" max="12317" width="39.6640625" style="116" customWidth="1"/>
    <col min="12318" max="12408" width="2.21875" style="116" customWidth="1"/>
    <col min="12409" max="12544" width="9" style="116"/>
    <col min="12545" max="12545" width="5.88671875" style="116" customWidth="1"/>
    <col min="12546" max="12546" width="22.77734375" style="116" customWidth="1"/>
    <col min="12547" max="12547" width="7.21875" style="116" customWidth="1"/>
    <col min="12548" max="12571" width="5" style="116" customWidth="1"/>
    <col min="12572" max="12572" width="25.109375" style="116" customWidth="1"/>
    <col min="12573" max="12573" width="39.6640625" style="116" customWidth="1"/>
    <col min="12574" max="12664" width="2.21875" style="116" customWidth="1"/>
    <col min="12665" max="12800" width="9" style="116"/>
    <col min="12801" max="12801" width="5.88671875" style="116" customWidth="1"/>
    <col min="12802" max="12802" width="22.77734375" style="116" customWidth="1"/>
    <col min="12803" max="12803" width="7.21875" style="116" customWidth="1"/>
    <col min="12804" max="12827" width="5" style="116" customWidth="1"/>
    <col min="12828" max="12828" width="25.109375" style="116" customWidth="1"/>
    <col min="12829" max="12829" width="39.6640625" style="116" customWidth="1"/>
    <col min="12830" max="12920" width="2.21875" style="116" customWidth="1"/>
    <col min="12921" max="13056" width="9" style="116"/>
    <col min="13057" max="13057" width="5.88671875" style="116" customWidth="1"/>
    <col min="13058" max="13058" width="22.77734375" style="116" customWidth="1"/>
    <col min="13059" max="13059" width="7.21875" style="116" customWidth="1"/>
    <col min="13060" max="13083" width="5" style="116" customWidth="1"/>
    <col min="13084" max="13084" width="25.109375" style="116" customWidth="1"/>
    <col min="13085" max="13085" width="39.6640625" style="116" customWidth="1"/>
    <col min="13086" max="13176" width="2.21875" style="116" customWidth="1"/>
    <col min="13177" max="13312" width="9" style="116"/>
    <col min="13313" max="13313" width="5.88671875" style="116" customWidth="1"/>
    <col min="13314" max="13314" width="22.77734375" style="116" customWidth="1"/>
    <col min="13315" max="13315" width="7.21875" style="116" customWidth="1"/>
    <col min="13316" max="13339" width="5" style="116" customWidth="1"/>
    <col min="13340" max="13340" width="25.109375" style="116" customWidth="1"/>
    <col min="13341" max="13341" width="39.6640625" style="116" customWidth="1"/>
    <col min="13342" max="13432" width="2.21875" style="116" customWidth="1"/>
    <col min="13433" max="13568" width="9" style="116"/>
    <col min="13569" max="13569" width="5.88671875" style="116" customWidth="1"/>
    <col min="13570" max="13570" width="22.77734375" style="116" customWidth="1"/>
    <col min="13571" max="13571" width="7.21875" style="116" customWidth="1"/>
    <col min="13572" max="13595" width="5" style="116" customWidth="1"/>
    <col min="13596" max="13596" width="25.109375" style="116" customWidth="1"/>
    <col min="13597" max="13597" width="39.6640625" style="116" customWidth="1"/>
    <col min="13598" max="13688" width="2.21875" style="116" customWidth="1"/>
    <col min="13689" max="13824" width="9" style="116"/>
    <col min="13825" max="13825" width="5.88671875" style="116" customWidth="1"/>
    <col min="13826" max="13826" width="22.77734375" style="116" customWidth="1"/>
    <col min="13827" max="13827" width="7.21875" style="116" customWidth="1"/>
    <col min="13828" max="13851" width="5" style="116" customWidth="1"/>
    <col min="13852" max="13852" width="25.109375" style="116" customWidth="1"/>
    <col min="13853" max="13853" width="39.6640625" style="116" customWidth="1"/>
    <col min="13854" max="13944" width="2.21875" style="116" customWidth="1"/>
    <col min="13945" max="14080" width="9" style="116"/>
    <col min="14081" max="14081" width="5.88671875" style="116" customWidth="1"/>
    <col min="14082" max="14082" width="22.77734375" style="116" customWidth="1"/>
    <col min="14083" max="14083" width="7.21875" style="116" customWidth="1"/>
    <col min="14084" max="14107" width="5" style="116" customWidth="1"/>
    <col min="14108" max="14108" width="25.109375" style="116" customWidth="1"/>
    <col min="14109" max="14109" width="39.6640625" style="116" customWidth="1"/>
    <col min="14110" max="14200" width="2.21875" style="116" customWidth="1"/>
    <col min="14201" max="14336" width="9" style="116"/>
    <col min="14337" max="14337" width="5.88671875" style="116" customWidth="1"/>
    <col min="14338" max="14338" width="22.77734375" style="116" customWidth="1"/>
    <col min="14339" max="14339" width="7.21875" style="116" customWidth="1"/>
    <col min="14340" max="14363" width="5" style="116" customWidth="1"/>
    <col min="14364" max="14364" width="25.109375" style="116" customWidth="1"/>
    <col min="14365" max="14365" width="39.6640625" style="116" customWidth="1"/>
    <col min="14366" max="14456" width="2.21875" style="116" customWidth="1"/>
    <col min="14457" max="14592" width="9" style="116"/>
    <col min="14593" max="14593" width="5.88671875" style="116" customWidth="1"/>
    <col min="14594" max="14594" width="22.77734375" style="116" customWidth="1"/>
    <col min="14595" max="14595" width="7.21875" style="116" customWidth="1"/>
    <col min="14596" max="14619" width="5" style="116" customWidth="1"/>
    <col min="14620" max="14620" width="25.109375" style="116" customWidth="1"/>
    <col min="14621" max="14621" width="39.6640625" style="116" customWidth="1"/>
    <col min="14622" max="14712" width="2.21875" style="116" customWidth="1"/>
    <col min="14713" max="14848" width="9" style="116"/>
    <col min="14849" max="14849" width="5.88671875" style="116" customWidth="1"/>
    <col min="14850" max="14850" width="22.77734375" style="116" customWidth="1"/>
    <col min="14851" max="14851" width="7.21875" style="116" customWidth="1"/>
    <col min="14852" max="14875" width="5" style="116" customWidth="1"/>
    <col min="14876" max="14876" width="25.109375" style="116" customWidth="1"/>
    <col min="14877" max="14877" width="39.6640625" style="116" customWidth="1"/>
    <col min="14878" max="14968" width="2.21875" style="116" customWidth="1"/>
    <col min="14969" max="15104" width="9" style="116"/>
    <col min="15105" max="15105" width="5.88671875" style="116" customWidth="1"/>
    <col min="15106" max="15106" width="22.77734375" style="116" customWidth="1"/>
    <col min="15107" max="15107" width="7.21875" style="116" customWidth="1"/>
    <col min="15108" max="15131" width="5" style="116" customWidth="1"/>
    <col min="15132" max="15132" width="25.109375" style="116" customWidth="1"/>
    <col min="15133" max="15133" width="39.6640625" style="116" customWidth="1"/>
    <col min="15134" max="15224" width="2.21875" style="116" customWidth="1"/>
    <col min="15225" max="15360" width="9" style="116"/>
    <col min="15361" max="15361" width="5.88671875" style="116" customWidth="1"/>
    <col min="15362" max="15362" width="22.77734375" style="116" customWidth="1"/>
    <col min="15363" max="15363" width="7.21875" style="116" customWidth="1"/>
    <col min="15364" max="15387" width="5" style="116" customWidth="1"/>
    <col min="15388" max="15388" width="25.109375" style="116" customWidth="1"/>
    <col min="15389" max="15389" width="39.6640625" style="116" customWidth="1"/>
    <col min="15390" max="15480" width="2.21875" style="116" customWidth="1"/>
    <col min="15481" max="15616" width="9" style="116"/>
    <col min="15617" max="15617" width="5.88671875" style="116" customWidth="1"/>
    <col min="15618" max="15618" width="22.77734375" style="116" customWidth="1"/>
    <col min="15619" max="15619" width="7.21875" style="116" customWidth="1"/>
    <col min="15620" max="15643" width="5" style="116" customWidth="1"/>
    <col min="15644" max="15644" width="25.109375" style="116" customWidth="1"/>
    <col min="15645" max="15645" width="39.6640625" style="116" customWidth="1"/>
    <col min="15646" max="15736" width="2.21875" style="116" customWidth="1"/>
    <col min="15737" max="15872" width="9" style="116"/>
    <col min="15873" max="15873" width="5.88671875" style="116" customWidth="1"/>
    <col min="15874" max="15874" width="22.77734375" style="116" customWidth="1"/>
    <col min="15875" max="15875" width="7.21875" style="116" customWidth="1"/>
    <col min="15876" max="15899" width="5" style="116" customWidth="1"/>
    <col min="15900" max="15900" width="25.109375" style="116" customWidth="1"/>
    <col min="15901" max="15901" width="39.6640625" style="116" customWidth="1"/>
    <col min="15902" max="15992" width="2.21875" style="116" customWidth="1"/>
    <col min="15993" max="16128" width="9" style="116"/>
    <col min="16129" max="16129" width="5.88671875" style="116" customWidth="1"/>
    <col min="16130" max="16130" width="22.77734375" style="116" customWidth="1"/>
    <col min="16131" max="16131" width="7.21875" style="116" customWidth="1"/>
    <col min="16132" max="16155" width="5" style="116" customWidth="1"/>
    <col min="16156" max="16156" width="25.109375" style="116" customWidth="1"/>
    <col min="16157" max="16157" width="39.6640625" style="116" customWidth="1"/>
    <col min="16158" max="16248" width="2.21875" style="116" customWidth="1"/>
    <col min="16249" max="16384" width="9" style="116"/>
  </cols>
  <sheetData>
    <row r="1" spans="1:33" s="115" customFormat="1" ht="30" customHeight="1">
      <c r="A1" s="1187" t="s">
        <v>75</v>
      </c>
      <c r="B1" s="1188"/>
      <c r="C1" s="1188"/>
      <c r="D1" s="1188"/>
      <c r="E1" s="1188"/>
      <c r="F1" s="1188"/>
      <c r="G1" s="1188"/>
      <c r="H1" s="1188"/>
      <c r="I1" s="1188"/>
      <c r="J1" s="1188"/>
      <c r="K1" s="1188"/>
      <c r="L1" s="1188"/>
      <c r="M1" s="1188"/>
      <c r="N1" s="1188"/>
      <c r="O1" s="1188"/>
      <c r="P1" s="1188"/>
      <c r="Q1" s="1188"/>
      <c r="R1" s="1188"/>
      <c r="S1" s="1188"/>
      <c r="T1" s="1188"/>
      <c r="U1" s="1188"/>
      <c r="V1" s="1188"/>
      <c r="W1" s="1188"/>
      <c r="X1" s="1188"/>
      <c r="Y1" s="1188"/>
      <c r="Z1" s="1188"/>
      <c r="AA1" s="1188"/>
      <c r="AB1" s="1188"/>
      <c r="AC1" s="1188"/>
      <c r="AD1" s="1188"/>
      <c r="AE1" s="1188"/>
      <c r="AF1" s="1188"/>
      <c r="AG1" s="1188"/>
    </row>
    <row r="2" spans="1:33" s="115" customFormat="1" ht="21" customHeight="1">
      <c r="A2" s="116"/>
      <c r="B2" s="116"/>
      <c r="C2" s="116"/>
      <c r="D2" s="117"/>
      <c r="E2" s="117"/>
      <c r="F2" s="117"/>
      <c r="G2" s="117"/>
      <c r="H2" s="117"/>
      <c r="I2" s="117"/>
      <c r="J2" s="117"/>
      <c r="K2" s="117"/>
      <c r="L2" s="117"/>
      <c r="M2" s="117"/>
      <c r="N2" s="117"/>
      <c r="O2" s="117"/>
      <c r="P2" s="117"/>
      <c r="Q2" s="117"/>
      <c r="R2" s="117"/>
      <c r="S2" s="117"/>
      <c r="T2" s="117"/>
      <c r="U2" s="117"/>
      <c r="V2" s="117"/>
      <c r="W2" s="117"/>
      <c r="X2" s="117"/>
      <c r="Y2" s="117"/>
      <c r="Z2" s="117"/>
      <c r="AA2" s="117"/>
      <c r="AB2" s="117"/>
      <c r="AC2" s="117"/>
    </row>
    <row r="3" spans="1:33" s="115" customFormat="1" ht="25.5" customHeight="1">
      <c r="A3" s="1189" t="s">
        <v>752</v>
      </c>
      <c r="B3" s="1190"/>
      <c r="C3" s="1190"/>
      <c r="D3" s="1190"/>
      <c r="E3" s="1190"/>
      <c r="F3" s="1190"/>
      <c r="G3" s="1190"/>
      <c r="H3" s="1190"/>
      <c r="I3" s="1190"/>
      <c r="J3" s="1190"/>
      <c r="K3" s="1190"/>
      <c r="L3" s="1190"/>
      <c r="M3" s="1190"/>
      <c r="N3" s="1190"/>
      <c r="O3" s="1190"/>
      <c r="P3" s="1190"/>
      <c r="Q3" s="1190"/>
      <c r="R3" s="1190"/>
      <c r="S3" s="1190"/>
      <c r="T3" s="1190"/>
      <c r="U3" s="1190"/>
      <c r="V3" s="1190"/>
      <c r="W3" s="1190"/>
      <c r="X3" s="1190"/>
      <c r="Y3" s="1190"/>
      <c r="Z3" s="1190"/>
      <c r="AA3" s="1190"/>
      <c r="AB3" s="1190"/>
      <c r="AC3" s="118"/>
    </row>
    <row r="4" spans="1:33" s="123" customFormat="1" ht="13.5" customHeight="1">
      <c r="A4" s="119"/>
      <c r="B4" s="120"/>
      <c r="C4" s="118"/>
      <c r="D4" s="118"/>
      <c r="E4" s="118"/>
      <c r="F4" s="118"/>
      <c r="G4" s="118"/>
      <c r="H4" s="121"/>
      <c r="I4" s="118"/>
      <c r="J4" s="121"/>
      <c r="K4" s="121"/>
      <c r="L4" s="118"/>
      <c r="M4" s="122"/>
      <c r="N4" s="122"/>
      <c r="O4" s="122"/>
      <c r="P4" s="122"/>
      <c r="Q4" s="122"/>
      <c r="R4" s="122"/>
      <c r="S4" s="122"/>
      <c r="T4" s="122"/>
      <c r="U4" s="122"/>
      <c r="V4" s="122"/>
      <c r="W4" s="122"/>
      <c r="X4" s="121"/>
      <c r="Y4" s="118"/>
      <c r="Z4" s="121"/>
      <c r="AA4" s="118"/>
      <c r="AB4" s="121"/>
      <c r="AC4" s="118"/>
      <c r="AD4" s="121"/>
      <c r="AE4" s="118"/>
    </row>
    <row r="5" spans="1:33" ht="19.8" thickBot="1">
      <c r="B5" s="124"/>
    </row>
    <row r="6" spans="1:33" ht="23.25" customHeight="1">
      <c r="A6" s="1191"/>
      <c r="B6" s="1179" t="s">
        <v>76</v>
      </c>
      <c r="C6" s="1193" t="s">
        <v>77</v>
      </c>
      <c r="D6" s="1195" t="s">
        <v>80</v>
      </c>
      <c r="E6" s="1184"/>
      <c r="F6" s="1177" t="s">
        <v>81</v>
      </c>
      <c r="G6" s="1184"/>
      <c r="H6" s="1177" t="s">
        <v>82</v>
      </c>
      <c r="I6" s="1184"/>
      <c r="J6" s="1177" t="s">
        <v>83</v>
      </c>
      <c r="K6" s="1184"/>
      <c r="L6" s="1177" t="s">
        <v>84</v>
      </c>
      <c r="M6" s="1184"/>
      <c r="N6" s="1177" t="s">
        <v>85</v>
      </c>
      <c r="O6" s="1184"/>
      <c r="P6" s="1185" t="s">
        <v>86</v>
      </c>
      <c r="Q6" s="1184"/>
      <c r="R6" s="1185" t="s">
        <v>87</v>
      </c>
      <c r="S6" s="1184"/>
      <c r="T6" s="1185" t="s">
        <v>88</v>
      </c>
      <c r="U6" s="1184"/>
      <c r="V6" s="1186" t="s">
        <v>753</v>
      </c>
      <c r="W6" s="1184"/>
      <c r="X6" s="1177" t="s">
        <v>78</v>
      </c>
      <c r="Y6" s="1184"/>
      <c r="Z6" s="1177" t="s">
        <v>79</v>
      </c>
      <c r="AA6" s="1178"/>
      <c r="AB6" s="125" t="s">
        <v>89</v>
      </c>
      <c r="AC6" s="1179" t="s">
        <v>90</v>
      </c>
    </row>
    <row r="7" spans="1:33" ht="23.25" customHeight="1" thickBot="1">
      <c r="A7" s="1192"/>
      <c r="B7" s="1180"/>
      <c r="C7" s="1194"/>
      <c r="D7" s="129" t="s">
        <v>91</v>
      </c>
      <c r="E7" s="127" t="s">
        <v>92</v>
      </c>
      <c r="F7" s="126" t="s">
        <v>91</v>
      </c>
      <c r="G7" s="127" t="s">
        <v>92</v>
      </c>
      <c r="H7" s="126" t="s">
        <v>91</v>
      </c>
      <c r="I7" s="127" t="s">
        <v>92</v>
      </c>
      <c r="J7" s="126" t="s">
        <v>91</v>
      </c>
      <c r="K7" s="127" t="s">
        <v>92</v>
      </c>
      <c r="L7" s="126" t="s">
        <v>91</v>
      </c>
      <c r="M7" s="127" t="s">
        <v>92</v>
      </c>
      <c r="N7" s="126" t="s">
        <v>91</v>
      </c>
      <c r="O7" s="127" t="s">
        <v>92</v>
      </c>
      <c r="P7" s="126" t="s">
        <v>91</v>
      </c>
      <c r="Q7" s="127" t="s">
        <v>92</v>
      </c>
      <c r="R7" s="126" t="s">
        <v>91</v>
      </c>
      <c r="S7" s="127" t="s">
        <v>92</v>
      </c>
      <c r="T7" s="126" t="s">
        <v>91</v>
      </c>
      <c r="U7" s="127" t="s">
        <v>92</v>
      </c>
      <c r="V7" s="126" t="s">
        <v>91</v>
      </c>
      <c r="W7" s="127" t="s">
        <v>92</v>
      </c>
      <c r="X7" s="126" t="s">
        <v>91</v>
      </c>
      <c r="Y7" s="127" t="s">
        <v>92</v>
      </c>
      <c r="Z7" s="126" t="s">
        <v>91</v>
      </c>
      <c r="AA7" s="128" t="s">
        <v>92</v>
      </c>
      <c r="AB7" s="130" t="s">
        <v>93</v>
      </c>
      <c r="AC7" s="1180"/>
    </row>
    <row r="8" spans="1:33" ht="23.25" customHeight="1">
      <c r="A8" s="1181" t="s">
        <v>94</v>
      </c>
      <c r="B8" s="131" t="s">
        <v>95</v>
      </c>
      <c r="C8" s="132" t="s">
        <v>96</v>
      </c>
      <c r="D8" s="135" t="s">
        <v>97</v>
      </c>
      <c r="E8" s="134" t="s">
        <v>755</v>
      </c>
      <c r="F8" s="133" t="s">
        <v>97</v>
      </c>
      <c r="G8" s="134"/>
      <c r="H8" s="133" t="s">
        <v>97</v>
      </c>
      <c r="I8" s="134"/>
      <c r="J8" s="133" t="s">
        <v>97</v>
      </c>
      <c r="K8" s="134"/>
      <c r="L8" s="133" t="s">
        <v>97</v>
      </c>
      <c r="M8" s="134"/>
      <c r="N8" s="133" t="s">
        <v>97</v>
      </c>
      <c r="O8" s="134"/>
      <c r="P8" s="133" t="s">
        <v>97</v>
      </c>
      <c r="Q8" s="134"/>
      <c r="R8" s="133" t="s">
        <v>97</v>
      </c>
      <c r="S8" s="134"/>
      <c r="T8" s="133" t="s">
        <v>97</v>
      </c>
      <c r="U8" s="134"/>
      <c r="V8" s="133" t="s">
        <v>97</v>
      </c>
      <c r="W8" s="134"/>
      <c r="X8" s="133" t="s">
        <v>97</v>
      </c>
      <c r="Y8" s="134"/>
      <c r="Z8" s="133" t="s">
        <v>97</v>
      </c>
      <c r="AA8" s="134"/>
      <c r="AB8" s="136" t="s">
        <v>98</v>
      </c>
      <c r="AC8" s="137"/>
      <c r="AD8" s="138"/>
    </row>
    <row r="9" spans="1:33" ht="23.25" customHeight="1">
      <c r="A9" s="1172"/>
      <c r="B9" s="139" t="s">
        <v>99</v>
      </c>
      <c r="C9" s="140" t="s">
        <v>96</v>
      </c>
      <c r="D9" s="143" t="s">
        <v>97</v>
      </c>
      <c r="E9" s="142" t="s">
        <v>755</v>
      </c>
      <c r="F9" s="141" t="s">
        <v>97</v>
      </c>
      <c r="G9" s="142"/>
      <c r="H9" s="141" t="s">
        <v>97</v>
      </c>
      <c r="I9" s="142"/>
      <c r="J9" s="141" t="s">
        <v>97</v>
      </c>
      <c r="K9" s="142"/>
      <c r="L9" s="141" t="s">
        <v>97</v>
      </c>
      <c r="M9" s="142"/>
      <c r="N9" s="141" t="s">
        <v>97</v>
      </c>
      <c r="O9" s="142"/>
      <c r="P9" s="141" t="s">
        <v>97</v>
      </c>
      <c r="Q9" s="142"/>
      <c r="R9" s="141" t="s">
        <v>97</v>
      </c>
      <c r="S9" s="142"/>
      <c r="T9" s="141" t="s">
        <v>97</v>
      </c>
      <c r="U9" s="142"/>
      <c r="V9" s="141" t="s">
        <v>97</v>
      </c>
      <c r="W9" s="142"/>
      <c r="X9" s="141" t="s">
        <v>97</v>
      </c>
      <c r="Y9" s="142"/>
      <c r="Z9" s="141" t="s">
        <v>97</v>
      </c>
      <c r="AA9" s="142"/>
      <c r="AB9" s="144" t="s">
        <v>98</v>
      </c>
      <c r="AC9" s="145"/>
    </row>
    <row r="10" spans="1:33" ht="23.25" customHeight="1">
      <c r="A10" s="1172"/>
      <c r="B10" s="139" t="s">
        <v>100</v>
      </c>
      <c r="C10" s="140" t="s">
        <v>96</v>
      </c>
      <c r="D10" s="143" t="s">
        <v>97</v>
      </c>
      <c r="E10" s="142" t="s">
        <v>755</v>
      </c>
      <c r="F10" s="141" t="s">
        <v>97</v>
      </c>
      <c r="G10" s="142"/>
      <c r="H10" s="141" t="s">
        <v>97</v>
      </c>
      <c r="I10" s="142"/>
      <c r="J10" s="141" t="s">
        <v>97</v>
      </c>
      <c r="K10" s="142"/>
      <c r="L10" s="141" t="s">
        <v>97</v>
      </c>
      <c r="M10" s="142"/>
      <c r="N10" s="141" t="s">
        <v>97</v>
      </c>
      <c r="O10" s="142"/>
      <c r="P10" s="141" t="s">
        <v>97</v>
      </c>
      <c r="Q10" s="142"/>
      <c r="R10" s="141" t="s">
        <v>97</v>
      </c>
      <c r="S10" s="142"/>
      <c r="T10" s="141" t="s">
        <v>97</v>
      </c>
      <c r="U10" s="142"/>
      <c r="V10" s="141" t="s">
        <v>97</v>
      </c>
      <c r="W10" s="142"/>
      <c r="X10" s="141" t="s">
        <v>97</v>
      </c>
      <c r="Y10" s="142"/>
      <c r="Z10" s="141" t="s">
        <v>97</v>
      </c>
      <c r="AA10" s="142"/>
      <c r="AB10" s="144" t="s">
        <v>398</v>
      </c>
      <c r="AC10" s="146" t="s">
        <v>101</v>
      </c>
      <c r="AD10" s="138"/>
    </row>
    <row r="11" spans="1:33" ht="23.25" customHeight="1" thickBot="1">
      <c r="A11" s="1173"/>
      <c r="B11" s="147" t="s">
        <v>102</v>
      </c>
      <c r="C11" s="148" t="s">
        <v>96</v>
      </c>
      <c r="D11" s="151" t="s">
        <v>97</v>
      </c>
      <c r="E11" s="150" t="s">
        <v>755</v>
      </c>
      <c r="F11" s="149" t="s">
        <v>97</v>
      </c>
      <c r="G11" s="150"/>
      <c r="H11" s="149" t="s">
        <v>97</v>
      </c>
      <c r="I11" s="150"/>
      <c r="J11" s="149" t="s">
        <v>97</v>
      </c>
      <c r="K11" s="150"/>
      <c r="L11" s="149" t="s">
        <v>97</v>
      </c>
      <c r="M11" s="150"/>
      <c r="N11" s="149" t="s">
        <v>97</v>
      </c>
      <c r="O11" s="150"/>
      <c r="P11" s="149" t="s">
        <v>97</v>
      </c>
      <c r="Q11" s="150"/>
      <c r="R11" s="149" t="s">
        <v>97</v>
      </c>
      <c r="S11" s="150"/>
      <c r="T11" s="149" t="s">
        <v>97</v>
      </c>
      <c r="U11" s="150"/>
      <c r="V11" s="149" t="s">
        <v>97</v>
      </c>
      <c r="W11" s="150"/>
      <c r="X11" s="149" t="s">
        <v>97</v>
      </c>
      <c r="Y11" s="150"/>
      <c r="Z11" s="149" t="s">
        <v>97</v>
      </c>
      <c r="AA11" s="150"/>
      <c r="AB11" s="152" t="s">
        <v>103</v>
      </c>
      <c r="AC11" s="153"/>
      <c r="AD11" s="154"/>
    </row>
    <row r="12" spans="1:33" ht="23.25" customHeight="1">
      <c r="A12" s="1182" t="s">
        <v>104</v>
      </c>
      <c r="B12" s="155" t="s">
        <v>105</v>
      </c>
      <c r="C12" s="156" t="s">
        <v>106</v>
      </c>
      <c r="D12" s="159"/>
      <c r="E12" s="158"/>
      <c r="F12" s="157"/>
      <c r="G12" s="158"/>
      <c r="H12" s="157"/>
      <c r="I12" s="158"/>
      <c r="J12" s="157"/>
      <c r="K12" s="158"/>
      <c r="L12" s="157"/>
      <c r="M12" s="158"/>
      <c r="N12" s="157"/>
      <c r="O12" s="158"/>
      <c r="P12" s="133"/>
      <c r="Q12" s="158"/>
      <c r="R12" s="133" t="s">
        <v>421</v>
      </c>
      <c r="S12" s="158"/>
      <c r="T12" s="157"/>
      <c r="U12" s="158"/>
      <c r="V12" s="160"/>
      <c r="W12" s="158"/>
      <c r="X12" s="157"/>
      <c r="Y12" s="158"/>
      <c r="Z12" s="157"/>
      <c r="AA12" s="158"/>
      <c r="AB12" s="161" t="s">
        <v>107</v>
      </c>
      <c r="AC12" s="162" t="s">
        <v>108</v>
      </c>
    </row>
    <row r="13" spans="1:33" ht="23.25" customHeight="1">
      <c r="A13" s="1175"/>
      <c r="B13" s="163" t="s">
        <v>109</v>
      </c>
      <c r="C13" s="140" t="s">
        <v>110</v>
      </c>
      <c r="D13" s="143"/>
      <c r="E13" s="142"/>
      <c r="F13" s="141"/>
      <c r="G13" s="142"/>
      <c r="H13" s="141"/>
      <c r="I13" s="142"/>
      <c r="J13" s="141"/>
      <c r="K13" s="142"/>
      <c r="L13" s="141"/>
      <c r="M13" s="142"/>
      <c r="N13" s="141"/>
      <c r="O13" s="142"/>
      <c r="P13" s="157"/>
      <c r="Q13" s="142"/>
      <c r="R13" s="141"/>
      <c r="S13" s="142"/>
      <c r="T13" s="141"/>
      <c r="U13" s="142"/>
      <c r="V13" s="141"/>
      <c r="W13" s="142"/>
      <c r="X13" s="141"/>
      <c r="Y13" s="142"/>
      <c r="Z13" s="141"/>
      <c r="AA13" s="142"/>
      <c r="AB13" s="164" t="s">
        <v>107</v>
      </c>
      <c r="AC13" s="165" t="s">
        <v>111</v>
      </c>
    </row>
    <row r="14" spans="1:33" ht="23.25" customHeight="1">
      <c r="A14" s="1175"/>
      <c r="B14" s="166" t="s">
        <v>112</v>
      </c>
      <c r="C14" s="156" t="s">
        <v>106</v>
      </c>
      <c r="D14" s="159"/>
      <c r="E14" s="158"/>
      <c r="F14" s="157"/>
      <c r="G14" s="158"/>
      <c r="H14" s="167"/>
      <c r="I14" s="158"/>
      <c r="J14" s="157"/>
      <c r="K14" s="158"/>
      <c r="L14" s="157"/>
      <c r="M14" s="158"/>
      <c r="N14" s="167"/>
      <c r="O14" s="158"/>
      <c r="P14" s="157"/>
      <c r="Q14" s="158"/>
      <c r="R14" s="157" t="s">
        <v>421</v>
      </c>
      <c r="S14" s="158"/>
      <c r="T14" s="167"/>
      <c r="U14" s="158"/>
      <c r="V14" s="169"/>
      <c r="W14" s="158"/>
      <c r="X14" s="157"/>
      <c r="Y14" s="158"/>
      <c r="Z14" s="141"/>
      <c r="AA14" s="142"/>
      <c r="AB14" s="164" t="s">
        <v>107</v>
      </c>
      <c r="AC14" s="170" t="s">
        <v>108</v>
      </c>
    </row>
    <row r="15" spans="1:33" ht="23.25" customHeight="1">
      <c r="A15" s="1175"/>
      <c r="B15" s="171" t="s">
        <v>113</v>
      </c>
      <c r="C15" s="140" t="s">
        <v>114</v>
      </c>
      <c r="D15" s="143"/>
      <c r="E15" s="142"/>
      <c r="F15" s="141"/>
      <c r="G15" s="142"/>
      <c r="H15" s="141"/>
      <c r="I15" s="142"/>
      <c r="J15" s="141" t="s">
        <v>97</v>
      </c>
      <c r="K15" s="142"/>
      <c r="L15" s="141"/>
      <c r="M15" s="142"/>
      <c r="N15" s="172"/>
      <c r="O15" s="142"/>
      <c r="P15" s="169"/>
      <c r="Q15" s="142"/>
      <c r="R15" s="141"/>
      <c r="S15" s="142"/>
      <c r="T15" s="141"/>
      <c r="U15" s="142"/>
      <c r="V15" s="141" t="s">
        <v>97</v>
      </c>
      <c r="W15" s="142"/>
      <c r="X15" s="141"/>
      <c r="Y15" s="142"/>
      <c r="Z15" s="141"/>
      <c r="AA15" s="142"/>
      <c r="AB15" s="144" t="s">
        <v>115</v>
      </c>
      <c r="AC15" s="145"/>
    </row>
    <row r="16" spans="1:33" ht="23.25" customHeight="1">
      <c r="A16" s="1175"/>
      <c r="B16" s="171" t="s">
        <v>116</v>
      </c>
      <c r="C16" s="173" t="s">
        <v>144</v>
      </c>
      <c r="D16" s="143" t="s">
        <v>117</v>
      </c>
      <c r="E16" s="174" t="s">
        <v>756</v>
      </c>
      <c r="F16" s="141" t="s">
        <v>117</v>
      </c>
      <c r="G16" s="174"/>
      <c r="H16" s="141" t="s">
        <v>118</v>
      </c>
      <c r="I16" s="174"/>
      <c r="J16" s="141" t="s">
        <v>117</v>
      </c>
      <c r="K16" s="174"/>
      <c r="L16" s="141" t="s">
        <v>117</v>
      </c>
      <c r="M16" s="174"/>
      <c r="N16" s="141" t="s">
        <v>118</v>
      </c>
      <c r="O16" s="174"/>
      <c r="P16" s="141" t="s">
        <v>117</v>
      </c>
      <c r="Q16" s="174"/>
      <c r="R16" s="141" t="s">
        <v>117</v>
      </c>
      <c r="S16" s="174"/>
      <c r="T16" s="141" t="s">
        <v>119</v>
      </c>
      <c r="U16" s="174"/>
      <c r="V16" s="141" t="s">
        <v>426</v>
      </c>
      <c r="W16" s="174"/>
      <c r="X16" s="141" t="s">
        <v>117</v>
      </c>
      <c r="Y16" s="174"/>
      <c r="Z16" s="141" t="s">
        <v>118</v>
      </c>
      <c r="AA16" s="174"/>
      <c r="AB16" s="144" t="s">
        <v>120</v>
      </c>
      <c r="AC16" s="170" t="s">
        <v>163</v>
      </c>
    </row>
    <row r="17" spans="1:29" ht="23.25" customHeight="1" thickBot="1">
      <c r="A17" s="1183"/>
      <c r="B17" s="176" t="s">
        <v>121</v>
      </c>
      <c r="C17" s="140" t="s">
        <v>122</v>
      </c>
      <c r="D17" s="151" t="s">
        <v>118</v>
      </c>
      <c r="E17" s="150" t="s">
        <v>757</v>
      </c>
      <c r="F17" s="149"/>
      <c r="G17" s="150"/>
      <c r="H17" s="149"/>
      <c r="I17" s="150"/>
      <c r="J17" s="149" t="s">
        <v>118</v>
      </c>
      <c r="K17" s="150"/>
      <c r="L17" s="149"/>
      <c r="M17" s="150"/>
      <c r="N17" s="149"/>
      <c r="O17" s="150"/>
      <c r="P17" s="149" t="s">
        <v>118</v>
      </c>
      <c r="Q17" s="150"/>
      <c r="R17" s="149"/>
      <c r="S17" s="150"/>
      <c r="T17" s="149"/>
      <c r="U17" s="150"/>
      <c r="V17" s="149" t="s">
        <v>118</v>
      </c>
      <c r="W17" s="150"/>
      <c r="X17" s="149"/>
      <c r="Y17" s="150"/>
      <c r="Z17" s="149"/>
      <c r="AA17" s="177"/>
      <c r="AB17" s="178" t="s">
        <v>123</v>
      </c>
      <c r="AC17" s="220" t="s">
        <v>164</v>
      </c>
    </row>
    <row r="18" spans="1:29" ht="23.25" customHeight="1">
      <c r="A18" s="1181" t="s">
        <v>124</v>
      </c>
      <c r="B18" s="179" t="s">
        <v>125</v>
      </c>
      <c r="C18" s="132" t="s">
        <v>165</v>
      </c>
      <c r="D18" s="135" t="s">
        <v>126</v>
      </c>
      <c r="E18" s="134" t="s">
        <v>757</v>
      </c>
      <c r="F18" s="133"/>
      <c r="G18" s="134"/>
      <c r="H18" s="133" t="s">
        <v>126</v>
      </c>
      <c r="I18" s="134"/>
      <c r="J18" s="133"/>
      <c r="K18" s="134"/>
      <c r="L18" s="133" t="s">
        <v>126</v>
      </c>
      <c r="M18" s="134"/>
      <c r="N18" s="133"/>
      <c r="O18" s="134"/>
      <c r="P18" s="133" t="s">
        <v>126</v>
      </c>
      <c r="Q18" s="134"/>
      <c r="R18" s="133"/>
      <c r="S18" s="134"/>
      <c r="T18" s="133" t="s">
        <v>126</v>
      </c>
      <c r="U18" s="134"/>
      <c r="V18" s="133"/>
      <c r="W18" s="134"/>
      <c r="X18" s="133" t="s">
        <v>126</v>
      </c>
      <c r="Y18" s="134"/>
      <c r="Z18" s="133"/>
      <c r="AA18" s="134"/>
      <c r="AB18" s="136" t="s">
        <v>127</v>
      </c>
      <c r="AC18" s="180" t="s">
        <v>166</v>
      </c>
    </row>
    <row r="19" spans="1:29" ht="23.25" customHeight="1">
      <c r="A19" s="1172"/>
      <c r="B19" s="181" t="s">
        <v>128</v>
      </c>
      <c r="C19" s="182" t="s">
        <v>129</v>
      </c>
      <c r="D19" s="184"/>
      <c r="E19" s="168"/>
      <c r="F19" s="183"/>
      <c r="G19" s="168"/>
      <c r="H19" s="183"/>
      <c r="I19" s="168"/>
      <c r="J19" s="183"/>
      <c r="K19" s="168"/>
      <c r="L19" s="183"/>
      <c r="M19" s="168"/>
      <c r="N19" s="183"/>
      <c r="O19" s="168"/>
      <c r="P19" s="183"/>
      <c r="Q19" s="168"/>
      <c r="R19" s="183"/>
      <c r="S19" s="168"/>
      <c r="T19" s="183"/>
      <c r="U19" s="168"/>
      <c r="V19" s="183" t="s">
        <v>126</v>
      </c>
      <c r="W19" s="168"/>
      <c r="X19" s="183"/>
      <c r="Y19" s="168"/>
      <c r="Z19" s="183"/>
      <c r="AA19" s="168"/>
      <c r="AB19" s="185" t="s">
        <v>130</v>
      </c>
      <c r="AC19" s="186"/>
    </row>
    <row r="20" spans="1:29" ht="23.25" customHeight="1" thickBot="1">
      <c r="A20" s="1173"/>
      <c r="B20" s="187" t="s">
        <v>131</v>
      </c>
      <c r="C20" s="148" t="s">
        <v>129</v>
      </c>
      <c r="D20" s="151"/>
      <c r="E20" s="150"/>
      <c r="F20" s="149"/>
      <c r="G20" s="150"/>
      <c r="H20" s="149"/>
      <c r="I20" s="150"/>
      <c r="J20" s="149"/>
      <c r="K20" s="150"/>
      <c r="L20" s="149"/>
      <c r="M20" s="150"/>
      <c r="N20" s="149"/>
      <c r="O20" s="150"/>
      <c r="P20" s="149" t="s">
        <v>126</v>
      </c>
      <c r="Q20" s="150"/>
      <c r="R20" s="149"/>
      <c r="S20" s="150"/>
      <c r="T20" s="149"/>
      <c r="U20" s="150"/>
      <c r="V20" s="149"/>
      <c r="W20" s="150"/>
      <c r="X20" s="149"/>
      <c r="Y20" s="150"/>
      <c r="Z20" s="149"/>
      <c r="AA20" s="150"/>
      <c r="AB20" s="188" t="s">
        <v>130</v>
      </c>
      <c r="AC20" s="189"/>
    </row>
    <row r="21" spans="1:29" ht="23.25" customHeight="1">
      <c r="A21" s="1181" t="s">
        <v>132</v>
      </c>
      <c r="B21" s="190" t="s">
        <v>133</v>
      </c>
      <c r="C21" s="132" t="s">
        <v>134</v>
      </c>
      <c r="D21" s="135" t="s">
        <v>126</v>
      </c>
      <c r="E21" s="134" t="s">
        <v>755</v>
      </c>
      <c r="F21" s="133" t="s">
        <v>126</v>
      </c>
      <c r="G21" s="134"/>
      <c r="H21" s="133" t="s">
        <v>126</v>
      </c>
      <c r="I21" s="134"/>
      <c r="J21" s="133" t="s">
        <v>126</v>
      </c>
      <c r="K21" s="134"/>
      <c r="L21" s="133" t="s">
        <v>126</v>
      </c>
      <c r="M21" s="134"/>
      <c r="N21" s="133" t="s">
        <v>126</v>
      </c>
      <c r="O21" s="134"/>
      <c r="P21" s="133" t="s">
        <v>167</v>
      </c>
      <c r="Q21" s="134"/>
      <c r="R21" s="133" t="s">
        <v>126</v>
      </c>
      <c r="S21" s="134"/>
      <c r="T21" s="133" t="s">
        <v>126</v>
      </c>
      <c r="U21" s="134"/>
      <c r="V21" s="133" t="s">
        <v>126</v>
      </c>
      <c r="W21" s="134"/>
      <c r="X21" s="133" t="s">
        <v>126</v>
      </c>
      <c r="Y21" s="134"/>
      <c r="Z21" s="133" t="s">
        <v>126</v>
      </c>
      <c r="AA21" s="134"/>
      <c r="AB21" s="136" t="s">
        <v>135</v>
      </c>
      <c r="AC21" s="191" t="s">
        <v>168</v>
      </c>
    </row>
    <row r="22" spans="1:29" ht="23.25" customHeight="1">
      <c r="A22" s="1172"/>
      <c r="B22" s="181" t="s">
        <v>136</v>
      </c>
      <c r="C22" s="182" t="s">
        <v>137</v>
      </c>
      <c r="D22" s="184" t="s">
        <v>420</v>
      </c>
      <c r="E22" s="168" t="s">
        <v>758</v>
      </c>
      <c r="F22" s="183"/>
      <c r="G22" s="168"/>
      <c r="H22" s="157"/>
      <c r="I22" s="168"/>
      <c r="J22" s="183" t="s">
        <v>663</v>
      </c>
      <c r="K22" s="168"/>
      <c r="L22" s="157"/>
      <c r="M22" s="168"/>
      <c r="N22" s="157"/>
      <c r="O22" s="168"/>
      <c r="P22" s="183" t="s">
        <v>126</v>
      </c>
      <c r="Q22" s="168"/>
      <c r="R22" s="157"/>
      <c r="S22" s="168"/>
      <c r="T22" s="157"/>
      <c r="U22" s="168"/>
      <c r="V22" s="183" t="s">
        <v>420</v>
      </c>
      <c r="W22" s="168"/>
      <c r="X22" s="183"/>
      <c r="Y22" s="168"/>
      <c r="Z22" s="183"/>
      <c r="AA22" s="168"/>
      <c r="AB22" s="161" t="s">
        <v>138</v>
      </c>
      <c r="AC22" s="192" t="s">
        <v>169</v>
      </c>
    </row>
    <row r="23" spans="1:29" ht="23.25" customHeight="1" thickBot="1">
      <c r="A23" s="1173"/>
      <c r="B23" s="197" t="s">
        <v>170</v>
      </c>
      <c r="C23" s="148" t="s">
        <v>171</v>
      </c>
      <c r="D23" s="151"/>
      <c r="E23" s="150"/>
      <c r="F23" s="149" t="s">
        <v>126</v>
      </c>
      <c r="G23" s="150"/>
      <c r="H23" s="149"/>
      <c r="I23" s="150"/>
      <c r="J23" s="149" t="s">
        <v>126</v>
      </c>
      <c r="K23" s="150"/>
      <c r="L23" s="149"/>
      <c r="M23" s="150"/>
      <c r="N23" s="149" t="s">
        <v>126</v>
      </c>
      <c r="O23" s="150"/>
      <c r="P23" s="149"/>
      <c r="Q23" s="150"/>
      <c r="R23" s="149" t="s">
        <v>126</v>
      </c>
      <c r="S23" s="150"/>
      <c r="T23" s="149"/>
      <c r="U23" s="150"/>
      <c r="V23" s="149" t="s">
        <v>126</v>
      </c>
      <c r="W23" s="150"/>
      <c r="X23" s="149"/>
      <c r="Y23" s="150"/>
      <c r="Z23" s="149" t="s">
        <v>126</v>
      </c>
      <c r="AA23" s="150"/>
      <c r="AB23" s="188" t="s">
        <v>403</v>
      </c>
      <c r="AC23" s="193"/>
    </row>
    <row r="24" spans="1:29" ht="23.25" customHeight="1">
      <c r="A24" s="1172" t="s">
        <v>139</v>
      </c>
      <c r="B24" s="194" t="s">
        <v>140</v>
      </c>
      <c r="C24" s="195" t="s">
        <v>141</v>
      </c>
      <c r="D24" s="143"/>
      <c r="E24" s="142"/>
      <c r="F24" s="141"/>
      <c r="G24" s="142"/>
      <c r="H24" s="141"/>
      <c r="I24" s="142"/>
      <c r="J24" s="141"/>
      <c r="K24" s="142"/>
      <c r="L24" s="175"/>
      <c r="M24" s="142"/>
      <c r="N24" s="141"/>
      <c r="O24" s="142"/>
      <c r="P24" s="141"/>
      <c r="Q24" s="142"/>
      <c r="R24" s="141"/>
      <c r="S24" s="142"/>
      <c r="T24" s="141"/>
      <c r="U24" s="142"/>
      <c r="V24" s="141" t="s">
        <v>126</v>
      </c>
      <c r="W24" s="142"/>
      <c r="X24" s="141"/>
      <c r="Y24" s="142"/>
      <c r="Z24" s="141"/>
      <c r="AA24" s="142"/>
      <c r="AB24" s="144" t="s">
        <v>172</v>
      </c>
      <c r="AC24" s="196" t="s">
        <v>142</v>
      </c>
    </row>
    <row r="25" spans="1:29" ht="23.25" customHeight="1" thickBot="1">
      <c r="A25" s="1173"/>
      <c r="B25" s="187" t="s">
        <v>143</v>
      </c>
      <c r="C25" s="198" t="s">
        <v>144</v>
      </c>
      <c r="D25" s="151" t="s">
        <v>126</v>
      </c>
      <c r="E25" s="150" t="s">
        <v>759</v>
      </c>
      <c r="F25" s="149" t="s">
        <v>126</v>
      </c>
      <c r="G25" s="150"/>
      <c r="H25" s="149" t="s">
        <v>126</v>
      </c>
      <c r="I25" s="150"/>
      <c r="J25" s="149" t="s">
        <v>126</v>
      </c>
      <c r="K25" s="150"/>
      <c r="L25" s="149" t="s">
        <v>167</v>
      </c>
      <c r="M25" s="150"/>
      <c r="N25" s="149" t="s">
        <v>126</v>
      </c>
      <c r="O25" s="150"/>
      <c r="P25" s="149" t="s">
        <v>126</v>
      </c>
      <c r="Q25" s="150"/>
      <c r="R25" s="149" t="s">
        <v>126</v>
      </c>
      <c r="S25" s="150"/>
      <c r="T25" s="149" t="s">
        <v>126</v>
      </c>
      <c r="U25" s="150"/>
      <c r="V25" s="149" t="s">
        <v>126</v>
      </c>
      <c r="W25" s="150"/>
      <c r="X25" s="149" t="s">
        <v>167</v>
      </c>
      <c r="Y25" s="150"/>
      <c r="Z25" s="149" t="s">
        <v>126</v>
      </c>
      <c r="AA25" s="150"/>
      <c r="AB25" s="152" t="s">
        <v>173</v>
      </c>
      <c r="AC25" s="199" t="s">
        <v>145</v>
      </c>
    </row>
    <row r="26" spans="1:29" ht="23.25" customHeight="1">
      <c r="A26" s="1172" t="s">
        <v>146</v>
      </c>
      <c r="B26" s="166" t="s">
        <v>147</v>
      </c>
      <c r="C26" s="156" t="s">
        <v>114</v>
      </c>
      <c r="D26" s="135"/>
      <c r="E26" s="134"/>
      <c r="F26" s="133"/>
      <c r="G26" s="134"/>
      <c r="H26" s="133" t="s">
        <v>126</v>
      </c>
      <c r="I26" s="134"/>
      <c r="J26" s="133"/>
      <c r="K26" s="134"/>
      <c r="L26" s="133"/>
      <c r="M26" s="134"/>
      <c r="N26" s="133"/>
      <c r="O26" s="134"/>
      <c r="P26" s="133"/>
      <c r="Q26" s="134"/>
      <c r="R26" s="133"/>
      <c r="S26" s="134"/>
      <c r="T26" s="133" t="s">
        <v>167</v>
      </c>
      <c r="U26" s="134"/>
      <c r="V26" s="133"/>
      <c r="W26" s="134"/>
      <c r="X26" s="157"/>
      <c r="Y26" s="134"/>
      <c r="Z26" s="133"/>
      <c r="AA26" s="158"/>
      <c r="AB26" s="161" t="s">
        <v>148</v>
      </c>
      <c r="AC26" s="162" t="s">
        <v>149</v>
      </c>
    </row>
    <row r="27" spans="1:29" ht="23.25" customHeight="1" thickBot="1">
      <c r="A27" s="1172"/>
      <c r="B27" s="194" t="s">
        <v>150</v>
      </c>
      <c r="C27" s="140" t="s">
        <v>151</v>
      </c>
      <c r="D27" s="143"/>
      <c r="E27" s="142"/>
      <c r="F27" s="141"/>
      <c r="G27" s="142"/>
      <c r="H27" s="200"/>
      <c r="I27" s="142"/>
      <c r="J27" s="141"/>
      <c r="K27" s="142"/>
      <c r="L27" s="141"/>
      <c r="M27" s="142"/>
      <c r="N27" s="200"/>
      <c r="O27" s="142"/>
      <c r="P27" s="141"/>
      <c r="Q27" s="142"/>
      <c r="R27" s="141"/>
      <c r="S27" s="142"/>
      <c r="T27" s="200"/>
      <c r="U27" s="142"/>
      <c r="V27" s="141"/>
      <c r="W27" s="142"/>
      <c r="X27" s="141"/>
      <c r="Y27" s="142"/>
      <c r="Z27" s="200"/>
      <c r="AA27" s="142"/>
      <c r="AB27" s="144" t="s">
        <v>152</v>
      </c>
      <c r="AC27" s="202" t="s">
        <v>174</v>
      </c>
    </row>
    <row r="28" spans="1:29" ht="23.25" customHeight="1">
      <c r="A28" s="1174" t="s">
        <v>153</v>
      </c>
      <c r="B28" s="203" t="s">
        <v>154</v>
      </c>
      <c r="C28" s="204" t="s">
        <v>165</v>
      </c>
      <c r="D28" s="135"/>
      <c r="E28" s="134"/>
      <c r="F28" s="133" t="s">
        <v>126</v>
      </c>
      <c r="G28" s="134"/>
      <c r="H28" s="133"/>
      <c r="I28" s="134"/>
      <c r="J28" s="133" t="s">
        <v>126</v>
      </c>
      <c r="K28" s="134"/>
      <c r="L28" s="133"/>
      <c r="M28" s="134"/>
      <c r="N28" s="133" t="s">
        <v>126</v>
      </c>
      <c r="O28" s="134"/>
      <c r="P28" s="133"/>
      <c r="Q28" s="134"/>
      <c r="R28" s="133" t="s">
        <v>126</v>
      </c>
      <c r="S28" s="134"/>
      <c r="T28" s="133"/>
      <c r="U28" s="134"/>
      <c r="V28" s="133" t="s">
        <v>126</v>
      </c>
      <c r="W28" s="134"/>
      <c r="X28" s="133"/>
      <c r="Y28" s="134"/>
      <c r="Z28" s="133" t="s">
        <v>126</v>
      </c>
      <c r="AA28" s="134"/>
      <c r="AB28" s="136" t="s">
        <v>175</v>
      </c>
      <c r="AC28" s="205"/>
    </row>
    <row r="29" spans="1:29" ht="23.25" customHeight="1">
      <c r="A29" s="1175"/>
      <c r="B29" s="163" t="s">
        <v>155</v>
      </c>
      <c r="C29" s="195" t="s">
        <v>144</v>
      </c>
      <c r="D29" s="143" t="s">
        <v>126</v>
      </c>
      <c r="E29" s="201" t="s">
        <v>760</v>
      </c>
      <c r="F29" s="141" t="s">
        <v>126</v>
      </c>
      <c r="G29" s="201"/>
      <c r="H29" s="206" t="s">
        <v>126</v>
      </c>
      <c r="I29" s="201"/>
      <c r="J29" s="206" t="s">
        <v>126</v>
      </c>
      <c r="K29" s="201"/>
      <c r="L29" s="206" t="s">
        <v>126</v>
      </c>
      <c r="M29" s="201"/>
      <c r="N29" s="206" t="s">
        <v>126</v>
      </c>
      <c r="O29" s="201"/>
      <c r="P29" s="206" t="s">
        <v>126</v>
      </c>
      <c r="Q29" s="201"/>
      <c r="R29" s="206" t="s">
        <v>126</v>
      </c>
      <c r="S29" s="201"/>
      <c r="T29" s="206" t="s">
        <v>126</v>
      </c>
      <c r="U29" s="201"/>
      <c r="V29" s="206" t="s">
        <v>126</v>
      </c>
      <c r="W29" s="201"/>
      <c r="X29" s="206" t="s">
        <v>126</v>
      </c>
      <c r="Y29" s="201"/>
      <c r="Z29" s="141" t="s">
        <v>126</v>
      </c>
      <c r="AA29" s="207"/>
      <c r="AB29" s="170" t="s">
        <v>176</v>
      </c>
      <c r="AC29" s="146"/>
    </row>
    <row r="30" spans="1:29" ht="23.25" customHeight="1">
      <c r="A30" s="1175"/>
      <c r="B30" s="208" t="s">
        <v>156</v>
      </c>
      <c r="C30" s="140" t="s">
        <v>157</v>
      </c>
      <c r="D30" s="143"/>
      <c r="E30" s="174"/>
      <c r="F30" s="141" t="s">
        <v>126</v>
      </c>
      <c r="G30" s="174"/>
      <c r="H30" s="175"/>
      <c r="I30" s="174"/>
      <c r="J30" s="175"/>
      <c r="K30" s="174"/>
      <c r="L30" s="200"/>
      <c r="M30" s="174"/>
      <c r="N30" s="141" t="s">
        <v>126</v>
      </c>
      <c r="O30" s="174"/>
      <c r="P30" s="141"/>
      <c r="Q30" s="174"/>
      <c r="R30" s="141"/>
      <c r="S30" s="174"/>
      <c r="T30" s="200"/>
      <c r="U30" s="174"/>
      <c r="V30" s="141" t="s">
        <v>126</v>
      </c>
      <c r="W30" s="174"/>
      <c r="X30" s="141"/>
      <c r="Y30" s="174"/>
      <c r="Z30" s="141"/>
      <c r="AA30" s="142"/>
      <c r="AB30" s="144" t="s">
        <v>176</v>
      </c>
      <c r="AC30" s="145"/>
    </row>
    <row r="31" spans="1:29" ht="23.25" customHeight="1">
      <c r="A31" s="1175"/>
      <c r="B31" s="209" t="s">
        <v>158</v>
      </c>
      <c r="C31" s="140" t="s">
        <v>144</v>
      </c>
      <c r="D31" s="143" t="s">
        <v>126</v>
      </c>
      <c r="E31" s="201" t="s">
        <v>761</v>
      </c>
      <c r="F31" s="141" t="s">
        <v>126</v>
      </c>
      <c r="G31" s="201"/>
      <c r="H31" s="206" t="s">
        <v>126</v>
      </c>
      <c r="I31" s="201"/>
      <c r="J31" s="206" t="s">
        <v>126</v>
      </c>
      <c r="K31" s="201"/>
      <c r="L31" s="206" t="s">
        <v>126</v>
      </c>
      <c r="M31" s="201"/>
      <c r="N31" s="206" t="s">
        <v>126</v>
      </c>
      <c r="O31" s="201"/>
      <c r="P31" s="206" t="s">
        <v>126</v>
      </c>
      <c r="Q31" s="201"/>
      <c r="R31" s="206" t="s">
        <v>126</v>
      </c>
      <c r="S31" s="201"/>
      <c r="T31" s="206" t="s">
        <v>126</v>
      </c>
      <c r="U31" s="201"/>
      <c r="V31" s="206" t="s">
        <v>126</v>
      </c>
      <c r="W31" s="201"/>
      <c r="X31" s="206" t="s">
        <v>126</v>
      </c>
      <c r="Y31" s="201"/>
      <c r="Z31" s="141" t="s">
        <v>126</v>
      </c>
      <c r="AA31" s="207"/>
      <c r="AB31" s="146" t="s">
        <v>159</v>
      </c>
      <c r="AC31" s="145"/>
    </row>
    <row r="32" spans="1:29" ht="23.25" customHeight="1">
      <c r="A32" s="1175"/>
      <c r="B32" s="210" t="s">
        <v>160</v>
      </c>
      <c r="C32" s="156" t="s">
        <v>141</v>
      </c>
      <c r="D32" s="143"/>
      <c r="E32" s="142"/>
      <c r="F32" s="141"/>
      <c r="G32" s="142"/>
      <c r="H32" s="141"/>
      <c r="I32" s="142"/>
      <c r="J32" s="141"/>
      <c r="K32" s="142"/>
      <c r="L32" s="141"/>
      <c r="M32" s="142"/>
      <c r="N32" s="141"/>
      <c r="O32" s="142"/>
      <c r="P32" s="141"/>
      <c r="Q32" s="142"/>
      <c r="R32" s="141"/>
      <c r="S32" s="142"/>
      <c r="T32" s="200"/>
      <c r="U32" s="142"/>
      <c r="V32" s="141"/>
      <c r="W32" s="142"/>
      <c r="X32" s="141"/>
      <c r="Y32" s="142"/>
      <c r="Z32" s="141"/>
      <c r="AA32" s="142"/>
      <c r="AB32" s="144" t="s">
        <v>177</v>
      </c>
      <c r="AC32" s="165" t="s">
        <v>700</v>
      </c>
    </row>
    <row r="33" spans="1:30" ht="23.25" customHeight="1">
      <c r="A33" s="1175"/>
      <c r="B33" s="211" t="s">
        <v>161</v>
      </c>
      <c r="C33" s="173" t="s">
        <v>137</v>
      </c>
      <c r="D33" s="212" t="s">
        <v>126</v>
      </c>
      <c r="E33" s="174" t="s">
        <v>758</v>
      </c>
      <c r="F33" s="212" t="s">
        <v>126</v>
      </c>
      <c r="G33" s="212"/>
      <c r="H33" s="212" t="s">
        <v>126</v>
      </c>
      <c r="I33" s="212"/>
      <c r="J33" s="212" t="s">
        <v>126</v>
      </c>
      <c r="K33" s="212"/>
      <c r="L33" s="212" t="s">
        <v>126</v>
      </c>
      <c r="M33" s="212"/>
      <c r="N33" s="212" t="s">
        <v>126</v>
      </c>
      <c r="O33" s="212"/>
      <c r="P33" s="212" t="s">
        <v>126</v>
      </c>
      <c r="Q33" s="212"/>
      <c r="R33" s="212" t="s">
        <v>126</v>
      </c>
      <c r="S33" s="212"/>
      <c r="T33" s="212" t="s">
        <v>126</v>
      </c>
      <c r="U33" s="212"/>
      <c r="V33" s="212" t="s">
        <v>126</v>
      </c>
      <c r="W33" s="212"/>
      <c r="X33" s="212" t="s">
        <v>126</v>
      </c>
      <c r="Y33" s="212"/>
      <c r="Z33" s="213" t="s">
        <v>126</v>
      </c>
      <c r="AA33" s="174"/>
      <c r="AB33" s="214" t="s">
        <v>175</v>
      </c>
      <c r="AC33" s="215"/>
    </row>
    <row r="34" spans="1:30" ht="23.25" customHeight="1" thickBot="1">
      <c r="A34" s="1176"/>
      <c r="B34" s="216" t="s">
        <v>162</v>
      </c>
      <c r="C34" s="148" t="s">
        <v>178</v>
      </c>
      <c r="D34" s="151" t="s">
        <v>97</v>
      </c>
      <c r="E34" s="150" t="s">
        <v>755</v>
      </c>
      <c r="F34" s="149" t="s">
        <v>97</v>
      </c>
      <c r="G34" s="150"/>
      <c r="H34" s="149" t="s">
        <v>97</v>
      </c>
      <c r="I34" s="150"/>
      <c r="J34" s="149" t="s">
        <v>97</v>
      </c>
      <c r="K34" s="150"/>
      <c r="L34" s="149" t="s">
        <v>97</v>
      </c>
      <c r="M34" s="150"/>
      <c r="N34" s="149" t="s">
        <v>97</v>
      </c>
      <c r="O34" s="150"/>
      <c r="P34" s="149" t="s">
        <v>97</v>
      </c>
      <c r="Q34" s="150"/>
      <c r="R34" s="149" t="s">
        <v>97</v>
      </c>
      <c r="S34" s="150"/>
      <c r="T34" s="149" t="s">
        <v>97</v>
      </c>
      <c r="U34" s="150"/>
      <c r="V34" s="149" t="s">
        <v>97</v>
      </c>
      <c r="W34" s="150"/>
      <c r="X34" s="149" t="s">
        <v>97</v>
      </c>
      <c r="Y34" s="150"/>
      <c r="Z34" s="217" t="s">
        <v>97</v>
      </c>
      <c r="AA34" s="177"/>
      <c r="AB34" s="188" t="s">
        <v>398</v>
      </c>
      <c r="AC34" s="193"/>
    </row>
    <row r="35" spans="1:30">
      <c r="A35" s="218"/>
      <c r="B35" s="218"/>
      <c r="C35" s="218"/>
      <c r="D35" s="218"/>
      <c r="E35" s="218"/>
      <c r="F35" s="218"/>
      <c r="G35" s="218"/>
      <c r="H35" s="218"/>
      <c r="I35" s="218"/>
      <c r="J35" s="218"/>
      <c r="K35" s="218"/>
      <c r="L35" s="218"/>
      <c r="M35" s="218"/>
      <c r="N35" s="218"/>
      <c r="O35" s="218"/>
      <c r="P35" s="218"/>
      <c r="Q35" s="218"/>
      <c r="R35" s="218"/>
      <c r="S35" s="218"/>
      <c r="T35" s="218"/>
      <c r="U35" s="218"/>
      <c r="V35" s="218"/>
      <c r="W35" s="218"/>
      <c r="X35" s="218"/>
      <c r="Y35" s="218"/>
      <c r="Z35" s="218"/>
      <c r="AA35" s="218"/>
      <c r="AB35" s="218"/>
      <c r="AC35" s="218"/>
      <c r="AD35" s="219"/>
    </row>
    <row r="36" spans="1:30" ht="14.25" customHeight="1"/>
  </sheetData>
  <mergeCells count="25">
    <mergeCell ref="A1:AG1"/>
    <mergeCell ref="A3:AB3"/>
    <mergeCell ref="A6:A7"/>
    <mergeCell ref="B6:B7"/>
    <mergeCell ref="C6:C7"/>
    <mergeCell ref="D6:E6"/>
    <mergeCell ref="F6:G6"/>
    <mergeCell ref="H6:I6"/>
    <mergeCell ref="J6:K6"/>
    <mergeCell ref="L6:M6"/>
    <mergeCell ref="A24:A25"/>
    <mergeCell ref="A26:A27"/>
    <mergeCell ref="A28:A34"/>
    <mergeCell ref="Z6:AA6"/>
    <mergeCell ref="AC6:AC7"/>
    <mergeCell ref="A8:A11"/>
    <mergeCell ref="A12:A17"/>
    <mergeCell ref="A18:A20"/>
    <mergeCell ref="A21:A23"/>
    <mergeCell ref="N6:O6"/>
    <mergeCell ref="P6:Q6"/>
    <mergeCell ref="R6:S6"/>
    <mergeCell ref="T6:U6"/>
    <mergeCell ref="V6:W6"/>
    <mergeCell ref="X6:Y6"/>
  </mergeCells>
  <phoneticPr fontId="7"/>
  <conditionalFormatting sqref="B17">
    <cfRule type="expression" dxfId="1966" priority="5" stopIfTrue="1">
      <formula>$F17="無"</formula>
    </cfRule>
  </conditionalFormatting>
  <conditionalFormatting sqref="B17">
    <cfRule type="expression" dxfId="1965" priority="4" stopIfTrue="1">
      <formula>$F17="無"</formula>
    </cfRule>
  </conditionalFormatting>
  <conditionalFormatting sqref="B17">
    <cfRule type="expression" dxfId="1964" priority="3" stopIfTrue="1">
      <formula>$F17="無"</formula>
    </cfRule>
  </conditionalFormatting>
  <conditionalFormatting sqref="B17">
    <cfRule type="expression" dxfId="1963" priority="2" stopIfTrue="1">
      <formula>$F17="無"</formula>
    </cfRule>
  </conditionalFormatting>
  <conditionalFormatting sqref="B17">
    <cfRule type="expression" dxfId="1962" priority="1" stopIfTrue="1">
      <formula>$F17="無"</formula>
    </cfRule>
  </conditionalFormatting>
  <printOptions horizontalCentered="1" verticalCentered="1"/>
  <pageMargins left="0.59055118110236227" right="0" top="0.19685039370078741" bottom="0.19685039370078741" header="0.31496062992125984" footer="0.31496062992125984"/>
  <pageSetup paperSize="9" scale="61"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A1:DP42"/>
  <sheetViews>
    <sheetView zoomScale="70" zoomScaleNormal="70" zoomScaleSheetLayoutView="50" workbookViewId="0">
      <selection activeCell="V4" sqref="V4:AA4"/>
    </sheetView>
  </sheetViews>
  <sheetFormatPr defaultRowHeight="13.2"/>
  <cols>
    <col min="1" max="1" width="3.77734375" style="221" customWidth="1"/>
    <col min="2" max="2" width="26" style="221" customWidth="1"/>
    <col min="3" max="3" width="9.77734375" style="221" customWidth="1"/>
    <col min="4" max="27" width="6.44140625" style="221" customWidth="1"/>
    <col min="28" max="28" width="19.21875" style="221" customWidth="1"/>
    <col min="29" max="29" width="45.21875" style="221" customWidth="1"/>
    <col min="30" max="252" width="9" style="221"/>
    <col min="253" max="253" width="3.77734375" style="221" customWidth="1"/>
    <col min="254" max="254" width="20.109375" style="221" customWidth="1"/>
    <col min="255" max="255" width="9.77734375" style="221" customWidth="1"/>
    <col min="256" max="283" width="6.44140625" style="221" customWidth="1"/>
    <col min="284" max="284" width="19.21875" style="221" customWidth="1"/>
    <col min="285" max="285" width="45.21875" style="221" customWidth="1"/>
    <col min="286" max="508" width="9" style="221"/>
    <col min="509" max="509" width="3.77734375" style="221" customWidth="1"/>
    <col min="510" max="510" width="20.109375" style="221" customWidth="1"/>
    <col min="511" max="511" width="9.77734375" style="221" customWidth="1"/>
    <col min="512" max="539" width="6.44140625" style="221" customWidth="1"/>
    <col min="540" max="540" width="19.21875" style="221" customWidth="1"/>
    <col min="541" max="541" width="45.21875" style="221" customWidth="1"/>
    <col min="542" max="764" width="9" style="221"/>
    <col min="765" max="765" width="3.77734375" style="221" customWidth="1"/>
    <col min="766" max="766" width="20.109375" style="221" customWidth="1"/>
    <col min="767" max="767" width="9.77734375" style="221" customWidth="1"/>
    <col min="768" max="795" width="6.44140625" style="221" customWidth="1"/>
    <col min="796" max="796" width="19.21875" style="221" customWidth="1"/>
    <col min="797" max="797" width="45.21875" style="221" customWidth="1"/>
    <col min="798" max="1020" width="9" style="221"/>
    <col min="1021" max="1021" width="3.77734375" style="221" customWidth="1"/>
    <col min="1022" max="1022" width="20.109375" style="221" customWidth="1"/>
    <col min="1023" max="1023" width="9.77734375" style="221" customWidth="1"/>
    <col min="1024" max="1051" width="6.44140625" style="221" customWidth="1"/>
    <col min="1052" max="1052" width="19.21875" style="221" customWidth="1"/>
    <col min="1053" max="1053" width="45.21875" style="221" customWidth="1"/>
    <col min="1054" max="1276" width="9" style="221"/>
    <col min="1277" max="1277" width="3.77734375" style="221" customWidth="1"/>
    <col min="1278" max="1278" width="20.109375" style="221" customWidth="1"/>
    <col min="1279" max="1279" width="9.77734375" style="221" customWidth="1"/>
    <col min="1280" max="1307" width="6.44140625" style="221" customWidth="1"/>
    <col min="1308" max="1308" width="19.21875" style="221" customWidth="1"/>
    <col min="1309" max="1309" width="45.21875" style="221" customWidth="1"/>
    <col min="1310" max="1532" width="9" style="221"/>
    <col min="1533" max="1533" width="3.77734375" style="221" customWidth="1"/>
    <col min="1534" max="1534" width="20.109375" style="221" customWidth="1"/>
    <col min="1535" max="1535" width="9.77734375" style="221" customWidth="1"/>
    <col min="1536" max="1563" width="6.44140625" style="221" customWidth="1"/>
    <col min="1564" max="1564" width="19.21875" style="221" customWidth="1"/>
    <col min="1565" max="1565" width="45.21875" style="221" customWidth="1"/>
    <col min="1566" max="1788" width="9" style="221"/>
    <col min="1789" max="1789" width="3.77734375" style="221" customWidth="1"/>
    <col min="1790" max="1790" width="20.109375" style="221" customWidth="1"/>
    <col min="1791" max="1791" width="9.77734375" style="221" customWidth="1"/>
    <col min="1792" max="1819" width="6.44140625" style="221" customWidth="1"/>
    <col min="1820" max="1820" width="19.21875" style="221" customWidth="1"/>
    <col min="1821" max="1821" width="45.21875" style="221" customWidth="1"/>
    <col min="1822" max="2044" width="9" style="221"/>
    <col min="2045" max="2045" width="3.77734375" style="221" customWidth="1"/>
    <col min="2046" max="2046" width="20.109375" style="221" customWidth="1"/>
    <col min="2047" max="2047" width="9.77734375" style="221" customWidth="1"/>
    <col min="2048" max="2075" width="6.44140625" style="221" customWidth="1"/>
    <col min="2076" max="2076" width="19.21875" style="221" customWidth="1"/>
    <col min="2077" max="2077" width="45.21875" style="221" customWidth="1"/>
    <col min="2078" max="2300" width="9" style="221"/>
    <col min="2301" max="2301" width="3.77734375" style="221" customWidth="1"/>
    <col min="2302" max="2302" width="20.109375" style="221" customWidth="1"/>
    <col min="2303" max="2303" width="9.77734375" style="221" customWidth="1"/>
    <col min="2304" max="2331" width="6.44140625" style="221" customWidth="1"/>
    <col min="2332" max="2332" width="19.21875" style="221" customWidth="1"/>
    <col min="2333" max="2333" width="45.21875" style="221" customWidth="1"/>
    <col min="2334" max="2556" width="9" style="221"/>
    <col min="2557" max="2557" width="3.77734375" style="221" customWidth="1"/>
    <col min="2558" max="2558" width="20.109375" style="221" customWidth="1"/>
    <col min="2559" max="2559" width="9.77734375" style="221" customWidth="1"/>
    <col min="2560" max="2587" width="6.44140625" style="221" customWidth="1"/>
    <col min="2588" max="2588" width="19.21875" style="221" customWidth="1"/>
    <col min="2589" max="2589" width="45.21875" style="221" customWidth="1"/>
    <col min="2590" max="2812" width="9" style="221"/>
    <col min="2813" max="2813" width="3.77734375" style="221" customWidth="1"/>
    <col min="2814" max="2814" width="20.109375" style="221" customWidth="1"/>
    <col min="2815" max="2815" width="9.77734375" style="221" customWidth="1"/>
    <col min="2816" max="2843" width="6.44140625" style="221" customWidth="1"/>
    <col min="2844" max="2844" width="19.21875" style="221" customWidth="1"/>
    <col min="2845" max="2845" width="45.21875" style="221" customWidth="1"/>
    <col min="2846" max="3068" width="9" style="221"/>
    <col min="3069" max="3069" width="3.77734375" style="221" customWidth="1"/>
    <col min="3070" max="3070" width="20.109375" style="221" customWidth="1"/>
    <col min="3071" max="3071" width="9.77734375" style="221" customWidth="1"/>
    <col min="3072" max="3099" width="6.44140625" style="221" customWidth="1"/>
    <col min="3100" max="3100" width="19.21875" style="221" customWidth="1"/>
    <col min="3101" max="3101" width="45.21875" style="221" customWidth="1"/>
    <col min="3102" max="3324" width="9" style="221"/>
    <col min="3325" max="3325" width="3.77734375" style="221" customWidth="1"/>
    <col min="3326" max="3326" width="20.109375" style="221" customWidth="1"/>
    <col min="3327" max="3327" width="9.77734375" style="221" customWidth="1"/>
    <col min="3328" max="3355" width="6.44140625" style="221" customWidth="1"/>
    <col min="3356" max="3356" width="19.21875" style="221" customWidth="1"/>
    <col min="3357" max="3357" width="45.21875" style="221" customWidth="1"/>
    <col min="3358" max="3580" width="9" style="221"/>
    <col min="3581" max="3581" width="3.77734375" style="221" customWidth="1"/>
    <col min="3582" max="3582" width="20.109375" style="221" customWidth="1"/>
    <col min="3583" max="3583" width="9.77734375" style="221" customWidth="1"/>
    <col min="3584" max="3611" width="6.44140625" style="221" customWidth="1"/>
    <col min="3612" max="3612" width="19.21875" style="221" customWidth="1"/>
    <col min="3613" max="3613" width="45.21875" style="221" customWidth="1"/>
    <col min="3614" max="3836" width="9" style="221"/>
    <col min="3837" max="3837" width="3.77734375" style="221" customWidth="1"/>
    <col min="3838" max="3838" width="20.109375" style="221" customWidth="1"/>
    <col min="3839" max="3839" width="9.77734375" style="221" customWidth="1"/>
    <col min="3840" max="3867" width="6.44140625" style="221" customWidth="1"/>
    <col min="3868" max="3868" width="19.21875" style="221" customWidth="1"/>
    <col min="3869" max="3869" width="45.21875" style="221" customWidth="1"/>
    <col min="3870" max="4092" width="9" style="221"/>
    <col min="4093" max="4093" width="3.77734375" style="221" customWidth="1"/>
    <col min="4094" max="4094" width="20.109375" style="221" customWidth="1"/>
    <col min="4095" max="4095" width="9.77734375" style="221" customWidth="1"/>
    <col min="4096" max="4123" width="6.44140625" style="221" customWidth="1"/>
    <col min="4124" max="4124" width="19.21875" style="221" customWidth="1"/>
    <col min="4125" max="4125" width="45.21875" style="221" customWidth="1"/>
    <col min="4126" max="4348" width="9" style="221"/>
    <col min="4349" max="4349" width="3.77734375" style="221" customWidth="1"/>
    <col min="4350" max="4350" width="20.109375" style="221" customWidth="1"/>
    <col min="4351" max="4351" width="9.77734375" style="221" customWidth="1"/>
    <col min="4352" max="4379" width="6.44140625" style="221" customWidth="1"/>
    <col min="4380" max="4380" width="19.21875" style="221" customWidth="1"/>
    <col min="4381" max="4381" width="45.21875" style="221" customWidth="1"/>
    <col min="4382" max="4604" width="9" style="221"/>
    <col min="4605" max="4605" width="3.77734375" style="221" customWidth="1"/>
    <col min="4606" max="4606" width="20.109375" style="221" customWidth="1"/>
    <col min="4607" max="4607" width="9.77734375" style="221" customWidth="1"/>
    <col min="4608" max="4635" width="6.44140625" style="221" customWidth="1"/>
    <col min="4636" max="4636" width="19.21875" style="221" customWidth="1"/>
    <col min="4637" max="4637" width="45.21875" style="221" customWidth="1"/>
    <col min="4638" max="4860" width="9" style="221"/>
    <col min="4861" max="4861" width="3.77734375" style="221" customWidth="1"/>
    <col min="4862" max="4862" width="20.109375" style="221" customWidth="1"/>
    <col min="4863" max="4863" width="9.77734375" style="221" customWidth="1"/>
    <col min="4864" max="4891" width="6.44140625" style="221" customWidth="1"/>
    <col min="4892" max="4892" width="19.21875" style="221" customWidth="1"/>
    <col min="4893" max="4893" width="45.21875" style="221" customWidth="1"/>
    <col min="4894" max="5116" width="9" style="221"/>
    <col min="5117" max="5117" width="3.77734375" style="221" customWidth="1"/>
    <col min="5118" max="5118" width="20.109375" style="221" customWidth="1"/>
    <col min="5119" max="5119" width="9.77734375" style="221" customWidth="1"/>
    <col min="5120" max="5147" width="6.44140625" style="221" customWidth="1"/>
    <col min="5148" max="5148" width="19.21875" style="221" customWidth="1"/>
    <col min="5149" max="5149" width="45.21875" style="221" customWidth="1"/>
    <col min="5150" max="5372" width="9" style="221"/>
    <col min="5373" max="5373" width="3.77734375" style="221" customWidth="1"/>
    <col min="5374" max="5374" width="20.109375" style="221" customWidth="1"/>
    <col min="5375" max="5375" width="9.77734375" style="221" customWidth="1"/>
    <col min="5376" max="5403" width="6.44140625" style="221" customWidth="1"/>
    <col min="5404" max="5404" width="19.21875" style="221" customWidth="1"/>
    <col min="5405" max="5405" width="45.21875" style="221" customWidth="1"/>
    <col min="5406" max="5628" width="9" style="221"/>
    <col min="5629" max="5629" width="3.77734375" style="221" customWidth="1"/>
    <col min="5630" max="5630" width="20.109375" style="221" customWidth="1"/>
    <col min="5631" max="5631" width="9.77734375" style="221" customWidth="1"/>
    <col min="5632" max="5659" width="6.44140625" style="221" customWidth="1"/>
    <col min="5660" max="5660" width="19.21875" style="221" customWidth="1"/>
    <col min="5661" max="5661" width="45.21875" style="221" customWidth="1"/>
    <col min="5662" max="5884" width="9" style="221"/>
    <col min="5885" max="5885" width="3.77734375" style="221" customWidth="1"/>
    <col min="5886" max="5886" width="20.109375" style="221" customWidth="1"/>
    <col min="5887" max="5887" width="9.77734375" style="221" customWidth="1"/>
    <col min="5888" max="5915" width="6.44140625" style="221" customWidth="1"/>
    <col min="5916" max="5916" width="19.21875" style="221" customWidth="1"/>
    <col min="5917" max="5917" width="45.21875" style="221" customWidth="1"/>
    <col min="5918" max="6140" width="9" style="221"/>
    <col min="6141" max="6141" width="3.77734375" style="221" customWidth="1"/>
    <col min="6142" max="6142" width="20.109375" style="221" customWidth="1"/>
    <col min="6143" max="6143" width="9.77734375" style="221" customWidth="1"/>
    <col min="6144" max="6171" width="6.44140625" style="221" customWidth="1"/>
    <col min="6172" max="6172" width="19.21875" style="221" customWidth="1"/>
    <col min="6173" max="6173" width="45.21875" style="221" customWidth="1"/>
    <col min="6174" max="6396" width="9" style="221"/>
    <col min="6397" max="6397" width="3.77734375" style="221" customWidth="1"/>
    <col min="6398" max="6398" width="20.109375" style="221" customWidth="1"/>
    <col min="6399" max="6399" width="9.77734375" style="221" customWidth="1"/>
    <col min="6400" max="6427" width="6.44140625" style="221" customWidth="1"/>
    <col min="6428" max="6428" width="19.21875" style="221" customWidth="1"/>
    <col min="6429" max="6429" width="45.21875" style="221" customWidth="1"/>
    <col min="6430" max="6652" width="9" style="221"/>
    <col min="6653" max="6653" width="3.77734375" style="221" customWidth="1"/>
    <col min="6654" max="6654" width="20.109375" style="221" customWidth="1"/>
    <col min="6655" max="6655" width="9.77734375" style="221" customWidth="1"/>
    <col min="6656" max="6683" width="6.44140625" style="221" customWidth="1"/>
    <col min="6684" max="6684" width="19.21875" style="221" customWidth="1"/>
    <col min="6685" max="6685" width="45.21875" style="221" customWidth="1"/>
    <col min="6686" max="6908" width="9" style="221"/>
    <col min="6909" max="6909" width="3.77734375" style="221" customWidth="1"/>
    <col min="6910" max="6910" width="20.109375" style="221" customWidth="1"/>
    <col min="6911" max="6911" width="9.77734375" style="221" customWidth="1"/>
    <col min="6912" max="6939" width="6.44140625" style="221" customWidth="1"/>
    <col min="6940" max="6940" width="19.21875" style="221" customWidth="1"/>
    <col min="6941" max="6941" width="45.21875" style="221" customWidth="1"/>
    <col min="6942" max="7164" width="9" style="221"/>
    <col min="7165" max="7165" width="3.77734375" style="221" customWidth="1"/>
    <col min="7166" max="7166" width="20.109375" style="221" customWidth="1"/>
    <col min="7167" max="7167" width="9.77734375" style="221" customWidth="1"/>
    <col min="7168" max="7195" width="6.44140625" style="221" customWidth="1"/>
    <col min="7196" max="7196" width="19.21875" style="221" customWidth="1"/>
    <col min="7197" max="7197" width="45.21875" style="221" customWidth="1"/>
    <col min="7198" max="7420" width="9" style="221"/>
    <col min="7421" max="7421" width="3.77734375" style="221" customWidth="1"/>
    <col min="7422" max="7422" width="20.109375" style="221" customWidth="1"/>
    <col min="7423" max="7423" width="9.77734375" style="221" customWidth="1"/>
    <col min="7424" max="7451" width="6.44140625" style="221" customWidth="1"/>
    <col min="7452" max="7452" width="19.21875" style="221" customWidth="1"/>
    <col min="7453" max="7453" width="45.21875" style="221" customWidth="1"/>
    <col min="7454" max="7676" width="9" style="221"/>
    <col min="7677" max="7677" width="3.77734375" style="221" customWidth="1"/>
    <col min="7678" max="7678" width="20.109375" style="221" customWidth="1"/>
    <col min="7679" max="7679" width="9.77734375" style="221" customWidth="1"/>
    <col min="7680" max="7707" width="6.44140625" style="221" customWidth="1"/>
    <col min="7708" max="7708" width="19.21875" style="221" customWidth="1"/>
    <col min="7709" max="7709" width="45.21875" style="221" customWidth="1"/>
    <col min="7710" max="7932" width="9" style="221"/>
    <col min="7933" max="7933" width="3.77734375" style="221" customWidth="1"/>
    <col min="7934" max="7934" width="20.109375" style="221" customWidth="1"/>
    <col min="7935" max="7935" width="9.77734375" style="221" customWidth="1"/>
    <col min="7936" max="7963" width="6.44140625" style="221" customWidth="1"/>
    <col min="7964" max="7964" width="19.21875" style="221" customWidth="1"/>
    <col min="7965" max="7965" width="45.21875" style="221" customWidth="1"/>
    <col min="7966" max="8188" width="9" style="221"/>
    <col min="8189" max="8189" width="3.77734375" style="221" customWidth="1"/>
    <col min="8190" max="8190" width="20.109375" style="221" customWidth="1"/>
    <col min="8191" max="8191" width="9.77734375" style="221" customWidth="1"/>
    <col min="8192" max="8219" width="6.44140625" style="221" customWidth="1"/>
    <col min="8220" max="8220" width="19.21875" style="221" customWidth="1"/>
    <col min="8221" max="8221" width="45.21875" style="221" customWidth="1"/>
    <col min="8222" max="8444" width="9" style="221"/>
    <col min="8445" max="8445" width="3.77734375" style="221" customWidth="1"/>
    <col min="8446" max="8446" width="20.109375" style="221" customWidth="1"/>
    <col min="8447" max="8447" width="9.77734375" style="221" customWidth="1"/>
    <col min="8448" max="8475" width="6.44140625" style="221" customWidth="1"/>
    <col min="8476" max="8476" width="19.21875" style="221" customWidth="1"/>
    <col min="8477" max="8477" width="45.21875" style="221" customWidth="1"/>
    <col min="8478" max="8700" width="9" style="221"/>
    <col min="8701" max="8701" width="3.77734375" style="221" customWidth="1"/>
    <col min="8702" max="8702" width="20.109375" style="221" customWidth="1"/>
    <col min="8703" max="8703" width="9.77734375" style="221" customWidth="1"/>
    <col min="8704" max="8731" width="6.44140625" style="221" customWidth="1"/>
    <col min="8732" max="8732" width="19.21875" style="221" customWidth="1"/>
    <col min="8733" max="8733" width="45.21875" style="221" customWidth="1"/>
    <col min="8734" max="8956" width="9" style="221"/>
    <col min="8957" max="8957" width="3.77734375" style="221" customWidth="1"/>
    <col min="8958" max="8958" width="20.109375" style="221" customWidth="1"/>
    <col min="8959" max="8959" width="9.77734375" style="221" customWidth="1"/>
    <col min="8960" max="8987" width="6.44140625" style="221" customWidth="1"/>
    <col min="8988" max="8988" width="19.21875" style="221" customWidth="1"/>
    <col min="8989" max="8989" width="45.21875" style="221" customWidth="1"/>
    <col min="8990" max="9212" width="9" style="221"/>
    <col min="9213" max="9213" width="3.77734375" style="221" customWidth="1"/>
    <col min="9214" max="9214" width="20.109375" style="221" customWidth="1"/>
    <col min="9215" max="9215" width="9.77734375" style="221" customWidth="1"/>
    <col min="9216" max="9243" width="6.44140625" style="221" customWidth="1"/>
    <col min="9244" max="9244" width="19.21875" style="221" customWidth="1"/>
    <col min="9245" max="9245" width="45.21875" style="221" customWidth="1"/>
    <col min="9246" max="9468" width="9" style="221"/>
    <col min="9469" max="9469" width="3.77734375" style="221" customWidth="1"/>
    <col min="9470" max="9470" width="20.109375" style="221" customWidth="1"/>
    <col min="9471" max="9471" width="9.77734375" style="221" customWidth="1"/>
    <col min="9472" max="9499" width="6.44140625" style="221" customWidth="1"/>
    <col min="9500" max="9500" width="19.21875" style="221" customWidth="1"/>
    <col min="9501" max="9501" width="45.21875" style="221" customWidth="1"/>
    <col min="9502" max="9724" width="9" style="221"/>
    <col min="9725" max="9725" width="3.77734375" style="221" customWidth="1"/>
    <col min="9726" max="9726" width="20.109375" style="221" customWidth="1"/>
    <col min="9727" max="9727" width="9.77734375" style="221" customWidth="1"/>
    <col min="9728" max="9755" width="6.44140625" style="221" customWidth="1"/>
    <col min="9756" max="9756" width="19.21875" style="221" customWidth="1"/>
    <col min="9757" max="9757" width="45.21875" style="221" customWidth="1"/>
    <col min="9758" max="9980" width="9" style="221"/>
    <col min="9981" max="9981" width="3.77734375" style="221" customWidth="1"/>
    <col min="9982" max="9982" width="20.109375" style="221" customWidth="1"/>
    <col min="9983" max="9983" width="9.77734375" style="221" customWidth="1"/>
    <col min="9984" max="10011" width="6.44140625" style="221" customWidth="1"/>
    <col min="10012" max="10012" width="19.21875" style="221" customWidth="1"/>
    <col min="10013" max="10013" width="45.21875" style="221" customWidth="1"/>
    <col min="10014" max="10236" width="9" style="221"/>
    <col min="10237" max="10237" width="3.77734375" style="221" customWidth="1"/>
    <col min="10238" max="10238" width="20.109375" style="221" customWidth="1"/>
    <col min="10239" max="10239" width="9.77734375" style="221" customWidth="1"/>
    <col min="10240" max="10267" width="6.44140625" style="221" customWidth="1"/>
    <col min="10268" max="10268" width="19.21875" style="221" customWidth="1"/>
    <col min="10269" max="10269" width="45.21875" style="221" customWidth="1"/>
    <col min="10270" max="10492" width="9" style="221"/>
    <col min="10493" max="10493" width="3.77734375" style="221" customWidth="1"/>
    <col min="10494" max="10494" width="20.109375" style="221" customWidth="1"/>
    <col min="10495" max="10495" width="9.77734375" style="221" customWidth="1"/>
    <col min="10496" max="10523" width="6.44140625" style="221" customWidth="1"/>
    <col min="10524" max="10524" width="19.21875" style="221" customWidth="1"/>
    <col min="10525" max="10525" width="45.21875" style="221" customWidth="1"/>
    <col min="10526" max="10748" width="9" style="221"/>
    <col min="10749" max="10749" width="3.77734375" style="221" customWidth="1"/>
    <col min="10750" max="10750" width="20.109375" style="221" customWidth="1"/>
    <col min="10751" max="10751" width="9.77734375" style="221" customWidth="1"/>
    <col min="10752" max="10779" width="6.44140625" style="221" customWidth="1"/>
    <col min="10780" max="10780" width="19.21875" style="221" customWidth="1"/>
    <col min="10781" max="10781" width="45.21875" style="221" customWidth="1"/>
    <col min="10782" max="11004" width="9" style="221"/>
    <col min="11005" max="11005" width="3.77734375" style="221" customWidth="1"/>
    <col min="11006" max="11006" width="20.109375" style="221" customWidth="1"/>
    <col min="11007" max="11007" width="9.77734375" style="221" customWidth="1"/>
    <col min="11008" max="11035" width="6.44140625" style="221" customWidth="1"/>
    <col min="11036" max="11036" width="19.21875" style="221" customWidth="1"/>
    <col min="11037" max="11037" width="45.21875" style="221" customWidth="1"/>
    <col min="11038" max="11260" width="9" style="221"/>
    <col min="11261" max="11261" width="3.77734375" style="221" customWidth="1"/>
    <col min="11262" max="11262" width="20.109375" style="221" customWidth="1"/>
    <col min="11263" max="11263" width="9.77734375" style="221" customWidth="1"/>
    <col min="11264" max="11291" width="6.44140625" style="221" customWidth="1"/>
    <col min="11292" max="11292" width="19.21875" style="221" customWidth="1"/>
    <col min="11293" max="11293" width="45.21875" style="221" customWidth="1"/>
    <col min="11294" max="11516" width="9" style="221"/>
    <col min="11517" max="11517" width="3.77734375" style="221" customWidth="1"/>
    <col min="11518" max="11518" width="20.109375" style="221" customWidth="1"/>
    <col min="11519" max="11519" width="9.77734375" style="221" customWidth="1"/>
    <col min="11520" max="11547" width="6.44140625" style="221" customWidth="1"/>
    <col min="11548" max="11548" width="19.21875" style="221" customWidth="1"/>
    <col min="11549" max="11549" width="45.21875" style="221" customWidth="1"/>
    <col min="11550" max="11772" width="9" style="221"/>
    <col min="11773" max="11773" width="3.77734375" style="221" customWidth="1"/>
    <col min="11774" max="11774" width="20.109375" style="221" customWidth="1"/>
    <col min="11775" max="11775" width="9.77734375" style="221" customWidth="1"/>
    <col min="11776" max="11803" width="6.44140625" style="221" customWidth="1"/>
    <col min="11804" max="11804" width="19.21875" style="221" customWidth="1"/>
    <col min="11805" max="11805" width="45.21875" style="221" customWidth="1"/>
    <col min="11806" max="12028" width="9" style="221"/>
    <col min="12029" max="12029" width="3.77734375" style="221" customWidth="1"/>
    <col min="12030" max="12030" width="20.109375" style="221" customWidth="1"/>
    <col min="12031" max="12031" width="9.77734375" style="221" customWidth="1"/>
    <col min="12032" max="12059" width="6.44140625" style="221" customWidth="1"/>
    <col min="12060" max="12060" width="19.21875" style="221" customWidth="1"/>
    <col min="12061" max="12061" width="45.21875" style="221" customWidth="1"/>
    <col min="12062" max="12284" width="9" style="221"/>
    <col min="12285" max="12285" width="3.77734375" style="221" customWidth="1"/>
    <col min="12286" max="12286" width="20.109375" style="221" customWidth="1"/>
    <col min="12287" max="12287" width="9.77734375" style="221" customWidth="1"/>
    <col min="12288" max="12315" width="6.44140625" style="221" customWidth="1"/>
    <col min="12316" max="12316" width="19.21875" style="221" customWidth="1"/>
    <col min="12317" max="12317" width="45.21875" style="221" customWidth="1"/>
    <col min="12318" max="12540" width="9" style="221"/>
    <col min="12541" max="12541" width="3.77734375" style="221" customWidth="1"/>
    <col min="12542" max="12542" width="20.109375" style="221" customWidth="1"/>
    <col min="12543" max="12543" width="9.77734375" style="221" customWidth="1"/>
    <col min="12544" max="12571" width="6.44140625" style="221" customWidth="1"/>
    <col min="12572" max="12572" width="19.21875" style="221" customWidth="1"/>
    <col min="12573" max="12573" width="45.21875" style="221" customWidth="1"/>
    <col min="12574" max="12796" width="9" style="221"/>
    <col min="12797" max="12797" width="3.77734375" style="221" customWidth="1"/>
    <col min="12798" max="12798" width="20.109375" style="221" customWidth="1"/>
    <col min="12799" max="12799" width="9.77734375" style="221" customWidth="1"/>
    <col min="12800" max="12827" width="6.44140625" style="221" customWidth="1"/>
    <col min="12828" max="12828" width="19.21875" style="221" customWidth="1"/>
    <col min="12829" max="12829" width="45.21875" style="221" customWidth="1"/>
    <col min="12830" max="13052" width="9" style="221"/>
    <col min="13053" max="13053" width="3.77734375" style="221" customWidth="1"/>
    <col min="13054" max="13054" width="20.109375" style="221" customWidth="1"/>
    <col min="13055" max="13055" width="9.77734375" style="221" customWidth="1"/>
    <col min="13056" max="13083" width="6.44140625" style="221" customWidth="1"/>
    <col min="13084" max="13084" width="19.21875" style="221" customWidth="1"/>
    <col min="13085" max="13085" width="45.21875" style="221" customWidth="1"/>
    <col min="13086" max="13308" width="9" style="221"/>
    <col min="13309" max="13309" width="3.77734375" style="221" customWidth="1"/>
    <col min="13310" max="13310" width="20.109375" style="221" customWidth="1"/>
    <col min="13311" max="13311" width="9.77734375" style="221" customWidth="1"/>
    <col min="13312" max="13339" width="6.44140625" style="221" customWidth="1"/>
    <col min="13340" max="13340" width="19.21875" style="221" customWidth="1"/>
    <col min="13341" max="13341" width="45.21875" style="221" customWidth="1"/>
    <col min="13342" max="13564" width="9" style="221"/>
    <col min="13565" max="13565" width="3.77734375" style="221" customWidth="1"/>
    <col min="13566" max="13566" width="20.109375" style="221" customWidth="1"/>
    <col min="13567" max="13567" width="9.77734375" style="221" customWidth="1"/>
    <col min="13568" max="13595" width="6.44140625" style="221" customWidth="1"/>
    <col min="13596" max="13596" width="19.21875" style="221" customWidth="1"/>
    <col min="13597" max="13597" width="45.21875" style="221" customWidth="1"/>
    <col min="13598" max="13820" width="9" style="221"/>
    <col min="13821" max="13821" width="3.77734375" style="221" customWidth="1"/>
    <col min="13822" max="13822" width="20.109375" style="221" customWidth="1"/>
    <col min="13823" max="13823" width="9.77734375" style="221" customWidth="1"/>
    <col min="13824" max="13851" width="6.44140625" style="221" customWidth="1"/>
    <col min="13852" max="13852" width="19.21875" style="221" customWidth="1"/>
    <col min="13853" max="13853" width="45.21875" style="221" customWidth="1"/>
    <col min="13854" max="14076" width="9" style="221"/>
    <col min="14077" max="14077" width="3.77734375" style="221" customWidth="1"/>
    <col min="14078" max="14078" width="20.109375" style="221" customWidth="1"/>
    <col min="14079" max="14079" width="9.77734375" style="221" customWidth="1"/>
    <col min="14080" max="14107" width="6.44140625" style="221" customWidth="1"/>
    <col min="14108" max="14108" width="19.21875" style="221" customWidth="1"/>
    <col min="14109" max="14109" width="45.21875" style="221" customWidth="1"/>
    <col min="14110" max="14332" width="9" style="221"/>
    <col min="14333" max="14333" width="3.77734375" style="221" customWidth="1"/>
    <col min="14334" max="14334" width="20.109375" style="221" customWidth="1"/>
    <col min="14335" max="14335" width="9.77734375" style="221" customWidth="1"/>
    <col min="14336" max="14363" width="6.44140625" style="221" customWidth="1"/>
    <col min="14364" max="14364" width="19.21875" style="221" customWidth="1"/>
    <col min="14365" max="14365" width="45.21875" style="221" customWidth="1"/>
    <col min="14366" max="14588" width="9" style="221"/>
    <col min="14589" max="14589" width="3.77734375" style="221" customWidth="1"/>
    <col min="14590" max="14590" width="20.109375" style="221" customWidth="1"/>
    <col min="14591" max="14591" width="9.77734375" style="221" customWidth="1"/>
    <col min="14592" max="14619" width="6.44140625" style="221" customWidth="1"/>
    <col min="14620" max="14620" width="19.21875" style="221" customWidth="1"/>
    <col min="14621" max="14621" width="45.21875" style="221" customWidth="1"/>
    <col min="14622" max="14844" width="9" style="221"/>
    <col min="14845" max="14845" width="3.77734375" style="221" customWidth="1"/>
    <col min="14846" max="14846" width="20.109375" style="221" customWidth="1"/>
    <col min="14847" max="14847" width="9.77734375" style="221" customWidth="1"/>
    <col min="14848" max="14875" width="6.44140625" style="221" customWidth="1"/>
    <col min="14876" max="14876" width="19.21875" style="221" customWidth="1"/>
    <col min="14877" max="14877" width="45.21875" style="221" customWidth="1"/>
    <col min="14878" max="15100" width="9" style="221"/>
    <col min="15101" max="15101" width="3.77734375" style="221" customWidth="1"/>
    <col min="15102" max="15102" width="20.109375" style="221" customWidth="1"/>
    <col min="15103" max="15103" width="9.77734375" style="221" customWidth="1"/>
    <col min="15104" max="15131" width="6.44140625" style="221" customWidth="1"/>
    <col min="15132" max="15132" width="19.21875" style="221" customWidth="1"/>
    <col min="15133" max="15133" width="45.21875" style="221" customWidth="1"/>
    <col min="15134" max="15356" width="9" style="221"/>
    <col min="15357" max="15357" width="3.77734375" style="221" customWidth="1"/>
    <col min="15358" max="15358" width="20.109375" style="221" customWidth="1"/>
    <col min="15359" max="15359" width="9.77734375" style="221" customWidth="1"/>
    <col min="15360" max="15387" width="6.44140625" style="221" customWidth="1"/>
    <col min="15388" max="15388" width="19.21875" style="221" customWidth="1"/>
    <col min="15389" max="15389" width="45.21875" style="221" customWidth="1"/>
    <col min="15390" max="15612" width="9" style="221"/>
    <col min="15613" max="15613" width="3.77734375" style="221" customWidth="1"/>
    <col min="15614" max="15614" width="20.109375" style="221" customWidth="1"/>
    <col min="15615" max="15615" width="9.77734375" style="221" customWidth="1"/>
    <col min="15616" max="15643" width="6.44140625" style="221" customWidth="1"/>
    <col min="15644" max="15644" width="19.21875" style="221" customWidth="1"/>
    <col min="15645" max="15645" width="45.21875" style="221" customWidth="1"/>
    <col min="15646" max="15868" width="9" style="221"/>
    <col min="15869" max="15869" width="3.77734375" style="221" customWidth="1"/>
    <col min="15870" max="15870" width="20.109375" style="221" customWidth="1"/>
    <col min="15871" max="15871" width="9.77734375" style="221" customWidth="1"/>
    <col min="15872" max="15899" width="6.44140625" style="221" customWidth="1"/>
    <col min="15900" max="15900" width="19.21875" style="221" customWidth="1"/>
    <col min="15901" max="15901" width="45.21875" style="221" customWidth="1"/>
    <col min="15902" max="16124" width="9" style="221"/>
    <col min="16125" max="16125" width="3.77734375" style="221" customWidth="1"/>
    <col min="16126" max="16126" width="20.109375" style="221" customWidth="1"/>
    <col min="16127" max="16127" width="9.77734375" style="221" customWidth="1"/>
    <col min="16128" max="16155" width="6.44140625" style="221" customWidth="1"/>
    <col min="16156" max="16156" width="19.21875" style="221" customWidth="1"/>
    <col min="16157" max="16157" width="45.21875" style="221" customWidth="1"/>
    <col min="16158" max="16384" width="9" style="221"/>
  </cols>
  <sheetData>
    <row r="1" spans="1:120" ht="30" customHeight="1">
      <c r="A1" s="1187" t="s">
        <v>75</v>
      </c>
      <c r="B1" s="1188"/>
      <c r="C1" s="1188"/>
      <c r="D1" s="1188"/>
      <c r="E1" s="1188"/>
      <c r="F1" s="1188"/>
      <c r="G1" s="1188"/>
      <c r="H1" s="1188"/>
      <c r="I1" s="1188"/>
      <c r="J1" s="1188"/>
      <c r="K1" s="1188"/>
      <c r="L1" s="1188"/>
      <c r="M1" s="1188"/>
      <c r="N1" s="1188"/>
      <c r="O1" s="1188"/>
      <c r="P1" s="1188"/>
      <c r="Q1" s="1188"/>
      <c r="R1" s="1188"/>
      <c r="S1" s="1188"/>
      <c r="T1" s="1188"/>
      <c r="U1" s="1188"/>
      <c r="V1" s="1188"/>
      <c r="W1" s="1188"/>
      <c r="X1" s="1188"/>
      <c r="Y1" s="1188"/>
      <c r="Z1" s="1188"/>
      <c r="AA1" s="1188"/>
      <c r="AB1" s="1188"/>
      <c r="AC1" s="1188"/>
    </row>
    <row r="2" spans="1:120" ht="21">
      <c r="A2" s="222"/>
      <c r="B2" s="222"/>
      <c r="C2" s="222"/>
      <c r="D2" s="222"/>
      <c r="E2" s="222"/>
      <c r="F2" s="222"/>
      <c r="G2" s="222"/>
      <c r="H2" s="222"/>
      <c r="I2" s="222"/>
      <c r="J2" s="222"/>
      <c r="K2" s="223"/>
      <c r="L2" s="222"/>
      <c r="M2" s="222"/>
      <c r="N2" s="222"/>
      <c r="O2" s="222"/>
      <c r="P2" s="222"/>
      <c r="Q2" s="222"/>
      <c r="R2" s="222"/>
      <c r="S2" s="222"/>
      <c r="T2" s="222"/>
      <c r="U2" s="222"/>
      <c r="V2" s="222"/>
      <c r="W2" s="222"/>
      <c r="X2" s="222"/>
      <c r="Y2" s="222"/>
      <c r="Z2" s="222"/>
      <c r="AA2" s="222"/>
      <c r="AB2" s="222"/>
      <c r="AC2" s="222"/>
      <c r="AD2" s="224"/>
      <c r="AE2" s="224"/>
      <c r="AF2" s="224"/>
      <c r="AG2" s="224"/>
      <c r="AH2" s="224"/>
      <c r="AI2" s="224"/>
      <c r="AJ2" s="224"/>
      <c r="AK2" s="224"/>
      <c r="AL2" s="224"/>
      <c r="AM2" s="224"/>
      <c r="AN2" s="224"/>
      <c r="AO2" s="224"/>
      <c r="AP2" s="224"/>
      <c r="AQ2" s="224"/>
      <c r="AR2" s="224"/>
      <c r="AS2" s="224"/>
      <c r="AT2" s="224"/>
      <c r="AU2" s="224"/>
      <c r="AV2" s="224"/>
      <c r="AW2" s="224"/>
      <c r="AX2" s="224"/>
      <c r="AY2" s="224"/>
      <c r="AZ2" s="224"/>
      <c r="BA2" s="224"/>
      <c r="BB2" s="224"/>
      <c r="BC2" s="224"/>
      <c r="BD2" s="224"/>
      <c r="BE2" s="224"/>
      <c r="BF2" s="224"/>
      <c r="BG2" s="224"/>
      <c r="BH2" s="224"/>
      <c r="BI2" s="224"/>
      <c r="BJ2" s="224"/>
      <c r="BK2" s="224"/>
      <c r="BL2" s="224"/>
      <c r="BM2" s="224"/>
      <c r="BN2" s="224"/>
      <c r="BO2" s="224"/>
      <c r="BP2" s="224"/>
      <c r="BQ2" s="224"/>
      <c r="BR2" s="224"/>
      <c r="BS2" s="224"/>
      <c r="BT2" s="224"/>
      <c r="BU2" s="224"/>
      <c r="BV2" s="224"/>
      <c r="BW2" s="224"/>
      <c r="BX2" s="224"/>
      <c r="BY2" s="224"/>
      <c r="BZ2" s="224"/>
      <c r="CA2" s="224"/>
      <c r="CB2" s="224"/>
      <c r="CC2" s="224"/>
      <c r="CD2" s="224"/>
      <c r="CE2" s="224"/>
      <c r="CF2" s="224"/>
      <c r="CG2" s="224"/>
      <c r="CH2" s="224"/>
      <c r="CI2" s="224"/>
      <c r="CJ2" s="224"/>
      <c r="CK2" s="224"/>
      <c r="CL2" s="224"/>
      <c r="CM2" s="224"/>
      <c r="CN2" s="224"/>
      <c r="CO2" s="224"/>
      <c r="CP2" s="224"/>
      <c r="CQ2" s="224"/>
      <c r="CR2" s="224"/>
      <c r="CS2" s="224"/>
      <c r="CT2" s="224"/>
      <c r="CU2" s="224"/>
      <c r="CV2" s="224"/>
      <c r="CW2" s="224"/>
      <c r="CX2" s="224"/>
      <c r="CY2" s="224"/>
      <c r="CZ2" s="224"/>
      <c r="DA2" s="224"/>
      <c r="DB2" s="224"/>
      <c r="DC2" s="224"/>
      <c r="DD2" s="224"/>
      <c r="DE2" s="224"/>
      <c r="DF2" s="224"/>
      <c r="DG2" s="224"/>
      <c r="DH2" s="224"/>
      <c r="DI2" s="224"/>
      <c r="DJ2" s="224"/>
      <c r="DK2" s="224"/>
      <c r="DL2" s="224"/>
      <c r="DM2" s="224"/>
      <c r="DN2" s="224"/>
      <c r="DO2" s="224"/>
      <c r="DP2" s="224"/>
    </row>
    <row r="3" spans="1:120" ht="24.75" customHeight="1" thickBot="1">
      <c r="A3" s="1229" t="s">
        <v>754</v>
      </c>
      <c r="B3" s="1230"/>
      <c r="C3" s="1230"/>
      <c r="D3" s="1230"/>
      <c r="E3" s="1230"/>
      <c r="F3" s="1230"/>
      <c r="G3" s="1230"/>
      <c r="H3" s="1230"/>
      <c r="I3" s="1230"/>
      <c r="J3" s="1230"/>
      <c r="K3" s="1230"/>
      <c r="L3" s="1230"/>
      <c r="M3" s="1230"/>
      <c r="N3" s="1230"/>
      <c r="O3" s="1230"/>
      <c r="P3" s="1230"/>
      <c r="Q3" s="1230"/>
      <c r="R3" s="1230"/>
      <c r="S3" s="1230"/>
      <c r="T3" s="1230"/>
      <c r="U3" s="1230"/>
      <c r="V3" s="1230"/>
      <c r="W3" s="1230"/>
      <c r="X3" s="1230"/>
      <c r="Y3" s="1230"/>
      <c r="Z3" s="1230"/>
      <c r="AA3" s="1230"/>
      <c r="AB3" s="1230"/>
      <c r="AC3" s="1230"/>
      <c r="AD3" s="121"/>
      <c r="AE3" s="118"/>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c r="BH3" s="224"/>
      <c r="BI3" s="224"/>
      <c r="BJ3" s="224"/>
      <c r="BK3" s="224"/>
      <c r="BL3" s="224"/>
      <c r="BM3" s="224"/>
      <c r="BN3" s="224"/>
      <c r="BO3" s="224"/>
      <c r="BP3" s="224"/>
      <c r="BQ3" s="224"/>
      <c r="BR3" s="224"/>
      <c r="BS3" s="224"/>
      <c r="BT3" s="224"/>
      <c r="BU3" s="224"/>
      <c r="BV3" s="224"/>
      <c r="BW3" s="224"/>
      <c r="BX3" s="224"/>
      <c r="BY3" s="224"/>
      <c r="BZ3" s="224"/>
      <c r="CA3" s="224"/>
      <c r="CB3" s="224"/>
      <c r="CC3" s="224"/>
      <c r="CD3" s="224"/>
      <c r="CE3" s="224"/>
      <c r="CF3" s="224"/>
      <c r="CG3" s="224"/>
      <c r="CH3" s="224"/>
      <c r="CI3" s="224"/>
      <c r="CJ3" s="224"/>
      <c r="CK3" s="224"/>
      <c r="CL3" s="224"/>
      <c r="CM3" s="224"/>
      <c r="CN3" s="224"/>
      <c r="CO3" s="224"/>
      <c r="CP3" s="224"/>
      <c r="CQ3" s="224"/>
      <c r="CR3" s="224"/>
      <c r="CS3" s="224"/>
      <c r="CT3" s="224"/>
      <c r="CU3" s="224"/>
      <c r="CV3" s="224"/>
      <c r="CW3" s="224"/>
      <c r="CX3" s="224"/>
      <c r="CY3" s="224"/>
      <c r="CZ3" s="224"/>
      <c r="DA3" s="224"/>
      <c r="DB3" s="224"/>
      <c r="DC3" s="224"/>
      <c r="DD3" s="224"/>
      <c r="DE3" s="224"/>
      <c r="DF3" s="224"/>
      <c r="DG3" s="224"/>
      <c r="DH3" s="224"/>
      <c r="DI3" s="224"/>
      <c r="DJ3" s="224"/>
      <c r="DK3" s="224"/>
      <c r="DL3" s="224"/>
      <c r="DM3" s="224"/>
      <c r="DN3" s="224"/>
      <c r="DO3" s="224"/>
      <c r="DP3" s="224"/>
    </row>
    <row r="4" spans="1:120" s="226" customFormat="1" ht="15" thickBot="1">
      <c r="A4" s="225"/>
      <c r="B4" s="225"/>
      <c r="C4" s="225"/>
      <c r="D4" s="225"/>
      <c r="E4" s="225"/>
      <c r="F4" s="225"/>
      <c r="G4" s="225"/>
      <c r="H4" s="225"/>
      <c r="I4" s="225"/>
      <c r="J4" s="225"/>
      <c r="K4" s="225"/>
      <c r="L4" s="225"/>
      <c r="M4" s="225"/>
      <c r="N4" s="225"/>
      <c r="O4" s="225"/>
      <c r="P4" s="225"/>
      <c r="Q4" s="225"/>
      <c r="R4" s="225"/>
      <c r="S4" s="225"/>
      <c r="T4" s="225"/>
      <c r="U4" s="225"/>
      <c r="V4" s="1231" t="s">
        <v>765</v>
      </c>
      <c r="W4" s="1232"/>
      <c r="X4" s="1232"/>
      <c r="Y4" s="1232"/>
      <c r="Z4" s="1232"/>
      <c r="AA4" s="1233"/>
      <c r="AB4" s="225"/>
      <c r="AC4" s="225"/>
      <c r="AD4" s="225"/>
      <c r="AE4" s="225"/>
      <c r="AF4" s="225"/>
      <c r="AG4" s="225"/>
      <c r="AH4" s="225"/>
      <c r="AI4" s="225"/>
      <c r="AJ4" s="225"/>
      <c r="AK4" s="225"/>
      <c r="AL4" s="225"/>
      <c r="AM4" s="225"/>
      <c r="AN4" s="225"/>
      <c r="AO4" s="225"/>
      <c r="AP4" s="225"/>
      <c r="AQ4" s="225"/>
      <c r="AR4" s="225"/>
      <c r="AS4" s="225"/>
      <c r="AT4" s="225"/>
      <c r="AU4" s="225"/>
      <c r="AV4" s="225"/>
      <c r="AW4" s="225"/>
      <c r="AX4" s="225"/>
      <c r="AY4" s="225"/>
      <c r="AZ4" s="225"/>
      <c r="BA4" s="225"/>
      <c r="BB4" s="225"/>
      <c r="BC4" s="225"/>
      <c r="BD4" s="225"/>
      <c r="BE4" s="225"/>
      <c r="BF4" s="225"/>
      <c r="BG4" s="225"/>
      <c r="BH4" s="225"/>
      <c r="BI4" s="225"/>
      <c r="BJ4" s="225"/>
      <c r="BK4" s="225"/>
      <c r="BL4" s="225"/>
      <c r="BM4" s="225"/>
      <c r="BN4" s="225"/>
      <c r="BO4" s="225"/>
      <c r="BP4" s="225"/>
      <c r="BQ4" s="225"/>
      <c r="BR4" s="225"/>
      <c r="BS4" s="225"/>
      <c r="BT4" s="225"/>
      <c r="BU4" s="225"/>
      <c r="BV4" s="225"/>
      <c r="BW4" s="225"/>
      <c r="BX4" s="225"/>
      <c r="BY4" s="225"/>
      <c r="BZ4" s="225"/>
      <c r="CA4" s="225"/>
      <c r="CB4" s="225"/>
      <c r="CC4" s="225"/>
      <c r="CD4" s="225"/>
      <c r="CE4" s="225"/>
      <c r="CF4" s="225"/>
      <c r="CG4" s="225"/>
      <c r="CH4" s="225"/>
      <c r="CI4" s="225"/>
      <c r="CJ4" s="225"/>
      <c r="CK4" s="225"/>
      <c r="CL4" s="225"/>
      <c r="CM4" s="225"/>
      <c r="CN4" s="225"/>
      <c r="CO4" s="225"/>
      <c r="CP4" s="225"/>
      <c r="CQ4" s="225"/>
      <c r="CR4" s="225"/>
      <c r="CS4" s="225"/>
      <c r="CT4" s="225"/>
      <c r="CU4" s="225"/>
      <c r="CV4" s="225"/>
      <c r="CW4" s="225"/>
      <c r="CX4" s="225"/>
      <c r="CY4" s="225"/>
      <c r="CZ4" s="225"/>
      <c r="DA4" s="225"/>
      <c r="DB4" s="225"/>
      <c r="DC4" s="225"/>
      <c r="DD4" s="225"/>
      <c r="DE4" s="225"/>
      <c r="DF4" s="225"/>
      <c r="DG4" s="225"/>
      <c r="DH4" s="225"/>
      <c r="DI4" s="225"/>
      <c r="DJ4" s="225"/>
      <c r="DK4" s="225"/>
      <c r="DL4" s="225"/>
      <c r="DM4" s="225"/>
      <c r="DN4" s="225"/>
      <c r="DO4" s="225"/>
      <c r="DP4" s="225"/>
    </row>
    <row r="5" spans="1:120" s="226" customFormat="1" ht="30" customHeight="1">
      <c r="A5" s="227"/>
      <c r="B5" s="1234" t="s">
        <v>179</v>
      </c>
      <c r="C5" s="1234" t="s">
        <v>180</v>
      </c>
      <c r="D5" s="1227" t="s">
        <v>181</v>
      </c>
      <c r="E5" s="1236"/>
      <c r="F5" s="1227" t="s">
        <v>182</v>
      </c>
      <c r="G5" s="1236"/>
      <c r="H5" s="1227" t="s">
        <v>183</v>
      </c>
      <c r="I5" s="1236"/>
      <c r="J5" s="1227" t="s">
        <v>184</v>
      </c>
      <c r="K5" s="1236"/>
      <c r="L5" s="1227" t="s">
        <v>185</v>
      </c>
      <c r="M5" s="1236"/>
      <c r="N5" s="1227" t="s">
        <v>186</v>
      </c>
      <c r="O5" s="1236"/>
      <c r="P5" s="1227" t="s">
        <v>187</v>
      </c>
      <c r="Q5" s="1236"/>
      <c r="R5" s="1227" t="s">
        <v>188</v>
      </c>
      <c r="S5" s="1236"/>
      <c r="T5" s="1227" t="s">
        <v>189</v>
      </c>
      <c r="U5" s="1226"/>
      <c r="V5" s="1225" t="s">
        <v>190</v>
      </c>
      <c r="W5" s="1226"/>
      <c r="X5" s="1227" t="s">
        <v>191</v>
      </c>
      <c r="Y5" s="1226"/>
      <c r="Z5" s="1227" t="s">
        <v>192</v>
      </c>
      <c r="AA5" s="1237"/>
      <c r="AB5" s="1238" t="s">
        <v>193</v>
      </c>
      <c r="AC5" s="1239"/>
      <c r="AD5" s="225"/>
      <c r="AE5" s="225"/>
      <c r="AF5" s="225"/>
      <c r="AG5" s="225"/>
      <c r="AH5" s="225"/>
      <c r="AI5" s="225"/>
      <c r="AJ5" s="225"/>
      <c r="AK5" s="225"/>
      <c r="AL5" s="225"/>
      <c r="AM5" s="225"/>
      <c r="AN5" s="225"/>
      <c r="AO5" s="225"/>
      <c r="AP5" s="225"/>
      <c r="AQ5" s="225"/>
      <c r="AR5" s="225"/>
      <c r="AS5" s="225"/>
      <c r="AT5" s="225"/>
      <c r="AU5" s="225"/>
      <c r="AV5" s="225"/>
      <c r="AW5" s="225"/>
      <c r="AX5" s="225"/>
      <c r="AY5" s="225"/>
      <c r="AZ5" s="225"/>
      <c r="BA5" s="225"/>
      <c r="BB5" s="225"/>
      <c r="BC5" s="225"/>
      <c r="BD5" s="225"/>
      <c r="BE5" s="225"/>
      <c r="BF5" s="225"/>
      <c r="BG5" s="225"/>
      <c r="BH5" s="225"/>
      <c r="BI5" s="225"/>
      <c r="BJ5" s="225"/>
      <c r="BK5" s="225"/>
      <c r="BL5" s="225"/>
      <c r="BM5" s="225"/>
      <c r="BN5" s="225"/>
      <c r="BO5" s="225"/>
      <c r="BP5" s="225"/>
      <c r="BQ5" s="225"/>
      <c r="BR5" s="225"/>
      <c r="BS5" s="225"/>
      <c r="BT5" s="225"/>
      <c r="BU5" s="225"/>
      <c r="BV5" s="225"/>
      <c r="BW5" s="225"/>
      <c r="BX5" s="225"/>
      <c r="BY5" s="225"/>
      <c r="BZ5" s="225"/>
      <c r="CA5" s="225"/>
      <c r="CB5" s="225"/>
      <c r="CC5" s="225"/>
      <c r="CD5" s="225"/>
      <c r="CE5" s="225"/>
      <c r="CF5" s="225"/>
      <c r="CG5" s="225"/>
      <c r="CH5" s="225"/>
      <c r="CI5" s="225"/>
      <c r="CJ5" s="225"/>
      <c r="CK5" s="225"/>
      <c r="CL5" s="225"/>
      <c r="CM5" s="225"/>
      <c r="CN5" s="225"/>
      <c r="CO5" s="225"/>
      <c r="CP5" s="225"/>
      <c r="CQ5" s="225"/>
      <c r="CR5" s="225"/>
      <c r="CS5" s="225"/>
      <c r="CT5" s="225"/>
      <c r="CU5" s="225"/>
      <c r="CV5" s="225"/>
      <c r="CW5" s="225"/>
      <c r="CX5" s="225"/>
      <c r="CY5" s="225"/>
      <c r="CZ5" s="225"/>
      <c r="DA5" s="225"/>
      <c r="DB5" s="225"/>
      <c r="DC5" s="225"/>
      <c r="DD5" s="225"/>
      <c r="DE5" s="225"/>
      <c r="DF5" s="225"/>
      <c r="DG5" s="225"/>
      <c r="DH5" s="225"/>
      <c r="DI5" s="225"/>
      <c r="DJ5" s="225"/>
      <c r="DK5" s="225"/>
      <c r="DL5" s="225"/>
      <c r="DM5" s="225"/>
      <c r="DN5" s="225"/>
      <c r="DO5" s="225"/>
      <c r="DP5" s="225"/>
    </row>
    <row r="6" spans="1:120" s="226" customFormat="1" ht="30" customHeight="1" thickBot="1">
      <c r="A6" s="228"/>
      <c r="B6" s="1235"/>
      <c r="C6" s="1235"/>
      <c r="D6" s="229" t="s">
        <v>194</v>
      </c>
      <c r="E6" s="230" t="s">
        <v>195</v>
      </c>
      <c r="F6" s="229" t="s">
        <v>194</v>
      </c>
      <c r="G6" s="230" t="s">
        <v>195</v>
      </c>
      <c r="H6" s="229" t="s">
        <v>194</v>
      </c>
      <c r="I6" s="230" t="s">
        <v>195</v>
      </c>
      <c r="J6" s="229" t="s">
        <v>194</v>
      </c>
      <c r="K6" s="230" t="s">
        <v>195</v>
      </c>
      <c r="L6" s="229" t="s">
        <v>194</v>
      </c>
      <c r="M6" s="230" t="s">
        <v>195</v>
      </c>
      <c r="N6" s="229" t="s">
        <v>194</v>
      </c>
      <c r="O6" s="230" t="s">
        <v>195</v>
      </c>
      <c r="P6" s="229" t="s">
        <v>194</v>
      </c>
      <c r="Q6" s="230" t="s">
        <v>195</v>
      </c>
      <c r="R6" s="229" t="s">
        <v>194</v>
      </c>
      <c r="S6" s="230" t="s">
        <v>195</v>
      </c>
      <c r="T6" s="229" t="s">
        <v>194</v>
      </c>
      <c r="U6" s="231" t="s">
        <v>195</v>
      </c>
      <c r="V6" s="232" t="s">
        <v>194</v>
      </c>
      <c r="W6" s="231" t="s">
        <v>195</v>
      </c>
      <c r="X6" s="229" t="s">
        <v>194</v>
      </c>
      <c r="Y6" s="230" t="s">
        <v>195</v>
      </c>
      <c r="Z6" s="229" t="s">
        <v>194</v>
      </c>
      <c r="AA6" s="233" t="s">
        <v>195</v>
      </c>
      <c r="AB6" s="1240"/>
      <c r="AC6" s="1241"/>
      <c r="AD6" s="225"/>
      <c r="AE6" s="225"/>
      <c r="AF6" s="225"/>
      <c r="AG6" s="225"/>
      <c r="AH6" s="225"/>
      <c r="AI6" s="225"/>
      <c r="AJ6" s="225"/>
      <c r="AK6" s="225"/>
      <c r="AL6" s="225"/>
      <c r="AM6" s="225"/>
      <c r="AN6" s="225"/>
      <c r="AO6" s="225"/>
      <c r="AP6" s="225"/>
      <c r="AQ6" s="225"/>
      <c r="AR6" s="225"/>
      <c r="AS6" s="225"/>
      <c r="AT6" s="225"/>
      <c r="AU6" s="225"/>
      <c r="AV6" s="225"/>
      <c r="AW6" s="225"/>
      <c r="AX6" s="225"/>
      <c r="AY6" s="225"/>
      <c r="AZ6" s="225"/>
      <c r="BA6" s="225"/>
      <c r="BB6" s="225"/>
      <c r="BC6" s="225"/>
      <c r="BD6" s="225"/>
      <c r="BE6" s="225"/>
      <c r="BF6" s="225"/>
      <c r="BG6" s="225"/>
      <c r="BH6" s="225"/>
      <c r="BI6" s="225"/>
      <c r="BJ6" s="225"/>
      <c r="BK6" s="225"/>
      <c r="BL6" s="225"/>
      <c r="BM6" s="225"/>
      <c r="BN6" s="225"/>
      <c r="BO6" s="225"/>
      <c r="BP6" s="225"/>
      <c r="BQ6" s="225"/>
      <c r="BR6" s="225"/>
      <c r="BS6" s="225"/>
      <c r="BT6" s="225"/>
      <c r="BU6" s="225"/>
      <c r="BV6" s="225"/>
      <c r="BW6" s="225"/>
      <c r="BX6" s="225"/>
      <c r="BY6" s="225"/>
      <c r="BZ6" s="225"/>
      <c r="CA6" s="225"/>
      <c r="CB6" s="225"/>
      <c r="CC6" s="225"/>
      <c r="CD6" s="225"/>
      <c r="CE6" s="225"/>
      <c r="CF6" s="225"/>
      <c r="CG6" s="225"/>
      <c r="CH6" s="225"/>
      <c r="CI6" s="225"/>
      <c r="CJ6" s="225"/>
      <c r="CK6" s="225"/>
      <c r="CL6" s="225"/>
      <c r="CM6" s="225"/>
      <c r="CN6" s="225"/>
      <c r="CO6" s="225"/>
      <c r="CP6" s="225"/>
      <c r="CQ6" s="225"/>
      <c r="CR6" s="225"/>
      <c r="CS6" s="225"/>
      <c r="CT6" s="225"/>
      <c r="CU6" s="225"/>
      <c r="CV6" s="225"/>
      <c r="CW6" s="225"/>
      <c r="CX6" s="225"/>
      <c r="CY6" s="225"/>
      <c r="CZ6" s="225"/>
      <c r="DA6" s="225"/>
      <c r="DB6" s="225"/>
      <c r="DC6" s="225"/>
      <c r="DD6" s="225"/>
      <c r="DE6" s="225"/>
      <c r="DF6" s="225"/>
      <c r="DG6" s="225"/>
      <c r="DH6" s="225"/>
      <c r="DI6" s="225"/>
      <c r="DJ6" s="225"/>
      <c r="DK6" s="225"/>
      <c r="DL6" s="225"/>
      <c r="DM6" s="225"/>
      <c r="DN6" s="225"/>
      <c r="DO6" s="225"/>
      <c r="DP6" s="225"/>
    </row>
    <row r="7" spans="1:120" s="226" customFormat="1" ht="30" customHeight="1">
      <c r="A7" s="1203" t="s">
        <v>196</v>
      </c>
      <c r="B7" s="234" t="s">
        <v>197</v>
      </c>
      <c r="C7" s="235" t="s">
        <v>198</v>
      </c>
      <c r="D7" s="236" t="s">
        <v>118</v>
      </c>
      <c r="E7" s="238" t="s">
        <v>762</v>
      </c>
      <c r="F7" s="236" t="s">
        <v>118</v>
      </c>
      <c r="G7" s="238"/>
      <c r="H7" s="236" t="s">
        <v>118</v>
      </c>
      <c r="I7" s="238"/>
      <c r="J7" s="236" t="s">
        <v>118</v>
      </c>
      <c r="K7" s="238"/>
      <c r="L7" s="236" t="s">
        <v>118</v>
      </c>
      <c r="M7" s="238"/>
      <c r="N7" s="236" t="s">
        <v>118</v>
      </c>
      <c r="O7" s="238"/>
      <c r="P7" s="236" t="s">
        <v>118</v>
      </c>
      <c r="Q7" s="238"/>
      <c r="R7" s="236" t="s">
        <v>118</v>
      </c>
      <c r="S7" s="238"/>
      <c r="T7" s="236" t="s">
        <v>118</v>
      </c>
      <c r="U7" s="239"/>
      <c r="V7" s="240" t="s">
        <v>118</v>
      </c>
      <c r="W7" s="241"/>
      <c r="X7" s="236" t="s">
        <v>118</v>
      </c>
      <c r="Y7" s="241"/>
      <c r="Z7" s="236" t="s">
        <v>118</v>
      </c>
      <c r="AA7" s="242"/>
      <c r="AB7" s="1222" t="s">
        <v>199</v>
      </c>
      <c r="AC7" s="1221"/>
      <c r="AD7" s="225"/>
      <c r="AE7" s="225"/>
      <c r="AF7" s="225"/>
      <c r="AG7" s="225"/>
      <c r="AH7" s="225"/>
      <c r="AI7" s="225"/>
      <c r="AJ7" s="225"/>
      <c r="AK7" s="225"/>
      <c r="AL7" s="225"/>
      <c r="AM7" s="225"/>
      <c r="AN7" s="225"/>
      <c r="AO7" s="225"/>
      <c r="AP7" s="225"/>
      <c r="AQ7" s="225"/>
      <c r="AR7" s="225"/>
      <c r="AS7" s="225"/>
      <c r="AT7" s="225"/>
      <c r="AU7" s="225"/>
      <c r="AV7" s="225"/>
      <c r="AW7" s="225"/>
      <c r="AX7" s="225"/>
      <c r="AY7" s="225"/>
      <c r="AZ7" s="225"/>
      <c r="BA7" s="225"/>
      <c r="BB7" s="225"/>
      <c r="BC7" s="225"/>
      <c r="BD7" s="225"/>
      <c r="BE7" s="225"/>
      <c r="BF7" s="225"/>
      <c r="BG7" s="225"/>
      <c r="BH7" s="225"/>
      <c r="BI7" s="225"/>
      <c r="BJ7" s="225"/>
      <c r="BK7" s="225"/>
      <c r="BL7" s="225"/>
      <c r="BM7" s="225"/>
      <c r="BN7" s="225"/>
      <c r="BO7" s="225"/>
      <c r="BP7" s="225"/>
      <c r="BQ7" s="225"/>
      <c r="BR7" s="225"/>
      <c r="BS7" s="225"/>
      <c r="BT7" s="225"/>
      <c r="BU7" s="225"/>
      <c r="BV7" s="225"/>
      <c r="BW7" s="225"/>
      <c r="BX7" s="225"/>
      <c r="BY7" s="225"/>
      <c r="BZ7" s="225"/>
      <c r="CA7" s="225"/>
      <c r="CB7" s="225"/>
      <c r="CC7" s="225"/>
      <c r="CD7" s="225"/>
      <c r="CE7" s="225"/>
      <c r="CF7" s="225"/>
      <c r="CG7" s="225"/>
      <c r="CH7" s="225"/>
      <c r="CI7" s="225"/>
      <c r="CJ7" s="225"/>
      <c r="CK7" s="225"/>
      <c r="CL7" s="225"/>
      <c r="CM7" s="225"/>
      <c r="CN7" s="225"/>
      <c r="CO7" s="225"/>
      <c r="CP7" s="225"/>
      <c r="CQ7" s="225"/>
      <c r="CR7" s="225"/>
      <c r="CS7" s="225"/>
      <c r="CT7" s="225"/>
      <c r="CU7" s="225"/>
      <c r="CV7" s="225"/>
      <c r="CW7" s="225"/>
      <c r="CX7" s="225"/>
      <c r="CY7" s="225"/>
      <c r="CZ7" s="225"/>
      <c r="DA7" s="225"/>
      <c r="DB7" s="225"/>
      <c r="DC7" s="225"/>
      <c r="DD7" s="225"/>
      <c r="DE7" s="225"/>
      <c r="DF7" s="225"/>
      <c r="DG7" s="225"/>
      <c r="DH7" s="225"/>
      <c r="DI7" s="225"/>
      <c r="DJ7" s="225"/>
      <c r="DK7" s="225"/>
      <c r="DL7" s="225"/>
      <c r="DM7" s="225"/>
      <c r="DN7" s="225"/>
      <c r="DO7" s="225"/>
      <c r="DP7" s="225"/>
    </row>
    <row r="8" spans="1:120" s="226" customFormat="1" ht="30" customHeight="1">
      <c r="A8" s="1203"/>
      <c r="B8" s="243" t="s">
        <v>200</v>
      </c>
      <c r="C8" s="244" t="s">
        <v>198</v>
      </c>
      <c r="D8" s="248" t="s">
        <v>118</v>
      </c>
      <c r="E8" s="246" t="s">
        <v>757</v>
      </c>
      <c r="F8" s="248" t="s">
        <v>118</v>
      </c>
      <c r="G8" s="246"/>
      <c r="H8" s="248" t="s">
        <v>118</v>
      </c>
      <c r="I8" s="246"/>
      <c r="J8" s="248" t="s">
        <v>118</v>
      </c>
      <c r="K8" s="246"/>
      <c r="L8" s="248" t="s">
        <v>118</v>
      </c>
      <c r="M8" s="246"/>
      <c r="N8" s="248" t="s">
        <v>118</v>
      </c>
      <c r="O8" s="246"/>
      <c r="P8" s="248" t="s">
        <v>118</v>
      </c>
      <c r="Q8" s="246"/>
      <c r="R8" s="248" t="s">
        <v>118</v>
      </c>
      <c r="S8" s="246"/>
      <c r="T8" s="248" t="s">
        <v>118</v>
      </c>
      <c r="U8" s="249"/>
      <c r="V8" s="245" t="s">
        <v>118</v>
      </c>
      <c r="W8" s="241"/>
      <c r="X8" s="248" t="s">
        <v>118</v>
      </c>
      <c r="Y8" s="241"/>
      <c r="Z8" s="248" t="s">
        <v>118</v>
      </c>
      <c r="AA8" s="250"/>
      <c r="AB8" s="251"/>
      <c r="AC8" s="252"/>
      <c r="AD8" s="225"/>
      <c r="AE8" s="225"/>
      <c r="AF8" s="225"/>
      <c r="AG8" s="225"/>
      <c r="AH8" s="225"/>
      <c r="AI8" s="225"/>
      <c r="AJ8" s="225"/>
      <c r="AK8" s="225"/>
      <c r="AL8" s="225"/>
      <c r="AM8" s="225"/>
      <c r="AN8" s="225"/>
      <c r="AO8" s="225"/>
      <c r="AP8" s="225"/>
      <c r="AQ8" s="225"/>
      <c r="AR8" s="225"/>
      <c r="AS8" s="225"/>
      <c r="AT8" s="225"/>
      <c r="AU8" s="225"/>
      <c r="AV8" s="225"/>
      <c r="AW8" s="225"/>
      <c r="AX8" s="225"/>
      <c r="AY8" s="225"/>
      <c r="AZ8" s="225"/>
      <c r="BA8" s="225"/>
      <c r="BB8" s="225"/>
      <c r="BC8" s="225"/>
      <c r="BD8" s="225"/>
      <c r="BE8" s="225"/>
      <c r="BF8" s="225"/>
      <c r="BG8" s="225"/>
      <c r="BH8" s="225"/>
      <c r="BI8" s="225"/>
      <c r="BJ8" s="225"/>
      <c r="BK8" s="225"/>
      <c r="BL8" s="225"/>
      <c r="BM8" s="225"/>
      <c r="BN8" s="225"/>
      <c r="BO8" s="225"/>
      <c r="BP8" s="225"/>
      <c r="BQ8" s="225"/>
      <c r="BR8" s="225"/>
      <c r="BS8" s="225"/>
      <c r="BT8" s="225"/>
      <c r="BU8" s="225"/>
      <c r="BV8" s="225"/>
      <c r="BW8" s="225"/>
      <c r="BX8" s="225"/>
      <c r="BY8" s="225"/>
      <c r="BZ8" s="225"/>
      <c r="CA8" s="225"/>
      <c r="CB8" s="225"/>
      <c r="CC8" s="225"/>
      <c r="CD8" s="225"/>
      <c r="CE8" s="225"/>
      <c r="CF8" s="225"/>
      <c r="CG8" s="225"/>
      <c r="CH8" s="225"/>
      <c r="CI8" s="225"/>
      <c r="CJ8" s="225"/>
      <c r="CK8" s="225"/>
      <c r="CL8" s="225"/>
      <c r="CM8" s="225"/>
      <c r="CN8" s="225"/>
      <c r="CO8" s="225"/>
      <c r="CP8" s="225"/>
      <c r="CQ8" s="225"/>
      <c r="CR8" s="225"/>
      <c r="CS8" s="225"/>
      <c r="CT8" s="225"/>
      <c r="CU8" s="225"/>
      <c r="CV8" s="225"/>
      <c r="CW8" s="225"/>
      <c r="CX8" s="225"/>
      <c r="CY8" s="225"/>
      <c r="CZ8" s="225"/>
      <c r="DA8" s="225"/>
      <c r="DB8" s="225"/>
      <c r="DC8" s="225"/>
      <c r="DD8" s="225"/>
      <c r="DE8" s="225"/>
      <c r="DF8" s="225"/>
      <c r="DG8" s="225"/>
      <c r="DH8" s="225"/>
      <c r="DI8" s="225"/>
      <c r="DJ8" s="225"/>
      <c r="DK8" s="225"/>
      <c r="DL8" s="225"/>
      <c r="DM8" s="225"/>
      <c r="DN8" s="225"/>
      <c r="DO8" s="225"/>
      <c r="DP8" s="225"/>
    </row>
    <row r="9" spans="1:120" s="226" customFormat="1" ht="30" customHeight="1">
      <c r="A9" s="1203"/>
      <c r="B9" s="243" t="s">
        <v>201</v>
      </c>
      <c r="C9" s="253" t="s">
        <v>202</v>
      </c>
      <c r="D9" s="254"/>
      <c r="E9" s="255"/>
      <c r="F9" s="254"/>
      <c r="G9" s="255"/>
      <c r="H9" s="254"/>
      <c r="I9" s="255"/>
      <c r="J9" s="236" t="s">
        <v>118</v>
      </c>
      <c r="K9" s="255"/>
      <c r="L9" s="254"/>
      <c r="M9" s="255"/>
      <c r="N9" s="254"/>
      <c r="O9" s="255"/>
      <c r="P9" s="254"/>
      <c r="Q9" s="255"/>
      <c r="R9" s="254"/>
      <c r="S9" s="255"/>
      <c r="T9" s="254"/>
      <c r="U9" s="241"/>
      <c r="V9" s="256"/>
      <c r="W9" s="241"/>
      <c r="X9" s="254"/>
      <c r="Y9" s="241"/>
      <c r="Z9" s="254"/>
      <c r="AA9" s="257"/>
      <c r="AB9" s="1208"/>
      <c r="AC9" s="1209"/>
      <c r="AD9" s="225"/>
      <c r="AE9" s="225"/>
      <c r="AF9" s="225"/>
      <c r="AG9" s="225"/>
      <c r="AH9" s="225"/>
      <c r="AI9" s="225"/>
      <c r="AJ9" s="225"/>
      <c r="AK9" s="225"/>
      <c r="AL9" s="225"/>
      <c r="AM9" s="225"/>
      <c r="AN9" s="225"/>
      <c r="AO9" s="225"/>
      <c r="AP9" s="225"/>
      <c r="AQ9" s="225"/>
      <c r="AR9" s="225"/>
      <c r="AS9" s="225"/>
      <c r="AT9" s="225"/>
      <c r="AU9" s="225"/>
      <c r="AV9" s="225"/>
      <c r="AW9" s="225"/>
      <c r="AX9" s="225"/>
      <c r="AY9" s="225"/>
      <c r="AZ9" s="225"/>
      <c r="BA9" s="225"/>
      <c r="BB9" s="225"/>
      <c r="BC9" s="225"/>
      <c r="BD9" s="225"/>
      <c r="BE9" s="225"/>
      <c r="BF9" s="225"/>
      <c r="BG9" s="225"/>
      <c r="BH9" s="225"/>
      <c r="BI9" s="225"/>
      <c r="BJ9" s="225"/>
      <c r="BK9" s="225"/>
      <c r="BL9" s="225"/>
      <c r="BM9" s="225"/>
      <c r="BN9" s="225"/>
      <c r="BO9" s="225"/>
      <c r="BP9" s="225"/>
      <c r="BQ9" s="225"/>
      <c r="BR9" s="225"/>
      <c r="BS9" s="225"/>
      <c r="BT9" s="225"/>
      <c r="BU9" s="225"/>
      <c r="BV9" s="225"/>
      <c r="BW9" s="225"/>
      <c r="BX9" s="225"/>
      <c r="BY9" s="225"/>
      <c r="BZ9" s="225"/>
      <c r="CA9" s="225"/>
      <c r="CB9" s="225"/>
      <c r="CC9" s="225"/>
      <c r="CD9" s="225"/>
      <c r="CE9" s="225"/>
      <c r="CF9" s="225"/>
      <c r="CG9" s="225"/>
      <c r="CH9" s="225"/>
      <c r="CI9" s="225"/>
      <c r="CJ9" s="225"/>
      <c r="CK9" s="225"/>
      <c r="CL9" s="225"/>
      <c r="CM9" s="225"/>
      <c r="CN9" s="225"/>
      <c r="CO9" s="225"/>
      <c r="CP9" s="225"/>
      <c r="CQ9" s="225"/>
      <c r="CR9" s="225"/>
      <c r="CS9" s="225"/>
      <c r="CT9" s="225"/>
      <c r="CU9" s="225"/>
      <c r="CV9" s="225"/>
      <c r="CW9" s="225"/>
      <c r="CX9" s="225"/>
      <c r="CY9" s="225"/>
      <c r="CZ9" s="225"/>
      <c r="DA9" s="225"/>
      <c r="DB9" s="225"/>
      <c r="DC9" s="225"/>
      <c r="DD9" s="225"/>
      <c r="DE9" s="225"/>
      <c r="DF9" s="225"/>
      <c r="DG9" s="225"/>
      <c r="DH9" s="225"/>
      <c r="DI9" s="225"/>
      <c r="DJ9" s="225"/>
      <c r="DK9" s="225"/>
      <c r="DL9" s="225"/>
      <c r="DM9" s="225"/>
      <c r="DN9" s="225"/>
      <c r="DO9" s="225"/>
      <c r="DP9" s="225"/>
    </row>
    <row r="10" spans="1:120" s="226" customFormat="1" ht="30" customHeight="1">
      <c r="A10" s="1203"/>
      <c r="B10" s="243" t="s">
        <v>390</v>
      </c>
      <c r="C10" s="253" t="s">
        <v>203</v>
      </c>
      <c r="D10" s="254"/>
      <c r="E10" s="255"/>
      <c r="F10" s="254"/>
      <c r="G10" s="255"/>
      <c r="H10" s="254"/>
      <c r="I10" s="255"/>
      <c r="J10" s="236" t="s">
        <v>118</v>
      </c>
      <c r="K10" s="255"/>
      <c r="L10" s="254"/>
      <c r="M10" s="255"/>
      <c r="N10" s="254"/>
      <c r="O10" s="255"/>
      <c r="P10" s="254"/>
      <c r="Q10" s="255"/>
      <c r="R10" s="254"/>
      <c r="S10" s="255"/>
      <c r="T10" s="254"/>
      <c r="U10" s="241"/>
      <c r="V10" s="256"/>
      <c r="W10" s="241"/>
      <c r="X10" s="254"/>
      <c r="Y10" s="241"/>
      <c r="Z10" s="254"/>
      <c r="AA10" s="257"/>
      <c r="AB10" s="1208"/>
      <c r="AC10" s="1209"/>
      <c r="AD10" s="225"/>
      <c r="AE10" s="225"/>
      <c r="AF10" s="225"/>
      <c r="AG10" s="225"/>
      <c r="AH10" s="225"/>
      <c r="AI10" s="225"/>
      <c r="AJ10" s="225"/>
      <c r="AK10" s="225"/>
      <c r="AL10" s="225"/>
      <c r="AM10" s="225"/>
      <c r="AN10" s="225"/>
      <c r="AO10" s="225"/>
      <c r="AP10" s="225"/>
      <c r="AQ10" s="225"/>
      <c r="AR10" s="225"/>
      <c r="AS10" s="225"/>
      <c r="AT10" s="225"/>
      <c r="AU10" s="225"/>
      <c r="AV10" s="225"/>
      <c r="AW10" s="225"/>
      <c r="AX10" s="225"/>
      <c r="AY10" s="225"/>
      <c r="AZ10" s="225"/>
      <c r="BA10" s="225"/>
      <c r="BB10" s="225"/>
      <c r="BC10" s="225"/>
      <c r="BD10" s="225"/>
      <c r="BE10" s="225"/>
      <c r="BF10" s="225"/>
      <c r="BG10" s="225"/>
      <c r="BH10" s="225"/>
      <c r="BI10" s="225"/>
      <c r="BJ10" s="225"/>
      <c r="BK10" s="225"/>
      <c r="BL10" s="225"/>
      <c r="BM10" s="225"/>
      <c r="BN10" s="225"/>
      <c r="BO10" s="225"/>
      <c r="BP10" s="225"/>
      <c r="BQ10" s="225"/>
      <c r="BR10" s="225"/>
      <c r="BS10" s="225"/>
      <c r="BT10" s="225"/>
      <c r="BU10" s="225"/>
      <c r="BV10" s="225"/>
      <c r="BW10" s="225"/>
      <c r="BX10" s="225"/>
      <c r="BY10" s="225"/>
      <c r="BZ10" s="225"/>
      <c r="CA10" s="225"/>
      <c r="CB10" s="225"/>
      <c r="CC10" s="225"/>
      <c r="CD10" s="225"/>
      <c r="CE10" s="225"/>
      <c r="CF10" s="225"/>
      <c r="CG10" s="225"/>
      <c r="CH10" s="225"/>
      <c r="CI10" s="225"/>
      <c r="CJ10" s="225"/>
      <c r="CK10" s="225"/>
      <c r="CL10" s="225"/>
      <c r="CM10" s="225"/>
      <c r="CN10" s="225"/>
      <c r="CO10" s="225"/>
      <c r="CP10" s="225"/>
      <c r="CQ10" s="225"/>
      <c r="CR10" s="225"/>
      <c r="CS10" s="225"/>
      <c r="CT10" s="225"/>
      <c r="CU10" s="225"/>
      <c r="CV10" s="225"/>
      <c r="CW10" s="225"/>
      <c r="CX10" s="225"/>
      <c r="CY10" s="225"/>
      <c r="CZ10" s="225"/>
      <c r="DA10" s="225"/>
      <c r="DB10" s="225"/>
      <c r="DC10" s="225"/>
      <c r="DD10" s="225"/>
      <c r="DE10" s="225"/>
      <c r="DF10" s="225"/>
      <c r="DG10" s="225"/>
      <c r="DH10" s="225"/>
      <c r="DI10" s="225"/>
      <c r="DJ10" s="225"/>
      <c r="DK10" s="225"/>
      <c r="DL10" s="225"/>
      <c r="DM10" s="225"/>
      <c r="DN10" s="225"/>
      <c r="DO10" s="225"/>
      <c r="DP10" s="225"/>
    </row>
    <row r="11" spans="1:120" s="226" customFormat="1" ht="30" customHeight="1">
      <c r="A11" s="1203"/>
      <c r="B11" s="243" t="s">
        <v>204</v>
      </c>
      <c r="C11" s="319" t="s">
        <v>205</v>
      </c>
      <c r="D11" s="247" t="s">
        <v>118</v>
      </c>
      <c r="E11" s="258" t="s">
        <v>762</v>
      </c>
      <c r="F11" s="248" t="s">
        <v>118</v>
      </c>
      <c r="G11" s="258"/>
      <c r="H11" s="248" t="s">
        <v>118</v>
      </c>
      <c r="I11" s="258"/>
      <c r="J11" s="248" t="s">
        <v>118</v>
      </c>
      <c r="K11" s="258"/>
      <c r="L11" s="248" t="s">
        <v>118</v>
      </c>
      <c r="M11" s="258"/>
      <c r="N11" s="248" t="s">
        <v>118</v>
      </c>
      <c r="O11" s="258"/>
      <c r="P11" s="248" t="s">
        <v>118</v>
      </c>
      <c r="Q11" s="258"/>
      <c r="R11" s="248" t="s">
        <v>118</v>
      </c>
      <c r="S11" s="258"/>
      <c r="T11" s="248" t="s">
        <v>118</v>
      </c>
      <c r="U11" s="259"/>
      <c r="V11" s="245" t="s">
        <v>118</v>
      </c>
      <c r="W11" s="259"/>
      <c r="X11" s="248" t="s">
        <v>118</v>
      </c>
      <c r="Y11" s="259"/>
      <c r="Z11" s="248" t="s">
        <v>118</v>
      </c>
      <c r="AA11" s="260"/>
      <c r="AB11" s="1208"/>
      <c r="AC11" s="1209"/>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A11" s="225"/>
      <c r="BB11" s="225"/>
      <c r="BC11" s="225"/>
      <c r="BD11" s="225"/>
      <c r="BE11" s="225"/>
      <c r="BF11" s="225"/>
      <c r="BG11" s="225"/>
      <c r="BH11" s="225"/>
      <c r="BI11" s="225"/>
      <c r="BJ11" s="225"/>
      <c r="BK11" s="225"/>
      <c r="BL11" s="225"/>
      <c r="BM11" s="225"/>
      <c r="BN11" s="225"/>
      <c r="BO11" s="225"/>
      <c r="BP11" s="225"/>
      <c r="BQ11" s="225"/>
      <c r="BR11" s="225"/>
      <c r="BS11" s="225"/>
      <c r="BT11" s="225"/>
      <c r="BU11" s="225"/>
      <c r="BV11" s="225"/>
      <c r="BW11" s="225"/>
      <c r="BX11" s="225"/>
      <c r="BY11" s="225"/>
      <c r="BZ11" s="225"/>
      <c r="CA11" s="225"/>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225"/>
      <c r="CY11" s="225"/>
      <c r="CZ11" s="225"/>
      <c r="DA11" s="225"/>
      <c r="DB11" s="225"/>
      <c r="DC11" s="225"/>
      <c r="DD11" s="225"/>
      <c r="DE11" s="225"/>
      <c r="DF11" s="225"/>
      <c r="DG11" s="225"/>
      <c r="DH11" s="225"/>
      <c r="DI11" s="225"/>
      <c r="DJ11" s="225"/>
      <c r="DK11" s="225"/>
      <c r="DL11" s="225"/>
      <c r="DM11" s="225"/>
      <c r="DN11" s="225"/>
      <c r="DO11" s="225"/>
      <c r="DP11" s="225"/>
    </row>
    <row r="12" spans="1:120" s="226" customFormat="1" ht="30" customHeight="1" thickBot="1">
      <c r="A12" s="1197"/>
      <c r="B12" s="261" t="s">
        <v>246</v>
      </c>
      <c r="C12" s="262" t="s">
        <v>202</v>
      </c>
      <c r="D12" s="263"/>
      <c r="E12" s="264"/>
      <c r="F12" s="263"/>
      <c r="G12" s="264"/>
      <c r="H12" s="263"/>
      <c r="I12" s="264"/>
      <c r="J12" s="263" t="s">
        <v>118</v>
      </c>
      <c r="K12" s="264"/>
      <c r="L12" s="263"/>
      <c r="M12" s="264"/>
      <c r="N12" s="263"/>
      <c r="O12" s="264"/>
      <c r="P12" s="263"/>
      <c r="Q12" s="264"/>
      <c r="R12" s="263"/>
      <c r="S12" s="264"/>
      <c r="T12" s="263"/>
      <c r="U12" s="265"/>
      <c r="V12" s="266"/>
      <c r="W12" s="265"/>
      <c r="X12" s="263"/>
      <c r="Y12" s="265"/>
      <c r="Z12" s="263"/>
      <c r="AA12" s="267"/>
      <c r="AB12" s="1223"/>
      <c r="AC12" s="1224"/>
      <c r="AD12" s="225"/>
      <c r="AE12" s="225"/>
      <c r="AF12" s="225"/>
      <c r="AG12" s="225"/>
      <c r="AH12" s="225"/>
      <c r="AI12" s="225"/>
      <c r="AJ12" s="225"/>
      <c r="AK12" s="225"/>
      <c r="AL12" s="225"/>
      <c r="AM12" s="225"/>
      <c r="AN12" s="225"/>
      <c r="AO12" s="225"/>
      <c r="AP12" s="225"/>
      <c r="AQ12" s="225"/>
      <c r="AR12" s="225"/>
      <c r="AS12" s="225"/>
      <c r="AT12" s="225"/>
      <c r="AU12" s="225"/>
      <c r="AV12" s="225"/>
      <c r="AW12" s="225"/>
      <c r="AX12" s="225"/>
      <c r="AY12" s="225"/>
      <c r="AZ12" s="225"/>
      <c r="BA12" s="225"/>
      <c r="BB12" s="225"/>
      <c r="BC12" s="225"/>
      <c r="BD12" s="225"/>
      <c r="BE12" s="225"/>
      <c r="BF12" s="225"/>
      <c r="BG12" s="225"/>
      <c r="BH12" s="225"/>
      <c r="BI12" s="225"/>
      <c r="BJ12" s="225"/>
      <c r="BK12" s="225"/>
      <c r="BL12" s="225"/>
      <c r="BM12" s="225"/>
      <c r="BN12" s="225"/>
      <c r="BO12" s="225"/>
      <c r="BP12" s="225"/>
      <c r="BQ12" s="225"/>
      <c r="BR12" s="225"/>
      <c r="BS12" s="225"/>
      <c r="BT12" s="225"/>
      <c r="BU12" s="225"/>
      <c r="BV12" s="225"/>
      <c r="BW12" s="225"/>
      <c r="BX12" s="225"/>
      <c r="BY12" s="225"/>
      <c r="BZ12" s="225"/>
      <c r="CA12" s="225"/>
      <c r="CB12" s="225"/>
      <c r="CC12" s="225"/>
      <c r="CD12" s="225"/>
      <c r="CE12" s="225"/>
      <c r="CF12" s="225"/>
      <c r="CG12" s="225"/>
      <c r="CH12" s="225"/>
      <c r="CI12" s="225"/>
      <c r="CJ12" s="225"/>
      <c r="CK12" s="225"/>
      <c r="CL12" s="225"/>
      <c r="CM12" s="225"/>
      <c r="CN12" s="225"/>
      <c r="CO12" s="225"/>
      <c r="CP12" s="225"/>
      <c r="CQ12" s="225"/>
      <c r="CR12" s="225"/>
      <c r="CS12" s="225"/>
      <c r="CT12" s="225"/>
      <c r="CU12" s="225"/>
      <c r="CV12" s="225"/>
      <c r="CW12" s="225"/>
      <c r="CX12" s="225"/>
      <c r="CY12" s="225"/>
      <c r="CZ12" s="225"/>
      <c r="DA12" s="225"/>
      <c r="DB12" s="225"/>
      <c r="DC12" s="225"/>
      <c r="DD12" s="225"/>
      <c r="DE12" s="225"/>
      <c r="DF12" s="225"/>
      <c r="DG12" s="225"/>
      <c r="DH12" s="225"/>
      <c r="DI12" s="225"/>
      <c r="DJ12" s="225"/>
      <c r="DK12" s="225"/>
      <c r="DL12" s="225"/>
      <c r="DM12" s="225"/>
      <c r="DN12" s="225"/>
      <c r="DO12" s="225"/>
      <c r="DP12" s="225"/>
    </row>
    <row r="13" spans="1:120" s="226" customFormat="1" ht="30" customHeight="1">
      <c r="A13" s="1218" t="s">
        <v>206</v>
      </c>
      <c r="B13" s="268" t="s">
        <v>207</v>
      </c>
      <c r="C13" s="235" t="s">
        <v>208</v>
      </c>
      <c r="D13" s="236"/>
      <c r="E13" s="238"/>
      <c r="F13" s="236"/>
      <c r="G13" s="238"/>
      <c r="H13" s="236" t="s">
        <v>118</v>
      </c>
      <c r="I13" s="238"/>
      <c r="J13" s="236"/>
      <c r="K13" s="238"/>
      <c r="L13" s="236"/>
      <c r="M13" s="238"/>
      <c r="N13" s="236" t="s">
        <v>118</v>
      </c>
      <c r="O13" s="238"/>
      <c r="P13" s="236"/>
      <c r="Q13" s="238"/>
      <c r="R13" s="236"/>
      <c r="S13" s="238"/>
      <c r="T13" s="236" t="s">
        <v>118</v>
      </c>
      <c r="U13" s="239"/>
      <c r="V13" s="240"/>
      <c r="W13" s="239"/>
      <c r="X13" s="236"/>
      <c r="Y13" s="239"/>
      <c r="Z13" s="236" t="s">
        <v>118</v>
      </c>
      <c r="AA13" s="269"/>
      <c r="AB13" s="1212"/>
      <c r="AC13" s="1213"/>
      <c r="AD13" s="225"/>
      <c r="AE13" s="225"/>
      <c r="AF13" s="225"/>
      <c r="AG13" s="225"/>
      <c r="AH13" s="225"/>
      <c r="AI13" s="225"/>
      <c r="AJ13" s="225"/>
      <c r="AK13" s="225"/>
      <c r="AL13" s="225"/>
      <c r="AM13" s="225"/>
      <c r="AN13" s="225"/>
      <c r="AO13" s="225"/>
      <c r="AP13" s="225"/>
      <c r="AQ13" s="225"/>
      <c r="AR13" s="225"/>
      <c r="AS13" s="225"/>
      <c r="AT13" s="225"/>
      <c r="AU13" s="225"/>
      <c r="AV13" s="225"/>
      <c r="AW13" s="225"/>
      <c r="AX13" s="225"/>
      <c r="AY13" s="225"/>
      <c r="AZ13" s="225"/>
      <c r="BA13" s="225"/>
      <c r="BB13" s="225"/>
      <c r="BC13" s="225"/>
      <c r="BD13" s="225"/>
      <c r="BE13" s="225"/>
      <c r="BF13" s="225"/>
      <c r="BG13" s="225"/>
      <c r="BH13" s="225"/>
      <c r="BI13" s="225"/>
      <c r="BJ13" s="225"/>
      <c r="BK13" s="225"/>
      <c r="BL13" s="225"/>
      <c r="BM13" s="225"/>
      <c r="BN13" s="225"/>
      <c r="BO13" s="225"/>
      <c r="BP13" s="225"/>
      <c r="BQ13" s="225"/>
      <c r="BR13" s="225"/>
      <c r="BS13" s="225"/>
      <c r="BT13" s="225"/>
      <c r="BU13" s="225"/>
      <c r="BV13" s="225"/>
      <c r="BW13" s="225"/>
      <c r="BX13" s="225"/>
      <c r="BY13" s="225"/>
      <c r="BZ13" s="225"/>
      <c r="CA13" s="225"/>
      <c r="CB13" s="225"/>
      <c r="CC13" s="225"/>
      <c r="CD13" s="225"/>
      <c r="CE13" s="225"/>
      <c r="CF13" s="225"/>
      <c r="CG13" s="225"/>
      <c r="CH13" s="225"/>
      <c r="CI13" s="225"/>
      <c r="CJ13" s="225"/>
      <c r="CK13" s="225"/>
      <c r="CL13" s="225"/>
      <c r="CM13" s="225"/>
      <c r="CN13" s="225"/>
      <c r="CO13" s="225"/>
      <c r="CP13" s="225"/>
      <c r="CQ13" s="225"/>
      <c r="CR13" s="225"/>
      <c r="CS13" s="225"/>
      <c r="CT13" s="225"/>
      <c r="CU13" s="225"/>
      <c r="CV13" s="225"/>
      <c r="CW13" s="225"/>
      <c r="CX13" s="225"/>
      <c r="CY13" s="225"/>
      <c r="CZ13" s="225"/>
      <c r="DA13" s="225"/>
      <c r="DB13" s="225"/>
      <c r="DC13" s="225"/>
      <c r="DD13" s="225"/>
      <c r="DE13" s="225"/>
      <c r="DF13" s="225"/>
      <c r="DG13" s="225"/>
      <c r="DH13" s="225"/>
      <c r="DI13" s="225"/>
      <c r="DJ13" s="225"/>
      <c r="DK13" s="225"/>
      <c r="DL13" s="225"/>
      <c r="DM13" s="225"/>
      <c r="DN13" s="225"/>
      <c r="DO13" s="225"/>
      <c r="DP13" s="225"/>
    </row>
    <row r="14" spans="1:120" s="226" customFormat="1" ht="30" customHeight="1">
      <c r="A14" s="1203"/>
      <c r="B14" s="270" t="s">
        <v>209</v>
      </c>
      <c r="C14" s="235" t="s">
        <v>210</v>
      </c>
      <c r="D14" s="236"/>
      <c r="E14" s="238"/>
      <c r="F14" s="236" t="s">
        <v>118</v>
      </c>
      <c r="G14" s="238"/>
      <c r="H14" s="236"/>
      <c r="I14" s="238"/>
      <c r="J14" s="236"/>
      <c r="K14" s="238"/>
      <c r="L14" s="236"/>
      <c r="M14" s="238"/>
      <c r="N14" s="236"/>
      <c r="O14" s="238"/>
      <c r="P14" s="236"/>
      <c r="Q14" s="238"/>
      <c r="R14" s="236"/>
      <c r="S14" s="238"/>
      <c r="T14" s="236"/>
      <c r="U14" s="239"/>
      <c r="V14" s="240"/>
      <c r="W14" s="241"/>
      <c r="X14" s="236"/>
      <c r="Y14" s="241"/>
      <c r="Z14" s="236"/>
      <c r="AA14" s="269"/>
      <c r="AB14" s="1208"/>
      <c r="AC14" s="1209"/>
      <c r="AD14" s="225"/>
      <c r="AE14" s="225"/>
      <c r="AF14" s="225"/>
      <c r="AG14" s="225"/>
      <c r="AH14" s="225"/>
      <c r="AI14" s="225"/>
      <c r="AJ14" s="225"/>
      <c r="AK14" s="225"/>
      <c r="AL14" s="225"/>
      <c r="AM14" s="225"/>
      <c r="AN14" s="225"/>
      <c r="AO14" s="225"/>
      <c r="AP14" s="225"/>
      <c r="AQ14" s="225"/>
      <c r="AR14" s="225"/>
      <c r="AS14" s="225"/>
      <c r="AT14" s="225"/>
      <c r="AU14" s="225"/>
      <c r="AV14" s="225"/>
      <c r="AW14" s="225"/>
      <c r="AX14" s="225"/>
      <c r="AY14" s="225"/>
      <c r="AZ14" s="225"/>
      <c r="BA14" s="225"/>
      <c r="BB14" s="225"/>
      <c r="BC14" s="225"/>
      <c r="BD14" s="225"/>
      <c r="BE14" s="225"/>
      <c r="BF14" s="225"/>
      <c r="BG14" s="225"/>
      <c r="BH14" s="225"/>
      <c r="BI14" s="225"/>
      <c r="BJ14" s="225"/>
      <c r="BK14" s="225"/>
      <c r="BL14" s="225"/>
      <c r="BM14" s="225"/>
      <c r="BN14" s="225"/>
      <c r="BO14" s="225"/>
      <c r="BP14" s="225"/>
      <c r="BQ14" s="225"/>
      <c r="BR14" s="225"/>
      <c r="BS14" s="225"/>
      <c r="BT14" s="225"/>
      <c r="BU14" s="225"/>
      <c r="BV14" s="225"/>
      <c r="BW14" s="225"/>
      <c r="BX14" s="225"/>
      <c r="BY14" s="225"/>
      <c r="BZ14" s="225"/>
      <c r="CA14" s="225"/>
      <c r="CB14" s="225"/>
      <c r="CC14" s="225"/>
      <c r="CD14" s="225"/>
      <c r="CE14" s="225"/>
      <c r="CF14" s="225"/>
      <c r="CG14" s="225"/>
      <c r="CH14" s="225"/>
      <c r="CI14" s="225"/>
      <c r="CJ14" s="225"/>
      <c r="CK14" s="225"/>
      <c r="CL14" s="225"/>
      <c r="CM14" s="225"/>
      <c r="CN14" s="225"/>
      <c r="CO14" s="225"/>
      <c r="CP14" s="225"/>
      <c r="CQ14" s="225"/>
      <c r="CR14" s="225"/>
      <c r="CS14" s="225"/>
      <c r="CT14" s="225"/>
      <c r="CU14" s="225"/>
      <c r="CV14" s="225"/>
      <c r="CW14" s="225"/>
      <c r="CX14" s="225"/>
      <c r="CY14" s="225"/>
      <c r="CZ14" s="225"/>
      <c r="DA14" s="225"/>
      <c r="DB14" s="225"/>
      <c r="DC14" s="225"/>
      <c r="DD14" s="225"/>
      <c r="DE14" s="225"/>
      <c r="DF14" s="225"/>
      <c r="DG14" s="225"/>
      <c r="DH14" s="225"/>
      <c r="DI14" s="225"/>
      <c r="DJ14" s="225"/>
      <c r="DK14" s="225"/>
      <c r="DL14" s="225"/>
      <c r="DM14" s="225"/>
      <c r="DN14" s="225"/>
      <c r="DO14" s="225"/>
      <c r="DP14" s="225"/>
    </row>
    <row r="15" spans="1:120" s="226" customFormat="1" ht="35.25" customHeight="1">
      <c r="A15" s="1203"/>
      <c r="B15" s="271" t="s">
        <v>211</v>
      </c>
      <c r="C15" s="235" t="s">
        <v>198</v>
      </c>
      <c r="D15" s="236" t="s">
        <v>118</v>
      </c>
      <c r="E15" s="238" t="s">
        <v>758</v>
      </c>
      <c r="F15" s="236" t="s">
        <v>118</v>
      </c>
      <c r="G15" s="238"/>
      <c r="H15" s="236" t="s">
        <v>118</v>
      </c>
      <c r="I15" s="238"/>
      <c r="J15" s="236" t="s">
        <v>118</v>
      </c>
      <c r="K15" s="238"/>
      <c r="L15" s="236" t="s">
        <v>118</v>
      </c>
      <c r="M15" s="238"/>
      <c r="N15" s="236" t="s">
        <v>118</v>
      </c>
      <c r="O15" s="238"/>
      <c r="P15" s="236" t="s">
        <v>118</v>
      </c>
      <c r="Q15" s="238"/>
      <c r="R15" s="236" t="s">
        <v>118</v>
      </c>
      <c r="S15" s="238"/>
      <c r="T15" s="236" t="s">
        <v>118</v>
      </c>
      <c r="U15" s="239"/>
      <c r="V15" s="245" t="s">
        <v>118</v>
      </c>
      <c r="W15" s="241"/>
      <c r="X15" s="236" t="s">
        <v>118</v>
      </c>
      <c r="Y15" s="241"/>
      <c r="Z15" s="236" t="s">
        <v>118</v>
      </c>
      <c r="AA15" s="269"/>
      <c r="AB15" s="1222"/>
      <c r="AC15" s="1221"/>
      <c r="AD15" s="225"/>
      <c r="AE15" s="225"/>
      <c r="AF15" s="225"/>
      <c r="AG15" s="225"/>
      <c r="AH15" s="225"/>
      <c r="AI15" s="225"/>
      <c r="AJ15" s="225"/>
      <c r="AK15" s="225"/>
      <c r="AL15" s="225"/>
      <c r="AM15" s="225"/>
      <c r="AN15" s="225"/>
      <c r="AO15" s="225"/>
      <c r="AP15" s="225"/>
      <c r="AQ15" s="225"/>
      <c r="AR15" s="225"/>
      <c r="AS15" s="225"/>
      <c r="AT15" s="225"/>
      <c r="AU15" s="225"/>
      <c r="AV15" s="225"/>
      <c r="AW15" s="225"/>
      <c r="AX15" s="225"/>
      <c r="AY15" s="225"/>
      <c r="AZ15" s="225"/>
      <c r="BA15" s="225"/>
      <c r="BB15" s="225"/>
      <c r="BC15" s="225"/>
      <c r="BD15" s="225"/>
      <c r="BE15" s="225"/>
      <c r="BF15" s="225"/>
      <c r="BG15" s="225"/>
      <c r="BH15" s="225"/>
      <c r="BI15" s="225"/>
      <c r="BJ15" s="225"/>
      <c r="BK15" s="225"/>
      <c r="BL15" s="225"/>
      <c r="BM15" s="225"/>
      <c r="BN15" s="225"/>
      <c r="BO15" s="225"/>
      <c r="BP15" s="225"/>
      <c r="BQ15" s="225"/>
      <c r="BR15" s="225"/>
      <c r="BS15" s="225"/>
      <c r="BT15" s="225"/>
      <c r="BU15" s="225"/>
      <c r="BV15" s="225"/>
      <c r="BW15" s="225"/>
      <c r="BX15" s="225"/>
      <c r="BY15" s="225"/>
      <c r="BZ15" s="225"/>
      <c r="CA15" s="225"/>
      <c r="CB15" s="225"/>
      <c r="CC15" s="225"/>
      <c r="CD15" s="225"/>
      <c r="CE15" s="225"/>
      <c r="CF15" s="225"/>
      <c r="CG15" s="225"/>
      <c r="CH15" s="225"/>
      <c r="CI15" s="225"/>
      <c r="CJ15" s="225"/>
      <c r="CK15" s="225"/>
      <c r="CL15" s="225"/>
      <c r="CM15" s="225"/>
      <c r="CN15" s="225"/>
      <c r="CO15" s="225"/>
      <c r="CP15" s="225"/>
      <c r="CQ15" s="225"/>
      <c r="CR15" s="225"/>
      <c r="CS15" s="225"/>
      <c r="CT15" s="225"/>
      <c r="CU15" s="225"/>
      <c r="CV15" s="225"/>
      <c r="CW15" s="225"/>
      <c r="CX15" s="225"/>
      <c r="CY15" s="225"/>
      <c r="CZ15" s="225"/>
      <c r="DA15" s="225"/>
      <c r="DB15" s="225"/>
      <c r="DC15" s="225"/>
      <c r="DD15" s="225"/>
      <c r="DE15" s="225"/>
      <c r="DF15" s="225"/>
      <c r="DG15" s="225"/>
      <c r="DH15" s="225"/>
      <c r="DI15" s="225"/>
      <c r="DJ15" s="225"/>
      <c r="DK15" s="225"/>
      <c r="DL15" s="225"/>
      <c r="DM15" s="225"/>
      <c r="DN15" s="225"/>
      <c r="DO15" s="225"/>
      <c r="DP15" s="225"/>
    </row>
    <row r="16" spans="1:120" s="226" customFormat="1" ht="35.25" customHeight="1">
      <c r="A16" s="1203"/>
      <c r="B16" s="273" t="s">
        <v>212</v>
      </c>
      <c r="C16" s="244" t="s">
        <v>247</v>
      </c>
      <c r="D16" s="248"/>
      <c r="E16" s="258"/>
      <c r="F16" s="248"/>
      <c r="G16" s="258"/>
      <c r="H16" s="248" t="s">
        <v>118</v>
      </c>
      <c r="I16" s="258"/>
      <c r="J16" s="248"/>
      <c r="K16" s="258"/>
      <c r="L16" s="248"/>
      <c r="M16" s="258"/>
      <c r="N16" s="248" t="s">
        <v>118</v>
      </c>
      <c r="O16" s="258"/>
      <c r="P16" s="248"/>
      <c r="Q16" s="258"/>
      <c r="R16" s="248"/>
      <c r="S16" s="258"/>
      <c r="T16" s="248" t="s">
        <v>118</v>
      </c>
      <c r="U16" s="259"/>
      <c r="V16" s="245"/>
      <c r="W16" s="259"/>
      <c r="X16" s="248"/>
      <c r="Y16" s="259"/>
      <c r="Z16" s="248" t="s">
        <v>118</v>
      </c>
      <c r="AA16" s="260"/>
      <c r="AB16" s="1208"/>
      <c r="AC16" s="1209"/>
      <c r="AD16" s="225"/>
      <c r="AE16" s="225"/>
      <c r="AF16" s="225"/>
      <c r="AG16" s="225"/>
      <c r="AH16" s="225"/>
      <c r="AI16" s="225"/>
      <c r="AJ16" s="225"/>
      <c r="AK16" s="225"/>
      <c r="AL16" s="225"/>
      <c r="AM16" s="225"/>
      <c r="AN16" s="225"/>
      <c r="AO16" s="225"/>
      <c r="AP16" s="225"/>
      <c r="AQ16" s="225"/>
      <c r="AR16" s="225"/>
      <c r="AS16" s="225"/>
      <c r="AT16" s="225"/>
      <c r="AU16" s="225"/>
      <c r="AV16" s="225"/>
      <c r="AW16" s="225"/>
      <c r="AX16" s="225"/>
      <c r="AY16" s="225"/>
      <c r="AZ16" s="225"/>
      <c r="BA16" s="225"/>
      <c r="BB16" s="225"/>
      <c r="BC16" s="225"/>
      <c r="BD16" s="225"/>
      <c r="BE16" s="225"/>
      <c r="BF16" s="225"/>
      <c r="BG16" s="225"/>
      <c r="BH16" s="225"/>
      <c r="BI16" s="225"/>
      <c r="BJ16" s="225"/>
      <c r="BK16" s="225"/>
      <c r="BL16" s="225"/>
      <c r="BM16" s="225"/>
      <c r="BN16" s="225"/>
      <c r="BO16" s="225"/>
      <c r="BP16" s="225"/>
      <c r="BQ16" s="225"/>
      <c r="BR16" s="225"/>
      <c r="BS16" s="225"/>
      <c r="BT16" s="225"/>
      <c r="BU16" s="225"/>
      <c r="BV16" s="225"/>
      <c r="BW16" s="225"/>
      <c r="BX16" s="225"/>
      <c r="BY16" s="225"/>
      <c r="BZ16" s="225"/>
      <c r="CA16" s="225"/>
      <c r="CB16" s="225"/>
      <c r="CC16" s="225"/>
      <c r="CD16" s="225"/>
      <c r="CE16" s="225"/>
      <c r="CF16" s="225"/>
      <c r="CG16" s="225"/>
      <c r="CH16" s="225"/>
      <c r="CI16" s="225"/>
      <c r="CJ16" s="225"/>
      <c r="CK16" s="225"/>
      <c r="CL16" s="225"/>
      <c r="CM16" s="225"/>
      <c r="CN16" s="225"/>
      <c r="CO16" s="225"/>
      <c r="CP16" s="225"/>
      <c r="CQ16" s="225"/>
      <c r="CR16" s="225"/>
      <c r="CS16" s="225"/>
      <c r="CT16" s="225"/>
      <c r="CU16" s="225"/>
      <c r="CV16" s="225"/>
      <c r="CW16" s="225"/>
      <c r="CX16" s="225"/>
      <c r="CY16" s="225"/>
      <c r="CZ16" s="225"/>
      <c r="DA16" s="225"/>
      <c r="DB16" s="225"/>
      <c r="DC16" s="225"/>
      <c r="DD16" s="225"/>
      <c r="DE16" s="225"/>
      <c r="DF16" s="225"/>
      <c r="DG16" s="225"/>
      <c r="DH16" s="225"/>
      <c r="DI16" s="225"/>
      <c r="DJ16" s="225"/>
      <c r="DK16" s="225"/>
      <c r="DL16" s="225"/>
      <c r="DM16" s="225"/>
      <c r="DN16" s="225"/>
      <c r="DO16" s="225"/>
      <c r="DP16" s="225"/>
    </row>
    <row r="17" spans="1:120" s="226" customFormat="1" ht="35.25" customHeight="1">
      <c r="A17" s="1203"/>
      <c r="B17" s="271" t="s">
        <v>372</v>
      </c>
      <c r="C17" s="235" t="s">
        <v>171</v>
      </c>
      <c r="D17" s="236"/>
      <c r="E17" s="238"/>
      <c r="F17" s="236" t="s">
        <v>118</v>
      </c>
      <c r="G17" s="238"/>
      <c r="H17" s="236"/>
      <c r="I17" s="238"/>
      <c r="J17" s="236" t="s">
        <v>118</v>
      </c>
      <c r="K17" s="238"/>
      <c r="L17" s="236"/>
      <c r="M17" s="238"/>
      <c r="N17" s="236" t="s">
        <v>118</v>
      </c>
      <c r="O17" s="238"/>
      <c r="P17" s="236"/>
      <c r="Q17" s="238"/>
      <c r="R17" s="236" t="s">
        <v>118</v>
      </c>
      <c r="S17" s="238"/>
      <c r="T17" s="236"/>
      <c r="U17" s="239"/>
      <c r="V17" s="245" t="s">
        <v>118</v>
      </c>
      <c r="W17" s="241"/>
      <c r="X17" s="236"/>
      <c r="Y17" s="241"/>
      <c r="Z17" s="236" t="s">
        <v>118</v>
      </c>
      <c r="AA17" s="269"/>
      <c r="AB17" s="1222"/>
      <c r="AC17" s="1221"/>
      <c r="AD17" s="225"/>
      <c r="AE17" s="225"/>
      <c r="AF17" s="225"/>
      <c r="AG17" s="225"/>
      <c r="AH17" s="225"/>
      <c r="AI17" s="225"/>
      <c r="AJ17" s="225"/>
      <c r="AK17" s="225"/>
      <c r="AL17" s="225"/>
      <c r="AM17" s="225"/>
      <c r="AN17" s="225"/>
      <c r="AO17" s="225"/>
      <c r="AP17" s="225"/>
      <c r="AQ17" s="225"/>
      <c r="AR17" s="225"/>
      <c r="AS17" s="225"/>
      <c r="AT17" s="225"/>
      <c r="AU17" s="225"/>
      <c r="AV17" s="225"/>
      <c r="AW17" s="225"/>
      <c r="AX17" s="225"/>
      <c r="AY17" s="225"/>
      <c r="AZ17" s="225"/>
      <c r="BA17" s="225"/>
      <c r="BB17" s="225"/>
      <c r="BC17" s="225"/>
      <c r="BD17" s="225"/>
      <c r="BE17" s="225"/>
      <c r="BF17" s="225"/>
      <c r="BG17" s="225"/>
      <c r="BH17" s="225"/>
      <c r="BI17" s="225"/>
      <c r="BJ17" s="225"/>
      <c r="BK17" s="225"/>
      <c r="BL17" s="225"/>
      <c r="BM17" s="225"/>
      <c r="BN17" s="225"/>
      <c r="BO17" s="225"/>
      <c r="BP17" s="225"/>
      <c r="BQ17" s="225"/>
      <c r="BR17" s="225"/>
      <c r="BS17" s="225"/>
      <c r="BT17" s="225"/>
      <c r="BU17" s="225"/>
      <c r="BV17" s="225"/>
      <c r="BW17" s="225"/>
      <c r="BX17" s="225"/>
      <c r="BY17" s="225"/>
      <c r="BZ17" s="225"/>
      <c r="CA17" s="225"/>
      <c r="CB17" s="225"/>
      <c r="CC17" s="225"/>
      <c r="CD17" s="225"/>
      <c r="CE17" s="225"/>
      <c r="CF17" s="225"/>
      <c r="CG17" s="225"/>
      <c r="CH17" s="225"/>
      <c r="CI17" s="225"/>
      <c r="CJ17" s="225"/>
      <c r="CK17" s="225"/>
      <c r="CL17" s="225"/>
      <c r="CM17" s="225"/>
      <c r="CN17" s="225"/>
      <c r="CO17" s="225"/>
      <c r="CP17" s="225"/>
      <c r="CQ17" s="225"/>
      <c r="CR17" s="225"/>
      <c r="CS17" s="225"/>
      <c r="CT17" s="225"/>
      <c r="CU17" s="225"/>
      <c r="CV17" s="225"/>
      <c r="CW17" s="225"/>
      <c r="CX17" s="225"/>
      <c r="CY17" s="225"/>
      <c r="CZ17" s="225"/>
      <c r="DA17" s="225"/>
      <c r="DB17" s="225"/>
      <c r="DC17" s="225"/>
      <c r="DD17" s="225"/>
      <c r="DE17" s="225"/>
      <c r="DF17" s="225"/>
      <c r="DG17" s="225"/>
      <c r="DH17" s="225"/>
      <c r="DI17" s="225"/>
      <c r="DJ17" s="225"/>
      <c r="DK17" s="225"/>
      <c r="DL17" s="225"/>
      <c r="DM17" s="225"/>
      <c r="DN17" s="225"/>
      <c r="DO17" s="225"/>
      <c r="DP17" s="225"/>
    </row>
    <row r="18" spans="1:120" s="226" customFormat="1" ht="30" customHeight="1" thickBot="1">
      <c r="A18" s="1197"/>
      <c r="B18" s="274" t="s">
        <v>213</v>
      </c>
      <c r="C18" s="275" t="s">
        <v>214</v>
      </c>
      <c r="D18" s="263"/>
      <c r="E18" s="264"/>
      <c r="F18" s="263"/>
      <c r="G18" s="264"/>
      <c r="H18" s="263"/>
      <c r="I18" s="264"/>
      <c r="J18" s="263"/>
      <c r="K18" s="264"/>
      <c r="L18" s="263"/>
      <c r="M18" s="264"/>
      <c r="N18" s="263"/>
      <c r="O18" s="264"/>
      <c r="P18" s="263" t="s">
        <v>118</v>
      </c>
      <c r="Q18" s="264"/>
      <c r="R18" s="263" t="s">
        <v>118</v>
      </c>
      <c r="S18" s="264"/>
      <c r="T18" s="263" t="s">
        <v>118</v>
      </c>
      <c r="U18" s="265"/>
      <c r="V18" s="266" t="s">
        <v>118</v>
      </c>
      <c r="W18" s="265"/>
      <c r="X18" s="263" t="s">
        <v>118</v>
      </c>
      <c r="Y18" s="265"/>
      <c r="Z18" s="263" t="s">
        <v>118</v>
      </c>
      <c r="AA18" s="267"/>
      <c r="AB18" s="1228" t="s">
        <v>215</v>
      </c>
      <c r="AC18" s="1224"/>
      <c r="AD18" s="225"/>
      <c r="AE18" s="225"/>
      <c r="AF18" s="225"/>
      <c r="AG18" s="225"/>
      <c r="AH18" s="225"/>
      <c r="AI18" s="225"/>
      <c r="AJ18" s="225"/>
      <c r="AK18" s="225"/>
      <c r="AL18" s="225"/>
      <c r="AM18" s="225"/>
      <c r="AN18" s="225"/>
      <c r="AO18" s="225"/>
      <c r="AP18" s="225"/>
      <c r="AQ18" s="225"/>
      <c r="AR18" s="225"/>
      <c r="AS18" s="225"/>
      <c r="AT18" s="225"/>
      <c r="AU18" s="225"/>
      <c r="AV18" s="225"/>
      <c r="AW18" s="225"/>
      <c r="AX18" s="225"/>
      <c r="AY18" s="225"/>
      <c r="AZ18" s="225"/>
      <c r="BA18" s="225"/>
      <c r="BB18" s="225"/>
      <c r="BC18" s="225"/>
      <c r="BD18" s="225"/>
      <c r="BE18" s="225"/>
      <c r="BF18" s="225"/>
      <c r="BG18" s="225"/>
      <c r="BH18" s="225"/>
      <c r="BI18" s="225"/>
      <c r="BJ18" s="225"/>
      <c r="BK18" s="225"/>
      <c r="BL18" s="225"/>
      <c r="BM18" s="225"/>
      <c r="BN18" s="225"/>
      <c r="BO18" s="225"/>
      <c r="BP18" s="225"/>
      <c r="BQ18" s="225"/>
      <c r="BR18" s="225"/>
      <c r="BS18" s="225"/>
      <c r="BT18" s="225"/>
      <c r="BU18" s="225"/>
      <c r="BV18" s="225"/>
      <c r="BW18" s="225"/>
      <c r="BX18" s="225"/>
      <c r="BY18" s="225"/>
      <c r="BZ18" s="225"/>
      <c r="CA18" s="225"/>
      <c r="CB18" s="225"/>
      <c r="CC18" s="225"/>
      <c r="CD18" s="225"/>
      <c r="CE18" s="225"/>
      <c r="CF18" s="225"/>
      <c r="CG18" s="225"/>
      <c r="CH18" s="225"/>
      <c r="CI18" s="225"/>
      <c r="CJ18" s="225"/>
      <c r="CK18" s="225"/>
      <c r="CL18" s="225"/>
      <c r="CM18" s="225"/>
      <c r="CN18" s="225"/>
      <c r="CO18" s="225"/>
      <c r="CP18" s="225"/>
      <c r="CQ18" s="225"/>
      <c r="CR18" s="225"/>
      <c r="CS18" s="225"/>
      <c r="CT18" s="225"/>
      <c r="CU18" s="225"/>
      <c r="CV18" s="225"/>
      <c r="CW18" s="225"/>
      <c r="CX18" s="225"/>
      <c r="CY18" s="225"/>
      <c r="CZ18" s="225"/>
      <c r="DA18" s="225"/>
      <c r="DB18" s="225"/>
      <c r="DC18" s="225"/>
      <c r="DD18" s="225"/>
      <c r="DE18" s="225"/>
      <c r="DF18" s="225"/>
      <c r="DG18" s="225"/>
      <c r="DH18" s="225"/>
      <c r="DI18" s="225"/>
      <c r="DJ18" s="225"/>
      <c r="DK18" s="225"/>
      <c r="DL18" s="225"/>
      <c r="DM18" s="225"/>
      <c r="DN18" s="225"/>
      <c r="DO18" s="225"/>
      <c r="DP18" s="225"/>
    </row>
    <row r="19" spans="1:120" s="226" customFormat="1" ht="30" customHeight="1">
      <c r="A19" s="1202" t="s">
        <v>216</v>
      </c>
      <c r="B19" s="276" t="s">
        <v>217</v>
      </c>
      <c r="C19" s="235" t="s">
        <v>198</v>
      </c>
      <c r="D19" s="236" t="s">
        <v>118</v>
      </c>
      <c r="E19" s="238" t="s">
        <v>759</v>
      </c>
      <c r="F19" s="236" t="s">
        <v>118</v>
      </c>
      <c r="G19" s="238"/>
      <c r="H19" s="236" t="s">
        <v>118</v>
      </c>
      <c r="I19" s="238"/>
      <c r="J19" s="236" t="s">
        <v>118</v>
      </c>
      <c r="K19" s="238"/>
      <c r="L19" s="236" t="s">
        <v>118</v>
      </c>
      <c r="M19" s="238"/>
      <c r="N19" s="236" t="s">
        <v>118</v>
      </c>
      <c r="O19" s="238"/>
      <c r="P19" s="236" t="s">
        <v>118</v>
      </c>
      <c r="Q19" s="238"/>
      <c r="R19" s="236" t="s">
        <v>118</v>
      </c>
      <c r="S19" s="238"/>
      <c r="T19" s="236" t="s">
        <v>118</v>
      </c>
      <c r="U19" s="239"/>
      <c r="V19" s="277" t="s">
        <v>118</v>
      </c>
      <c r="W19" s="241"/>
      <c r="X19" s="236" t="s">
        <v>118</v>
      </c>
      <c r="Y19" s="241"/>
      <c r="Z19" s="236" t="s">
        <v>118</v>
      </c>
      <c r="AA19" s="269"/>
      <c r="AB19" s="1204"/>
      <c r="AC19" s="1205"/>
      <c r="AD19" s="225"/>
      <c r="AE19" s="225"/>
      <c r="AF19" s="225"/>
      <c r="AG19" s="225"/>
      <c r="AH19" s="225"/>
      <c r="AI19" s="225"/>
      <c r="AJ19" s="225"/>
      <c r="AK19" s="225"/>
      <c r="AL19" s="225"/>
      <c r="AM19" s="225"/>
      <c r="AN19" s="225"/>
      <c r="AO19" s="225"/>
      <c r="AP19" s="225"/>
      <c r="AQ19" s="225"/>
      <c r="AR19" s="225"/>
      <c r="AS19" s="225"/>
      <c r="AT19" s="225"/>
      <c r="AU19" s="225"/>
      <c r="AV19" s="225"/>
      <c r="AW19" s="225"/>
      <c r="AX19" s="225"/>
      <c r="AY19" s="225"/>
      <c r="AZ19" s="225"/>
      <c r="BA19" s="225"/>
      <c r="BB19" s="225"/>
      <c r="BC19" s="225"/>
      <c r="BD19" s="225"/>
      <c r="BE19" s="225"/>
      <c r="BF19" s="225"/>
      <c r="BG19" s="225"/>
      <c r="BH19" s="225"/>
      <c r="BI19" s="225"/>
      <c r="BJ19" s="225"/>
      <c r="BK19" s="225"/>
      <c r="BL19" s="225"/>
      <c r="BM19" s="225"/>
      <c r="BN19" s="225"/>
      <c r="BO19" s="225"/>
      <c r="BP19" s="225"/>
      <c r="BQ19" s="225"/>
      <c r="BR19" s="225"/>
      <c r="BS19" s="225"/>
      <c r="BT19" s="225"/>
      <c r="BU19" s="225"/>
      <c r="BV19" s="225"/>
      <c r="BW19" s="225"/>
      <c r="BX19" s="225"/>
      <c r="BY19" s="225"/>
      <c r="BZ19" s="225"/>
      <c r="CA19" s="225"/>
      <c r="CB19" s="225"/>
      <c r="CC19" s="225"/>
      <c r="CD19" s="225"/>
      <c r="CE19" s="225"/>
      <c r="CF19" s="225"/>
      <c r="CG19" s="225"/>
      <c r="CH19" s="225"/>
      <c r="CI19" s="225"/>
      <c r="CJ19" s="225"/>
      <c r="CK19" s="225"/>
      <c r="CL19" s="225"/>
      <c r="CM19" s="225"/>
      <c r="CN19" s="225"/>
      <c r="CO19" s="225"/>
      <c r="CP19" s="225"/>
      <c r="CQ19" s="225"/>
      <c r="CR19" s="225"/>
      <c r="CS19" s="225"/>
      <c r="CT19" s="225"/>
      <c r="CU19" s="225"/>
      <c r="CV19" s="225"/>
      <c r="CW19" s="225"/>
      <c r="CX19" s="225"/>
      <c r="CY19" s="225"/>
      <c r="CZ19" s="225"/>
      <c r="DA19" s="225"/>
      <c r="DB19" s="225"/>
      <c r="DC19" s="225"/>
      <c r="DD19" s="225"/>
      <c r="DE19" s="225"/>
      <c r="DF19" s="225"/>
      <c r="DG19" s="225"/>
      <c r="DH19" s="225"/>
      <c r="DI19" s="225"/>
      <c r="DJ19" s="225"/>
      <c r="DK19" s="225"/>
      <c r="DL19" s="225"/>
      <c r="DM19" s="225"/>
      <c r="DN19" s="225"/>
      <c r="DO19" s="225"/>
      <c r="DP19" s="225"/>
    </row>
    <row r="20" spans="1:120" s="226" customFormat="1" ht="30" customHeight="1">
      <c r="A20" s="1218"/>
      <c r="B20" s="279" t="s">
        <v>218</v>
      </c>
      <c r="C20" s="235" t="s">
        <v>210</v>
      </c>
      <c r="D20" s="236"/>
      <c r="E20" s="238"/>
      <c r="F20" s="236"/>
      <c r="G20" s="238"/>
      <c r="H20" s="236"/>
      <c r="I20" s="238"/>
      <c r="J20" s="236"/>
      <c r="K20" s="238"/>
      <c r="L20" s="236"/>
      <c r="M20" s="238"/>
      <c r="N20" s="236"/>
      <c r="O20" s="238"/>
      <c r="P20" s="236" t="s">
        <v>118</v>
      </c>
      <c r="Q20" s="238"/>
      <c r="R20" s="236"/>
      <c r="S20" s="238"/>
      <c r="T20" s="236"/>
      <c r="U20" s="239"/>
      <c r="V20" s="240"/>
      <c r="W20" s="241"/>
      <c r="X20" s="236"/>
      <c r="Y20" s="241"/>
      <c r="Z20" s="236"/>
      <c r="AA20" s="272"/>
      <c r="AB20" s="1220" t="s">
        <v>219</v>
      </c>
      <c r="AC20" s="1221"/>
      <c r="AD20" s="225"/>
      <c r="AE20" s="225"/>
      <c r="AF20" s="225"/>
      <c r="AG20" s="225"/>
      <c r="AH20" s="225"/>
      <c r="AI20" s="225"/>
      <c r="AJ20" s="225"/>
      <c r="AK20" s="225"/>
      <c r="AL20" s="225"/>
      <c r="AM20" s="225"/>
      <c r="AN20" s="225"/>
      <c r="AO20" s="225"/>
      <c r="AP20" s="225"/>
      <c r="AQ20" s="225"/>
      <c r="AR20" s="225"/>
      <c r="AS20" s="225"/>
      <c r="AT20" s="225"/>
      <c r="AU20" s="225"/>
      <c r="AV20" s="225"/>
      <c r="AW20" s="225"/>
      <c r="AX20" s="225"/>
      <c r="AY20" s="225"/>
      <c r="AZ20" s="225"/>
      <c r="BA20" s="225"/>
      <c r="BB20" s="225"/>
      <c r="BC20" s="225"/>
      <c r="BD20" s="225"/>
      <c r="BE20" s="225"/>
      <c r="BF20" s="225"/>
      <c r="BG20" s="225"/>
      <c r="BH20" s="225"/>
      <c r="BI20" s="225"/>
      <c r="BJ20" s="225"/>
      <c r="BK20" s="225"/>
      <c r="BL20" s="225"/>
      <c r="BM20" s="225"/>
      <c r="BN20" s="225"/>
      <c r="BO20" s="225"/>
      <c r="BP20" s="225"/>
      <c r="BQ20" s="225"/>
      <c r="BR20" s="225"/>
      <c r="BS20" s="225"/>
      <c r="BT20" s="225"/>
      <c r="BU20" s="225"/>
      <c r="BV20" s="225"/>
      <c r="BW20" s="225"/>
      <c r="BX20" s="225"/>
      <c r="BY20" s="225"/>
      <c r="BZ20" s="225"/>
      <c r="CA20" s="225"/>
      <c r="CB20" s="225"/>
      <c r="CC20" s="225"/>
      <c r="CD20" s="225"/>
      <c r="CE20" s="225"/>
      <c r="CF20" s="225"/>
      <c r="CG20" s="225"/>
      <c r="CH20" s="225"/>
      <c r="CI20" s="225"/>
      <c r="CJ20" s="225"/>
      <c r="CK20" s="225"/>
      <c r="CL20" s="225"/>
      <c r="CM20" s="225"/>
      <c r="CN20" s="225"/>
      <c r="CO20" s="225"/>
      <c r="CP20" s="225"/>
      <c r="CQ20" s="225"/>
      <c r="CR20" s="225"/>
      <c r="CS20" s="225"/>
      <c r="CT20" s="225"/>
      <c r="CU20" s="225"/>
      <c r="CV20" s="225"/>
      <c r="CW20" s="225"/>
      <c r="CX20" s="225"/>
      <c r="CY20" s="225"/>
      <c r="CZ20" s="225"/>
      <c r="DA20" s="225"/>
      <c r="DB20" s="225"/>
      <c r="DC20" s="225"/>
      <c r="DD20" s="225"/>
      <c r="DE20" s="225"/>
      <c r="DF20" s="225"/>
      <c r="DG20" s="225"/>
      <c r="DH20" s="225"/>
      <c r="DI20" s="225"/>
      <c r="DJ20" s="225"/>
      <c r="DK20" s="225"/>
      <c r="DL20" s="225"/>
      <c r="DM20" s="225"/>
      <c r="DN20" s="225"/>
      <c r="DO20" s="225"/>
      <c r="DP20" s="225"/>
    </row>
    <row r="21" spans="1:120" s="226" customFormat="1" ht="30" customHeight="1">
      <c r="A21" s="1203"/>
      <c r="B21" s="280" t="s">
        <v>220</v>
      </c>
      <c r="C21" s="281" t="s">
        <v>248</v>
      </c>
      <c r="D21" s="236"/>
      <c r="E21" s="238"/>
      <c r="F21" s="236" t="s">
        <v>118</v>
      </c>
      <c r="G21" s="238"/>
      <c r="H21" s="236"/>
      <c r="I21" s="238"/>
      <c r="J21" s="236" t="s">
        <v>118</v>
      </c>
      <c r="K21" s="238"/>
      <c r="L21" s="236"/>
      <c r="M21" s="238"/>
      <c r="N21" s="236" t="s">
        <v>118</v>
      </c>
      <c r="O21" s="238"/>
      <c r="P21" s="236"/>
      <c r="Q21" s="238"/>
      <c r="R21" s="236" t="s">
        <v>118</v>
      </c>
      <c r="S21" s="238"/>
      <c r="T21" s="236"/>
      <c r="U21" s="239"/>
      <c r="V21" s="240" t="s">
        <v>118</v>
      </c>
      <c r="W21" s="259"/>
      <c r="X21" s="236"/>
      <c r="Y21" s="259"/>
      <c r="Z21" s="236" t="s">
        <v>118</v>
      </c>
      <c r="AA21" s="269"/>
      <c r="AB21" s="1222"/>
      <c r="AC21" s="1221"/>
      <c r="AD21" s="225"/>
      <c r="AE21" s="225"/>
      <c r="AF21" s="225"/>
      <c r="AG21" s="225"/>
      <c r="AH21" s="225"/>
      <c r="AI21" s="225"/>
      <c r="AJ21" s="225"/>
      <c r="AK21" s="225"/>
      <c r="AL21" s="225"/>
      <c r="AM21" s="225"/>
      <c r="AN21" s="225"/>
      <c r="AO21" s="225"/>
      <c r="AP21" s="225"/>
      <c r="AQ21" s="225"/>
      <c r="AR21" s="225"/>
      <c r="AS21" s="225"/>
      <c r="AT21" s="225"/>
      <c r="AU21" s="225"/>
      <c r="AV21" s="225"/>
      <c r="AW21" s="225"/>
      <c r="AX21" s="225"/>
      <c r="AY21" s="225"/>
      <c r="AZ21" s="225"/>
      <c r="BA21" s="225"/>
      <c r="BB21" s="225"/>
      <c r="BC21" s="225"/>
      <c r="BD21" s="225"/>
      <c r="BE21" s="225"/>
      <c r="BF21" s="225"/>
      <c r="BG21" s="225"/>
      <c r="BH21" s="225"/>
      <c r="BI21" s="225"/>
      <c r="BJ21" s="225"/>
      <c r="BK21" s="225"/>
      <c r="BL21" s="225"/>
      <c r="BM21" s="225"/>
      <c r="BN21" s="225"/>
      <c r="BO21" s="225"/>
      <c r="BP21" s="225"/>
      <c r="BQ21" s="225"/>
      <c r="BR21" s="225"/>
      <c r="BS21" s="225"/>
      <c r="BT21" s="225"/>
      <c r="BU21" s="225"/>
      <c r="BV21" s="225"/>
      <c r="BW21" s="225"/>
      <c r="BX21" s="225"/>
      <c r="BY21" s="225"/>
      <c r="BZ21" s="225"/>
      <c r="CA21" s="225"/>
      <c r="CB21" s="225"/>
      <c r="CC21" s="225"/>
      <c r="CD21" s="225"/>
      <c r="CE21" s="225"/>
      <c r="CF21" s="225"/>
      <c r="CG21" s="225"/>
      <c r="CH21" s="225"/>
      <c r="CI21" s="225"/>
      <c r="CJ21" s="225"/>
      <c r="CK21" s="225"/>
      <c r="CL21" s="225"/>
      <c r="CM21" s="225"/>
      <c r="CN21" s="225"/>
      <c r="CO21" s="225"/>
      <c r="CP21" s="225"/>
      <c r="CQ21" s="225"/>
      <c r="CR21" s="225"/>
      <c r="CS21" s="225"/>
      <c r="CT21" s="225"/>
      <c r="CU21" s="225"/>
      <c r="CV21" s="225"/>
      <c r="CW21" s="225"/>
      <c r="CX21" s="225"/>
      <c r="CY21" s="225"/>
      <c r="CZ21" s="225"/>
      <c r="DA21" s="225"/>
      <c r="DB21" s="225"/>
      <c r="DC21" s="225"/>
      <c r="DD21" s="225"/>
      <c r="DE21" s="225"/>
      <c r="DF21" s="225"/>
      <c r="DG21" s="225"/>
      <c r="DH21" s="225"/>
      <c r="DI21" s="225"/>
      <c r="DJ21" s="225"/>
      <c r="DK21" s="225"/>
      <c r="DL21" s="225"/>
      <c r="DM21" s="225"/>
      <c r="DN21" s="225"/>
      <c r="DO21" s="225"/>
      <c r="DP21" s="225"/>
    </row>
    <row r="22" spans="1:120" s="226" customFormat="1" ht="30" customHeight="1">
      <c r="A22" s="1203"/>
      <c r="B22" s="282" t="s">
        <v>221</v>
      </c>
      <c r="C22" s="281" t="s">
        <v>248</v>
      </c>
      <c r="D22" s="236"/>
      <c r="E22" s="238"/>
      <c r="F22" s="236" t="s">
        <v>118</v>
      </c>
      <c r="G22" s="238"/>
      <c r="H22" s="236"/>
      <c r="I22" s="238"/>
      <c r="J22" s="236" t="s">
        <v>118</v>
      </c>
      <c r="K22" s="238"/>
      <c r="L22" s="236"/>
      <c r="M22" s="238"/>
      <c r="N22" s="236" t="s">
        <v>118</v>
      </c>
      <c r="O22" s="238"/>
      <c r="P22" s="236"/>
      <c r="Q22" s="238"/>
      <c r="R22" s="236" t="s">
        <v>118</v>
      </c>
      <c r="S22" s="238"/>
      <c r="T22" s="236"/>
      <c r="U22" s="239"/>
      <c r="V22" s="240" t="s">
        <v>118</v>
      </c>
      <c r="W22" s="259"/>
      <c r="X22" s="236"/>
      <c r="Y22" s="259"/>
      <c r="Z22" s="236" t="s">
        <v>118</v>
      </c>
      <c r="AA22" s="269"/>
      <c r="AB22" s="1208"/>
      <c r="AC22" s="1209"/>
      <c r="AD22" s="225"/>
      <c r="AE22" s="225"/>
      <c r="AF22" s="225"/>
      <c r="AG22" s="225"/>
      <c r="AH22" s="225"/>
      <c r="AI22" s="225"/>
      <c r="AJ22" s="225"/>
      <c r="AK22" s="225"/>
      <c r="AL22" s="225"/>
      <c r="AM22" s="225"/>
      <c r="AN22" s="225"/>
      <c r="AO22" s="225"/>
      <c r="AP22" s="225"/>
      <c r="AQ22" s="225"/>
      <c r="AR22" s="225"/>
      <c r="AS22" s="225"/>
      <c r="AT22" s="225"/>
      <c r="AU22" s="225"/>
      <c r="AV22" s="225"/>
      <c r="AW22" s="225"/>
      <c r="AX22" s="225"/>
      <c r="AY22" s="225"/>
      <c r="AZ22" s="225"/>
      <c r="BA22" s="225"/>
      <c r="BB22" s="225"/>
      <c r="BC22" s="225"/>
      <c r="BD22" s="225"/>
      <c r="BE22" s="225"/>
      <c r="BF22" s="225"/>
      <c r="BG22" s="225"/>
      <c r="BH22" s="225"/>
      <c r="BI22" s="225"/>
      <c r="BJ22" s="225"/>
      <c r="BK22" s="225"/>
      <c r="BL22" s="225"/>
      <c r="BM22" s="225"/>
      <c r="BN22" s="225"/>
      <c r="BO22" s="225"/>
      <c r="BP22" s="225"/>
      <c r="BQ22" s="225"/>
      <c r="BR22" s="225"/>
      <c r="BS22" s="225"/>
      <c r="BT22" s="225"/>
      <c r="BU22" s="225"/>
      <c r="BV22" s="225"/>
      <c r="BW22" s="225"/>
      <c r="BX22" s="225"/>
      <c r="BY22" s="225"/>
      <c r="BZ22" s="225"/>
      <c r="CA22" s="225"/>
      <c r="CB22" s="225"/>
      <c r="CC22" s="225"/>
      <c r="CD22" s="225"/>
      <c r="CE22" s="225"/>
      <c r="CF22" s="225"/>
      <c r="CG22" s="225"/>
      <c r="CH22" s="225"/>
      <c r="CI22" s="225"/>
      <c r="CJ22" s="225"/>
      <c r="CK22" s="225"/>
      <c r="CL22" s="225"/>
      <c r="CM22" s="225"/>
      <c r="CN22" s="225"/>
      <c r="CO22" s="225"/>
      <c r="CP22" s="225"/>
      <c r="CQ22" s="225"/>
      <c r="CR22" s="225"/>
      <c r="CS22" s="225"/>
      <c r="CT22" s="225"/>
      <c r="CU22" s="225"/>
      <c r="CV22" s="225"/>
      <c r="CW22" s="225"/>
      <c r="CX22" s="225"/>
      <c r="CY22" s="225"/>
      <c r="CZ22" s="225"/>
      <c r="DA22" s="225"/>
      <c r="DB22" s="225"/>
      <c r="DC22" s="225"/>
      <c r="DD22" s="225"/>
      <c r="DE22" s="225"/>
      <c r="DF22" s="225"/>
      <c r="DG22" s="225"/>
      <c r="DH22" s="225"/>
      <c r="DI22" s="225"/>
      <c r="DJ22" s="225"/>
      <c r="DK22" s="225"/>
      <c r="DL22" s="225"/>
      <c r="DM22" s="225"/>
      <c r="DN22" s="225"/>
      <c r="DO22" s="225"/>
      <c r="DP22" s="225"/>
    </row>
    <row r="23" spans="1:120" s="226" customFormat="1" ht="30" customHeight="1">
      <c r="A23" s="1203"/>
      <c r="B23" s="282" t="s">
        <v>222</v>
      </c>
      <c r="C23" s="281" t="s">
        <v>248</v>
      </c>
      <c r="D23" s="236"/>
      <c r="E23" s="238"/>
      <c r="F23" s="236" t="s">
        <v>118</v>
      </c>
      <c r="G23" s="238"/>
      <c r="H23" s="236"/>
      <c r="I23" s="238"/>
      <c r="J23" s="236" t="s">
        <v>118</v>
      </c>
      <c r="K23" s="238"/>
      <c r="L23" s="236"/>
      <c r="M23" s="238"/>
      <c r="N23" s="236" t="s">
        <v>118</v>
      </c>
      <c r="O23" s="238"/>
      <c r="P23" s="236"/>
      <c r="Q23" s="238"/>
      <c r="R23" s="236" t="s">
        <v>118</v>
      </c>
      <c r="S23" s="238"/>
      <c r="T23" s="236"/>
      <c r="U23" s="239"/>
      <c r="V23" s="245" t="s">
        <v>118</v>
      </c>
      <c r="W23" s="259"/>
      <c r="X23" s="236"/>
      <c r="Y23" s="259"/>
      <c r="Z23" s="236" t="s">
        <v>118</v>
      </c>
      <c r="AA23" s="269"/>
      <c r="AB23" s="1222"/>
      <c r="AC23" s="1221"/>
      <c r="AD23" s="225"/>
      <c r="AE23" s="225"/>
      <c r="AF23" s="225"/>
      <c r="AG23" s="225"/>
      <c r="AH23" s="225"/>
      <c r="AI23" s="225"/>
      <c r="AJ23" s="225"/>
      <c r="AK23" s="225"/>
      <c r="AL23" s="225"/>
      <c r="AM23" s="225"/>
      <c r="AN23" s="225"/>
      <c r="AO23" s="225"/>
      <c r="AP23" s="225"/>
      <c r="AQ23" s="225"/>
      <c r="AR23" s="225"/>
      <c r="AS23" s="225"/>
      <c r="AT23" s="225"/>
      <c r="AU23" s="225"/>
      <c r="AV23" s="225"/>
      <c r="AW23" s="225"/>
      <c r="AX23" s="225"/>
      <c r="AY23" s="225"/>
      <c r="AZ23" s="225"/>
      <c r="BA23" s="225"/>
      <c r="BB23" s="225"/>
      <c r="BC23" s="225"/>
      <c r="BD23" s="225"/>
      <c r="BE23" s="225"/>
      <c r="BF23" s="225"/>
      <c r="BG23" s="225"/>
      <c r="BH23" s="225"/>
      <c r="BI23" s="225"/>
      <c r="BJ23" s="225"/>
      <c r="BK23" s="225"/>
      <c r="BL23" s="225"/>
      <c r="BM23" s="225"/>
      <c r="BN23" s="225"/>
      <c r="BO23" s="225"/>
      <c r="BP23" s="225"/>
      <c r="BQ23" s="225"/>
      <c r="BR23" s="225"/>
      <c r="BS23" s="225"/>
      <c r="BT23" s="225"/>
      <c r="BU23" s="225"/>
      <c r="BV23" s="225"/>
      <c r="BW23" s="225"/>
      <c r="BX23" s="225"/>
      <c r="BY23" s="225"/>
      <c r="BZ23" s="225"/>
      <c r="CA23" s="225"/>
      <c r="CB23" s="225"/>
      <c r="CC23" s="225"/>
      <c r="CD23" s="225"/>
      <c r="CE23" s="225"/>
      <c r="CF23" s="225"/>
      <c r="CG23" s="225"/>
      <c r="CH23" s="225"/>
      <c r="CI23" s="225"/>
      <c r="CJ23" s="225"/>
      <c r="CK23" s="225"/>
      <c r="CL23" s="225"/>
      <c r="CM23" s="225"/>
      <c r="CN23" s="225"/>
      <c r="CO23" s="225"/>
      <c r="CP23" s="225"/>
      <c r="CQ23" s="225"/>
      <c r="CR23" s="225"/>
      <c r="CS23" s="225"/>
      <c r="CT23" s="225"/>
      <c r="CU23" s="225"/>
      <c r="CV23" s="225"/>
      <c r="CW23" s="225"/>
      <c r="CX23" s="225"/>
      <c r="CY23" s="225"/>
      <c r="CZ23" s="225"/>
      <c r="DA23" s="225"/>
      <c r="DB23" s="225"/>
      <c r="DC23" s="225"/>
      <c r="DD23" s="225"/>
      <c r="DE23" s="225"/>
      <c r="DF23" s="225"/>
      <c r="DG23" s="225"/>
      <c r="DH23" s="225"/>
      <c r="DI23" s="225"/>
      <c r="DJ23" s="225"/>
      <c r="DK23" s="225"/>
      <c r="DL23" s="225"/>
      <c r="DM23" s="225"/>
      <c r="DN23" s="225"/>
      <c r="DO23" s="225"/>
      <c r="DP23" s="225"/>
    </row>
    <row r="24" spans="1:120" s="226" customFormat="1" ht="30" customHeight="1">
      <c r="A24" s="1203"/>
      <c r="B24" s="282" t="s">
        <v>223</v>
      </c>
      <c r="C24" s="235" t="s">
        <v>224</v>
      </c>
      <c r="D24" s="236"/>
      <c r="E24" s="238"/>
      <c r="F24" s="236"/>
      <c r="G24" s="238"/>
      <c r="H24" s="236"/>
      <c r="I24" s="238"/>
      <c r="J24" s="236" t="s">
        <v>118</v>
      </c>
      <c r="K24" s="238"/>
      <c r="L24" s="236"/>
      <c r="M24" s="238"/>
      <c r="N24" s="236"/>
      <c r="O24" s="238"/>
      <c r="P24" s="236"/>
      <c r="Q24" s="238"/>
      <c r="R24" s="236"/>
      <c r="S24" s="238"/>
      <c r="T24" s="236"/>
      <c r="U24" s="239"/>
      <c r="V24" s="240" t="s">
        <v>119</v>
      </c>
      <c r="W24" s="259"/>
      <c r="X24" s="236"/>
      <c r="Y24" s="259"/>
      <c r="Z24" s="236"/>
      <c r="AA24" s="269"/>
      <c r="AB24" s="283" t="s">
        <v>225</v>
      </c>
      <c r="AC24" s="284"/>
      <c r="AD24" s="225"/>
      <c r="AE24" s="225"/>
      <c r="AF24" s="225"/>
      <c r="AG24" s="225"/>
      <c r="AH24" s="225"/>
      <c r="AI24" s="225"/>
      <c r="AJ24" s="225"/>
      <c r="AK24" s="225"/>
      <c r="AL24" s="225"/>
      <c r="AM24" s="225"/>
      <c r="AN24" s="225"/>
      <c r="AO24" s="225"/>
      <c r="AP24" s="225"/>
      <c r="AQ24" s="225"/>
      <c r="AR24" s="225"/>
      <c r="AS24" s="225"/>
      <c r="AT24" s="225"/>
      <c r="AU24" s="225"/>
      <c r="AV24" s="225"/>
      <c r="AW24" s="225"/>
      <c r="AX24" s="225"/>
      <c r="AY24" s="225"/>
      <c r="AZ24" s="225"/>
      <c r="BA24" s="225"/>
      <c r="BB24" s="225"/>
      <c r="BC24" s="225"/>
      <c r="BD24" s="225"/>
      <c r="BE24" s="225"/>
      <c r="BF24" s="225"/>
      <c r="BG24" s="225"/>
      <c r="BH24" s="225"/>
      <c r="BI24" s="225"/>
      <c r="BJ24" s="225"/>
      <c r="BK24" s="225"/>
      <c r="BL24" s="225"/>
      <c r="BM24" s="225"/>
      <c r="BN24" s="225"/>
      <c r="BO24" s="225"/>
      <c r="BP24" s="225"/>
      <c r="BQ24" s="225"/>
      <c r="BR24" s="225"/>
      <c r="BS24" s="225"/>
      <c r="BT24" s="225"/>
      <c r="BU24" s="225"/>
      <c r="BV24" s="225"/>
      <c r="BW24" s="225"/>
      <c r="BX24" s="225"/>
      <c r="BY24" s="225"/>
      <c r="BZ24" s="225"/>
      <c r="CA24" s="225"/>
      <c r="CB24" s="225"/>
      <c r="CC24" s="225"/>
      <c r="CD24" s="225"/>
      <c r="CE24" s="225"/>
      <c r="CF24" s="225"/>
      <c r="CG24" s="225"/>
      <c r="CH24" s="225"/>
      <c r="CI24" s="225"/>
      <c r="CJ24" s="225"/>
      <c r="CK24" s="225"/>
      <c r="CL24" s="225"/>
      <c r="CM24" s="225"/>
      <c r="CN24" s="225"/>
      <c r="CO24" s="225"/>
      <c r="CP24" s="225"/>
      <c r="CQ24" s="225"/>
      <c r="CR24" s="225"/>
      <c r="CS24" s="225"/>
      <c r="CT24" s="225"/>
      <c r="CU24" s="225"/>
      <c r="CV24" s="225"/>
      <c r="CW24" s="225"/>
      <c r="CX24" s="225"/>
      <c r="CY24" s="225"/>
      <c r="CZ24" s="225"/>
      <c r="DA24" s="225"/>
      <c r="DB24" s="225"/>
      <c r="DC24" s="225"/>
      <c r="DD24" s="225"/>
      <c r="DE24" s="225"/>
      <c r="DF24" s="225"/>
      <c r="DG24" s="225"/>
      <c r="DH24" s="225"/>
      <c r="DI24" s="225"/>
      <c r="DJ24" s="225"/>
      <c r="DK24" s="225"/>
      <c r="DL24" s="225"/>
      <c r="DM24" s="225"/>
      <c r="DN24" s="225"/>
      <c r="DO24" s="225"/>
      <c r="DP24" s="225"/>
    </row>
    <row r="25" spans="1:120" s="226" customFormat="1" ht="30" customHeight="1">
      <c r="A25" s="1203"/>
      <c r="B25" s="282" t="s">
        <v>226</v>
      </c>
      <c r="C25" s="235" t="s">
        <v>224</v>
      </c>
      <c r="D25" s="236"/>
      <c r="E25" s="238"/>
      <c r="F25" s="236"/>
      <c r="G25" s="238"/>
      <c r="H25" s="236"/>
      <c r="I25" s="238"/>
      <c r="J25" s="236" t="s">
        <v>118</v>
      </c>
      <c r="K25" s="238"/>
      <c r="L25" s="236"/>
      <c r="M25" s="238"/>
      <c r="N25" s="236"/>
      <c r="O25" s="238"/>
      <c r="P25" s="236"/>
      <c r="Q25" s="238"/>
      <c r="R25" s="236"/>
      <c r="S25" s="238"/>
      <c r="T25" s="236"/>
      <c r="U25" s="239"/>
      <c r="V25" s="240" t="s">
        <v>118</v>
      </c>
      <c r="W25" s="259"/>
      <c r="X25" s="236"/>
      <c r="Y25" s="259"/>
      <c r="Z25" s="236"/>
      <c r="AA25" s="278"/>
      <c r="AB25" s="1208"/>
      <c r="AC25" s="1209"/>
      <c r="AD25" s="225"/>
      <c r="AE25" s="225"/>
      <c r="AF25" s="225"/>
      <c r="AG25" s="225"/>
      <c r="AH25" s="225"/>
      <c r="AI25" s="225"/>
      <c r="AJ25" s="225"/>
      <c r="AK25" s="225"/>
      <c r="AL25" s="225"/>
      <c r="AM25" s="225"/>
      <c r="AN25" s="225"/>
      <c r="AO25" s="225"/>
      <c r="AP25" s="225"/>
      <c r="AQ25" s="225"/>
      <c r="AR25" s="225"/>
      <c r="AS25" s="225"/>
      <c r="AT25" s="225"/>
      <c r="AU25" s="225"/>
      <c r="AV25" s="225"/>
      <c r="AW25" s="225"/>
      <c r="AX25" s="225"/>
      <c r="AY25" s="225"/>
      <c r="AZ25" s="225"/>
      <c r="BA25" s="225"/>
      <c r="BB25" s="225"/>
      <c r="BC25" s="225"/>
      <c r="BD25" s="225"/>
      <c r="BE25" s="225"/>
      <c r="BF25" s="225"/>
      <c r="BG25" s="225"/>
      <c r="BH25" s="225"/>
      <c r="BI25" s="225"/>
      <c r="BJ25" s="225"/>
      <c r="BK25" s="225"/>
      <c r="BL25" s="225"/>
      <c r="BM25" s="225"/>
      <c r="BN25" s="225"/>
      <c r="BO25" s="225"/>
      <c r="BP25" s="225"/>
      <c r="BQ25" s="225"/>
      <c r="BR25" s="225"/>
      <c r="BS25" s="225"/>
      <c r="BT25" s="225"/>
      <c r="BU25" s="225"/>
      <c r="BV25" s="225"/>
      <c r="BW25" s="225"/>
      <c r="BX25" s="225"/>
      <c r="BY25" s="225"/>
      <c r="BZ25" s="225"/>
      <c r="CA25" s="225"/>
      <c r="CB25" s="225"/>
      <c r="CC25" s="225"/>
      <c r="CD25" s="225"/>
      <c r="CE25" s="225"/>
      <c r="CF25" s="225"/>
      <c r="CG25" s="225"/>
      <c r="CH25" s="225"/>
      <c r="CI25" s="225"/>
      <c r="CJ25" s="225"/>
      <c r="CK25" s="225"/>
      <c r="CL25" s="225"/>
      <c r="CM25" s="225"/>
      <c r="CN25" s="225"/>
      <c r="CO25" s="225"/>
      <c r="CP25" s="225"/>
      <c r="CQ25" s="225"/>
      <c r="CR25" s="225"/>
      <c r="CS25" s="225"/>
      <c r="CT25" s="225"/>
      <c r="CU25" s="225"/>
      <c r="CV25" s="225"/>
      <c r="CW25" s="225"/>
      <c r="CX25" s="225"/>
      <c r="CY25" s="225"/>
      <c r="CZ25" s="225"/>
      <c r="DA25" s="225"/>
      <c r="DB25" s="225"/>
      <c r="DC25" s="225"/>
      <c r="DD25" s="225"/>
      <c r="DE25" s="225"/>
      <c r="DF25" s="225"/>
      <c r="DG25" s="225"/>
      <c r="DH25" s="225"/>
      <c r="DI25" s="225"/>
      <c r="DJ25" s="225"/>
      <c r="DK25" s="225"/>
      <c r="DL25" s="225"/>
      <c r="DM25" s="225"/>
      <c r="DN25" s="225"/>
      <c r="DO25" s="225"/>
      <c r="DP25" s="225"/>
    </row>
    <row r="26" spans="1:120" s="226" customFormat="1" ht="30" customHeight="1" thickBot="1">
      <c r="A26" s="1219"/>
      <c r="B26" s="285" t="s">
        <v>227</v>
      </c>
      <c r="C26" s="286" t="s">
        <v>249</v>
      </c>
      <c r="D26" s="263" t="s">
        <v>118</v>
      </c>
      <c r="E26" s="264" t="s">
        <v>762</v>
      </c>
      <c r="F26" s="263" t="s">
        <v>119</v>
      </c>
      <c r="G26" s="264"/>
      <c r="H26" s="263" t="s">
        <v>118</v>
      </c>
      <c r="I26" s="264"/>
      <c r="J26" s="263" t="s">
        <v>119</v>
      </c>
      <c r="K26" s="264"/>
      <c r="L26" s="263" t="s">
        <v>118</v>
      </c>
      <c r="M26" s="264"/>
      <c r="N26" s="263" t="s">
        <v>119</v>
      </c>
      <c r="O26" s="264"/>
      <c r="P26" s="263" t="s">
        <v>118</v>
      </c>
      <c r="Q26" s="264"/>
      <c r="R26" s="263" t="s">
        <v>119</v>
      </c>
      <c r="S26" s="264"/>
      <c r="T26" s="263" t="s">
        <v>118</v>
      </c>
      <c r="U26" s="265"/>
      <c r="V26" s="266" t="s">
        <v>119</v>
      </c>
      <c r="W26" s="265"/>
      <c r="X26" s="263" t="s">
        <v>118</v>
      </c>
      <c r="Y26" s="265"/>
      <c r="Z26" s="263" t="s">
        <v>119</v>
      </c>
      <c r="AA26" s="287"/>
      <c r="AB26" s="1223" t="s">
        <v>228</v>
      </c>
      <c r="AC26" s="1224"/>
      <c r="AD26" s="225"/>
      <c r="AE26" s="225"/>
      <c r="AF26" s="225"/>
      <c r="AG26" s="225"/>
      <c r="AH26" s="225"/>
      <c r="AI26" s="225"/>
      <c r="AJ26" s="225"/>
      <c r="AK26" s="225"/>
      <c r="AL26" s="225"/>
      <c r="AM26" s="225"/>
      <c r="AN26" s="225"/>
      <c r="AO26" s="225"/>
      <c r="AP26" s="225"/>
      <c r="AQ26" s="225"/>
      <c r="AR26" s="225"/>
      <c r="AS26" s="225"/>
      <c r="AT26" s="225"/>
      <c r="AU26" s="225"/>
      <c r="AV26" s="225"/>
      <c r="AW26" s="225"/>
      <c r="AX26" s="225"/>
      <c r="AY26" s="225"/>
      <c r="AZ26" s="225"/>
      <c r="BA26" s="225"/>
      <c r="BB26" s="225"/>
      <c r="BC26" s="225"/>
      <c r="BD26" s="225"/>
      <c r="BE26" s="225"/>
      <c r="BF26" s="225"/>
      <c r="BG26" s="225"/>
      <c r="BH26" s="225"/>
      <c r="BI26" s="225"/>
      <c r="BJ26" s="225"/>
      <c r="BK26" s="225"/>
      <c r="BL26" s="225"/>
      <c r="BM26" s="225"/>
      <c r="BN26" s="225"/>
      <c r="BO26" s="225"/>
      <c r="BP26" s="225"/>
      <c r="BQ26" s="225"/>
      <c r="BR26" s="225"/>
      <c r="BS26" s="225"/>
      <c r="BT26" s="225"/>
      <c r="BU26" s="225"/>
      <c r="BV26" s="225"/>
      <c r="BW26" s="225"/>
      <c r="BX26" s="225"/>
      <c r="BY26" s="225"/>
      <c r="BZ26" s="225"/>
      <c r="CA26" s="225"/>
      <c r="CB26" s="225"/>
      <c r="CC26" s="225"/>
      <c r="CD26" s="225"/>
      <c r="CE26" s="225"/>
      <c r="CF26" s="225"/>
      <c r="CG26" s="225"/>
      <c r="CH26" s="225"/>
      <c r="CI26" s="225"/>
      <c r="CJ26" s="225"/>
      <c r="CK26" s="225"/>
      <c r="CL26" s="225"/>
      <c r="CM26" s="225"/>
      <c r="CN26" s="225"/>
      <c r="CO26" s="225"/>
      <c r="CP26" s="225"/>
      <c r="CQ26" s="225"/>
      <c r="CR26" s="225"/>
      <c r="CS26" s="225"/>
      <c r="CT26" s="225"/>
      <c r="CU26" s="225"/>
      <c r="CV26" s="225"/>
      <c r="CW26" s="225"/>
      <c r="CX26" s="225"/>
      <c r="CY26" s="225"/>
      <c r="CZ26" s="225"/>
      <c r="DA26" s="225"/>
      <c r="DB26" s="225"/>
      <c r="DC26" s="225"/>
      <c r="DD26" s="225"/>
      <c r="DE26" s="225"/>
      <c r="DF26" s="225"/>
      <c r="DG26" s="225"/>
      <c r="DH26" s="225"/>
      <c r="DI26" s="225"/>
      <c r="DJ26" s="225"/>
      <c r="DK26" s="225"/>
      <c r="DL26" s="225"/>
      <c r="DM26" s="225"/>
      <c r="DN26" s="225"/>
      <c r="DO26" s="225"/>
      <c r="DP26" s="225"/>
    </row>
    <row r="27" spans="1:120" s="226" customFormat="1" ht="30" customHeight="1">
      <c r="A27" s="1202" t="s">
        <v>229</v>
      </c>
      <c r="B27" s="288" t="s">
        <v>230</v>
      </c>
      <c r="C27" s="281" t="s">
        <v>231</v>
      </c>
      <c r="D27" s="289"/>
      <c r="E27" s="237"/>
      <c r="F27" s="289"/>
      <c r="G27" s="237"/>
      <c r="H27" s="289"/>
      <c r="I27" s="237"/>
      <c r="J27" s="289"/>
      <c r="K27" s="237"/>
      <c r="L27" s="289"/>
      <c r="M27" s="237"/>
      <c r="N27" s="289" t="s">
        <v>118</v>
      </c>
      <c r="O27" s="237"/>
      <c r="P27" s="289"/>
      <c r="Q27" s="237"/>
      <c r="R27" s="289"/>
      <c r="S27" s="237"/>
      <c r="T27" s="289"/>
      <c r="U27" s="290"/>
      <c r="V27" s="277"/>
      <c r="W27" s="290"/>
      <c r="X27" s="289"/>
      <c r="Y27" s="290"/>
      <c r="Z27" s="289" t="s">
        <v>118</v>
      </c>
      <c r="AA27" s="296"/>
      <c r="AB27" s="1204"/>
      <c r="AC27" s="1205"/>
      <c r="AD27" s="225"/>
      <c r="AE27" s="225"/>
      <c r="AF27" s="225"/>
      <c r="AG27" s="225"/>
      <c r="AH27" s="225"/>
      <c r="AI27" s="225"/>
      <c r="AJ27" s="225"/>
      <c r="AK27" s="225"/>
      <c r="AL27" s="225"/>
      <c r="AM27" s="225"/>
      <c r="AN27" s="225"/>
      <c r="AO27" s="225"/>
      <c r="AP27" s="225"/>
      <c r="AQ27" s="225"/>
      <c r="AR27" s="225"/>
      <c r="AS27" s="225"/>
      <c r="AT27" s="225"/>
      <c r="AU27" s="225"/>
      <c r="AV27" s="225"/>
      <c r="AW27" s="225"/>
      <c r="AX27" s="225"/>
      <c r="AY27" s="225"/>
      <c r="AZ27" s="225"/>
      <c r="BA27" s="225"/>
      <c r="BB27" s="225"/>
      <c r="BC27" s="225"/>
      <c r="BD27" s="225"/>
      <c r="BE27" s="225"/>
      <c r="BF27" s="225"/>
      <c r="BG27" s="225"/>
      <c r="BH27" s="225"/>
      <c r="BI27" s="225"/>
      <c r="BJ27" s="225"/>
      <c r="BK27" s="225"/>
      <c r="BL27" s="225"/>
      <c r="BM27" s="225"/>
      <c r="BN27" s="225"/>
      <c r="BO27" s="225"/>
      <c r="BP27" s="225"/>
      <c r="BQ27" s="225"/>
      <c r="BR27" s="225"/>
      <c r="BS27" s="225"/>
      <c r="BT27" s="225"/>
      <c r="BU27" s="225"/>
      <c r="BV27" s="225"/>
      <c r="BW27" s="225"/>
      <c r="BX27" s="225"/>
      <c r="BY27" s="225"/>
      <c r="BZ27" s="225"/>
      <c r="CA27" s="225"/>
      <c r="CB27" s="225"/>
      <c r="CC27" s="225"/>
      <c r="CD27" s="225"/>
      <c r="CE27" s="225"/>
      <c r="CF27" s="225"/>
      <c r="CG27" s="225"/>
      <c r="CH27" s="225"/>
      <c r="CI27" s="225"/>
      <c r="CJ27" s="225"/>
      <c r="CK27" s="225"/>
      <c r="CL27" s="225"/>
      <c r="CM27" s="225"/>
      <c r="CN27" s="225"/>
      <c r="CO27" s="225"/>
      <c r="CP27" s="225"/>
      <c r="CQ27" s="225"/>
      <c r="CR27" s="225"/>
      <c r="CS27" s="225"/>
      <c r="CT27" s="225"/>
      <c r="CU27" s="225"/>
      <c r="CV27" s="225"/>
      <c r="CW27" s="225"/>
      <c r="CX27" s="225"/>
      <c r="CY27" s="225"/>
      <c r="CZ27" s="225"/>
      <c r="DA27" s="225"/>
      <c r="DB27" s="225"/>
      <c r="DC27" s="225"/>
      <c r="DD27" s="225"/>
      <c r="DE27" s="225"/>
      <c r="DF27" s="225"/>
      <c r="DG27" s="225"/>
      <c r="DH27" s="225"/>
      <c r="DI27" s="225"/>
      <c r="DJ27" s="225"/>
      <c r="DK27" s="225"/>
      <c r="DL27" s="225"/>
      <c r="DM27" s="225"/>
      <c r="DN27" s="225"/>
      <c r="DO27" s="225"/>
      <c r="DP27" s="225"/>
    </row>
    <row r="28" spans="1:120" s="226" customFormat="1" ht="30" customHeight="1">
      <c r="A28" s="1203"/>
      <c r="B28" s="291" t="s">
        <v>232</v>
      </c>
      <c r="C28" s="281" t="s">
        <v>231</v>
      </c>
      <c r="D28" s="236"/>
      <c r="E28" s="238"/>
      <c r="F28" s="236"/>
      <c r="G28" s="238"/>
      <c r="H28" s="236"/>
      <c r="I28" s="238"/>
      <c r="J28" s="236"/>
      <c r="K28" s="238"/>
      <c r="L28" s="236"/>
      <c r="M28" s="238"/>
      <c r="N28" s="236" t="s">
        <v>118</v>
      </c>
      <c r="O28" s="238"/>
      <c r="P28" s="236"/>
      <c r="Q28" s="238"/>
      <c r="R28" s="236"/>
      <c r="S28" s="238"/>
      <c r="T28" s="236"/>
      <c r="U28" s="239"/>
      <c r="V28" s="240"/>
      <c r="W28" s="249"/>
      <c r="X28" s="236"/>
      <c r="Y28" s="249"/>
      <c r="Z28" s="236" t="s">
        <v>118</v>
      </c>
      <c r="AA28" s="269"/>
      <c r="AB28" s="1206"/>
      <c r="AC28" s="1207"/>
      <c r="AD28" s="225"/>
      <c r="AE28" s="225"/>
      <c r="AF28" s="225"/>
      <c r="AG28" s="225"/>
      <c r="AH28" s="225"/>
      <c r="AI28" s="225"/>
      <c r="AJ28" s="225"/>
      <c r="AK28" s="225"/>
      <c r="AL28" s="225"/>
      <c r="AM28" s="225"/>
      <c r="AN28" s="225"/>
      <c r="AO28" s="225"/>
      <c r="AP28" s="225"/>
      <c r="AQ28" s="225"/>
      <c r="AR28" s="225"/>
      <c r="AS28" s="225"/>
      <c r="AT28" s="225"/>
      <c r="AU28" s="225"/>
      <c r="AV28" s="225"/>
      <c r="AW28" s="225"/>
      <c r="AX28" s="225"/>
      <c r="AY28" s="225"/>
      <c r="AZ28" s="225"/>
      <c r="BA28" s="225"/>
      <c r="BB28" s="225"/>
      <c r="BC28" s="225"/>
      <c r="BD28" s="225"/>
      <c r="BE28" s="225"/>
      <c r="BF28" s="225"/>
      <c r="BG28" s="225"/>
      <c r="BH28" s="225"/>
      <c r="BI28" s="225"/>
      <c r="BJ28" s="225"/>
      <c r="BK28" s="225"/>
      <c r="BL28" s="225"/>
      <c r="BM28" s="225"/>
      <c r="BN28" s="225"/>
      <c r="BO28" s="225"/>
      <c r="BP28" s="225"/>
      <c r="BQ28" s="225"/>
      <c r="BR28" s="225"/>
      <c r="BS28" s="225"/>
      <c r="BT28" s="225"/>
      <c r="BU28" s="225"/>
      <c r="BV28" s="225"/>
      <c r="BW28" s="225"/>
      <c r="BX28" s="225"/>
      <c r="BY28" s="225"/>
      <c r="BZ28" s="225"/>
      <c r="CA28" s="225"/>
      <c r="CB28" s="225"/>
      <c r="CC28" s="225"/>
      <c r="CD28" s="225"/>
      <c r="CE28" s="225"/>
      <c r="CF28" s="225"/>
      <c r="CG28" s="225"/>
      <c r="CH28" s="225"/>
      <c r="CI28" s="225"/>
      <c r="CJ28" s="225"/>
      <c r="CK28" s="225"/>
      <c r="CL28" s="225"/>
      <c r="CM28" s="225"/>
      <c r="CN28" s="225"/>
      <c r="CO28" s="225"/>
      <c r="CP28" s="225"/>
      <c r="CQ28" s="225"/>
      <c r="CR28" s="225"/>
      <c r="CS28" s="225"/>
      <c r="CT28" s="225"/>
      <c r="CU28" s="225"/>
      <c r="CV28" s="225"/>
      <c r="CW28" s="225"/>
      <c r="CX28" s="225"/>
      <c r="CY28" s="225"/>
      <c r="CZ28" s="225"/>
      <c r="DA28" s="225"/>
      <c r="DB28" s="225"/>
      <c r="DC28" s="225"/>
      <c r="DD28" s="225"/>
      <c r="DE28" s="225"/>
      <c r="DF28" s="225"/>
      <c r="DG28" s="225"/>
      <c r="DH28" s="225"/>
      <c r="DI28" s="225"/>
      <c r="DJ28" s="225"/>
      <c r="DK28" s="225"/>
      <c r="DL28" s="225"/>
      <c r="DM28" s="225"/>
      <c r="DN28" s="225"/>
      <c r="DO28" s="225"/>
      <c r="DP28" s="225"/>
    </row>
    <row r="29" spans="1:120" s="226" customFormat="1" ht="30" customHeight="1">
      <c r="A29" s="1203"/>
      <c r="B29" s="292" t="s">
        <v>233</v>
      </c>
      <c r="C29" s="281" t="s">
        <v>231</v>
      </c>
      <c r="D29" s="248"/>
      <c r="E29" s="258"/>
      <c r="F29" s="248"/>
      <c r="G29" s="258"/>
      <c r="H29" s="248"/>
      <c r="I29" s="258"/>
      <c r="J29" s="248"/>
      <c r="K29" s="258"/>
      <c r="L29" s="248"/>
      <c r="M29" s="258"/>
      <c r="N29" s="248" t="s">
        <v>118</v>
      </c>
      <c r="O29" s="258"/>
      <c r="P29" s="248"/>
      <c r="Q29" s="258"/>
      <c r="R29" s="248"/>
      <c r="S29" s="258"/>
      <c r="T29" s="248"/>
      <c r="U29" s="259"/>
      <c r="V29" s="245"/>
      <c r="W29" s="259"/>
      <c r="X29" s="248"/>
      <c r="Y29" s="259"/>
      <c r="Z29" s="248" t="s">
        <v>118</v>
      </c>
      <c r="AA29" s="260"/>
      <c r="AB29" s="1208"/>
      <c r="AC29" s="1209"/>
      <c r="AD29" s="225"/>
      <c r="AE29" s="225"/>
      <c r="AF29" s="225"/>
      <c r="AG29" s="225"/>
      <c r="AH29" s="225"/>
      <c r="AI29" s="225"/>
      <c r="AJ29" s="225"/>
      <c r="AK29" s="225"/>
      <c r="AL29" s="225"/>
      <c r="AM29" s="225"/>
      <c r="AN29" s="225"/>
      <c r="AO29" s="225"/>
      <c r="AP29" s="225"/>
      <c r="AQ29" s="225"/>
      <c r="AR29" s="225"/>
      <c r="AS29" s="225"/>
      <c r="AT29" s="225"/>
      <c r="AU29" s="225"/>
      <c r="AV29" s="225"/>
      <c r="AW29" s="225"/>
      <c r="AX29" s="225"/>
      <c r="AY29" s="225"/>
      <c r="AZ29" s="225"/>
      <c r="BA29" s="225"/>
      <c r="BB29" s="225"/>
      <c r="BC29" s="225"/>
      <c r="BD29" s="225"/>
      <c r="BE29" s="225"/>
      <c r="BF29" s="225"/>
      <c r="BG29" s="225"/>
      <c r="BH29" s="225"/>
      <c r="BI29" s="225"/>
      <c r="BJ29" s="225"/>
      <c r="BK29" s="225"/>
      <c r="BL29" s="225"/>
      <c r="BM29" s="225"/>
      <c r="BN29" s="225"/>
      <c r="BO29" s="225"/>
      <c r="BP29" s="225"/>
      <c r="BQ29" s="225"/>
      <c r="BR29" s="225"/>
      <c r="BS29" s="225"/>
      <c r="BT29" s="225"/>
      <c r="BU29" s="225"/>
      <c r="BV29" s="225"/>
      <c r="BW29" s="225"/>
      <c r="BX29" s="225"/>
      <c r="BY29" s="225"/>
      <c r="BZ29" s="225"/>
      <c r="CA29" s="225"/>
      <c r="CB29" s="225"/>
      <c r="CC29" s="225"/>
      <c r="CD29" s="225"/>
      <c r="CE29" s="225"/>
      <c r="CF29" s="225"/>
      <c r="CG29" s="225"/>
      <c r="CH29" s="225"/>
      <c r="CI29" s="225"/>
      <c r="CJ29" s="225"/>
      <c r="CK29" s="225"/>
      <c r="CL29" s="225"/>
      <c r="CM29" s="225"/>
      <c r="CN29" s="225"/>
      <c r="CO29" s="225"/>
      <c r="CP29" s="225"/>
      <c r="CQ29" s="225"/>
      <c r="CR29" s="225"/>
      <c r="CS29" s="225"/>
      <c r="CT29" s="225"/>
      <c r="CU29" s="225"/>
      <c r="CV29" s="225"/>
      <c r="CW29" s="225"/>
      <c r="CX29" s="225"/>
      <c r="CY29" s="225"/>
      <c r="CZ29" s="225"/>
      <c r="DA29" s="225"/>
      <c r="DB29" s="225"/>
      <c r="DC29" s="225"/>
      <c r="DD29" s="225"/>
      <c r="DE29" s="225"/>
      <c r="DF29" s="225"/>
      <c r="DG29" s="225"/>
      <c r="DH29" s="225"/>
      <c r="DI29" s="225"/>
      <c r="DJ29" s="225"/>
      <c r="DK29" s="225"/>
      <c r="DL29" s="225"/>
      <c r="DM29" s="225"/>
      <c r="DN29" s="225"/>
      <c r="DO29" s="225"/>
      <c r="DP29" s="225"/>
    </row>
    <row r="30" spans="1:120" s="226" customFormat="1" ht="30" customHeight="1">
      <c r="A30" s="1203"/>
      <c r="B30" s="292" t="s">
        <v>234</v>
      </c>
      <c r="C30" s="281" t="s">
        <v>231</v>
      </c>
      <c r="D30" s="254"/>
      <c r="E30" s="255"/>
      <c r="F30" s="254"/>
      <c r="G30" s="255"/>
      <c r="H30" s="254"/>
      <c r="I30" s="255"/>
      <c r="J30" s="254"/>
      <c r="K30" s="255"/>
      <c r="L30" s="254"/>
      <c r="M30" s="255"/>
      <c r="N30" s="254" t="s">
        <v>118</v>
      </c>
      <c r="O30" s="255"/>
      <c r="P30" s="254"/>
      <c r="Q30" s="255"/>
      <c r="R30" s="254"/>
      <c r="S30" s="255"/>
      <c r="T30" s="254"/>
      <c r="U30" s="241"/>
      <c r="V30" s="256"/>
      <c r="W30" s="241"/>
      <c r="X30" s="254"/>
      <c r="Y30" s="241"/>
      <c r="Z30" s="254" t="s">
        <v>118</v>
      </c>
      <c r="AA30" s="257"/>
      <c r="AB30" s="1208"/>
      <c r="AC30" s="1209"/>
      <c r="AD30" s="225"/>
      <c r="AE30" s="225"/>
      <c r="AF30" s="225"/>
      <c r="AG30" s="225"/>
      <c r="AH30" s="225"/>
      <c r="AI30" s="225"/>
      <c r="AJ30" s="225"/>
      <c r="AK30" s="225"/>
      <c r="AL30" s="225"/>
      <c r="AM30" s="225"/>
      <c r="AN30" s="225"/>
      <c r="AO30" s="225"/>
      <c r="AP30" s="225"/>
      <c r="AQ30" s="225"/>
      <c r="AR30" s="225"/>
      <c r="AS30" s="225"/>
      <c r="AT30" s="225"/>
      <c r="AU30" s="225"/>
      <c r="AV30" s="225"/>
      <c r="AW30" s="225"/>
      <c r="AX30" s="225"/>
      <c r="AY30" s="225"/>
      <c r="AZ30" s="225"/>
      <c r="BA30" s="225"/>
      <c r="BB30" s="225"/>
      <c r="BC30" s="225"/>
      <c r="BD30" s="225"/>
      <c r="BE30" s="225"/>
      <c r="BF30" s="225"/>
      <c r="BG30" s="225"/>
      <c r="BH30" s="225"/>
      <c r="BI30" s="225"/>
      <c r="BJ30" s="225"/>
      <c r="BK30" s="225"/>
      <c r="BL30" s="225"/>
      <c r="BM30" s="225"/>
      <c r="BN30" s="225"/>
      <c r="BO30" s="225"/>
      <c r="BP30" s="225"/>
      <c r="BQ30" s="225"/>
      <c r="BR30" s="225"/>
      <c r="BS30" s="225"/>
      <c r="BT30" s="225"/>
      <c r="BU30" s="225"/>
      <c r="BV30" s="225"/>
      <c r="BW30" s="225"/>
      <c r="BX30" s="225"/>
      <c r="BY30" s="225"/>
      <c r="BZ30" s="225"/>
      <c r="CA30" s="225"/>
      <c r="CB30" s="225"/>
      <c r="CC30" s="225"/>
      <c r="CD30" s="225"/>
      <c r="CE30" s="225"/>
      <c r="CF30" s="225"/>
      <c r="CG30" s="225"/>
      <c r="CH30" s="225"/>
      <c r="CI30" s="225"/>
      <c r="CJ30" s="225"/>
      <c r="CK30" s="225"/>
      <c r="CL30" s="225"/>
      <c r="CM30" s="225"/>
      <c r="CN30" s="225"/>
      <c r="CO30" s="225"/>
      <c r="CP30" s="225"/>
      <c r="CQ30" s="225"/>
      <c r="CR30" s="225"/>
      <c r="CS30" s="225"/>
      <c r="CT30" s="225"/>
      <c r="CU30" s="225"/>
      <c r="CV30" s="225"/>
      <c r="CW30" s="225"/>
      <c r="CX30" s="225"/>
      <c r="CY30" s="225"/>
      <c r="CZ30" s="225"/>
      <c r="DA30" s="225"/>
      <c r="DB30" s="225"/>
      <c r="DC30" s="225"/>
      <c r="DD30" s="225"/>
      <c r="DE30" s="225"/>
      <c r="DF30" s="225"/>
      <c r="DG30" s="225"/>
      <c r="DH30" s="225"/>
      <c r="DI30" s="225"/>
      <c r="DJ30" s="225"/>
      <c r="DK30" s="225"/>
      <c r="DL30" s="225"/>
      <c r="DM30" s="225"/>
      <c r="DN30" s="225"/>
      <c r="DO30" s="225"/>
      <c r="DP30" s="225"/>
    </row>
    <row r="31" spans="1:120" s="226" customFormat="1" ht="30" customHeight="1" thickBot="1">
      <c r="A31" s="1197"/>
      <c r="B31" s="261" t="s">
        <v>235</v>
      </c>
      <c r="C31" s="281" t="s">
        <v>231</v>
      </c>
      <c r="D31" s="263"/>
      <c r="E31" s="264"/>
      <c r="F31" s="263"/>
      <c r="G31" s="264"/>
      <c r="H31" s="263"/>
      <c r="I31" s="264"/>
      <c r="J31" s="263"/>
      <c r="K31" s="264"/>
      <c r="L31" s="263"/>
      <c r="M31" s="264"/>
      <c r="N31" s="263" t="s">
        <v>118</v>
      </c>
      <c r="O31" s="264"/>
      <c r="P31" s="263"/>
      <c r="Q31" s="264"/>
      <c r="R31" s="263"/>
      <c r="S31" s="264"/>
      <c r="T31" s="263"/>
      <c r="U31" s="265"/>
      <c r="V31" s="266"/>
      <c r="W31" s="265"/>
      <c r="X31" s="263"/>
      <c r="Y31" s="265"/>
      <c r="Z31" s="263" t="s">
        <v>118</v>
      </c>
      <c r="AA31" s="267"/>
      <c r="AB31" s="1210"/>
      <c r="AC31" s="1211"/>
      <c r="AD31" s="225"/>
      <c r="AE31" s="225"/>
      <c r="AF31" s="225"/>
      <c r="AG31" s="225"/>
      <c r="AH31" s="225"/>
      <c r="AI31" s="225"/>
      <c r="AJ31" s="225"/>
      <c r="AK31" s="225"/>
      <c r="AL31" s="225"/>
      <c r="AM31" s="225"/>
      <c r="AN31" s="225"/>
      <c r="AO31" s="225"/>
      <c r="AP31" s="225"/>
      <c r="AQ31" s="225"/>
      <c r="AR31" s="225"/>
      <c r="AS31" s="225"/>
      <c r="AT31" s="225"/>
      <c r="AU31" s="225"/>
      <c r="AV31" s="225"/>
      <c r="AW31" s="225"/>
      <c r="AX31" s="225"/>
      <c r="AY31" s="225"/>
      <c r="AZ31" s="225"/>
      <c r="BA31" s="225"/>
      <c r="BB31" s="225"/>
      <c r="BC31" s="225"/>
      <c r="BD31" s="225"/>
      <c r="BE31" s="225"/>
      <c r="BF31" s="225"/>
      <c r="BG31" s="225"/>
      <c r="BH31" s="225"/>
      <c r="BI31" s="225"/>
      <c r="BJ31" s="225"/>
      <c r="BK31" s="225"/>
      <c r="BL31" s="225"/>
      <c r="BM31" s="225"/>
      <c r="BN31" s="225"/>
      <c r="BO31" s="225"/>
      <c r="BP31" s="225"/>
      <c r="BQ31" s="225"/>
      <c r="BR31" s="225"/>
      <c r="BS31" s="225"/>
      <c r="BT31" s="225"/>
      <c r="BU31" s="225"/>
      <c r="BV31" s="225"/>
      <c r="BW31" s="225"/>
      <c r="BX31" s="225"/>
      <c r="BY31" s="225"/>
      <c r="BZ31" s="225"/>
      <c r="CA31" s="225"/>
      <c r="CB31" s="225"/>
      <c r="CC31" s="225"/>
      <c r="CD31" s="225"/>
      <c r="CE31" s="225"/>
      <c r="CF31" s="225"/>
      <c r="CG31" s="225"/>
      <c r="CH31" s="225"/>
      <c r="CI31" s="225"/>
      <c r="CJ31" s="225"/>
      <c r="CK31" s="225"/>
      <c r="CL31" s="225"/>
      <c r="CM31" s="225"/>
      <c r="CN31" s="225"/>
      <c r="CO31" s="225"/>
      <c r="CP31" s="225"/>
      <c r="CQ31" s="225"/>
      <c r="CR31" s="225"/>
      <c r="CS31" s="225"/>
      <c r="CT31" s="225"/>
      <c r="CU31" s="225"/>
      <c r="CV31" s="225"/>
      <c r="CW31" s="225"/>
      <c r="CX31" s="225"/>
      <c r="CY31" s="225"/>
      <c r="CZ31" s="225"/>
      <c r="DA31" s="225"/>
      <c r="DB31" s="225"/>
      <c r="DC31" s="225"/>
      <c r="DD31" s="225"/>
      <c r="DE31" s="225"/>
      <c r="DF31" s="225"/>
      <c r="DG31" s="225"/>
      <c r="DH31" s="225"/>
      <c r="DI31" s="225"/>
      <c r="DJ31" s="225"/>
      <c r="DK31" s="225"/>
      <c r="DL31" s="225"/>
      <c r="DM31" s="225"/>
      <c r="DN31" s="225"/>
      <c r="DO31" s="225"/>
      <c r="DP31" s="225"/>
    </row>
    <row r="32" spans="1:120" s="226" customFormat="1" ht="30" customHeight="1">
      <c r="A32" s="1196" t="s">
        <v>104</v>
      </c>
      <c r="B32" s="288" t="s">
        <v>236</v>
      </c>
      <c r="C32" s="294" t="s">
        <v>202</v>
      </c>
      <c r="D32" s="295"/>
      <c r="E32" s="289"/>
      <c r="F32" s="289"/>
      <c r="G32" s="237"/>
      <c r="H32" s="289"/>
      <c r="I32" s="237"/>
      <c r="J32" s="289" t="s">
        <v>118</v>
      </c>
      <c r="K32" s="237"/>
      <c r="L32" s="289"/>
      <c r="M32" s="237"/>
      <c r="N32" s="289"/>
      <c r="O32" s="237"/>
      <c r="P32" s="289"/>
      <c r="Q32" s="237"/>
      <c r="R32" s="289"/>
      <c r="S32" s="237"/>
      <c r="T32" s="289"/>
      <c r="U32" s="290"/>
      <c r="V32" s="277"/>
      <c r="W32" s="290"/>
      <c r="X32" s="289"/>
      <c r="Y32" s="290"/>
      <c r="Z32" s="289"/>
      <c r="AA32" s="296"/>
      <c r="AB32" s="1212"/>
      <c r="AC32" s="1213"/>
      <c r="AD32" s="225"/>
      <c r="AE32" s="225"/>
      <c r="AF32" s="225"/>
      <c r="AG32" s="225"/>
      <c r="AH32" s="225"/>
      <c r="AI32" s="225"/>
      <c r="AJ32" s="225"/>
      <c r="AK32" s="225"/>
      <c r="AL32" s="225"/>
      <c r="AM32" s="225"/>
      <c r="AN32" s="225"/>
      <c r="AO32" s="225"/>
      <c r="AP32" s="225"/>
      <c r="AQ32" s="225"/>
      <c r="AR32" s="225"/>
      <c r="AS32" s="225"/>
      <c r="AT32" s="225"/>
      <c r="AU32" s="225"/>
      <c r="AV32" s="225"/>
      <c r="AW32" s="225"/>
      <c r="AX32" s="225"/>
      <c r="AY32" s="225"/>
      <c r="AZ32" s="225"/>
      <c r="BA32" s="225"/>
      <c r="BB32" s="225"/>
      <c r="BC32" s="225"/>
      <c r="BD32" s="225"/>
      <c r="BE32" s="225"/>
      <c r="BF32" s="225"/>
      <c r="BG32" s="225"/>
      <c r="BH32" s="225"/>
      <c r="BI32" s="225"/>
      <c r="BJ32" s="225"/>
      <c r="BK32" s="225"/>
      <c r="BL32" s="225"/>
      <c r="BM32" s="225"/>
      <c r="BN32" s="225"/>
      <c r="BO32" s="225"/>
      <c r="BP32" s="225"/>
      <c r="BQ32" s="225"/>
      <c r="BR32" s="225"/>
      <c r="BS32" s="225"/>
      <c r="BT32" s="225"/>
      <c r="BU32" s="225"/>
      <c r="BV32" s="225"/>
      <c r="BW32" s="225"/>
      <c r="BX32" s="225"/>
      <c r="BY32" s="225"/>
      <c r="BZ32" s="225"/>
      <c r="CA32" s="225"/>
      <c r="CB32" s="225"/>
      <c r="CC32" s="225"/>
      <c r="CD32" s="225"/>
      <c r="CE32" s="225"/>
      <c r="CF32" s="225"/>
      <c r="CG32" s="225"/>
      <c r="CH32" s="225"/>
      <c r="CI32" s="225"/>
      <c r="CJ32" s="225"/>
      <c r="CK32" s="225"/>
      <c r="CL32" s="225"/>
      <c r="CM32" s="225"/>
      <c r="CN32" s="225"/>
      <c r="CO32" s="225"/>
      <c r="CP32" s="225"/>
      <c r="CQ32" s="225"/>
      <c r="CR32" s="225"/>
      <c r="CS32" s="225"/>
      <c r="CT32" s="225"/>
      <c r="CU32" s="225"/>
      <c r="CV32" s="225"/>
      <c r="CW32" s="225"/>
      <c r="CX32" s="225"/>
      <c r="CY32" s="225"/>
      <c r="CZ32" s="225"/>
      <c r="DA32" s="225"/>
      <c r="DB32" s="225"/>
      <c r="DC32" s="225"/>
      <c r="DD32" s="225"/>
      <c r="DE32" s="225"/>
      <c r="DF32" s="225"/>
      <c r="DG32" s="225"/>
      <c r="DH32" s="225"/>
      <c r="DI32" s="225"/>
      <c r="DJ32" s="225"/>
      <c r="DK32" s="225"/>
      <c r="DL32" s="225"/>
      <c r="DM32" s="225"/>
      <c r="DN32" s="225"/>
      <c r="DO32" s="225"/>
      <c r="DP32" s="225"/>
    </row>
    <row r="33" spans="1:120" s="226" customFormat="1" ht="30" customHeight="1">
      <c r="A33" s="1203"/>
      <c r="B33" s="297" t="s">
        <v>237</v>
      </c>
      <c r="C33" s="281" t="s">
        <v>238</v>
      </c>
      <c r="D33" s="299"/>
      <c r="E33" s="298"/>
      <c r="F33" s="298"/>
      <c r="G33" s="298"/>
      <c r="H33" s="298" t="s">
        <v>118</v>
      </c>
      <c r="I33" s="298"/>
      <c r="J33" s="298" t="s">
        <v>118</v>
      </c>
      <c r="K33" s="298"/>
      <c r="L33" s="298" t="s">
        <v>118</v>
      </c>
      <c r="M33" s="298"/>
      <c r="N33" s="298" t="s">
        <v>118</v>
      </c>
      <c r="O33" s="298"/>
      <c r="P33" s="298" t="s">
        <v>118</v>
      </c>
      <c r="Q33" s="298"/>
      <c r="R33" s="248"/>
      <c r="S33" s="238"/>
      <c r="T33" s="236"/>
      <c r="U33" s="239"/>
      <c r="V33" s="240"/>
      <c r="W33" s="239"/>
      <c r="X33" s="236"/>
      <c r="Y33" s="239"/>
      <c r="Z33" s="236"/>
      <c r="AA33" s="269"/>
      <c r="AB33" s="300"/>
      <c r="AC33" s="301"/>
      <c r="AD33" s="225"/>
      <c r="AE33" s="225"/>
      <c r="AF33" s="225"/>
      <c r="AG33" s="225"/>
      <c r="AH33" s="225"/>
      <c r="AI33" s="225"/>
      <c r="AJ33" s="225"/>
      <c r="AK33" s="225"/>
      <c r="AL33" s="225"/>
      <c r="AM33" s="225"/>
      <c r="AN33" s="225"/>
      <c r="AO33" s="225"/>
      <c r="AP33" s="225"/>
      <c r="AQ33" s="225"/>
      <c r="AR33" s="225"/>
      <c r="AS33" s="225"/>
      <c r="AT33" s="225"/>
      <c r="AU33" s="225"/>
      <c r="AV33" s="225"/>
      <c r="AW33" s="225"/>
      <c r="AX33" s="225"/>
      <c r="AY33" s="225"/>
      <c r="AZ33" s="225"/>
      <c r="BA33" s="225"/>
      <c r="BB33" s="225"/>
      <c r="BC33" s="225"/>
      <c r="BD33" s="225"/>
      <c r="BE33" s="225"/>
      <c r="BF33" s="225"/>
      <c r="BG33" s="225"/>
      <c r="BH33" s="225"/>
      <c r="BI33" s="225"/>
      <c r="BJ33" s="225"/>
      <c r="BK33" s="225"/>
      <c r="BL33" s="225"/>
      <c r="BM33" s="225"/>
      <c r="BN33" s="225"/>
      <c r="BO33" s="225"/>
      <c r="BP33" s="225"/>
      <c r="BQ33" s="225"/>
      <c r="BR33" s="225"/>
      <c r="BS33" s="225"/>
      <c r="BT33" s="225"/>
      <c r="BU33" s="225"/>
      <c r="BV33" s="225"/>
      <c r="BW33" s="225"/>
      <c r="BX33" s="225"/>
      <c r="BY33" s="225"/>
      <c r="BZ33" s="225"/>
      <c r="CA33" s="225"/>
      <c r="CB33" s="225"/>
      <c r="CC33" s="225"/>
      <c r="CD33" s="225"/>
      <c r="CE33" s="225"/>
      <c r="CF33" s="225"/>
      <c r="CG33" s="225"/>
      <c r="CH33" s="225"/>
      <c r="CI33" s="225"/>
      <c r="CJ33" s="225"/>
      <c r="CK33" s="225"/>
      <c r="CL33" s="225"/>
      <c r="CM33" s="225"/>
      <c r="CN33" s="225"/>
      <c r="CO33" s="225"/>
      <c r="CP33" s="225"/>
      <c r="CQ33" s="225"/>
      <c r="CR33" s="225"/>
      <c r="CS33" s="225"/>
      <c r="CT33" s="225"/>
      <c r="CU33" s="225"/>
      <c r="CV33" s="225"/>
      <c r="CW33" s="225"/>
      <c r="CX33" s="225"/>
      <c r="CY33" s="225"/>
      <c r="CZ33" s="225"/>
      <c r="DA33" s="225"/>
      <c r="DB33" s="225"/>
      <c r="DC33" s="225"/>
      <c r="DD33" s="225"/>
      <c r="DE33" s="225"/>
      <c r="DF33" s="225"/>
      <c r="DG33" s="225"/>
      <c r="DH33" s="225"/>
      <c r="DI33" s="225"/>
      <c r="DJ33" s="225"/>
      <c r="DK33" s="225"/>
      <c r="DL33" s="225"/>
      <c r="DM33" s="225"/>
      <c r="DN33" s="225"/>
      <c r="DO33" s="225"/>
      <c r="DP33" s="225"/>
    </row>
    <row r="34" spans="1:120" s="226" customFormat="1" ht="30" customHeight="1">
      <c r="A34" s="1203"/>
      <c r="B34" s="280" t="s">
        <v>239</v>
      </c>
      <c r="C34" s="281" t="s">
        <v>231</v>
      </c>
      <c r="D34" s="236" t="s">
        <v>118</v>
      </c>
      <c r="E34" s="238" t="s">
        <v>757</v>
      </c>
      <c r="F34" s="236"/>
      <c r="G34" s="238"/>
      <c r="H34" s="236"/>
      <c r="I34" s="238"/>
      <c r="J34" s="236"/>
      <c r="K34" s="238"/>
      <c r="L34" s="236"/>
      <c r="M34" s="238"/>
      <c r="N34" s="236"/>
      <c r="O34" s="238"/>
      <c r="P34" s="236"/>
      <c r="Q34" s="238"/>
      <c r="R34" s="236"/>
      <c r="S34" s="238"/>
      <c r="T34" s="236"/>
      <c r="U34" s="239"/>
      <c r="V34" s="245" t="s">
        <v>424</v>
      </c>
      <c r="W34" s="259"/>
      <c r="X34" s="236"/>
      <c r="Y34" s="259"/>
      <c r="Z34" s="236"/>
      <c r="AA34" s="302"/>
      <c r="AB34" s="1214"/>
      <c r="AC34" s="1215"/>
      <c r="AD34" s="225"/>
      <c r="AE34" s="225"/>
      <c r="AF34" s="225"/>
      <c r="AG34" s="225"/>
      <c r="AH34" s="225"/>
      <c r="AI34" s="225"/>
      <c r="AJ34" s="225"/>
      <c r="AK34" s="225"/>
      <c r="AL34" s="225"/>
      <c r="AM34" s="225"/>
      <c r="AN34" s="225"/>
      <c r="AO34" s="225"/>
      <c r="AP34" s="225"/>
      <c r="AQ34" s="225"/>
      <c r="AR34" s="225"/>
      <c r="AS34" s="225"/>
      <c r="AT34" s="225"/>
      <c r="AU34" s="225"/>
      <c r="AV34" s="225"/>
      <c r="AW34" s="225"/>
      <c r="AX34" s="225"/>
      <c r="AY34" s="225"/>
      <c r="AZ34" s="225"/>
      <c r="BA34" s="225"/>
      <c r="BB34" s="225"/>
      <c r="BC34" s="225"/>
      <c r="BD34" s="225"/>
      <c r="BE34" s="225"/>
      <c r="BF34" s="225"/>
      <c r="BG34" s="225"/>
      <c r="BH34" s="225"/>
      <c r="BI34" s="225"/>
      <c r="BJ34" s="225"/>
      <c r="BK34" s="225"/>
      <c r="BL34" s="225"/>
      <c r="BM34" s="225"/>
      <c r="BN34" s="225"/>
      <c r="BO34" s="225"/>
      <c r="BP34" s="225"/>
      <c r="BQ34" s="225"/>
      <c r="BR34" s="225"/>
      <c r="BS34" s="225"/>
      <c r="BT34" s="225"/>
      <c r="BU34" s="225"/>
      <c r="BV34" s="225"/>
      <c r="BW34" s="225"/>
      <c r="BX34" s="225"/>
      <c r="BY34" s="225"/>
      <c r="BZ34" s="225"/>
      <c r="CA34" s="225"/>
      <c r="CB34" s="225"/>
      <c r="CC34" s="225"/>
      <c r="CD34" s="225"/>
      <c r="CE34" s="225"/>
      <c r="CF34" s="225"/>
      <c r="CG34" s="225"/>
      <c r="CH34" s="225"/>
      <c r="CI34" s="225"/>
      <c r="CJ34" s="225"/>
      <c r="CK34" s="225"/>
      <c r="CL34" s="225"/>
      <c r="CM34" s="225"/>
      <c r="CN34" s="225"/>
      <c r="CO34" s="225"/>
      <c r="CP34" s="225"/>
      <c r="CQ34" s="225"/>
      <c r="CR34" s="225"/>
      <c r="CS34" s="225"/>
      <c r="CT34" s="225"/>
      <c r="CU34" s="225"/>
      <c r="CV34" s="225"/>
      <c r="CW34" s="225"/>
      <c r="CX34" s="225"/>
      <c r="CY34" s="225"/>
      <c r="CZ34" s="225"/>
      <c r="DA34" s="225"/>
      <c r="DB34" s="225"/>
      <c r="DC34" s="225"/>
      <c r="DD34" s="225"/>
      <c r="DE34" s="225"/>
      <c r="DF34" s="225"/>
      <c r="DG34" s="225"/>
      <c r="DH34" s="225"/>
      <c r="DI34" s="225"/>
      <c r="DJ34" s="225"/>
      <c r="DK34" s="225"/>
      <c r="DL34" s="225"/>
      <c r="DM34" s="225"/>
      <c r="DN34" s="225"/>
      <c r="DO34" s="225"/>
      <c r="DP34" s="225"/>
    </row>
    <row r="35" spans="1:120" s="226" customFormat="1" ht="30" customHeight="1">
      <c r="A35" s="1203"/>
      <c r="B35" s="303" t="s">
        <v>240</v>
      </c>
      <c r="C35" s="253" t="s">
        <v>231</v>
      </c>
      <c r="D35" s="254"/>
      <c r="E35" s="255"/>
      <c r="F35" s="254"/>
      <c r="G35" s="255"/>
      <c r="H35" s="254" t="s">
        <v>118</v>
      </c>
      <c r="I35" s="255"/>
      <c r="J35" s="254"/>
      <c r="K35" s="255"/>
      <c r="L35" s="254"/>
      <c r="M35" s="255"/>
      <c r="N35" s="254"/>
      <c r="O35" s="255"/>
      <c r="P35" s="254"/>
      <c r="Q35" s="255"/>
      <c r="R35" s="254"/>
      <c r="S35" s="255"/>
      <c r="T35" s="254" t="s">
        <v>118</v>
      </c>
      <c r="U35" s="241"/>
      <c r="V35" s="256"/>
      <c r="W35" s="241"/>
      <c r="X35" s="254"/>
      <c r="Y35" s="241"/>
      <c r="Z35" s="254"/>
      <c r="AA35" s="257"/>
      <c r="AB35" s="1216" t="s">
        <v>241</v>
      </c>
      <c r="AC35" s="1217"/>
      <c r="AD35" s="225"/>
      <c r="AE35" s="225"/>
      <c r="AF35" s="225"/>
      <c r="AG35" s="225"/>
      <c r="AH35" s="225"/>
      <c r="AI35" s="225"/>
      <c r="AJ35" s="225"/>
      <c r="AK35" s="225"/>
      <c r="AL35" s="225"/>
      <c r="AM35" s="225"/>
      <c r="AN35" s="225"/>
      <c r="AO35" s="225"/>
      <c r="AP35" s="225"/>
      <c r="AQ35" s="225"/>
      <c r="AR35" s="225"/>
      <c r="AS35" s="225"/>
      <c r="AT35" s="225"/>
      <c r="AU35" s="225"/>
      <c r="AV35" s="225"/>
      <c r="AW35" s="225"/>
      <c r="AX35" s="225"/>
      <c r="AY35" s="225"/>
      <c r="AZ35" s="225"/>
      <c r="BA35" s="225"/>
      <c r="BB35" s="225"/>
      <c r="BC35" s="225"/>
      <c r="BD35" s="225"/>
      <c r="BE35" s="225"/>
      <c r="BF35" s="225"/>
      <c r="BG35" s="225"/>
      <c r="BH35" s="225"/>
      <c r="BI35" s="225"/>
      <c r="BJ35" s="225"/>
      <c r="BK35" s="225"/>
      <c r="BL35" s="225"/>
      <c r="BM35" s="225"/>
      <c r="BN35" s="225"/>
      <c r="BO35" s="225"/>
      <c r="BP35" s="225"/>
      <c r="BQ35" s="225"/>
      <c r="BR35" s="225"/>
      <c r="BS35" s="225"/>
      <c r="BT35" s="225"/>
      <c r="BU35" s="225"/>
      <c r="BV35" s="225"/>
      <c r="BW35" s="225"/>
      <c r="BX35" s="225"/>
      <c r="BY35" s="225"/>
      <c r="BZ35" s="225"/>
      <c r="CA35" s="225"/>
      <c r="CB35" s="225"/>
      <c r="CC35" s="225"/>
      <c r="CD35" s="225"/>
      <c r="CE35" s="225"/>
      <c r="CF35" s="225"/>
      <c r="CG35" s="225"/>
      <c r="CH35" s="225"/>
      <c r="CI35" s="225"/>
      <c r="CJ35" s="225"/>
      <c r="CK35" s="225"/>
      <c r="CL35" s="225"/>
      <c r="CM35" s="225"/>
      <c r="CN35" s="225"/>
      <c r="CO35" s="225"/>
      <c r="CP35" s="225"/>
      <c r="CQ35" s="225"/>
      <c r="CR35" s="225"/>
      <c r="CS35" s="225"/>
      <c r="CT35" s="225"/>
      <c r="CU35" s="225"/>
      <c r="CV35" s="225"/>
      <c r="CW35" s="225"/>
      <c r="CX35" s="225"/>
      <c r="CY35" s="225"/>
      <c r="CZ35" s="225"/>
      <c r="DA35" s="225"/>
      <c r="DB35" s="225"/>
      <c r="DC35" s="225"/>
      <c r="DD35" s="225"/>
      <c r="DE35" s="225"/>
      <c r="DF35" s="225"/>
      <c r="DG35" s="225"/>
      <c r="DH35" s="225"/>
      <c r="DI35" s="225"/>
      <c r="DJ35" s="225"/>
      <c r="DK35" s="225"/>
      <c r="DL35" s="225"/>
      <c r="DM35" s="225"/>
      <c r="DN35" s="225"/>
      <c r="DO35" s="225"/>
      <c r="DP35" s="225"/>
    </row>
    <row r="36" spans="1:120" s="226" customFormat="1" ht="30" customHeight="1" thickBot="1">
      <c r="A36" s="1197"/>
      <c r="B36" s="304" t="s">
        <v>242</v>
      </c>
      <c r="C36" s="262" t="s">
        <v>243</v>
      </c>
      <c r="D36" s="263"/>
      <c r="E36" s="264"/>
      <c r="F36" s="263"/>
      <c r="G36" s="264"/>
      <c r="H36" s="263"/>
      <c r="I36" s="264"/>
      <c r="J36" s="263"/>
      <c r="K36" s="264"/>
      <c r="L36" s="263"/>
      <c r="M36" s="264"/>
      <c r="N36" s="263"/>
      <c r="O36" s="264"/>
      <c r="P36" s="263"/>
      <c r="Q36" s="264"/>
      <c r="R36" s="263"/>
      <c r="S36" s="264"/>
      <c r="T36" s="263"/>
      <c r="U36" s="265"/>
      <c r="V36" s="266"/>
      <c r="W36" s="265"/>
      <c r="X36" s="263"/>
      <c r="Y36" s="265"/>
      <c r="Z36" s="263"/>
      <c r="AA36" s="293"/>
      <c r="AB36" s="1200"/>
      <c r="AC36" s="1201"/>
      <c r="AD36" s="225"/>
      <c r="AE36" s="225"/>
      <c r="AF36" s="225"/>
      <c r="AG36" s="225"/>
      <c r="AH36" s="225"/>
      <c r="AI36" s="225"/>
      <c r="AJ36" s="225"/>
      <c r="AK36" s="225"/>
      <c r="AL36" s="225"/>
      <c r="AM36" s="225"/>
      <c r="AN36" s="225"/>
      <c r="AO36" s="225"/>
      <c r="AP36" s="225"/>
      <c r="AQ36" s="225"/>
      <c r="AR36" s="225"/>
      <c r="AS36" s="225"/>
      <c r="AT36" s="225"/>
      <c r="AU36" s="225"/>
      <c r="AV36" s="225"/>
      <c r="AW36" s="225"/>
      <c r="AX36" s="225"/>
      <c r="AY36" s="225"/>
      <c r="AZ36" s="225"/>
      <c r="BA36" s="225"/>
      <c r="BB36" s="225"/>
      <c r="BC36" s="225"/>
      <c r="BD36" s="225"/>
      <c r="BE36" s="225"/>
      <c r="BF36" s="225"/>
      <c r="BG36" s="225"/>
      <c r="BH36" s="225"/>
      <c r="BI36" s="225"/>
      <c r="BJ36" s="225"/>
      <c r="BK36" s="225"/>
      <c r="BL36" s="225"/>
      <c r="BM36" s="225"/>
      <c r="BN36" s="225"/>
      <c r="BO36" s="225"/>
      <c r="BP36" s="225"/>
      <c r="BQ36" s="225"/>
      <c r="BR36" s="225"/>
      <c r="BS36" s="225"/>
      <c r="BT36" s="225"/>
      <c r="BU36" s="225"/>
      <c r="BV36" s="225"/>
      <c r="BW36" s="225"/>
      <c r="BX36" s="225"/>
      <c r="BY36" s="225"/>
      <c r="BZ36" s="225"/>
      <c r="CA36" s="225"/>
      <c r="CB36" s="225"/>
      <c r="CC36" s="225"/>
      <c r="CD36" s="225"/>
      <c r="CE36" s="225"/>
      <c r="CF36" s="225"/>
      <c r="CG36" s="225"/>
      <c r="CH36" s="225"/>
      <c r="CI36" s="225"/>
      <c r="CJ36" s="225"/>
      <c r="CK36" s="225"/>
      <c r="CL36" s="225"/>
      <c r="CM36" s="225"/>
      <c r="CN36" s="225"/>
      <c r="CO36" s="225"/>
      <c r="CP36" s="225"/>
      <c r="CQ36" s="225"/>
      <c r="CR36" s="225"/>
      <c r="CS36" s="225"/>
      <c r="CT36" s="225"/>
      <c r="CU36" s="225"/>
      <c r="CV36" s="225"/>
      <c r="CW36" s="225"/>
      <c r="CX36" s="225"/>
      <c r="CY36" s="225"/>
      <c r="CZ36" s="225"/>
      <c r="DA36" s="225"/>
      <c r="DB36" s="225"/>
      <c r="DC36" s="225"/>
      <c r="DD36" s="225"/>
      <c r="DE36" s="225"/>
      <c r="DF36" s="225"/>
      <c r="DG36" s="225"/>
      <c r="DH36" s="225"/>
      <c r="DI36" s="225"/>
      <c r="DJ36" s="225"/>
      <c r="DK36" s="225"/>
      <c r="DL36" s="225"/>
      <c r="DM36" s="225"/>
      <c r="DN36" s="225"/>
      <c r="DO36" s="225"/>
      <c r="DP36" s="225"/>
    </row>
    <row r="37" spans="1:120" s="226" customFormat="1" ht="30" customHeight="1">
      <c r="A37" s="1196" t="s">
        <v>153</v>
      </c>
      <c r="B37" s="305" t="s">
        <v>244</v>
      </c>
      <c r="C37" s="306" t="s">
        <v>224</v>
      </c>
      <c r="D37" s="236" t="s">
        <v>420</v>
      </c>
      <c r="E37" s="238" t="s">
        <v>758</v>
      </c>
      <c r="F37" s="236"/>
      <c r="G37" s="238"/>
      <c r="H37" s="236"/>
      <c r="I37" s="238"/>
      <c r="J37" s="236"/>
      <c r="K37" s="238"/>
      <c r="L37" s="236"/>
      <c r="M37" s="238"/>
      <c r="N37" s="236"/>
      <c r="O37" s="238"/>
      <c r="P37" s="236"/>
      <c r="Q37" s="238"/>
      <c r="R37" s="236" t="s">
        <v>118</v>
      </c>
      <c r="S37" s="238"/>
      <c r="T37" s="236"/>
      <c r="U37" s="239"/>
      <c r="V37" s="240"/>
      <c r="W37" s="239"/>
      <c r="X37" s="236"/>
      <c r="Y37" s="239"/>
      <c r="Z37" s="236"/>
      <c r="AA37" s="269"/>
      <c r="AB37" s="1198"/>
      <c r="AC37" s="1199"/>
      <c r="AD37" s="225"/>
      <c r="AE37" s="225"/>
      <c r="AF37" s="225"/>
      <c r="AG37" s="225"/>
      <c r="AH37" s="225"/>
      <c r="AI37" s="225"/>
      <c r="AJ37" s="225"/>
      <c r="AK37" s="225"/>
      <c r="AL37" s="225"/>
      <c r="AM37" s="225"/>
      <c r="AN37" s="225"/>
      <c r="AO37" s="225"/>
      <c r="AP37" s="225"/>
      <c r="AQ37" s="225"/>
      <c r="AR37" s="225"/>
      <c r="AS37" s="225"/>
      <c r="AT37" s="225"/>
      <c r="AU37" s="225"/>
      <c r="AV37" s="225"/>
      <c r="AW37" s="225"/>
      <c r="AX37" s="225"/>
      <c r="AY37" s="225"/>
      <c r="AZ37" s="225"/>
      <c r="BA37" s="225"/>
      <c r="BB37" s="225"/>
      <c r="BC37" s="225"/>
      <c r="BD37" s="225"/>
      <c r="BE37" s="225"/>
      <c r="BF37" s="225"/>
      <c r="BG37" s="225"/>
      <c r="BH37" s="225"/>
      <c r="BI37" s="225"/>
      <c r="BJ37" s="225"/>
      <c r="BK37" s="225"/>
      <c r="BL37" s="225"/>
      <c r="BM37" s="225"/>
      <c r="BN37" s="225"/>
      <c r="BO37" s="225"/>
      <c r="BP37" s="225"/>
      <c r="BQ37" s="225"/>
      <c r="BR37" s="225"/>
      <c r="BS37" s="225"/>
      <c r="BT37" s="225"/>
      <c r="BU37" s="225"/>
      <c r="BV37" s="225"/>
      <c r="BW37" s="225"/>
      <c r="BX37" s="225"/>
      <c r="BY37" s="225"/>
      <c r="BZ37" s="225"/>
      <c r="CA37" s="225"/>
      <c r="CB37" s="225"/>
      <c r="CC37" s="225"/>
      <c r="CD37" s="225"/>
      <c r="CE37" s="225"/>
      <c r="CF37" s="225"/>
      <c r="CG37" s="225"/>
      <c r="CH37" s="225"/>
      <c r="CI37" s="225"/>
      <c r="CJ37" s="225"/>
      <c r="CK37" s="225"/>
      <c r="CL37" s="225"/>
      <c r="CM37" s="225"/>
      <c r="CN37" s="225"/>
      <c r="CO37" s="225"/>
      <c r="CP37" s="225"/>
      <c r="CQ37" s="225"/>
      <c r="CR37" s="225"/>
      <c r="CS37" s="225"/>
      <c r="CT37" s="225"/>
      <c r="CU37" s="225"/>
      <c r="CV37" s="225"/>
      <c r="CW37" s="225"/>
      <c r="CX37" s="225"/>
      <c r="CY37" s="225"/>
      <c r="CZ37" s="225"/>
      <c r="DA37" s="225"/>
      <c r="DB37" s="225"/>
      <c r="DC37" s="225"/>
      <c r="DD37" s="225"/>
      <c r="DE37" s="225"/>
      <c r="DF37" s="225"/>
      <c r="DG37" s="225"/>
      <c r="DH37" s="225"/>
      <c r="DI37" s="225"/>
      <c r="DJ37" s="225"/>
      <c r="DK37" s="225"/>
      <c r="DL37" s="225"/>
      <c r="DM37" s="225"/>
      <c r="DN37" s="225"/>
      <c r="DO37" s="225"/>
      <c r="DP37" s="225"/>
    </row>
    <row r="38" spans="1:120" s="226" customFormat="1" ht="30" customHeight="1" thickBot="1">
      <c r="A38" s="1197"/>
      <c r="B38" s="307" t="s">
        <v>245</v>
      </c>
      <c r="C38" s="281" t="s">
        <v>202</v>
      </c>
      <c r="D38" s="310"/>
      <c r="E38" s="309"/>
      <c r="F38" s="308"/>
      <c r="G38" s="246"/>
      <c r="H38" s="308"/>
      <c r="I38" s="246"/>
      <c r="J38" s="308"/>
      <c r="K38" s="246"/>
      <c r="L38" s="308"/>
      <c r="M38" s="246"/>
      <c r="N38" s="308"/>
      <c r="O38" s="246"/>
      <c r="P38" s="308"/>
      <c r="Q38" s="246"/>
      <c r="R38" s="308" t="s">
        <v>427</v>
      </c>
      <c r="S38" s="246"/>
      <c r="T38" s="308"/>
      <c r="U38" s="249"/>
      <c r="V38" s="311"/>
      <c r="W38" s="312"/>
      <c r="X38" s="310"/>
      <c r="Y38" s="312"/>
      <c r="Z38" s="310"/>
      <c r="AA38" s="313"/>
      <c r="AB38" s="1200"/>
      <c r="AC38" s="1201"/>
      <c r="AD38" s="225"/>
      <c r="AE38" s="225"/>
      <c r="AF38" s="225"/>
      <c r="AG38" s="225"/>
      <c r="AH38" s="225"/>
      <c r="AI38" s="225"/>
      <c r="AJ38" s="225"/>
      <c r="AK38" s="225"/>
      <c r="AL38" s="225"/>
      <c r="AM38" s="225"/>
      <c r="AN38" s="225"/>
      <c r="AO38" s="225"/>
      <c r="AP38" s="225"/>
      <c r="AQ38" s="225"/>
      <c r="AR38" s="225"/>
      <c r="AS38" s="225"/>
      <c r="AT38" s="225"/>
      <c r="AU38" s="225"/>
      <c r="AV38" s="225"/>
      <c r="AW38" s="225"/>
      <c r="AX38" s="225"/>
      <c r="AY38" s="225"/>
      <c r="AZ38" s="225"/>
      <c r="BA38" s="225"/>
      <c r="BB38" s="225"/>
      <c r="BC38" s="225"/>
      <c r="BD38" s="225"/>
      <c r="BE38" s="225"/>
      <c r="BF38" s="225"/>
      <c r="BG38" s="225"/>
      <c r="BH38" s="225"/>
      <c r="BI38" s="225"/>
      <c r="BJ38" s="225"/>
      <c r="BK38" s="225"/>
      <c r="BL38" s="225"/>
      <c r="BM38" s="225"/>
      <c r="BN38" s="225"/>
      <c r="BO38" s="225"/>
      <c r="BP38" s="225"/>
      <c r="BQ38" s="225"/>
      <c r="BR38" s="225"/>
      <c r="BS38" s="225"/>
      <c r="BT38" s="225"/>
      <c r="BU38" s="225"/>
      <c r="BV38" s="225"/>
      <c r="BW38" s="225"/>
      <c r="BX38" s="225"/>
      <c r="BY38" s="225"/>
      <c r="BZ38" s="225"/>
      <c r="CA38" s="225"/>
      <c r="CB38" s="225"/>
      <c r="CC38" s="225"/>
      <c r="CD38" s="225"/>
      <c r="CE38" s="225"/>
      <c r="CF38" s="225"/>
      <c r="CG38" s="225"/>
      <c r="CH38" s="225"/>
      <c r="CI38" s="225"/>
      <c r="CJ38" s="225"/>
      <c r="CK38" s="225"/>
      <c r="CL38" s="225"/>
      <c r="CM38" s="225"/>
      <c r="CN38" s="225"/>
      <c r="CO38" s="225"/>
      <c r="CP38" s="225"/>
      <c r="CQ38" s="225"/>
      <c r="CR38" s="225"/>
      <c r="CS38" s="225"/>
      <c r="CT38" s="225"/>
      <c r="CU38" s="225"/>
      <c r="CV38" s="225"/>
      <c r="CW38" s="225"/>
      <c r="CX38" s="225"/>
      <c r="CY38" s="225"/>
      <c r="CZ38" s="225"/>
      <c r="DA38" s="225"/>
      <c r="DB38" s="225"/>
      <c r="DC38" s="225"/>
      <c r="DD38" s="225"/>
      <c r="DE38" s="225"/>
      <c r="DF38" s="225"/>
      <c r="DG38" s="225"/>
      <c r="DH38" s="225"/>
      <c r="DI38" s="225"/>
      <c r="DJ38" s="225"/>
      <c r="DK38" s="225"/>
      <c r="DL38" s="225"/>
      <c r="DM38" s="225"/>
      <c r="DN38" s="225"/>
      <c r="DO38" s="225"/>
      <c r="DP38" s="225"/>
    </row>
    <row r="39" spans="1:120" s="226" customFormat="1" ht="14.25" customHeight="1">
      <c r="A39" s="314"/>
      <c r="B39" s="315"/>
      <c r="C39" s="315"/>
      <c r="D39" s="315"/>
      <c r="E39" s="315"/>
      <c r="F39" s="315"/>
      <c r="G39" s="315"/>
      <c r="H39" s="315"/>
      <c r="I39" s="315"/>
      <c r="J39" s="315"/>
      <c r="K39" s="315"/>
      <c r="L39" s="315"/>
      <c r="M39" s="315"/>
      <c r="N39" s="315"/>
      <c r="O39" s="315"/>
      <c r="P39" s="315"/>
      <c r="Q39" s="315"/>
      <c r="R39" s="315"/>
      <c r="S39" s="315"/>
      <c r="T39" s="315"/>
      <c r="U39" s="315"/>
      <c r="V39" s="315"/>
      <c r="W39" s="315"/>
      <c r="X39" s="315"/>
      <c r="Y39" s="315"/>
      <c r="Z39" s="315"/>
      <c r="AA39" s="315"/>
      <c r="AB39" s="315"/>
      <c r="AC39" s="315"/>
      <c r="AD39" s="225"/>
      <c r="AE39" s="225"/>
      <c r="AF39" s="225"/>
      <c r="AG39" s="225"/>
      <c r="AH39" s="225"/>
      <c r="AI39" s="225"/>
      <c r="AJ39" s="225"/>
      <c r="AK39" s="225"/>
      <c r="AL39" s="225"/>
      <c r="AM39" s="225"/>
      <c r="AN39" s="225"/>
      <c r="AO39" s="225"/>
      <c r="AP39" s="225"/>
      <c r="AQ39" s="225"/>
      <c r="AR39" s="225"/>
      <c r="AS39" s="225"/>
      <c r="AT39" s="225"/>
      <c r="AU39" s="225"/>
      <c r="AV39" s="225"/>
      <c r="AW39" s="225"/>
      <c r="AX39" s="225"/>
      <c r="AY39" s="225"/>
      <c r="AZ39" s="225"/>
      <c r="BA39" s="225"/>
      <c r="BB39" s="225"/>
      <c r="BC39" s="225"/>
      <c r="BD39" s="225"/>
      <c r="BE39" s="225"/>
      <c r="BF39" s="225"/>
      <c r="BG39" s="225"/>
      <c r="BH39" s="225"/>
      <c r="BI39" s="225"/>
      <c r="BJ39" s="225"/>
      <c r="BK39" s="225"/>
      <c r="BL39" s="225"/>
      <c r="BM39" s="225"/>
      <c r="BN39" s="225"/>
      <c r="BO39" s="225"/>
      <c r="BP39" s="225"/>
      <c r="BQ39" s="225"/>
      <c r="BR39" s="225"/>
      <c r="BS39" s="225"/>
      <c r="BT39" s="225"/>
      <c r="BU39" s="225"/>
      <c r="BV39" s="225"/>
      <c r="BW39" s="225"/>
      <c r="BX39" s="225"/>
      <c r="BY39" s="225"/>
      <c r="BZ39" s="225"/>
      <c r="CA39" s="225"/>
      <c r="CB39" s="225"/>
      <c r="CC39" s="225"/>
      <c r="CD39" s="225"/>
      <c r="CE39" s="225"/>
      <c r="CF39" s="225"/>
      <c r="CG39" s="225"/>
      <c r="CH39" s="225"/>
      <c r="CI39" s="225"/>
      <c r="CJ39" s="225"/>
      <c r="CK39" s="225"/>
      <c r="CL39" s="225"/>
      <c r="CM39" s="225"/>
      <c r="CN39" s="225"/>
      <c r="CO39" s="225"/>
      <c r="CP39" s="225"/>
      <c r="CQ39" s="225"/>
      <c r="CR39" s="225"/>
      <c r="CS39" s="225"/>
      <c r="CT39" s="225"/>
      <c r="CU39" s="225"/>
      <c r="CV39" s="225"/>
      <c r="CW39" s="225"/>
      <c r="CX39" s="225"/>
      <c r="CY39" s="225"/>
      <c r="CZ39" s="225"/>
      <c r="DA39" s="225"/>
      <c r="DB39" s="225"/>
      <c r="DC39" s="225"/>
      <c r="DD39" s="225"/>
      <c r="DE39" s="225"/>
      <c r="DF39" s="225"/>
      <c r="DG39" s="225"/>
      <c r="DH39" s="225"/>
      <c r="DI39" s="225"/>
      <c r="DJ39" s="225"/>
      <c r="DK39" s="225"/>
      <c r="DL39" s="225"/>
      <c r="DM39" s="225"/>
      <c r="DN39" s="225"/>
      <c r="DO39" s="225"/>
      <c r="DP39" s="225"/>
    </row>
    <row r="40" spans="1:120" s="226" customFormat="1" ht="14.4">
      <c r="A40" s="316"/>
      <c r="B40" s="317"/>
      <c r="C40" s="317"/>
      <c r="D40" s="317"/>
      <c r="E40" s="317"/>
      <c r="F40" s="317"/>
      <c r="G40" s="317"/>
      <c r="H40" s="317"/>
      <c r="I40" s="317"/>
      <c r="J40" s="317"/>
      <c r="K40" s="317"/>
      <c r="L40" s="317"/>
      <c r="M40" s="317"/>
      <c r="N40" s="317"/>
      <c r="O40" s="317"/>
      <c r="P40" s="317"/>
      <c r="Q40" s="317"/>
      <c r="R40" s="317"/>
      <c r="S40" s="317"/>
      <c r="T40" s="317"/>
      <c r="U40" s="317"/>
      <c r="V40" s="317"/>
      <c r="W40" s="317"/>
      <c r="X40" s="317"/>
      <c r="Y40" s="317"/>
      <c r="Z40" s="317"/>
      <c r="AA40" s="317"/>
      <c r="AB40" s="317"/>
      <c r="AC40" s="317"/>
      <c r="AD40" s="225"/>
      <c r="AE40" s="225"/>
      <c r="AF40" s="225"/>
      <c r="AG40" s="225"/>
      <c r="AH40" s="225"/>
      <c r="AI40" s="225"/>
      <c r="AJ40" s="225"/>
      <c r="AK40" s="225"/>
      <c r="AL40" s="225"/>
      <c r="AM40" s="225"/>
      <c r="AN40" s="225"/>
      <c r="AO40" s="225"/>
      <c r="AP40" s="225"/>
      <c r="AQ40" s="225"/>
      <c r="AR40" s="225"/>
      <c r="AS40" s="225"/>
      <c r="AT40" s="225"/>
      <c r="AU40" s="225"/>
      <c r="AV40" s="225"/>
      <c r="AW40" s="225"/>
      <c r="AX40" s="225"/>
      <c r="AY40" s="225"/>
      <c r="AZ40" s="225"/>
      <c r="BA40" s="225"/>
      <c r="BB40" s="225"/>
      <c r="BC40" s="225"/>
      <c r="BD40" s="225"/>
      <c r="BE40" s="225"/>
      <c r="BF40" s="225"/>
      <c r="BG40" s="225"/>
      <c r="BH40" s="225"/>
      <c r="BI40" s="225"/>
      <c r="BJ40" s="225"/>
      <c r="BK40" s="225"/>
      <c r="BL40" s="225"/>
      <c r="BM40" s="225"/>
      <c r="BN40" s="225"/>
      <c r="BO40" s="225"/>
      <c r="BP40" s="225"/>
      <c r="BQ40" s="225"/>
      <c r="BR40" s="225"/>
      <c r="BS40" s="225"/>
      <c r="BT40" s="225"/>
      <c r="BU40" s="225"/>
      <c r="BV40" s="225"/>
      <c r="BW40" s="225"/>
      <c r="BX40" s="225"/>
      <c r="BY40" s="225"/>
      <c r="BZ40" s="225"/>
      <c r="CA40" s="225"/>
      <c r="CB40" s="225"/>
      <c r="CC40" s="225"/>
      <c r="CD40" s="225"/>
      <c r="CE40" s="225"/>
      <c r="CF40" s="225"/>
      <c r="CG40" s="225"/>
      <c r="CH40" s="225"/>
      <c r="CI40" s="225"/>
      <c r="CJ40" s="225"/>
      <c r="CK40" s="225"/>
      <c r="CL40" s="225"/>
      <c r="CM40" s="225"/>
      <c r="CN40" s="225"/>
      <c r="CO40" s="225"/>
      <c r="CP40" s="225"/>
      <c r="CQ40" s="225"/>
      <c r="CR40" s="225"/>
      <c r="CS40" s="225"/>
      <c r="CT40" s="225"/>
      <c r="CU40" s="225"/>
      <c r="CV40" s="225"/>
      <c r="CW40" s="225"/>
      <c r="CX40" s="225"/>
      <c r="CY40" s="225"/>
      <c r="CZ40" s="225"/>
      <c r="DA40" s="225"/>
      <c r="DB40" s="225"/>
      <c r="DC40" s="225"/>
      <c r="DD40" s="225"/>
      <c r="DE40" s="225"/>
      <c r="DF40" s="225"/>
      <c r="DG40" s="225"/>
      <c r="DH40" s="225"/>
      <c r="DI40" s="225"/>
      <c r="DJ40" s="225"/>
      <c r="DK40" s="225"/>
      <c r="DL40" s="225"/>
      <c r="DM40" s="225"/>
      <c r="DN40" s="225"/>
      <c r="DO40" s="225"/>
      <c r="DP40" s="225"/>
    </row>
    <row r="41" spans="1:120" ht="14.4">
      <c r="B41" s="224"/>
      <c r="D41" s="225"/>
      <c r="E41" s="225"/>
      <c r="F41" s="225"/>
      <c r="G41" s="225"/>
      <c r="H41" s="225"/>
      <c r="I41" s="225"/>
      <c r="J41" s="225"/>
      <c r="K41" s="225"/>
      <c r="L41" s="225"/>
      <c r="M41" s="225"/>
      <c r="N41" s="225"/>
      <c r="O41" s="225"/>
      <c r="P41" s="225"/>
      <c r="Q41" s="225"/>
      <c r="R41" s="225"/>
      <c r="S41" s="225"/>
      <c r="T41" s="225"/>
      <c r="U41" s="225"/>
      <c r="V41" s="225"/>
      <c r="W41" s="225"/>
      <c r="X41" s="225"/>
      <c r="Y41" s="225"/>
      <c r="Z41" s="225"/>
      <c r="AA41" s="225"/>
      <c r="AC41" s="225"/>
      <c r="AD41" s="224"/>
      <c r="AE41" s="224"/>
      <c r="AF41" s="224"/>
      <c r="AG41" s="224"/>
      <c r="AH41" s="224"/>
      <c r="AI41" s="224"/>
      <c r="AJ41" s="224"/>
      <c r="AK41" s="224"/>
      <c r="AL41" s="224"/>
      <c r="AM41" s="224"/>
      <c r="AN41" s="224"/>
      <c r="AO41" s="224"/>
      <c r="AP41" s="224"/>
      <c r="AQ41" s="224"/>
      <c r="AR41" s="224"/>
      <c r="AS41" s="224"/>
      <c r="AT41" s="224"/>
      <c r="AU41" s="224"/>
      <c r="AV41" s="224"/>
      <c r="AW41" s="224"/>
      <c r="AX41" s="224"/>
      <c r="AY41" s="224"/>
      <c r="AZ41" s="224"/>
      <c r="BA41" s="224"/>
      <c r="BB41" s="224"/>
      <c r="BC41" s="224"/>
      <c r="BD41" s="224"/>
      <c r="BE41" s="224"/>
      <c r="BF41" s="224"/>
      <c r="BG41" s="224"/>
      <c r="BH41" s="224"/>
      <c r="BI41" s="224"/>
      <c r="BJ41" s="224"/>
      <c r="BK41" s="224"/>
      <c r="BL41" s="224"/>
      <c r="BM41" s="224"/>
      <c r="BN41" s="224"/>
      <c r="BO41" s="224"/>
      <c r="BP41" s="224"/>
      <c r="BQ41" s="224"/>
      <c r="BR41" s="224"/>
      <c r="BS41" s="224"/>
      <c r="BT41" s="224"/>
      <c r="BU41" s="224"/>
      <c r="BV41" s="224"/>
      <c r="BW41" s="224"/>
      <c r="BX41" s="224"/>
      <c r="BY41" s="224"/>
      <c r="BZ41" s="224"/>
      <c r="CA41" s="224"/>
      <c r="CB41" s="224"/>
      <c r="CC41" s="224"/>
      <c r="CD41" s="224"/>
      <c r="CE41" s="224"/>
      <c r="CF41" s="224"/>
      <c r="CG41" s="224"/>
      <c r="CH41" s="224"/>
      <c r="CI41" s="224"/>
      <c r="CJ41" s="224"/>
      <c r="CK41" s="224"/>
      <c r="CL41" s="224"/>
      <c r="CM41" s="224"/>
      <c r="CN41" s="224"/>
      <c r="CO41" s="224"/>
      <c r="CP41" s="224"/>
      <c r="CQ41" s="224"/>
      <c r="CR41" s="224"/>
      <c r="CS41" s="224"/>
      <c r="CT41" s="224"/>
      <c r="CU41" s="224"/>
      <c r="CV41" s="224"/>
      <c r="CW41" s="224"/>
      <c r="CX41" s="224"/>
      <c r="CY41" s="224"/>
      <c r="CZ41" s="224"/>
      <c r="DA41" s="224"/>
      <c r="DB41" s="224"/>
      <c r="DC41" s="224"/>
      <c r="DD41" s="224"/>
      <c r="DE41" s="224"/>
      <c r="DF41" s="224"/>
      <c r="DG41" s="224"/>
      <c r="DH41" s="224"/>
      <c r="DI41" s="224"/>
      <c r="DJ41" s="224"/>
      <c r="DK41" s="224"/>
      <c r="DL41" s="224"/>
      <c r="DM41" s="224"/>
      <c r="DN41" s="224"/>
      <c r="DO41" s="224"/>
      <c r="DP41" s="224"/>
    </row>
    <row r="42" spans="1:120">
      <c r="D42" s="318"/>
    </row>
  </sheetData>
  <mergeCells count="53">
    <mergeCell ref="A1:AC1"/>
    <mergeCell ref="A3:AC3"/>
    <mergeCell ref="V4:AA4"/>
    <mergeCell ref="B5:B6"/>
    <mergeCell ref="C5:C6"/>
    <mergeCell ref="D5:E5"/>
    <mergeCell ref="F5:G5"/>
    <mergeCell ref="H5:I5"/>
    <mergeCell ref="J5:K5"/>
    <mergeCell ref="L5:M5"/>
    <mergeCell ref="Z5:AA5"/>
    <mergeCell ref="AB5:AC6"/>
    <mergeCell ref="N5:O5"/>
    <mergeCell ref="P5:Q5"/>
    <mergeCell ref="R5:S5"/>
    <mergeCell ref="T5:U5"/>
    <mergeCell ref="V5:W5"/>
    <mergeCell ref="X5:Y5"/>
    <mergeCell ref="A13:A18"/>
    <mergeCell ref="AB13:AC13"/>
    <mergeCell ref="AB14:AC14"/>
    <mergeCell ref="AB15:AC15"/>
    <mergeCell ref="AB16:AC16"/>
    <mergeCell ref="AB18:AC18"/>
    <mergeCell ref="A7:A12"/>
    <mergeCell ref="AB7:AC7"/>
    <mergeCell ref="AB9:AC9"/>
    <mergeCell ref="AB10:AC10"/>
    <mergeCell ref="AB11:AC11"/>
    <mergeCell ref="AB12:AC12"/>
    <mergeCell ref="AB17:AC17"/>
    <mergeCell ref="A19:A26"/>
    <mergeCell ref="AB19:AC19"/>
    <mergeCell ref="AB20:AC20"/>
    <mergeCell ref="AB21:AC21"/>
    <mergeCell ref="AB22:AC22"/>
    <mergeCell ref="AB23:AC23"/>
    <mergeCell ref="AB25:AC25"/>
    <mergeCell ref="AB26:AC26"/>
    <mergeCell ref="A37:A38"/>
    <mergeCell ref="AB37:AC37"/>
    <mergeCell ref="AB38:AC38"/>
    <mergeCell ref="A27:A31"/>
    <mergeCell ref="AB27:AC27"/>
    <mergeCell ref="AB28:AC28"/>
    <mergeCell ref="AB29:AC29"/>
    <mergeCell ref="AB30:AC30"/>
    <mergeCell ref="AB31:AC31"/>
    <mergeCell ref="A32:A36"/>
    <mergeCell ref="AB32:AC32"/>
    <mergeCell ref="AB34:AC34"/>
    <mergeCell ref="AB35:AC35"/>
    <mergeCell ref="AB36:AC36"/>
  </mergeCells>
  <phoneticPr fontId="7"/>
  <printOptions horizontalCentered="1" verticalCentered="1"/>
  <pageMargins left="0.19685039370078741" right="0.19685039370078741" top="0.59055118110236227" bottom="0.19685039370078741" header="0" footer="0"/>
  <pageSetup paperSize="9" scale="51"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2:AH201"/>
  <sheetViews>
    <sheetView view="pageBreakPreview" topLeftCell="J1" zoomScale="55" zoomScaleNormal="100" zoomScaleSheetLayoutView="55" workbookViewId="0">
      <selection activeCell="AB13" sqref="AB13"/>
    </sheetView>
  </sheetViews>
  <sheetFormatPr defaultColWidth="9" defaultRowHeight="13.2"/>
  <cols>
    <col min="1" max="1" width="4.6640625" style="867" customWidth="1"/>
    <col min="2" max="2" width="15.21875" style="869" customWidth="1"/>
    <col min="3" max="3" width="62.77734375" style="869" bestFit="1" customWidth="1"/>
    <col min="4" max="4" width="19.88671875" style="869" customWidth="1"/>
    <col min="5" max="8" width="25.77734375" style="869" customWidth="1"/>
    <col min="9" max="9" width="52.6640625" style="869" customWidth="1"/>
    <col min="10" max="33" width="11.21875" style="869" customWidth="1"/>
    <col min="34" max="34" width="134.33203125" style="869" bestFit="1" customWidth="1"/>
    <col min="35" max="16384" width="9" style="392"/>
  </cols>
  <sheetData>
    <row r="2" spans="1:34" ht="33.6" thickBot="1">
      <c r="A2" s="386" t="s">
        <v>751</v>
      </c>
      <c r="B2" s="387"/>
      <c r="C2" s="387"/>
      <c r="D2" s="387"/>
      <c r="E2" s="387"/>
      <c r="F2" s="387"/>
      <c r="G2" s="388"/>
      <c r="H2" s="389"/>
      <c r="I2" s="387"/>
      <c r="J2" s="387"/>
      <c r="K2" s="390"/>
      <c r="L2" s="387"/>
      <c r="M2" s="390"/>
      <c r="N2" s="387"/>
      <c r="O2" s="387"/>
      <c r="P2" s="387"/>
      <c r="Q2" s="387"/>
      <c r="R2" s="387"/>
      <c r="S2" s="387"/>
      <c r="T2" s="387"/>
      <c r="U2" s="387"/>
      <c r="V2" s="387"/>
      <c r="W2" s="387"/>
      <c r="X2" s="387"/>
      <c r="Y2" s="387"/>
      <c r="Z2" s="387"/>
      <c r="AA2" s="387"/>
      <c r="AB2" s="387"/>
      <c r="AC2" s="387"/>
      <c r="AD2" s="387"/>
      <c r="AE2" s="387"/>
      <c r="AF2" s="387"/>
      <c r="AG2" s="387"/>
      <c r="AH2" s="391">
        <f ca="1">TODAY()</f>
        <v>45079</v>
      </c>
    </row>
    <row r="3" spans="1:34" ht="28.8" thickTop="1">
      <c r="A3" s="393"/>
      <c r="B3" s="394"/>
      <c r="C3" s="394"/>
      <c r="D3" s="394"/>
      <c r="E3" s="394"/>
      <c r="F3" s="394"/>
      <c r="G3" s="394"/>
      <c r="H3" s="394"/>
      <c r="I3" s="394"/>
      <c r="J3" s="394"/>
      <c r="K3" s="395"/>
      <c r="L3" s="394"/>
      <c r="M3" s="395"/>
      <c r="N3" s="394"/>
      <c r="O3" s="394"/>
      <c r="P3" s="394"/>
      <c r="Q3" s="394"/>
      <c r="R3" s="394"/>
      <c r="S3" s="394"/>
      <c r="T3" s="394"/>
      <c r="U3" s="394"/>
      <c r="V3" s="394"/>
      <c r="W3" s="394"/>
      <c r="X3" s="394"/>
      <c r="Y3" s="394"/>
      <c r="Z3" s="394"/>
      <c r="AA3" s="394"/>
      <c r="AB3" s="394"/>
      <c r="AC3" s="394"/>
      <c r="AD3" s="394"/>
      <c r="AE3" s="394"/>
      <c r="AF3" s="394"/>
      <c r="AG3" s="394"/>
      <c r="AH3" s="394"/>
    </row>
    <row r="4" spans="1:34" ht="28.5" customHeight="1" thickBot="1">
      <c r="A4" s="396"/>
      <c r="B4" s="397" t="s">
        <v>250</v>
      </c>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c r="AE4" s="398"/>
      <c r="AF4" s="398"/>
      <c r="AG4" s="398"/>
      <c r="AH4" s="398"/>
    </row>
    <row r="5" spans="1:34" ht="23.25" customHeight="1">
      <c r="A5" s="399"/>
      <c r="B5" s="1268" t="s">
        <v>251</v>
      </c>
      <c r="C5" s="1306"/>
      <c r="D5" s="1306"/>
      <c r="E5" s="1306"/>
      <c r="F5" s="1306"/>
      <c r="G5" s="1306"/>
      <c r="H5" s="1306"/>
      <c r="I5" s="1307"/>
      <c r="J5" s="1268" t="s">
        <v>252</v>
      </c>
      <c r="K5" s="1306"/>
      <c r="L5" s="1306"/>
      <c r="M5" s="1306"/>
      <c r="N5" s="1306"/>
      <c r="O5" s="1306"/>
      <c r="P5" s="1306"/>
      <c r="Q5" s="1306"/>
      <c r="R5" s="1306"/>
      <c r="S5" s="1306"/>
      <c r="T5" s="1307"/>
      <c r="U5" s="1268" t="s">
        <v>153</v>
      </c>
      <c r="V5" s="1306"/>
      <c r="W5" s="1307"/>
      <c r="X5" s="400"/>
      <c r="Y5" s="400"/>
      <c r="Z5" s="400"/>
      <c r="AA5" s="400"/>
      <c r="AB5" s="400"/>
      <c r="AC5" s="400"/>
      <c r="AD5" s="400"/>
      <c r="AE5" s="400"/>
      <c r="AF5" s="400"/>
      <c r="AG5" s="400"/>
      <c r="AH5" s="400"/>
    </row>
    <row r="6" spans="1:34" ht="23.25" customHeight="1">
      <c r="A6" s="401"/>
      <c r="B6" s="402" t="s">
        <v>253</v>
      </c>
      <c r="C6" s="403" t="s">
        <v>254</v>
      </c>
      <c r="D6" s="403" t="s">
        <v>255</v>
      </c>
      <c r="E6" s="403" t="s">
        <v>256</v>
      </c>
      <c r="F6" s="1308" t="s">
        <v>257</v>
      </c>
      <c r="G6" s="1309"/>
      <c r="H6" s="1309"/>
      <c r="I6" s="1310"/>
      <c r="J6" s="1311" t="s">
        <v>258</v>
      </c>
      <c r="K6" s="1309"/>
      <c r="L6" s="1312"/>
      <c r="M6" s="1308" t="s">
        <v>259</v>
      </c>
      <c r="N6" s="1309"/>
      <c r="O6" s="1309"/>
      <c r="P6" s="1312"/>
      <c r="Q6" s="1308" t="s">
        <v>260</v>
      </c>
      <c r="R6" s="1309"/>
      <c r="S6" s="1309"/>
      <c r="T6" s="1310"/>
      <c r="U6" s="402" t="s">
        <v>261</v>
      </c>
      <c r="V6" s="404" t="s">
        <v>262</v>
      </c>
      <c r="W6" s="405" t="s">
        <v>263</v>
      </c>
      <c r="X6" s="406"/>
      <c r="Y6" s="406"/>
      <c r="Z6" s="406"/>
      <c r="AA6" s="406"/>
      <c r="AB6" s="406"/>
      <c r="AC6" s="406"/>
      <c r="AD6" s="406"/>
      <c r="AE6" s="406"/>
      <c r="AF6" s="406"/>
      <c r="AG6" s="406"/>
      <c r="AH6" s="406"/>
    </row>
    <row r="7" spans="1:34" ht="23.25" customHeight="1">
      <c r="A7" s="401"/>
      <c r="B7" s="407"/>
      <c r="C7" s="408"/>
      <c r="D7" s="409"/>
      <c r="E7" s="410"/>
      <c r="F7" s="411" t="s">
        <v>264</v>
      </c>
      <c r="G7" s="411" t="s">
        <v>265</v>
      </c>
      <c r="H7" s="411" t="s">
        <v>266</v>
      </c>
      <c r="I7" s="412" t="s">
        <v>267</v>
      </c>
      <c r="J7" s="413" t="s">
        <v>268</v>
      </c>
      <c r="K7" s="414" t="s">
        <v>269</v>
      </c>
      <c r="L7" s="414" t="s">
        <v>270</v>
      </c>
      <c r="M7" s="414" t="s">
        <v>271</v>
      </c>
      <c r="N7" s="414" t="s">
        <v>272</v>
      </c>
      <c r="O7" s="414" t="s">
        <v>273</v>
      </c>
      <c r="P7" s="414" t="s">
        <v>274</v>
      </c>
      <c r="Q7" s="414" t="s">
        <v>275</v>
      </c>
      <c r="R7" s="414" t="s">
        <v>276</v>
      </c>
      <c r="S7" s="414" t="s">
        <v>277</v>
      </c>
      <c r="T7" s="415" t="s">
        <v>278</v>
      </c>
      <c r="U7" s="416"/>
      <c r="V7" s="417"/>
      <c r="W7" s="418"/>
      <c r="X7" s="406"/>
      <c r="Y7" s="406"/>
      <c r="Z7" s="406"/>
      <c r="AA7" s="406"/>
      <c r="AB7" s="406"/>
      <c r="AC7" s="406"/>
      <c r="AD7" s="406"/>
      <c r="AE7" s="406"/>
      <c r="AF7" s="406"/>
      <c r="AG7" s="406"/>
      <c r="AH7" s="406"/>
    </row>
    <row r="8" spans="1:34" ht="23.25" customHeight="1" thickBot="1">
      <c r="A8" s="399"/>
      <c r="B8" s="419" t="s">
        <v>279</v>
      </c>
      <c r="C8" s="420">
        <v>3508.91</v>
      </c>
      <c r="D8" s="421">
        <v>43921</v>
      </c>
      <c r="E8" s="422" t="str">
        <f ca="1">DATEDIF(D8,TODAY(),"Y")&amp;"年"&amp;DATEDIF(D8,TODAY(),"YM")&amp;"ヵ月"</f>
        <v>3年2ヵ月</v>
      </c>
      <c r="F8" s="423">
        <v>13</v>
      </c>
      <c r="G8" s="423">
        <v>0</v>
      </c>
      <c r="H8" s="423">
        <v>1</v>
      </c>
      <c r="I8" s="424">
        <v>58</v>
      </c>
      <c r="J8" s="425" t="s">
        <v>280</v>
      </c>
      <c r="K8" s="425" t="s">
        <v>281</v>
      </c>
      <c r="L8" s="425" t="s">
        <v>281</v>
      </c>
      <c r="M8" s="426" t="s">
        <v>281</v>
      </c>
      <c r="N8" s="426" t="s">
        <v>281</v>
      </c>
      <c r="O8" s="425" t="s">
        <v>281</v>
      </c>
      <c r="P8" s="425" t="s">
        <v>281</v>
      </c>
      <c r="Q8" s="427" t="s">
        <v>429</v>
      </c>
      <c r="R8" s="425" t="s">
        <v>281</v>
      </c>
      <c r="S8" s="425" t="s">
        <v>281</v>
      </c>
      <c r="T8" s="428" t="s">
        <v>281</v>
      </c>
      <c r="U8" s="429" t="s">
        <v>281</v>
      </c>
      <c r="V8" s="425" t="s">
        <v>281</v>
      </c>
      <c r="W8" s="430" t="s">
        <v>281</v>
      </c>
      <c r="X8" s="400"/>
      <c r="Y8" s="400"/>
      <c r="Z8" s="400"/>
      <c r="AA8" s="400"/>
      <c r="AB8" s="400"/>
      <c r="AC8" s="400"/>
      <c r="AD8" s="400"/>
      <c r="AE8" s="400"/>
      <c r="AF8" s="400"/>
      <c r="AG8" s="400"/>
      <c r="AH8" s="400"/>
    </row>
    <row r="9" spans="1:34" ht="23.25" customHeight="1">
      <c r="A9" s="399"/>
      <c r="B9" s="400"/>
      <c r="C9" s="400"/>
      <c r="D9" s="400"/>
      <c r="E9" s="400"/>
      <c r="F9" s="395"/>
      <c r="G9" s="395"/>
      <c r="H9" s="395"/>
      <c r="I9" s="395"/>
      <c r="J9" s="400"/>
      <c r="K9" s="400"/>
      <c r="L9" s="400"/>
      <c r="M9" s="400"/>
      <c r="N9" s="400"/>
      <c r="O9" s="400"/>
      <c r="P9" s="400"/>
      <c r="Q9" s="400"/>
      <c r="R9" s="400"/>
      <c r="S9" s="400"/>
      <c r="T9" s="400"/>
      <c r="U9" s="400"/>
      <c r="V9" s="400"/>
      <c r="W9" s="400"/>
      <c r="X9" s="400"/>
      <c r="Y9" s="400"/>
      <c r="Z9" s="400"/>
      <c r="AA9" s="400"/>
      <c r="AB9" s="400"/>
      <c r="AC9" s="400"/>
      <c r="AD9" s="400"/>
      <c r="AE9" s="400"/>
      <c r="AF9" s="400"/>
      <c r="AG9" s="400"/>
      <c r="AH9" s="400"/>
    </row>
    <row r="10" spans="1:34" ht="23.25" customHeight="1" thickBot="1">
      <c r="A10" s="399"/>
      <c r="B10" s="397" t="s">
        <v>282</v>
      </c>
      <c r="C10" s="400"/>
      <c r="D10" s="400"/>
      <c r="E10" s="400"/>
      <c r="F10" s="400"/>
      <c r="G10" s="400"/>
      <c r="H10" s="400"/>
      <c r="I10" s="400"/>
      <c r="J10" s="400"/>
      <c r="K10" s="400"/>
      <c r="L10" s="400"/>
      <c r="M10" s="400"/>
      <c r="N10" s="400"/>
      <c r="O10" s="400"/>
      <c r="P10" s="400"/>
      <c r="Q10" s="400"/>
      <c r="R10" s="400"/>
      <c r="S10" s="400"/>
      <c r="T10" s="400"/>
      <c r="U10" s="400"/>
      <c r="V10" s="400"/>
      <c r="W10" s="400"/>
      <c r="X10" s="400"/>
      <c r="Y10" s="400"/>
      <c r="Z10" s="400"/>
      <c r="AA10" s="400"/>
      <c r="AB10" s="400"/>
      <c r="AC10" s="400"/>
      <c r="AD10" s="400"/>
      <c r="AE10" s="400"/>
      <c r="AF10" s="400"/>
      <c r="AG10" s="400"/>
      <c r="AH10" s="400"/>
    </row>
    <row r="11" spans="1:34" ht="23.25" customHeight="1">
      <c r="A11" s="396"/>
      <c r="B11" s="1268" t="s">
        <v>283</v>
      </c>
      <c r="C11" s="1313"/>
      <c r="D11" s="1313"/>
      <c r="E11" s="1313"/>
      <c r="F11" s="1313"/>
      <c r="G11" s="1314"/>
      <c r="H11" s="431" t="s">
        <v>284</v>
      </c>
      <c r="I11" s="1268" t="s">
        <v>359</v>
      </c>
      <c r="J11" s="1313"/>
      <c r="K11" s="1313"/>
      <c r="L11" s="1313"/>
      <c r="M11" s="1313"/>
      <c r="N11" s="1313"/>
      <c r="O11" s="1314"/>
      <c r="P11" s="400"/>
      <c r="Q11" s="406"/>
      <c r="R11" s="400"/>
      <c r="S11" s="406"/>
      <c r="T11" s="400"/>
      <c r="U11" s="400"/>
      <c r="V11" s="400"/>
      <c r="W11" s="400"/>
      <c r="X11" s="400"/>
      <c r="Y11" s="400"/>
      <c r="Z11" s="400"/>
      <c r="AA11" s="400"/>
      <c r="AB11" s="400"/>
      <c r="AC11" s="400"/>
      <c r="AD11" s="400"/>
      <c r="AE11" s="400"/>
      <c r="AF11" s="400"/>
      <c r="AG11" s="400"/>
      <c r="AH11" s="400"/>
    </row>
    <row r="12" spans="1:34" ht="30" customHeight="1">
      <c r="A12" s="396"/>
      <c r="B12" s="432" t="s">
        <v>285</v>
      </c>
      <c r="C12" s="411" t="s">
        <v>286</v>
      </c>
      <c r="D12" s="411" t="s">
        <v>287</v>
      </c>
      <c r="E12" s="433" t="s">
        <v>288</v>
      </c>
      <c r="F12" s="434" t="s">
        <v>289</v>
      </c>
      <c r="G12" s="435" t="s">
        <v>290</v>
      </c>
      <c r="H12" s="436" t="s">
        <v>291</v>
      </c>
      <c r="I12" s="402" t="s">
        <v>430</v>
      </c>
      <c r="J12" s="1309" t="s">
        <v>431</v>
      </c>
      <c r="K12" s="1312"/>
      <c r="L12" s="1308" t="s">
        <v>432</v>
      </c>
      <c r="M12" s="1312"/>
      <c r="N12" s="1325" t="s">
        <v>433</v>
      </c>
      <c r="O12" s="1326"/>
      <c r="P12" s="437"/>
      <c r="Q12" s="400"/>
      <c r="R12" s="406"/>
      <c r="S12" s="400"/>
      <c r="T12" s="406"/>
      <c r="U12" s="400"/>
      <c r="V12" s="400"/>
      <c r="W12" s="400"/>
      <c r="X12" s="400"/>
      <c r="Y12" s="400"/>
      <c r="Z12" s="400"/>
      <c r="AA12" s="400"/>
      <c r="AB12" s="400"/>
      <c r="AC12" s="400"/>
      <c r="AD12" s="400"/>
      <c r="AE12" s="400"/>
      <c r="AF12" s="400"/>
      <c r="AG12" s="400"/>
      <c r="AH12" s="400"/>
    </row>
    <row r="13" spans="1:34" ht="23.25" customHeight="1" thickBot="1">
      <c r="A13" s="396"/>
      <c r="B13" s="419" t="s">
        <v>292</v>
      </c>
      <c r="C13" s="426" t="s">
        <v>434</v>
      </c>
      <c r="D13" s="426" t="s">
        <v>435</v>
      </c>
      <c r="E13" s="425" t="s">
        <v>281</v>
      </c>
      <c r="F13" s="425" t="s">
        <v>281</v>
      </c>
      <c r="G13" s="425" t="s">
        <v>281</v>
      </c>
      <c r="H13" s="438" t="s">
        <v>280</v>
      </c>
      <c r="I13" s="429" t="s">
        <v>280</v>
      </c>
      <c r="J13" s="1327" t="s">
        <v>436</v>
      </c>
      <c r="K13" s="1328"/>
      <c r="L13" s="1329">
        <v>0.3</v>
      </c>
      <c r="M13" s="1328"/>
      <c r="N13" s="1327" t="s">
        <v>437</v>
      </c>
      <c r="O13" s="1330"/>
      <c r="P13" s="439"/>
      <c r="Q13" s="406"/>
      <c r="R13" s="406"/>
      <c r="S13" s="406"/>
      <c r="T13" s="406"/>
      <c r="U13" s="400"/>
      <c r="V13" s="400"/>
      <c r="W13" s="400"/>
      <c r="X13" s="400"/>
      <c r="Y13" s="400"/>
      <c r="Z13" s="400"/>
      <c r="AA13" s="400"/>
      <c r="AB13" s="400"/>
      <c r="AC13" s="400"/>
      <c r="AD13" s="400"/>
      <c r="AE13" s="400"/>
      <c r="AF13" s="400"/>
      <c r="AG13" s="400"/>
      <c r="AH13" s="400"/>
    </row>
    <row r="14" spans="1:34" ht="23.25" customHeight="1">
      <c r="A14" s="396"/>
      <c r="B14" s="400"/>
      <c r="C14" s="400"/>
      <c r="D14" s="400"/>
      <c r="E14" s="400"/>
      <c r="F14" s="400"/>
      <c r="G14" s="400"/>
      <c r="H14" s="400"/>
      <c r="I14" s="440"/>
      <c r="J14" s="406"/>
      <c r="K14" s="400"/>
      <c r="L14" s="406"/>
      <c r="M14" s="400"/>
      <c r="N14" s="406"/>
      <c r="O14" s="406"/>
      <c r="P14" s="406"/>
      <c r="Q14" s="406"/>
      <c r="R14" s="406"/>
      <c r="S14" s="406"/>
      <c r="T14" s="406"/>
      <c r="U14" s="400"/>
      <c r="V14" s="400"/>
      <c r="W14" s="400"/>
      <c r="X14" s="400"/>
      <c r="Y14" s="400"/>
      <c r="Z14" s="400"/>
      <c r="AA14" s="400"/>
      <c r="AB14" s="400"/>
      <c r="AC14" s="400"/>
      <c r="AD14" s="400"/>
      <c r="AE14" s="400"/>
      <c r="AF14" s="400"/>
      <c r="AG14" s="400"/>
      <c r="AH14" s="400"/>
    </row>
    <row r="15" spans="1:34" ht="24" hidden="1" customHeight="1">
      <c r="A15" s="441"/>
      <c r="B15" s="442" t="s">
        <v>293</v>
      </c>
      <c r="C15" s="443"/>
      <c r="D15" s="443"/>
      <c r="E15" s="443"/>
      <c r="F15" s="443"/>
      <c r="G15" s="443"/>
      <c r="H15" s="443"/>
      <c r="I15" s="443"/>
      <c r="J15" s="444"/>
      <c r="K15" s="444"/>
      <c r="L15" s="444"/>
      <c r="M15" s="444"/>
      <c r="N15" s="444"/>
      <c r="O15" s="444"/>
      <c r="P15" s="444"/>
      <c r="Q15" s="444"/>
      <c r="R15" s="444"/>
      <c r="S15" s="444"/>
      <c r="T15" s="444"/>
      <c r="U15" s="444"/>
      <c r="V15" s="444"/>
      <c r="W15" s="444"/>
      <c r="X15" s="444"/>
      <c r="Y15" s="444"/>
      <c r="Z15" s="444"/>
      <c r="AA15" s="444"/>
      <c r="AB15" s="444"/>
      <c r="AC15" s="444"/>
      <c r="AD15" s="444"/>
      <c r="AE15" s="444"/>
      <c r="AF15" s="444"/>
      <c r="AG15" s="444"/>
      <c r="AH15" s="443"/>
    </row>
    <row r="16" spans="1:34" ht="27" hidden="1" customHeight="1">
      <c r="A16" s="445"/>
      <c r="B16" s="446" t="s">
        <v>294</v>
      </c>
      <c r="C16" s="447" t="s">
        <v>295</v>
      </c>
      <c r="D16" s="448" t="s">
        <v>296</v>
      </c>
      <c r="E16" s="449" t="s">
        <v>297</v>
      </c>
      <c r="F16" s="447" t="s">
        <v>298</v>
      </c>
      <c r="G16" s="447" t="s">
        <v>299</v>
      </c>
      <c r="H16" s="447" t="s">
        <v>300</v>
      </c>
      <c r="I16" s="448" t="s">
        <v>301</v>
      </c>
      <c r="J16" s="1315" t="s">
        <v>302</v>
      </c>
      <c r="K16" s="1316"/>
      <c r="L16" s="1315" t="s">
        <v>303</v>
      </c>
      <c r="M16" s="1316"/>
      <c r="N16" s="1315" t="s">
        <v>304</v>
      </c>
      <c r="O16" s="1316"/>
      <c r="P16" s="1315" t="s">
        <v>305</v>
      </c>
      <c r="Q16" s="1316"/>
      <c r="R16" s="1315" t="s">
        <v>306</v>
      </c>
      <c r="S16" s="1316"/>
      <c r="T16" s="1315" t="s">
        <v>307</v>
      </c>
      <c r="U16" s="1316"/>
      <c r="V16" s="1315" t="s">
        <v>308</v>
      </c>
      <c r="W16" s="1316"/>
      <c r="X16" s="1315" t="s">
        <v>309</v>
      </c>
      <c r="Y16" s="1317"/>
      <c r="Z16" s="444"/>
      <c r="AA16" s="444"/>
      <c r="AB16" s="444"/>
      <c r="AC16" s="444"/>
      <c r="AD16" s="444"/>
      <c r="AE16" s="444"/>
      <c r="AF16" s="444"/>
      <c r="AG16" s="444"/>
      <c r="AH16" s="444"/>
    </row>
    <row r="17" spans="1:34" ht="27" hidden="1" customHeight="1">
      <c r="A17" s="445"/>
      <c r="B17" s="450" t="s">
        <v>373</v>
      </c>
      <c r="C17" s="451" t="s">
        <v>374</v>
      </c>
      <c r="D17" s="452">
        <v>41515</v>
      </c>
      <c r="E17" s="453">
        <v>41579</v>
      </c>
      <c r="F17" s="454">
        <v>42643</v>
      </c>
      <c r="G17" s="455" t="s">
        <v>371</v>
      </c>
      <c r="H17" s="456" t="s">
        <v>310</v>
      </c>
      <c r="I17" s="457" t="s">
        <v>311</v>
      </c>
      <c r="J17" s="1318">
        <v>5391.54</v>
      </c>
      <c r="K17" s="1319"/>
      <c r="L17" s="1318">
        <f>J17*0.3025</f>
        <v>1630.94085</v>
      </c>
      <c r="M17" s="1319"/>
      <c r="N17" s="1320">
        <v>26095200</v>
      </c>
      <c r="O17" s="1321"/>
      <c r="P17" s="1322">
        <f>N17/L17</f>
        <v>16000.089764138289</v>
      </c>
      <c r="Q17" s="1323"/>
      <c r="R17" s="1320">
        <v>6523800</v>
      </c>
      <c r="S17" s="1321"/>
      <c r="T17" s="1322">
        <f>R17/L17</f>
        <v>4000.0224410345722</v>
      </c>
      <c r="U17" s="1323"/>
      <c r="V17" s="1320">
        <f>R17+N17</f>
        <v>32619000</v>
      </c>
      <c r="W17" s="1321"/>
      <c r="X17" s="1322">
        <f>V17/L17</f>
        <v>20000.11220517286</v>
      </c>
      <c r="Y17" s="1324"/>
      <c r="Z17" s="444"/>
      <c r="AA17" s="444"/>
      <c r="AB17" s="444"/>
      <c r="AC17" s="444"/>
      <c r="AD17" s="444"/>
      <c r="AE17" s="444"/>
      <c r="AF17" s="444"/>
      <c r="AG17" s="444"/>
      <c r="AH17" s="444"/>
    </row>
    <row r="18" spans="1:34" ht="27" hidden="1" customHeight="1">
      <c r="A18" s="445"/>
      <c r="B18" s="458" t="s">
        <v>375</v>
      </c>
      <c r="C18" s="459" t="s">
        <v>312</v>
      </c>
      <c r="D18" s="460">
        <v>41547</v>
      </c>
      <c r="E18" s="461">
        <v>41728</v>
      </c>
      <c r="F18" s="462">
        <v>42551</v>
      </c>
      <c r="G18" s="463" t="s">
        <v>371</v>
      </c>
      <c r="H18" s="464" t="s">
        <v>376</v>
      </c>
      <c r="I18" s="465" t="s">
        <v>311</v>
      </c>
      <c r="J18" s="1303">
        <v>2699.64</v>
      </c>
      <c r="K18" s="1304"/>
      <c r="L18" s="1303">
        <f>J18*0.3025</f>
        <v>816.64109999999994</v>
      </c>
      <c r="M18" s="1304"/>
      <c r="N18" s="1299">
        <v>13066200</v>
      </c>
      <c r="O18" s="1300"/>
      <c r="P18" s="1301">
        <f>N18/L18</f>
        <v>15999.929467179647</v>
      </c>
      <c r="Q18" s="1305"/>
      <c r="R18" s="1299">
        <v>3266400</v>
      </c>
      <c r="S18" s="1300"/>
      <c r="T18" s="1301">
        <f>R18/L18</f>
        <v>3999.7986875752399</v>
      </c>
      <c r="U18" s="1305"/>
      <c r="V18" s="1299">
        <f>R18+N18</f>
        <v>16332600</v>
      </c>
      <c r="W18" s="1300"/>
      <c r="X18" s="1301">
        <f>V18/L18</f>
        <v>19999.728154754888</v>
      </c>
      <c r="Y18" s="1302"/>
      <c r="Z18" s="444"/>
      <c r="AA18" s="444"/>
      <c r="AB18" s="444"/>
      <c r="AC18" s="444"/>
      <c r="AD18" s="444"/>
      <c r="AE18" s="444"/>
      <c r="AF18" s="444"/>
      <c r="AG18" s="444"/>
      <c r="AH18" s="444"/>
    </row>
    <row r="19" spans="1:34" ht="27" hidden="1" customHeight="1">
      <c r="A19" s="445"/>
      <c r="B19" s="458" t="s">
        <v>377</v>
      </c>
      <c r="C19" s="459" t="s">
        <v>313</v>
      </c>
      <c r="D19" s="460">
        <v>41441</v>
      </c>
      <c r="E19" s="461">
        <v>41456</v>
      </c>
      <c r="F19" s="466">
        <v>42004</v>
      </c>
      <c r="G19" s="463" t="s">
        <v>371</v>
      </c>
      <c r="H19" s="464" t="s">
        <v>376</v>
      </c>
      <c r="I19" s="465" t="s">
        <v>311</v>
      </c>
      <c r="J19" s="1303">
        <v>894.72</v>
      </c>
      <c r="K19" s="1304"/>
      <c r="L19" s="1303">
        <f t="shared" ref="L19:L24" si="0">J19*0.3025</f>
        <v>270.65280000000001</v>
      </c>
      <c r="M19" s="1304"/>
      <c r="N19" s="1299">
        <v>4330445</v>
      </c>
      <c r="O19" s="1300"/>
      <c r="P19" s="1301">
        <f t="shared" ref="P19:P24" si="1">N19/L19</f>
        <v>16000.000738954113</v>
      </c>
      <c r="Q19" s="1305"/>
      <c r="R19" s="1299">
        <v>1082611</v>
      </c>
      <c r="S19" s="1300"/>
      <c r="T19" s="1301">
        <f t="shared" ref="T19:T24" si="2">R19/L19</f>
        <v>3999.9992610458858</v>
      </c>
      <c r="U19" s="1305"/>
      <c r="V19" s="1299">
        <f t="shared" ref="V19:V24" si="3">R19+N19</f>
        <v>5413056</v>
      </c>
      <c r="W19" s="1300"/>
      <c r="X19" s="1301">
        <f t="shared" ref="X19:X24" si="4">V19/L19</f>
        <v>20000</v>
      </c>
      <c r="Y19" s="1302"/>
      <c r="Z19" s="444"/>
      <c r="AA19" s="444"/>
      <c r="AB19" s="444"/>
      <c r="AC19" s="444"/>
      <c r="AD19" s="444"/>
      <c r="AE19" s="444"/>
      <c r="AF19" s="444"/>
      <c r="AG19" s="444"/>
      <c r="AH19" s="444"/>
    </row>
    <row r="20" spans="1:34" ht="27" hidden="1" customHeight="1">
      <c r="A20" s="445"/>
      <c r="B20" s="458" t="s">
        <v>378</v>
      </c>
      <c r="C20" s="459" t="s">
        <v>379</v>
      </c>
      <c r="D20" s="460">
        <v>41262</v>
      </c>
      <c r="E20" s="461">
        <v>41456</v>
      </c>
      <c r="F20" s="462">
        <v>42551</v>
      </c>
      <c r="G20" s="463" t="s">
        <v>371</v>
      </c>
      <c r="H20" s="464" t="s">
        <v>376</v>
      </c>
      <c r="I20" s="465" t="s">
        <v>311</v>
      </c>
      <c r="J20" s="1303">
        <v>3594.36</v>
      </c>
      <c r="K20" s="1304"/>
      <c r="L20" s="1303">
        <f t="shared" si="0"/>
        <v>1087.2938999999999</v>
      </c>
      <c r="M20" s="1304"/>
      <c r="N20" s="1299">
        <v>19729400</v>
      </c>
      <c r="O20" s="1300"/>
      <c r="P20" s="1301">
        <f t="shared" si="1"/>
        <v>18145.415880655637</v>
      </c>
      <c r="Q20" s="1305"/>
      <c r="R20" s="1299">
        <v>4349200</v>
      </c>
      <c r="S20" s="1300"/>
      <c r="T20" s="1301">
        <f t="shared" si="2"/>
        <v>4000.0224410345727</v>
      </c>
      <c r="U20" s="1305"/>
      <c r="V20" s="1299">
        <f t="shared" si="3"/>
        <v>24078600</v>
      </c>
      <c r="W20" s="1300"/>
      <c r="X20" s="1301">
        <f t="shared" si="4"/>
        <v>22145.43832169021</v>
      </c>
      <c r="Y20" s="1302"/>
      <c r="Z20" s="444"/>
      <c r="AA20" s="444"/>
      <c r="AB20" s="444"/>
      <c r="AC20" s="444"/>
      <c r="AD20" s="444"/>
      <c r="AE20" s="444"/>
      <c r="AF20" s="444"/>
      <c r="AG20" s="444"/>
      <c r="AH20" s="444"/>
    </row>
    <row r="21" spans="1:34" ht="27" hidden="1" customHeight="1">
      <c r="A21" s="445"/>
      <c r="B21" s="458" t="s">
        <v>380</v>
      </c>
      <c r="C21" s="459" t="s">
        <v>314</v>
      </c>
      <c r="D21" s="460">
        <v>41075</v>
      </c>
      <c r="E21" s="461">
        <v>41456</v>
      </c>
      <c r="F21" s="462">
        <v>42551</v>
      </c>
      <c r="G21" s="463" t="s">
        <v>371</v>
      </c>
      <c r="H21" s="464" t="s">
        <v>376</v>
      </c>
      <c r="I21" s="465" t="s">
        <v>311</v>
      </c>
      <c r="J21" s="1303">
        <v>10789.51</v>
      </c>
      <c r="K21" s="1304"/>
      <c r="L21" s="1303">
        <f t="shared" si="0"/>
        <v>3263.826775</v>
      </c>
      <c r="M21" s="1304"/>
      <c r="N21" s="1299">
        <v>84859400</v>
      </c>
      <c r="O21" s="1300"/>
      <c r="P21" s="1301">
        <f t="shared" si="1"/>
        <v>25999.970540715967</v>
      </c>
      <c r="Q21" s="1305"/>
      <c r="R21" s="1299">
        <v>13055400</v>
      </c>
      <c r="S21" s="1300"/>
      <c r="T21" s="1301">
        <f t="shared" si="2"/>
        <v>4000.0284635204025</v>
      </c>
      <c r="U21" s="1305"/>
      <c r="V21" s="1299">
        <f t="shared" si="3"/>
        <v>97914800</v>
      </c>
      <c r="W21" s="1300"/>
      <c r="X21" s="1301">
        <f t="shared" si="4"/>
        <v>29999.999004236368</v>
      </c>
      <c r="Y21" s="1302"/>
      <c r="Z21" s="444"/>
      <c r="AA21" s="444"/>
      <c r="AB21" s="444"/>
      <c r="AC21" s="444"/>
      <c r="AD21" s="444"/>
      <c r="AE21" s="444"/>
      <c r="AF21" s="444"/>
      <c r="AG21" s="444"/>
      <c r="AH21" s="444"/>
    </row>
    <row r="22" spans="1:34" ht="27" hidden="1" customHeight="1">
      <c r="A22" s="445"/>
      <c r="B22" s="458" t="s">
        <v>381</v>
      </c>
      <c r="C22" s="459" t="s">
        <v>382</v>
      </c>
      <c r="D22" s="460">
        <v>41473</v>
      </c>
      <c r="E22" s="461">
        <v>41477</v>
      </c>
      <c r="F22" s="462">
        <v>42551</v>
      </c>
      <c r="G22" s="463" t="s">
        <v>371</v>
      </c>
      <c r="H22" s="464" t="s">
        <v>376</v>
      </c>
      <c r="I22" s="465" t="s">
        <v>311</v>
      </c>
      <c r="J22" s="1303">
        <v>11.83</v>
      </c>
      <c r="K22" s="1304"/>
      <c r="L22" s="1303">
        <f t="shared" si="0"/>
        <v>3.5785749999999998</v>
      </c>
      <c r="M22" s="1304"/>
      <c r="N22" s="1299">
        <v>150000</v>
      </c>
      <c r="O22" s="1300"/>
      <c r="P22" s="1301">
        <f t="shared" si="1"/>
        <v>41916.125832209749</v>
      </c>
      <c r="Q22" s="1305"/>
      <c r="R22" s="1299"/>
      <c r="S22" s="1300"/>
      <c r="T22" s="1301">
        <f t="shared" si="2"/>
        <v>0</v>
      </c>
      <c r="U22" s="1305"/>
      <c r="V22" s="1299">
        <f t="shared" si="3"/>
        <v>150000</v>
      </c>
      <c r="W22" s="1300"/>
      <c r="X22" s="1301">
        <f t="shared" si="4"/>
        <v>41916.125832209749</v>
      </c>
      <c r="Y22" s="1302"/>
      <c r="Z22" s="444"/>
      <c r="AA22" s="444"/>
      <c r="AB22" s="444"/>
      <c r="AC22" s="444"/>
      <c r="AD22" s="444"/>
      <c r="AE22" s="444"/>
      <c r="AF22" s="444"/>
      <c r="AG22" s="444"/>
      <c r="AH22" s="444"/>
    </row>
    <row r="23" spans="1:34" ht="27" hidden="1" customHeight="1">
      <c r="A23" s="445"/>
      <c r="B23" s="458" t="s">
        <v>383</v>
      </c>
      <c r="C23" s="459" t="s">
        <v>384</v>
      </c>
      <c r="D23" s="460">
        <v>41722</v>
      </c>
      <c r="E23" s="461">
        <v>41730</v>
      </c>
      <c r="F23" s="462">
        <v>42551</v>
      </c>
      <c r="G23" s="463" t="s">
        <v>371</v>
      </c>
      <c r="H23" s="464" t="s">
        <v>376</v>
      </c>
      <c r="I23" s="465" t="s">
        <v>311</v>
      </c>
      <c r="J23" s="1303">
        <v>94.96</v>
      </c>
      <c r="K23" s="1304"/>
      <c r="L23" s="1303">
        <f t="shared" si="0"/>
        <v>28.725399999999997</v>
      </c>
      <c r="M23" s="1304"/>
      <c r="N23" s="1299">
        <v>250000</v>
      </c>
      <c r="O23" s="1300"/>
      <c r="P23" s="1301">
        <f t="shared" si="1"/>
        <v>8703.09899949174</v>
      </c>
      <c r="Q23" s="1305"/>
      <c r="R23" s="1299">
        <v>50000</v>
      </c>
      <c r="S23" s="1300"/>
      <c r="T23" s="1301">
        <f t="shared" si="2"/>
        <v>1740.619799898348</v>
      </c>
      <c r="U23" s="1305"/>
      <c r="V23" s="1299">
        <f t="shared" si="3"/>
        <v>300000</v>
      </c>
      <c r="W23" s="1300"/>
      <c r="X23" s="1301">
        <f t="shared" si="4"/>
        <v>10443.718799390088</v>
      </c>
      <c r="Y23" s="1302"/>
      <c r="Z23" s="444"/>
      <c r="AA23" s="444"/>
      <c r="AB23" s="444"/>
      <c r="AC23" s="444"/>
      <c r="AD23" s="444"/>
      <c r="AE23" s="444"/>
      <c r="AF23" s="444"/>
      <c r="AG23" s="444"/>
      <c r="AH23" s="444"/>
    </row>
    <row r="24" spans="1:34" ht="27" hidden="1" customHeight="1">
      <c r="A24" s="396"/>
      <c r="B24" s="467" t="s">
        <v>383</v>
      </c>
      <c r="C24" s="468" t="s">
        <v>315</v>
      </c>
      <c r="D24" s="469">
        <v>40359</v>
      </c>
      <c r="E24" s="470">
        <v>40360</v>
      </c>
      <c r="F24" s="471">
        <v>42185</v>
      </c>
      <c r="G24" s="472" t="s">
        <v>371</v>
      </c>
      <c r="H24" s="473" t="s">
        <v>376</v>
      </c>
      <c r="I24" s="474" t="s">
        <v>311</v>
      </c>
      <c r="J24" s="1296">
        <v>16.2</v>
      </c>
      <c r="K24" s="1297"/>
      <c r="L24" s="1296">
        <f t="shared" si="0"/>
        <v>4.9005000000000001</v>
      </c>
      <c r="M24" s="1297"/>
      <c r="N24" s="1280">
        <v>29403</v>
      </c>
      <c r="O24" s="1281"/>
      <c r="P24" s="1282">
        <f t="shared" si="1"/>
        <v>6000</v>
      </c>
      <c r="Q24" s="1298"/>
      <c r="R24" s="1280">
        <v>19602</v>
      </c>
      <c r="S24" s="1281"/>
      <c r="T24" s="1282">
        <f t="shared" si="2"/>
        <v>4000</v>
      </c>
      <c r="U24" s="1298"/>
      <c r="V24" s="1280">
        <f t="shared" si="3"/>
        <v>49005</v>
      </c>
      <c r="W24" s="1281"/>
      <c r="X24" s="1282">
        <f t="shared" si="4"/>
        <v>10000</v>
      </c>
      <c r="Y24" s="1283"/>
      <c r="Z24" s="400"/>
      <c r="AA24" s="400"/>
      <c r="AB24" s="400"/>
      <c r="AC24" s="400"/>
      <c r="AD24" s="400"/>
      <c r="AE24" s="400"/>
      <c r="AF24" s="400"/>
      <c r="AG24" s="400"/>
      <c r="AH24" s="400"/>
    </row>
    <row r="25" spans="1:34" ht="23.25" hidden="1" customHeight="1">
      <c r="A25" s="396"/>
      <c r="B25" s="400"/>
      <c r="C25" s="400"/>
      <c r="D25" s="400"/>
      <c r="E25" s="400"/>
      <c r="F25" s="400"/>
      <c r="G25" s="400"/>
      <c r="H25" s="400"/>
      <c r="I25" s="440"/>
      <c r="J25" s="406"/>
      <c r="K25" s="400"/>
      <c r="L25" s="406"/>
      <c r="M25" s="400"/>
      <c r="N25" s="406"/>
      <c r="O25" s="406"/>
      <c r="P25" s="406"/>
      <c r="Q25" s="406"/>
      <c r="R25" s="406"/>
      <c r="S25" s="406"/>
      <c r="T25" s="406"/>
      <c r="U25" s="400"/>
      <c r="V25" s="400"/>
      <c r="W25" s="400"/>
      <c r="X25" s="400"/>
      <c r="Y25" s="400"/>
      <c r="Z25" s="400"/>
      <c r="AA25" s="400"/>
      <c r="AB25" s="400"/>
      <c r="AC25" s="400"/>
      <c r="AD25" s="400"/>
      <c r="AE25" s="400"/>
      <c r="AF25" s="400"/>
      <c r="AG25" s="400"/>
      <c r="AH25" s="400"/>
    </row>
    <row r="26" spans="1:34" ht="23.25" customHeight="1">
      <c r="A26" s="396"/>
      <c r="B26" s="397" t="s">
        <v>316</v>
      </c>
      <c r="C26" s="400"/>
      <c r="D26" s="400"/>
      <c r="E26" s="400"/>
      <c r="F26" s="400"/>
      <c r="G26" s="400"/>
      <c r="H26" s="400"/>
      <c r="I26" s="400"/>
      <c r="J26" s="400"/>
      <c r="K26" s="400"/>
      <c r="L26" s="400"/>
      <c r="M26" s="400"/>
      <c r="N26" s="400"/>
      <c r="O26" s="400"/>
      <c r="P26" s="400"/>
      <c r="Q26" s="400"/>
      <c r="R26" s="400"/>
      <c r="S26" s="400"/>
      <c r="T26" s="400"/>
      <c r="U26" s="400"/>
      <c r="V26" s="400"/>
      <c r="W26" s="400"/>
      <c r="X26" s="400"/>
      <c r="Y26" s="400"/>
      <c r="Z26" s="400"/>
      <c r="AA26" s="400"/>
      <c r="AB26" s="400"/>
      <c r="AC26" s="400"/>
      <c r="AD26" s="400"/>
      <c r="AE26" s="400"/>
      <c r="AF26" s="400"/>
      <c r="AG26" s="400"/>
      <c r="AH26" s="400"/>
    </row>
    <row r="27" spans="1:34" ht="23.25" customHeight="1" thickBot="1">
      <c r="A27" s="396"/>
      <c r="B27" s="475" t="s">
        <v>438</v>
      </c>
      <c r="C27" s="400"/>
      <c r="D27" s="400"/>
      <c r="E27" s="400"/>
      <c r="F27" s="400"/>
      <c r="G27" s="400"/>
      <c r="H27" s="400"/>
      <c r="I27" s="400"/>
      <c r="J27" s="400"/>
      <c r="K27" s="400"/>
      <c r="L27" s="400"/>
      <c r="M27" s="400"/>
      <c r="N27" s="400"/>
      <c r="O27" s="400"/>
      <c r="P27" s="400"/>
      <c r="Q27" s="400"/>
      <c r="R27" s="400"/>
      <c r="S27" s="400"/>
      <c r="T27" s="400"/>
      <c r="U27" s="400"/>
      <c r="V27" s="400"/>
      <c r="W27" s="400"/>
      <c r="X27" s="400"/>
      <c r="Y27" s="400"/>
      <c r="Z27" s="400"/>
      <c r="AA27" s="400"/>
      <c r="AB27" s="400"/>
      <c r="AC27" s="400"/>
      <c r="AD27" s="400"/>
      <c r="AE27" s="400"/>
      <c r="AF27" s="400"/>
      <c r="AG27" s="400"/>
      <c r="AH27" s="400"/>
    </row>
    <row r="28" spans="1:34" ht="23.25" customHeight="1">
      <c r="A28" s="396"/>
      <c r="B28" s="1256" t="s">
        <v>325</v>
      </c>
      <c r="C28" s="1259" t="s">
        <v>317</v>
      </c>
      <c r="D28" s="1262" t="s">
        <v>323</v>
      </c>
      <c r="E28" s="1284"/>
      <c r="F28" s="1287" t="s">
        <v>319</v>
      </c>
      <c r="G28" s="1288"/>
      <c r="H28" s="1288"/>
      <c r="I28" s="1289"/>
      <c r="J28" s="1268" t="s">
        <v>73</v>
      </c>
      <c r="K28" s="1247"/>
      <c r="L28" s="1246" t="s">
        <v>33</v>
      </c>
      <c r="M28" s="1247"/>
      <c r="N28" s="1246" t="s">
        <v>34</v>
      </c>
      <c r="O28" s="1247"/>
      <c r="P28" s="1246" t="s">
        <v>35</v>
      </c>
      <c r="Q28" s="1247"/>
      <c r="R28" s="1246" t="s">
        <v>36</v>
      </c>
      <c r="S28" s="1247"/>
      <c r="T28" s="1246" t="s">
        <v>37</v>
      </c>
      <c r="U28" s="1247"/>
      <c r="V28" s="1246" t="s">
        <v>38</v>
      </c>
      <c r="W28" s="1247"/>
      <c r="X28" s="1246" t="s">
        <v>39</v>
      </c>
      <c r="Y28" s="1247"/>
      <c r="Z28" s="1246" t="s">
        <v>40</v>
      </c>
      <c r="AA28" s="1247"/>
      <c r="AB28" s="1246" t="s">
        <v>320</v>
      </c>
      <c r="AC28" s="1247"/>
      <c r="AD28" s="1246" t="s">
        <v>321</v>
      </c>
      <c r="AE28" s="1247"/>
      <c r="AF28" s="1246" t="s">
        <v>322</v>
      </c>
      <c r="AG28" s="1247"/>
      <c r="AH28" s="476" t="s">
        <v>53</v>
      </c>
    </row>
    <row r="29" spans="1:34" ht="23.25" customHeight="1">
      <c r="A29" s="396"/>
      <c r="B29" s="1257"/>
      <c r="C29" s="1260"/>
      <c r="D29" s="1263"/>
      <c r="E29" s="1285"/>
      <c r="F29" s="1290"/>
      <c r="G29" s="1291"/>
      <c r="H29" s="1291"/>
      <c r="I29" s="1292"/>
      <c r="J29" s="1252" t="s">
        <v>194</v>
      </c>
      <c r="K29" s="1254" t="s">
        <v>195</v>
      </c>
      <c r="L29" s="1244" t="s">
        <v>194</v>
      </c>
      <c r="M29" s="1242" t="s">
        <v>195</v>
      </c>
      <c r="N29" s="1244" t="s">
        <v>194</v>
      </c>
      <c r="O29" s="1242" t="s">
        <v>195</v>
      </c>
      <c r="P29" s="1244" t="s">
        <v>194</v>
      </c>
      <c r="Q29" s="1242" t="s">
        <v>195</v>
      </c>
      <c r="R29" s="1244" t="s">
        <v>194</v>
      </c>
      <c r="S29" s="1242" t="s">
        <v>195</v>
      </c>
      <c r="T29" s="1244" t="s">
        <v>194</v>
      </c>
      <c r="U29" s="1242" t="s">
        <v>195</v>
      </c>
      <c r="V29" s="1244" t="s">
        <v>194</v>
      </c>
      <c r="W29" s="1242" t="s">
        <v>195</v>
      </c>
      <c r="X29" s="1244" t="s">
        <v>194</v>
      </c>
      <c r="Y29" s="1242" t="s">
        <v>195</v>
      </c>
      <c r="Z29" s="1244" t="s">
        <v>194</v>
      </c>
      <c r="AA29" s="1242" t="s">
        <v>195</v>
      </c>
      <c r="AB29" s="1244" t="s">
        <v>194</v>
      </c>
      <c r="AC29" s="1242" t="s">
        <v>195</v>
      </c>
      <c r="AD29" s="1244" t="s">
        <v>194</v>
      </c>
      <c r="AE29" s="1242" t="s">
        <v>195</v>
      </c>
      <c r="AF29" s="1244" t="s">
        <v>194</v>
      </c>
      <c r="AG29" s="1242" t="s">
        <v>195</v>
      </c>
      <c r="AH29" s="477"/>
    </row>
    <row r="30" spans="1:34" ht="23.25" customHeight="1">
      <c r="A30" s="396"/>
      <c r="B30" s="1258"/>
      <c r="C30" s="1261"/>
      <c r="D30" s="1264"/>
      <c r="E30" s="1286"/>
      <c r="F30" s="1293"/>
      <c r="G30" s="1294"/>
      <c r="H30" s="1294"/>
      <c r="I30" s="1295"/>
      <c r="J30" s="1253"/>
      <c r="K30" s="1255"/>
      <c r="L30" s="1245"/>
      <c r="M30" s="1243"/>
      <c r="N30" s="1245"/>
      <c r="O30" s="1243"/>
      <c r="P30" s="1245"/>
      <c r="Q30" s="1243"/>
      <c r="R30" s="1245"/>
      <c r="S30" s="1243"/>
      <c r="T30" s="1245"/>
      <c r="U30" s="1243"/>
      <c r="V30" s="1245"/>
      <c r="W30" s="1243"/>
      <c r="X30" s="1245"/>
      <c r="Y30" s="1243"/>
      <c r="Z30" s="1245"/>
      <c r="AA30" s="1243"/>
      <c r="AB30" s="1245"/>
      <c r="AC30" s="1243"/>
      <c r="AD30" s="1245"/>
      <c r="AE30" s="1243"/>
      <c r="AF30" s="1245"/>
      <c r="AG30" s="1243"/>
      <c r="AH30" s="478"/>
    </row>
    <row r="31" spans="1:34" ht="23.25" customHeight="1">
      <c r="A31" s="396"/>
      <c r="B31" s="479"/>
      <c r="C31" s="480"/>
      <c r="D31" s="1276"/>
      <c r="E31" s="1277"/>
      <c r="F31" s="1278"/>
      <c r="G31" s="1278"/>
      <c r="H31" s="1278"/>
      <c r="I31" s="1279"/>
      <c r="J31" s="481"/>
      <c r="K31" s="482"/>
      <c r="L31" s="483"/>
      <c r="M31" s="482"/>
      <c r="N31" s="483"/>
      <c r="O31" s="482"/>
      <c r="P31" s="483"/>
      <c r="Q31" s="482"/>
      <c r="R31" s="483"/>
      <c r="S31" s="482"/>
      <c r="T31" s="483"/>
      <c r="U31" s="482"/>
      <c r="V31" s="483"/>
      <c r="W31" s="482"/>
      <c r="X31" s="483"/>
      <c r="Y31" s="482"/>
      <c r="Z31" s="483"/>
      <c r="AA31" s="482"/>
      <c r="AB31" s="483"/>
      <c r="AC31" s="482"/>
      <c r="AD31" s="483"/>
      <c r="AE31" s="482"/>
      <c r="AF31" s="483"/>
      <c r="AG31" s="482"/>
      <c r="AH31" s="484"/>
    </row>
    <row r="32" spans="1:34" ht="23.25" customHeight="1">
      <c r="A32" s="396"/>
      <c r="B32" s="479"/>
      <c r="C32" s="485"/>
      <c r="D32" s="1269"/>
      <c r="E32" s="1270"/>
      <c r="F32" s="486"/>
      <c r="G32" s="486"/>
      <c r="H32" s="486"/>
      <c r="I32" s="487"/>
      <c r="J32" s="488"/>
      <c r="K32" s="489"/>
      <c r="L32" s="490"/>
      <c r="M32" s="489"/>
      <c r="N32" s="490"/>
      <c r="O32" s="489"/>
      <c r="P32" s="490"/>
      <c r="Q32" s="489"/>
      <c r="R32" s="490"/>
      <c r="S32" s="489"/>
      <c r="T32" s="490"/>
      <c r="U32" s="489"/>
      <c r="V32" s="490"/>
      <c r="W32" s="489"/>
      <c r="X32" s="490"/>
      <c r="Y32" s="489"/>
      <c r="Z32" s="490"/>
      <c r="AA32" s="489"/>
      <c r="AB32" s="490"/>
      <c r="AC32" s="489"/>
      <c r="AD32" s="490"/>
      <c r="AE32" s="489"/>
      <c r="AF32" s="490"/>
      <c r="AG32" s="489"/>
      <c r="AH32" s="491"/>
    </row>
    <row r="33" spans="1:34" ht="23.25" customHeight="1" thickBot="1">
      <c r="A33" s="396"/>
      <c r="B33" s="492"/>
      <c r="C33" s="493"/>
      <c r="D33" s="1271"/>
      <c r="E33" s="1272"/>
      <c r="F33" s="1273"/>
      <c r="G33" s="1274"/>
      <c r="H33" s="1274"/>
      <c r="I33" s="1275"/>
      <c r="J33" s="494"/>
      <c r="K33" s="495"/>
      <c r="L33" s="496"/>
      <c r="M33" s="495"/>
      <c r="N33" s="496"/>
      <c r="O33" s="495"/>
      <c r="P33" s="496"/>
      <c r="Q33" s="495"/>
      <c r="R33" s="496"/>
      <c r="S33" s="495"/>
      <c r="T33" s="496"/>
      <c r="U33" s="495"/>
      <c r="V33" s="496"/>
      <c r="W33" s="495"/>
      <c r="X33" s="496"/>
      <c r="Y33" s="495"/>
      <c r="Z33" s="496"/>
      <c r="AA33" s="495"/>
      <c r="AB33" s="496"/>
      <c r="AC33" s="495"/>
      <c r="AD33" s="496"/>
      <c r="AE33" s="495"/>
      <c r="AF33" s="496"/>
      <c r="AG33" s="495"/>
      <c r="AH33" s="497"/>
    </row>
    <row r="34" spans="1:34" ht="23.4">
      <c r="A34" s="396"/>
      <c r="B34" s="397"/>
      <c r="C34" s="400"/>
      <c r="D34" s="400"/>
      <c r="E34" s="400"/>
      <c r="F34" s="400"/>
      <c r="G34" s="400"/>
      <c r="H34" s="400"/>
      <c r="I34" s="400"/>
      <c r="J34" s="400"/>
      <c r="K34" s="400"/>
      <c r="L34" s="400"/>
      <c r="M34" s="400"/>
      <c r="N34" s="400"/>
      <c r="O34" s="400"/>
      <c r="P34" s="400"/>
      <c r="Q34" s="400"/>
      <c r="R34" s="400"/>
      <c r="S34" s="400"/>
      <c r="T34" s="400"/>
      <c r="U34" s="400"/>
      <c r="V34" s="400"/>
      <c r="W34" s="400"/>
      <c r="X34" s="400"/>
      <c r="Y34" s="400"/>
      <c r="Z34" s="400"/>
      <c r="AA34" s="400"/>
      <c r="AB34" s="400"/>
      <c r="AC34" s="400"/>
      <c r="AD34" s="400"/>
      <c r="AE34" s="400"/>
      <c r="AF34" s="400"/>
      <c r="AG34" s="400"/>
      <c r="AH34" s="400"/>
    </row>
    <row r="35" spans="1:34" ht="19.8" thickBot="1">
      <c r="A35" s="396"/>
      <c r="B35" s="475" t="s">
        <v>324</v>
      </c>
      <c r="C35" s="400"/>
      <c r="D35" s="400"/>
      <c r="E35" s="400"/>
      <c r="F35" s="400"/>
      <c r="G35" s="498"/>
      <c r="H35" s="400"/>
      <c r="I35" s="499" t="s">
        <v>439</v>
      </c>
      <c r="J35" s="400"/>
      <c r="K35" s="400"/>
      <c r="L35" s="400"/>
      <c r="M35" s="400"/>
      <c r="N35" s="400"/>
      <c r="O35" s="400"/>
      <c r="P35" s="400"/>
      <c r="Q35" s="400"/>
      <c r="R35" s="400"/>
      <c r="S35" s="400"/>
      <c r="T35" s="400"/>
      <c r="U35" s="400"/>
      <c r="V35" s="400"/>
      <c r="W35" s="400"/>
      <c r="X35" s="400"/>
      <c r="Y35" s="400"/>
      <c r="Z35" s="400"/>
      <c r="AA35" s="400"/>
      <c r="AB35" s="400"/>
      <c r="AC35" s="400"/>
      <c r="AD35" s="400"/>
      <c r="AE35" s="400"/>
      <c r="AF35" s="400"/>
      <c r="AG35" s="400"/>
      <c r="AH35" s="400"/>
    </row>
    <row r="36" spans="1:34" ht="16.2">
      <c r="A36" s="500"/>
      <c r="B36" s="1256" t="s">
        <v>325</v>
      </c>
      <c r="C36" s="1259" t="s">
        <v>317</v>
      </c>
      <c r="D36" s="1262" t="s">
        <v>318</v>
      </c>
      <c r="E36" s="501"/>
      <c r="F36" s="501"/>
      <c r="G36" s="502"/>
      <c r="H36" s="503"/>
      <c r="I36" s="1265" t="s">
        <v>326</v>
      </c>
      <c r="J36" s="1268" t="s">
        <v>73</v>
      </c>
      <c r="K36" s="1247"/>
      <c r="L36" s="1246" t="s">
        <v>33</v>
      </c>
      <c r="M36" s="1247"/>
      <c r="N36" s="1246" t="s">
        <v>34</v>
      </c>
      <c r="O36" s="1247"/>
      <c r="P36" s="1246" t="s">
        <v>35</v>
      </c>
      <c r="Q36" s="1247"/>
      <c r="R36" s="1246" t="s">
        <v>36</v>
      </c>
      <c r="S36" s="1247"/>
      <c r="T36" s="1246" t="s">
        <v>37</v>
      </c>
      <c r="U36" s="1247"/>
      <c r="V36" s="1246" t="s">
        <v>38</v>
      </c>
      <c r="W36" s="1247"/>
      <c r="X36" s="1246" t="s">
        <v>39</v>
      </c>
      <c r="Y36" s="1247"/>
      <c r="Z36" s="1246" t="s">
        <v>40</v>
      </c>
      <c r="AA36" s="1247"/>
      <c r="AB36" s="1246" t="s">
        <v>320</v>
      </c>
      <c r="AC36" s="1247"/>
      <c r="AD36" s="1246" t="s">
        <v>321</v>
      </c>
      <c r="AE36" s="1247"/>
      <c r="AF36" s="1246" t="s">
        <v>322</v>
      </c>
      <c r="AG36" s="1247"/>
      <c r="AH36" s="476" t="s">
        <v>53</v>
      </c>
    </row>
    <row r="37" spans="1:34" ht="16.2">
      <c r="A37" s="500"/>
      <c r="B37" s="1257"/>
      <c r="C37" s="1260"/>
      <c r="D37" s="1263"/>
      <c r="E37" s="1248" t="s">
        <v>323</v>
      </c>
      <c r="F37" s="1248" t="s">
        <v>327</v>
      </c>
      <c r="G37" s="1250" t="s">
        <v>328</v>
      </c>
      <c r="H37" s="1251"/>
      <c r="I37" s="1266"/>
      <c r="J37" s="1252" t="s">
        <v>194</v>
      </c>
      <c r="K37" s="1254" t="s">
        <v>195</v>
      </c>
      <c r="L37" s="1244" t="s">
        <v>194</v>
      </c>
      <c r="M37" s="1242" t="s">
        <v>195</v>
      </c>
      <c r="N37" s="1244" t="s">
        <v>194</v>
      </c>
      <c r="O37" s="1242" t="s">
        <v>195</v>
      </c>
      <c r="P37" s="1244" t="s">
        <v>194</v>
      </c>
      <c r="Q37" s="1242" t="s">
        <v>195</v>
      </c>
      <c r="R37" s="1244" t="s">
        <v>194</v>
      </c>
      <c r="S37" s="1242" t="s">
        <v>195</v>
      </c>
      <c r="T37" s="1244" t="s">
        <v>194</v>
      </c>
      <c r="U37" s="1242" t="s">
        <v>195</v>
      </c>
      <c r="V37" s="1244" t="s">
        <v>194</v>
      </c>
      <c r="W37" s="1242" t="s">
        <v>195</v>
      </c>
      <c r="X37" s="1244" t="s">
        <v>194</v>
      </c>
      <c r="Y37" s="1242" t="s">
        <v>195</v>
      </c>
      <c r="Z37" s="1244" t="s">
        <v>194</v>
      </c>
      <c r="AA37" s="1242" t="s">
        <v>195</v>
      </c>
      <c r="AB37" s="1244" t="s">
        <v>194</v>
      </c>
      <c r="AC37" s="1242" t="s">
        <v>195</v>
      </c>
      <c r="AD37" s="1244" t="s">
        <v>194</v>
      </c>
      <c r="AE37" s="1242" t="s">
        <v>195</v>
      </c>
      <c r="AF37" s="1244" t="s">
        <v>194</v>
      </c>
      <c r="AG37" s="1242" t="s">
        <v>195</v>
      </c>
      <c r="AH37" s="477"/>
    </row>
    <row r="38" spans="1:34" ht="16.2">
      <c r="A38" s="500"/>
      <c r="B38" s="1258"/>
      <c r="C38" s="1261"/>
      <c r="D38" s="1264"/>
      <c r="E38" s="1249"/>
      <c r="F38" s="1249"/>
      <c r="G38" s="504" t="s">
        <v>329</v>
      </c>
      <c r="H38" s="505" t="s">
        <v>330</v>
      </c>
      <c r="I38" s="1267"/>
      <c r="J38" s="1253"/>
      <c r="K38" s="1255"/>
      <c r="L38" s="1245"/>
      <c r="M38" s="1243"/>
      <c r="N38" s="1245"/>
      <c r="O38" s="1243"/>
      <c r="P38" s="1245"/>
      <c r="Q38" s="1243"/>
      <c r="R38" s="1245"/>
      <c r="S38" s="1243"/>
      <c r="T38" s="1245"/>
      <c r="U38" s="1243"/>
      <c r="V38" s="1245"/>
      <c r="W38" s="1243"/>
      <c r="X38" s="1245"/>
      <c r="Y38" s="1243"/>
      <c r="Z38" s="1245"/>
      <c r="AA38" s="1243"/>
      <c r="AB38" s="1245"/>
      <c r="AC38" s="1243"/>
      <c r="AD38" s="1245"/>
      <c r="AE38" s="1243"/>
      <c r="AF38" s="1245"/>
      <c r="AG38" s="1243"/>
      <c r="AH38" s="478"/>
    </row>
    <row r="39" spans="1:34" ht="23.25" customHeight="1">
      <c r="A39" s="500"/>
      <c r="B39" s="506" t="s">
        <v>104</v>
      </c>
      <c r="C39" s="507" t="s">
        <v>440</v>
      </c>
      <c r="D39" s="508" t="s">
        <v>441</v>
      </c>
      <c r="E39" s="509" t="s">
        <v>335</v>
      </c>
      <c r="F39" s="510" t="s">
        <v>280</v>
      </c>
      <c r="G39" s="511" t="s">
        <v>210</v>
      </c>
      <c r="H39" s="511" t="s">
        <v>210</v>
      </c>
      <c r="I39" s="512" t="s">
        <v>385</v>
      </c>
      <c r="J39" s="513"/>
      <c r="K39" s="482"/>
      <c r="L39" s="483"/>
      <c r="M39" s="482"/>
      <c r="N39" s="483"/>
      <c r="O39" s="482"/>
      <c r="P39" s="483"/>
      <c r="Q39" s="482"/>
      <c r="R39" s="483"/>
      <c r="S39" s="482"/>
      <c r="T39" s="483"/>
      <c r="U39" s="482"/>
      <c r="V39" s="483"/>
      <c r="W39" s="514"/>
      <c r="X39" s="483" t="s">
        <v>421</v>
      </c>
      <c r="Y39" s="482"/>
      <c r="Z39" s="483"/>
      <c r="AA39" s="514"/>
      <c r="AB39" s="483"/>
      <c r="AC39" s="482"/>
      <c r="AD39" s="483"/>
      <c r="AE39" s="482"/>
      <c r="AF39" s="483"/>
      <c r="AG39" s="482"/>
      <c r="AH39" s="515"/>
    </row>
    <row r="40" spans="1:34" ht="23.25" customHeight="1">
      <c r="A40" s="500"/>
      <c r="B40" s="516"/>
      <c r="C40" s="517" t="s">
        <v>442</v>
      </c>
      <c r="D40" s="518" t="s">
        <v>441</v>
      </c>
      <c r="E40" s="519" t="s">
        <v>335</v>
      </c>
      <c r="F40" s="510" t="s">
        <v>280</v>
      </c>
      <c r="G40" s="518" t="s">
        <v>336</v>
      </c>
      <c r="H40" s="518" t="s">
        <v>336</v>
      </c>
      <c r="I40" s="520" t="s">
        <v>385</v>
      </c>
      <c r="J40" s="521"/>
      <c r="K40" s="522"/>
      <c r="L40" s="523"/>
      <c r="M40" s="522"/>
      <c r="N40" s="523"/>
      <c r="O40" s="522"/>
      <c r="P40" s="523"/>
      <c r="Q40" s="522"/>
      <c r="R40" s="523"/>
      <c r="S40" s="522"/>
      <c r="T40" s="523"/>
      <c r="U40" s="522"/>
      <c r="V40" s="523"/>
      <c r="W40" s="524"/>
      <c r="X40" s="523" t="s">
        <v>443</v>
      </c>
      <c r="Y40" s="522"/>
      <c r="Z40" s="523"/>
      <c r="AA40" s="524"/>
      <c r="AB40" s="523"/>
      <c r="AC40" s="522"/>
      <c r="AD40" s="523"/>
      <c r="AE40" s="522"/>
      <c r="AF40" s="523"/>
      <c r="AG40" s="522"/>
      <c r="AH40" s="525" t="s">
        <v>444</v>
      </c>
    </row>
    <row r="41" spans="1:34" ht="25.5" customHeight="1">
      <c r="A41" s="526"/>
      <c r="B41" s="527"/>
      <c r="C41" s="528" t="s">
        <v>112</v>
      </c>
      <c r="D41" s="518" t="s">
        <v>441</v>
      </c>
      <c r="E41" s="529" t="s">
        <v>335</v>
      </c>
      <c r="F41" s="510" t="s">
        <v>280</v>
      </c>
      <c r="G41" s="530" t="s">
        <v>445</v>
      </c>
      <c r="H41" s="530" t="s">
        <v>445</v>
      </c>
      <c r="I41" s="520" t="s">
        <v>385</v>
      </c>
      <c r="J41" s="531"/>
      <c r="K41" s="532"/>
      <c r="L41" s="533"/>
      <c r="M41" s="532"/>
      <c r="N41" s="533"/>
      <c r="O41" s="532"/>
      <c r="P41" s="533"/>
      <c r="Q41" s="532"/>
      <c r="R41" s="533"/>
      <c r="S41" s="532"/>
      <c r="T41" s="533"/>
      <c r="U41" s="532"/>
      <c r="V41" s="533"/>
      <c r="W41" s="534"/>
      <c r="X41" s="533" t="s">
        <v>421</v>
      </c>
      <c r="Y41" s="532"/>
      <c r="Z41" s="533"/>
      <c r="AA41" s="534"/>
      <c r="AB41" s="533"/>
      <c r="AC41" s="532"/>
      <c r="AD41" s="533"/>
      <c r="AE41" s="532"/>
      <c r="AF41" s="533"/>
      <c r="AG41" s="532"/>
      <c r="AH41" s="535"/>
    </row>
    <row r="42" spans="1:34" ht="23.25" customHeight="1">
      <c r="A42" s="500"/>
      <c r="B42" s="516"/>
      <c r="C42" s="517" t="s">
        <v>337</v>
      </c>
      <c r="D42" s="518" t="s">
        <v>441</v>
      </c>
      <c r="E42" s="519" t="s">
        <v>335</v>
      </c>
      <c r="F42" s="510" t="s">
        <v>280</v>
      </c>
      <c r="G42" s="508" t="s">
        <v>210</v>
      </c>
      <c r="H42" s="508" t="s">
        <v>210</v>
      </c>
      <c r="I42" s="520" t="s">
        <v>338</v>
      </c>
      <c r="J42" s="523" t="s">
        <v>387</v>
      </c>
      <c r="K42" s="522">
        <v>17</v>
      </c>
      <c r="L42" s="523" t="s">
        <v>387</v>
      </c>
      <c r="M42" s="522"/>
      <c r="N42" s="523" t="s">
        <v>388</v>
      </c>
      <c r="O42" s="522"/>
      <c r="P42" s="523" t="s">
        <v>387</v>
      </c>
      <c r="Q42" s="522"/>
      <c r="R42" s="523" t="s">
        <v>387</v>
      </c>
      <c r="S42" s="522"/>
      <c r="T42" s="523" t="s">
        <v>388</v>
      </c>
      <c r="U42" s="522"/>
      <c r="V42" s="523" t="s">
        <v>387</v>
      </c>
      <c r="W42" s="522"/>
      <c r="X42" s="523" t="s">
        <v>339</v>
      </c>
      <c r="Y42" s="522"/>
      <c r="Z42" s="523" t="s">
        <v>389</v>
      </c>
      <c r="AA42" s="522"/>
      <c r="AB42" s="523" t="s">
        <v>387</v>
      </c>
      <c r="AC42" s="522"/>
      <c r="AD42" s="523" t="s">
        <v>339</v>
      </c>
      <c r="AE42" s="522"/>
      <c r="AF42" s="523" t="s">
        <v>388</v>
      </c>
      <c r="AG42" s="522"/>
      <c r="AH42" s="535" t="s">
        <v>446</v>
      </c>
    </row>
    <row r="43" spans="1:34" ht="23.25" customHeight="1">
      <c r="A43" s="500"/>
      <c r="B43" s="516"/>
      <c r="C43" s="517" t="s">
        <v>337</v>
      </c>
      <c r="D43" s="518" t="s">
        <v>441</v>
      </c>
      <c r="E43" s="519" t="s">
        <v>335</v>
      </c>
      <c r="F43" s="510" t="s">
        <v>281</v>
      </c>
      <c r="G43" s="508" t="s">
        <v>210</v>
      </c>
      <c r="H43" s="536"/>
      <c r="I43" s="537"/>
      <c r="J43" s="490"/>
      <c r="K43" s="522"/>
      <c r="L43" s="490"/>
      <c r="M43" s="522"/>
      <c r="N43" s="490"/>
      <c r="O43" s="522"/>
      <c r="P43" s="490"/>
      <c r="Q43" s="522"/>
      <c r="R43" s="490"/>
      <c r="S43" s="538"/>
      <c r="T43" s="490"/>
      <c r="U43" s="522"/>
      <c r="V43" s="523"/>
      <c r="W43" s="522"/>
      <c r="X43" s="523"/>
      <c r="Y43" s="522"/>
      <c r="Z43" s="523"/>
      <c r="AA43" s="522"/>
      <c r="AB43" s="523"/>
      <c r="AC43" s="522"/>
      <c r="AD43" s="490"/>
      <c r="AE43" s="522"/>
      <c r="AF43" s="490"/>
      <c r="AG43" s="522"/>
      <c r="AH43" s="539"/>
    </row>
    <row r="44" spans="1:34" ht="23.25" customHeight="1">
      <c r="A44" s="500"/>
      <c r="B44" s="516"/>
      <c r="C44" s="517" t="s">
        <v>337</v>
      </c>
      <c r="D44" s="518" t="s">
        <v>441</v>
      </c>
      <c r="E44" s="519" t="s">
        <v>335</v>
      </c>
      <c r="F44" s="510" t="s">
        <v>281</v>
      </c>
      <c r="G44" s="508" t="s">
        <v>210</v>
      </c>
      <c r="H44" s="536"/>
      <c r="I44" s="537"/>
      <c r="J44" s="490"/>
      <c r="K44" s="522"/>
      <c r="L44" s="490"/>
      <c r="M44" s="522"/>
      <c r="N44" s="490"/>
      <c r="O44" s="522"/>
      <c r="P44" s="490"/>
      <c r="Q44" s="522"/>
      <c r="R44" s="490"/>
      <c r="S44" s="538"/>
      <c r="T44" s="490"/>
      <c r="U44" s="522"/>
      <c r="V44" s="523"/>
      <c r="W44" s="522"/>
      <c r="X44" s="523"/>
      <c r="Y44" s="522"/>
      <c r="Z44" s="523"/>
      <c r="AA44" s="522"/>
      <c r="AB44" s="523"/>
      <c r="AC44" s="522"/>
      <c r="AD44" s="490"/>
      <c r="AE44" s="522"/>
      <c r="AF44" s="490"/>
      <c r="AG44" s="522"/>
      <c r="AH44" s="539"/>
    </row>
    <row r="45" spans="1:34" ht="23.25" customHeight="1">
      <c r="A45" s="500"/>
      <c r="B45" s="516"/>
      <c r="C45" s="540" t="s">
        <v>447</v>
      </c>
      <c r="D45" s="518" t="s">
        <v>441</v>
      </c>
      <c r="E45" s="541" t="s">
        <v>335</v>
      </c>
      <c r="F45" s="510" t="s">
        <v>281</v>
      </c>
      <c r="G45" s="518" t="s">
        <v>210</v>
      </c>
      <c r="H45" s="542"/>
      <c r="I45" s="543"/>
      <c r="J45" s="523"/>
      <c r="K45" s="522"/>
      <c r="L45" s="523"/>
      <c r="M45" s="522"/>
      <c r="N45" s="523"/>
      <c r="O45" s="522"/>
      <c r="P45" s="523"/>
      <c r="Q45" s="522"/>
      <c r="R45" s="523"/>
      <c r="S45" s="538"/>
      <c r="T45" s="523"/>
      <c r="U45" s="522"/>
      <c r="V45" s="523"/>
      <c r="W45" s="522"/>
      <c r="X45" s="523"/>
      <c r="Y45" s="522"/>
      <c r="Z45" s="523"/>
      <c r="AA45" s="522"/>
      <c r="AB45" s="523"/>
      <c r="AC45" s="522"/>
      <c r="AD45" s="523"/>
      <c r="AE45" s="522"/>
      <c r="AF45" s="523"/>
      <c r="AG45" s="522"/>
      <c r="AH45" s="539"/>
    </row>
    <row r="46" spans="1:34" ht="22.95" customHeight="1">
      <c r="A46" s="500"/>
      <c r="B46" s="516"/>
      <c r="C46" s="540" t="s">
        <v>447</v>
      </c>
      <c r="D46" s="518" t="s">
        <v>441</v>
      </c>
      <c r="E46" s="541" t="s">
        <v>335</v>
      </c>
      <c r="F46" s="510" t="s">
        <v>281</v>
      </c>
      <c r="G46" s="518" t="s">
        <v>210</v>
      </c>
      <c r="H46" s="542"/>
      <c r="I46" s="543"/>
      <c r="J46" s="523"/>
      <c r="K46" s="522"/>
      <c r="L46" s="523"/>
      <c r="M46" s="522"/>
      <c r="N46" s="523"/>
      <c r="O46" s="522"/>
      <c r="P46" s="523"/>
      <c r="Q46" s="522"/>
      <c r="R46" s="523"/>
      <c r="S46" s="538"/>
      <c r="T46" s="523"/>
      <c r="U46" s="522"/>
      <c r="V46" s="523"/>
      <c r="W46" s="522"/>
      <c r="X46" s="523"/>
      <c r="Y46" s="522"/>
      <c r="Z46" s="523"/>
      <c r="AA46" s="522"/>
      <c r="AB46" s="523"/>
      <c r="AC46" s="522"/>
      <c r="AD46" s="523"/>
      <c r="AE46" s="522"/>
      <c r="AF46" s="523"/>
      <c r="AG46" s="522"/>
      <c r="AH46" s="539"/>
    </row>
    <row r="47" spans="1:34" ht="22.95" customHeight="1">
      <c r="A47" s="500"/>
      <c r="B47" s="516"/>
      <c r="C47" s="540" t="s">
        <v>448</v>
      </c>
      <c r="D47" s="518" t="s">
        <v>441</v>
      </c>
      <c r="E47" s="519" t="s">
        <v>335</v>
      </c>
      <c r="F47" s="510" t="s">
        <v>280</v>
      </c>
      <c r="G47" s="508" t="s">
        <v>371</v>
      </c>
      <c r="H47" s="542" t="s">
        <v>449</v>
      </c>
      <c r="I47" s="544" t="s">
        <v>98</v>
      </c>
      <c r="J47" s="545" t="s">
        <v>450</v>
      </c>
      <c r="K47" s="489">
        <v>12</v>
      </c>
      <c r="L47" s="490"/>
      <c r="M47" s="489"/>
      <c r="N47" s="546"/>
      <c r="O47" s="489"/>
      <c r="P47" s="546" t="s">
        <v>450</v>
      </c>
      <c r="Q47" s="547"/>
      <c r="R47" s="546"/>
      <c r="S47" s="547"/>
      <c r="T47" s="546"/>
      <c r="U47" s="547"/>
      <c r="V47" s="546" t="s">
        <v>450</v>
      </c>
      <c r="W47" s="548"/>
      <c r="X47" s="546"/>
      <c r="Y47" s="547"/>
      <c r="Z47" s="546"/>
      <c r="AA47" s="547"/>
      <c r="AB47" s="546" t="s">
        <v>450</v>
      </c>
      <c r="AC47" s="547"/>
      <c r="AD47" s="546"/>
      <c r="AE47" s="547"/>
      <c r="AF47" s="546"/>
      <c r="AG47" s="547"/>
      <c r="AH47" s="549"/>
    </row>
    <row r="48" spans="1:34" ht="22.95" customHeight="1">
      <c r="A48" s="500"/>
      <c r="B48" s="516"/>
      <c r="C48" s="540" t="s">
        <v>451</v>
      </c>
      <c r="D48" s="518" t="s">
        <v>441</v>
      </c>
      <c r="E48" s="541" t="s">
        <v>335</v>
      </c>
      <c r="F48" s="510" t="s">
        <v>281</v>
      </c>
      <c r="G48" s="518" t="s">
        <v>210</v>
      </c>
      <c r="H48" s="542"/>
      <c r="I48" s="543"/>
      <c r="J48" s="521"/>
      <c r="K48" s="522"/>
      <c r="L48" s="523"/>
      <c r="M48" s="522"/>
      <c r="N48" s="523"/>
      <c r="O48" s="522"/>
      <c r="P48" s="523"/>
      <c r="Q48" s="522"/>
      <c r="R48" s="523"/>
      <c r="S48" s="538"/>
      <c r="T48" s="523"/>
      <c r="U48" s="522"/>
      <c r="V48" s="523"/>
      <c r="W48" s="522"/>
      <c r="X48" s="523"/>
      <c r="Y48" s="522"/>
      <c r="Z48" s="523"/>
      <c r="AA48" s="522"/>
      <c r="AB48" s="523"/>
      <c r="AC48" s="522"/>
      <c r="AD48" s="523"/>
      <c r="AE48" s="522"/>
      <c r="AF48" s="523"/>
      <c r="AG48" s="522"/>
      <c r="AH48" s="539"/>
    </row>
    <row r="49" spans="1:34" ht="22.95" customHeight="1">
      <c r="A49" s="500"/>
      <c r="B49" s="516"/>
      <c r="C49" s="540" t="s">
        <v>452</v>
      </c>
      <c r="D49" s="518" t="s">
        <v>441</v>
      </c>
      <c r="E49" s="541" t="s">
        <v>335</v>
      </c>
      <c r="F49" s="510" t="s">
        <v>281</v>
      </c>
      <c r="G49" s="518" t="s">
        <v>210</v>
      </c>
      <c r="H49" s="542"/>
      <c r="I49" s="543"/>
      <c r="J49" s="521"/>
      <c r="K49" s="522"/>
      <c r="L49" s="523"/>
      <c r="M49" s="522"/>
      <c r="N49" s="523"/>
      <c r="O49" s="522"/>
      <c r="P49" s="523"/>
      <c r="Q49" s="522"/>
      <c r="R49" s="523"/>
      <c r="S49" s="538"/>
      <c r="T49" s="523"/>
      <c r="U49" s="522"/>
      <c r="V49" s="523"/>
      <c r="W49" s="522"/>
      <c r="X49" s="523"/>
      <c r="Y49" s="522"/>
      <c r="Z49" s="523"/>
      <c r="AA49" s="522"/>
      <c r="AB49" s="523"/>
      <c r="AC49" s="522"/>
      <c r="AD49" s="523"/>
      <c r="AE49" s="522"/>
      <c r="AF49" s="523"/>
      <c r="AG49" s="522"/>
      <c r="AH49" s="539"/>
    </row>
    <row r="50" spans="1:34" ht="22.95" customHeight="1" thickBot="1">
      <c r="A50" s="500"/>
      <c r="B50" s="550"/>
      <c r="C50" s="551" t="s">
        <v>453</v>
      </c>
      <c r="D50" s="552" t="s">
        <v>441</v>
      </c>
      <c r="E50" s="553" t="s">
        <v>335</v>
      </c>
      <c r="F50" s="554" t="s">
        <v>281</v>
      </c>
      <c r="G50" s="552" t="s">
        <v>210</v>
      </c>
      <c r="H50" s="555"/>
      <c r="I50" s="497"/>
      <c r="J50" s="556"/>
      <c r="K50" s="495"/>
      <c r="L50" s="496"/>
      <c r="M50" s="495"/>
      <c r="N50" s="496"/>
      <c r="O50" s="495"/>
      <c r="P50" s="496"/>
      <c r="Q50" s="495"/>
      <c r="R50" s="496"/>
      <c r="S50" s="557"/>
      <c r="T50" s="496"/>
      <c r="U50" s="495"/>
      <c r="V50" s="496"/>
      <c r="W50" s="495"/>
      <c r="X50" s="496"/>
      <c r="Y50" s="495"/>
      <c r="Z50" s="496"/>
      <c r="AA50" s="495"/>
      <c r="AB50" s="496"/>
      <c r="AC50" s="495"/>
      <c r="AD50" s="496"/>
      <c r="AE50" s="495"/>
      <c r="AF50" s="496"/>
      <c r="AG50" s="495"/>
      <c r="AH50" s="558"/>
    </row>
    <row r="51" spans="1:34" ht="23.25" customHeight="1">
      <c r="A51" s="500"/>
      <c r="B51" s="516" t="s">
        <v>124</v>
      </c>
      <c r="C51" s="517" t="s">
        <v>454</v>
      </c>
      <c r="D51" s="508" t="s">
        <v>441</v>
      </c>
      <c r="E51" s="519" t="s">
        <v>341</v>
      </c>
      <c r="F51" s="559" t="s">
        <v>280</v>
      </c>
      <c r="G51" s="536" t="s">
        <v>455</v>
      </c>
      <c r="H51" s="508" t="s">
        <v>171</v>
      </c>
      <c r="I51" s="560" t="s">
        <v>342</v>
      </c>
      <c r="J51" s="513" t="s">
        <v>118</v>
      </c>
      <c r="K51" s="482">
        <v>12</v>
      </c>
      <c r="L51" s="483"/>
      <c r="M51" s="482"/>
      <c r="N51" s="561" t="s">
        <v>118</v>
      </c>
      <c r="O51" s="482"/>
      <c r="P51" s="561"/>
      <c r="Q51" s="562"/>
      <c r="R51" s="561" t="s">
        <v>118</v>
      </c>
      <c r="S51" s="562"/>
      <c r="T51" s="561"/>
      <c r="U51" s="562"/>
      <c r="V51" s="561" t="s">
        <v>119</v>
      </c>
      <c r="W51" s="563"/>
      <c r="X51" s="561"/>
      <c r="Y51" s="562"/>
      <c r="Z51" s="546" t="s">
        <v>118</v>
      </c>
      <c r="AA51" s="562"/>
      <c r="AB51" s="561"/>
      <c r="AC51" s="562"/>
      <c r="AD51" s="561" t="s">
        <v>118</v>
      </c>
      <c r="AE51" s="562"/>
      <c r="AF51" s="561"/>
      <c r="AG51" s="562"/>
      <c r="AH51" s="539" t="s">
        <v>456</v>
      </c>
    </row>
    <row r="52" spans="1:34" ht="23.25" customHeight="1">
      <c r="A52" s="500"/>
      <c r="B52" s="516"/>
      <c r="C52" s="564" t="s">
        <v>457</v>
      </c>
      <c r="D52" s="518" t="s">
        <v>441</v>
      </c>
      <c r="E52" s="565" t="s">
        <v>458</v>
      </c>
      <c r="F52" s="510" t="s">
        <v>281</v>
      </c>
      <c r="G52" s="566" t="s">
        <v>459</v>
      </c>
      <c r="H52" s="566"/>
      <c r="I52" s="567"/>
      <c r="J52" s="568"/>
      <c r="K52" s="569"/>
      <c r="L52" s="568"/>
      <c r="M52" s="569"/>
      <c r="N52" s="568"/>
      <c r="O52" s="569"/>
      <c r="P52" s="568"/>
      <c r="Q52" s="569"/>
      <c r="R52" s="568"/>
      <c r="S52" s="569"/>
      <c r="T52" s="568"/>
      <c r="U52" s="569"/>
      <c r="V52" s="568"/>
      <c r="W52" s="569"/>
      <c r="X52" s="568"/>
      <c r="Y52" s="569"/>
      <c r="Z52" s="568"/>
      <c r="AA52" s="569"/>
      <c r="AB52" s="568"/>
      <c r="AC52" s="569"/>
      <c r="AD52" s="568"/>
      <c r="AE52" s="569"/>
      <c r="AF52" s="568"/>
      <c r="AG52" s="569"/>
      <c r="AH52" s="570"/>
    </row>
    <row r="53" spans="1:34" ht="25.5" customHeight="1" thickBot="1">
      <c r="A53" s="571"/>
      <c r="B53" s="572"/>
      <c r="C53" s="573" t="s">
        <v>460</v>
      </c>
      <c r="D53" s="552" t="s">
        <v>441</v>
      </c>
      <c r="E53" s="574" t="s">
        <v>458</v>
      </c>
      <c r="F53" s="554" t="s">
        <v>281</v>
      </c>
      <c r="G53" s="575" t="s">
        <v>210</v>
      </c>
      <c r="H53" s="576"/>
      <c r="I53" s="497"/>
      <c r="J53" s="577"/>
      <c r="K53" s="578"/>
      <c r="L53" s="577"/>
      <c r="M53" s="578"/>
      <c r="N53" s="496"/>
      <c r="O53" s="578"/>
      <c r="P53" s="577"/>
      <c r="Q53" s="578"/>
      <c r="R53" s="577"/>
      <c r="S53" s="578"/>
      <c r="T53" s="577"/>
      <c r="U53" s="578"/>
      <c r="V53" s="577"/>
      <c r="W53" s="578"/>
      <c r="X53" s="577"/>
      <c r="Y53" s="578"/>
      <c r="Z53" s="577"/>
      <c r="AA53" s="578"/>
      <c r="AB53" s="577"/>
      <c r="AC53" s="578"/>
      <c r="AD53" s="577"/>
      <c r="AE53" s="578"/>
      <c r="AF53" s="577"/>
      <c r="AG53" s="578"/>
      <c r="AH53" s="579"/>
    </row>
    <row r="54" spans="1:34" ht="23.25" customHeight="1">
      <c r="A54" s="500"/>
      <c r="B54" s="516" t="s">
        <v>139</v>
      </c>
      <c r="C54" s="517" t="s">
        <v>346</v>
      </c>
      <c r="D54" s="508" t="s">
        <v>441</v>
      </c>
      <c r="E54" s="519" t="s">
        <v>284</v>
      </c>
      <c r="F54" s="559" t="s">
        <v>280</v>
      </c>
      <c r="G54" s="508" t="s">
        <v>171</v>
      </c>
      <c r="H54" s="508" t="s">
        <v>171</v>
      </c>
      <c r="I54" s="512" t="s">
        <v>98</v>
      </c>
      <c r="J54" s="545"/>
      <c r="K54" s="489"/>
      <c r="L54" s="490" t="s">
        <v>118</v>
      </c>
      <c r="M54" s="489"/>
      <c r="N54" s="490"/>
      <c r="O54" s="489"/>
      <c r="P54" s="490" t="s">
        <v>118</v>
      </c>
      <c r="Q54" s="489"/>
      <c r="R54" s="490"/>
      <c r="S54" s="489"/>
      <c r="T54" s="490" t="s">
        <v>118</v>
      </c>
      <c r="U54" s="489"/>
      <c r="V54" s="490"/>
      <c r="W54" s="580"/>
      <c r="X54" s="490" t="s">
        <v>118</v>
      </c>
      <c r="Y54" s="489"/>
      <c r="Z54" s="490"/>
      <c r="AA54" s="489"/>
      <c r="AB54" s="490" t="s">
        <v>118</v>
      </c>
      <c r="AC54" s="489"/>
      <c r="AD54" s="490"/>
      <c r="AE54" s="489"/>
      <c r="AF54" s="490" t="s">
        <v>118</v>
      </c>
      <c r="AG54" s="489"/>
      <c r="AH54" s="549"/>
    </row>
    <row r="55" spans="1:34" ht="23.25" customHeight="1">
      <c r="A55" s="500"/>
      <c r="B55" s="516"/>
      <c r="C55" s="517" t="s">
        <v>461</v>
      </c>
      <c r="D55" s="508" t="s">
        <v>441</v>
      </c>
      <c r="E55" s="519" t="s">
        <v>284</v>
      </c>
      <c r="F55" s="559" t="s">
        <v>281</v>
      </c>
      <c r="G55" s="519" t="s">
        <v>462</v>
      </c>
      <c r="H55" s="581"/>
      <c r="I55" s="537"/>
      <c r="J55" s="490"/>
      <c r="K55" s="489"/>
      <c r="L55" s="582"/>
      <c r="M55" s="489"/>
      <c r="N55" s="490"/>
      <c r="O55" s="489"/>
      <c r="P55" s="582"/>
      <c r="Q55" s="489"/>
      <c r="R55" s="490"/>
      <c r="S55" s="489"/>
      <c r="T55" s="582"/>
      <c r="U55" s="489"/>
      <c r="V55" s="490"/>
      <c r="W55" s="489"/>
      <c r="X55" s="582"/>
      <c r="Y55" s="489"/>
      <c r="Z55" s="490"/>
      <c r="AA55" s="489"/>
      <c r="AB55" s="582"/>
      <c r="AC55" s="489"/>
      <c r="AD55" s="490"/>
      <c r="AE55" s="489"/>
      <c r="AF55" s="582"/>
      <c r="AG55" s="489"/>
      <c r="AH55" s="549"/>
    </row>
    <row r="56" spans="1:34" ht="23.25" customHeight="1">
      <c r="A56" s="500"/>
      <c r="B56" s="516"/>
      <c r="C56" s="517" t="s">
        <v>463</v>
      </c>
      <c r="D56" s="508" t="s">
        <v>441</v>
      </c>
      <c r="E56" s="519" t="s">
        <v>284</v>
      </c>
      <c r="F56" s="559" t="s">
        <v>281</v>
      </c>
      <c r="G56" s="519" t="s">
        <v>462</v>
      </c>
      <c r="H56" s="581"/>
      <c r="I56" s="537"/>
      <c r="J56" s="490"/>
      <c r="K56" s="489"/>
      <c r="L56" s="582"/>
      <c r="M56" s="489"/>
      <c r="N56" s="490"/>
      <c r="O56" s="489"/>
      <c r="P56" s="582"/>
      <c r="Q56" s="489"/>
      <c r="R56" s="490"/>
      <c r="S56" s="489"/>
      <c r="T56" s="582"/>
      <c r="U56" s="489"/>
      <c r="V56" s="490"/>
      <c r="W56" s="489"/>
      <c r="X56" s="582"/>
      <c r="Y56" s="489"/>
      <c r="Z56" s="490"/>
      <c r="AA56" s="489"/>
      <c r="AB56" s="582"/>
      <c r="AC56" s="489"/>
      <c r="AD56" s="490"/>
      <c r="AE56" s="489"/>
      <c r="AF56" s="582"/>
      <c r="AG56" s="489"/>
      <c r="AH56" s="549"/>
    </row>
    <row r="57" spans="1:34" ht="25.5" customHeight="1">
      <c r="A57" s="571"/>
      <c r="B57" s="583"/>
      <c r="C57" s="584" t="s">
        <v>464</v>
      </c>
      <c r="D57" s="518" t="s">
        <v>441</v>
      </c>
      <c r="E57" s="585" t="s">
        <v>284</v>
      </c>
      <c r="F57" s="510" t="s">
        <v>280</v>
      </c>
      <c r="G57" s="586" t="s">
        <v>371</v>
      </c>
      <c r="H57" s="586" t="s">
        <v>465</v>
      </c>
      <c r="I57" s="520" t="s">
        <v>98</v>
      </c>
      <c r="J57" s="521" t="s">
        <v>118</v>
      </c>
      <c r="K57" s="522">
        <v>23</v>
      </c>
      <c r="L57" s="490" t="s">
        <v>118</v>
      </c>
      <c r="M57" s="489"/>
      <c r="N57" s="490" t="s">
        <v>97</v>
      </c>
      <c r="O57" s="489"/>
      <c r="P57" s="490" t="s">
        <v>97</v>
      </c>
      <c r="Q57" s="489"/>
      <c r="R57" s="490" t="s">
        <v>97</v>
      </c>
      <c r="S57" s="489"/>
      <c r="T57" s="490" t="s">
        <v>118</v>
      </c>
      <c r="U57" s="489"/>
      <c r="V57" s="490" t="s">
        <v>118</v>
      </c>
      <c r="W57" s="580"/>
      <c r="X57" s="490" t="s">
        <v>97</v>
      </c>
      <c r="Y57" s="489"/>
      <c r="Z57" s="490" t="s">
        <v>97</v>
      </c>
      <c r="AA57" s="489"/>
      <c r="AB57" s="490" t="s">
        <v>466</v>
      </c>
      <c r="AC57" s="489"/>
      <c r="AD57" s="490" t="s">
        <v>97</v>
      </c>
      <c r="AE57" s="489"/>
      <c r="AF57" s="490" t="s">
        <v>97</v>
      </c>
      <c r="AG57" s="489"/>
      <c r="AH57" s="587"/>
    </row>
    <row r="58" spans="1:34" ht="23.25" customHeight="1">
      <c r="A58" s="500"/>
      <c r="B58" s="516"/>
      <c r="C58" s="517" t="s">
        <v>467</v>
      </c>
      <c r="D58" s="518" t="s">
        <v>441</v>
      </c>
      <c r="E58" s="519" t="s">
        <v>284</v>
      </c>
      <c r="F58" s="510" t="s">
        <v>281</v>
      </c>
      <c r="G58" s="508" t="s">
        <v>468</v>
      </c>
      <c r="H58" s="536"/>
      <c r="I58" s="537"/>
      <c r="J58" s="588"/>
      <c r="K58" s="489"/>
      <c r="L58" s="490"/>
      <c r="M58" s="489"/>
      <c r="N58" s="490"/>
      <c r="O58" s="489"/>
      <c r="P58" s="490"/>
      <c r="Q58" s="489"/>
      <c r="R58" s="490"/>
      <c r="S58" s="489"/>
      <c r="T58" s="490"/>
      <c r="U58" s="489"/>
      <c r="V58" s="582"/>
      <c r="W58" s="489"/>
      <c r="X58" s="490"/>
      <c r="Y58" s="489"/>
      <c r="Z58" s="582"/>
      <c r="AA58" s="489"/>
      <c r="AB58" s="490"/>
      <c r="AC58" s="489"/>
      <c r="AD58" s="582"/>
      <c r="AE58" s="489"/>
      <c r="AF58" s="490"/>
      <c r="AG58" s="489"/>
      <c r="AH58" s="539"/>
    </row>
    <row r="59" spans="1:34" ht="23.25" customHeight="1">
      <c r="A59" s="500"/>
      <c r="B59" s="516"/>
      <c r="C59" s="517" t="s">
        <v>469</v>
      </c>
      <c r="D59" s="518" t="s">
        <v>441</v>
      </c>
      <c r="E59" s="519" t="s">
        <v>284</v>
      </c>
      <c r="F59" s="510" t="s">
        <v>281</v>
      </c>
      <c r="G59" s="508" t="s">
        <v>210</v>
      </c>
      <c r="H59" s="536"/>
      <c r="I59" s="543"/>
      <c r="J59" s="588"/>
      <c r="K59" s="489"/>
      <c r="L59" s="490"/>
      <c r="M59" s="489"/>
      <c r="N59" s="490"/>
      <c r="O59" s="489"/>
      <c r="P59" s="582"/>
      <c r="Q59" s="489"/>
      <c r="R59" s="582"/>
      <c r="S59" s="489"/>
      <c r="T59" s="582"/>
      <c r="U59" s="489"/>
      <c r="V59" s="582"/>
      <c r="W59" s="489"/>
      <c r="X59" s="582"/>
      <c r="Y59" s="489"/>
      <c r="Z59" s="582"/>
      <c r="AA59" s="489"/>
      <c r="AB59" s="582"/>
      <c r="AC59" s="489"/>
      <c r="AD59" s="582"/>
      <c r="AE59" s="489"/>
      <c r="AF59" s="582"/>
      <c r="AG59" s="489"/>
      <c r="AH59" s="539"/>
    </row>
    <row r="60" spans="1:34" ht="23.25" customHeight="1">
      <c r="A60" s="500"/>
      <c r="B60" s="516"/>
      <c r="C60" s="517" t="s">
        <v>470</v>
      </c>
      <c r="D60" s="518" t="s">
        <v>441</v>
      </c>
      <c r="E60" s="519" t="s">
        <v>284</v>
      </c>
      <c r="F60" s="510" t="s">
        <v>280</v>
      </c>
      <c r="G60" s="508" t="s">
        <v>471</v>
      </c>
      <c r="H60" s="536" t="s">
        <v>472</v>
      </c>
      <c r="I60" s="544" t="s">
        <v>98</v>
      </c>
      <c r="J60" s="545"/>
      <c r="K60" s="522"/>
      <c r="L60" s="490"/>
      <c r="M60" s="522"/>
      <c r="N60" s="490"/>
      <c r="O60" s="522"/>
      <c r="P60" s="490"/>
      <c r="Q60" s="522"/>
      <c r="R60" s="490"/>
      <c r="S60" s="522"/>
      <c r="T60" s="490"/>
      <c r="U60" s="522"/>
      <c r="V60" s="490" t="s">
        <v>391</v>
      </c>
      <c r="W60" s="524"/>
      <c r="X60" s="490" t="s">
        <v>118</v>
      </c>
      <c r="Y60" s="522"/>
      <c r="Z60" s="490" t="s">
        <v>118</v>
      </c>
      <c r="AA60" s="522"/>
      <c r="AB60" s="490" t="s">
        <v>118</v>
      </c>
      <c r="AC60" s="522"/>
      <c r="AD60" s="490" t="s">
        <v>118</v>
      </c>
      <c r="AE60" s="522"/>
      <c r="AF60" s="490" t="s">
        <v>118</v>
      </c>
      <c r="AG60" s="522"/>
      <c r="AH60" s="539" t="s">
        <v>473</v>
      </c>
    </row>
    <row r="61" spans="1:34" ht="23.25" customHeight="1">
      <c r="A61" s="500"/>
      <c r="B61" s="516"/>
      <c r="C61" s="517" t="s">
        <v>474</v>
      </c>
      <c r="D61" s="518" t="s">
        <v>441</v>
      </c>
      <c r="E61" s="519" t="s">
        <v>284</v>
      </c>
      <c r="F61" s="510" t="s">
        <v>281</v>
      </c>
      <c r="G61" s="586" t="s">
        <v>465</v>
      </c>
      <c r="H61" s="536"/>
      <c r="I61" s="537"/>
      <c r="J61" s="588"/>
      <c r="K61" s="489"/>
      <c r="L61" s="490"/>
      <c r="M61" s="489"/>
      <c r="N61" s="490"/>
      <c r="O61" s="489"/>
      <c r="P61" s="582"/>
      <c r="Q61" s="489"/>
      <c r="R61" s="582"/>
      <c r="S61" s="489"/>
      <c r="T61" s="490"/>
      <c r="U61" s="489"/>
      <c r="V61" s="582"/>
      <c r="W61" s="489"/>
      <c r="X61" s="490"/>
      <c r="Y61" s="489"/>
      <c r="Z61" s="582"/>
      <c r="AA61" s="489"/>
      <c r="AB61" s="582"/>
      <c r="AC61" s="489"/>
      <c r="AD61" s="582"/>
      <c r="AE61" s="489"/>
      <c r="AF61" s="582"/>
      <c r="AG61" s="489"/>
      <c r="AH61" s="539"/>
    </row>
    <row r="62" spans="1:34" ht="23.25" customHeight="1">
      <c r="A62" s="500"/>
      <c r="B62" s="516"/>
      <c r="C62" s="517" t="s">
        <v>475</v>
      </c>
      <c r="D62" s="518" t="s">
        <v>441</v>
      </c>
      <c r="E62" s="519" t="s">
        <v>284</v>
      </c>
      <c r="F62" s="510" t="s">
        <v>281</v>
      </c>
      <c r="G62" s="508" t="s">
        <v>210</v>
      </c>
      <c r="H62" s="536"/>
      <c r="I62" s="537"/>
      <c r="J62" s="588"/>
      <c r="K62" s="489"/>
      <c r="L62" s="582"/>
      <c r="M62" s="489"/>
      <c r="N62" s="582"/>
      <c r="O62" s="489"/>
      <c r="P62" s="582"/>
      <c r="Q62" s="489"/>
      <c r="R62" s="490"/>
      <c r="S62" s="489"/>
      <c r="T62" s="490"/>
      <c r="U62" s="489"/>
      <c r="V62" s="582"/>
      <c r="W62" s="489"/>
      <c r="X62" s="582"/>
      <c r="Y62" s="489"/>
      <c r="Z62" s="582"/>
      <c r="AA62" s="489"/>
      <c r="AB62" s="582"/>
      <c r="AC62" s="489"/>
      <c r="AD62" s="582"/>
      <c r="AE62" s="489"/>
      <c r="AF62" s="582"/>
      <c r="AG62" s="489"/>
      <c r="AH62" s="539"/>
    </row>
    <row r="63" spans="1:34" ht="23.25" customHeight="1">
      <c r="A63" s="500"/>
      <c r="B63" s="516"/>
      <c r="C63" s="517" t="s">
        <v>476</v>
      </c>
      <c r="D63" s="518" t="s">
        <v>441</v>
      </c>
      <c r="E63" s="519" t="s">
        <v>284</v>
      </c>
      <c r="F63" s="510" t="s">
        <v>281</v>
      </c>
      <c r="G63" s="508" t="s">
        <v>340</v>
      </c>
      <c r="H63" s="536"/>
      <c r="I63" s="537"/>
      <c r="J63" s="588"/>
      <c r="K63" s="489"/>
      <c r="L63" s="582"/>
      <c r="M63" s="489"/>
      <c r="N63" s="582"/>
      <c r="O63" s="489"/>
      <c r="P63" s="582"/>
      <c r="Q63" s="489"/>
      <c r="R63" s="582"/>
      <c r="S63" s="489"/>
      <c r="T63" s="490"/>
      <c r="U63" s="489"/>
      <c r="V63" s="582"/>
      <c r="W63" s="489"/>
      <c r="X63" s="582"/>
      <c r="Y63" s="489"/>
      <c r="Z63" s="582"/>
      <c r="AA63" s="489"/>
      <c r="AB63" s="582"/>
      <c r="AC63" s="489"/>
      <c r="AD63" s="490"/>
      <c r="AE63" s="489"/>
      <c r="AF63" s="490"/>
      <c r="AG63" s="489"/>
      <c r="AH63" s="539"/>
    </row>
    <row r="64" spans="1:34" ht="23.25" customHeight="1">
      <c r="A64" s="500"/>
      <c r="B64" s="516"/>
      <c r="C64" s="517" t="s">
        <v>477</v>
      </c>
      <c r="D64" s="518" t="s">
        <v>441</v>
      </c>
      <c r="E64" s="519" t="s">
        <v>284</v>
      </c>
      <c r="F64" s="510" t="s">
        <v>281</v>
      </c>
      <c r="G64" s="508" t="s">
        <v>340</v>
      </c>
      <c r="H64" s="536"/>
      <c r="I64" s="537"/>
      <c r="J64" s="589"/>
      <c r="K64" s="489"/>
      <c r="L64" s="582"/>
      <c r="M64" s="489"/>
      <c r="N64" s="582"/>
      <c r="O64" s="489"/>
      <c r="P64" s="582"/>
      <c r="Q64" s="489"/>
      <c r="R64" s="582"/>
      <c r="S64" s="489"/>
      <c r="T64" s="490"/>
      <c r="U64" s="489"/>
      <c r="V64" s="582"/>
      <c r="W64" s="489"/>
      <c r="X64" s="582"/>
      <c r="Y64" s="489"/>
      <c r="Z64" s="582"/>
      <c r="AA64" s="489"/>
      <c r="AB64" s="582"/>
      <c r="AC64" s="489"/>
      <c r="AD64" s="490"/>
      <c r="AE64" s="489"/>
      <c r="AF64" s="490"/>
      <c r="AG64" s="489"/>
      <c r="AH64" s="539"/>
    </row>
    <row r="65" spans="1:34" ht="23.25" customHeight="1">
      <c r="A65" s="500"/>
      <c r="B65" s="516"/>
      <c r="C65" s="517" t="s">
        <v>478</v>
      </c>
      <c r="D65" s="518" t="s">
        <v>441</v>
      </c>
      <c r="E65" s="519" t="s">
        <v>284</v>
      </c>
      <c r="F65" s="510" t="s">
        <v>281</v>
      </c>
      <c r="G65" s="508" t="s">
        <v>479</v>
      </c>
      <c r="H65" s="536"/>
      <c r="I65" s="537"/>
      <c r="J65" s="490"/>
      <c r="K65" s="522"/>
      <c r="L65" s="490"/>
      <c r="M65" s="522"/>
      <c r="N65" s="490"/>
      <c r="O65" s="522"/>
      <c r="P65" s="490"/>
      <c r="Q65" s="522"/>
      <c r="R65" s="490"/>
      <c r="S65" s="522"/>
      <c r="T65" s="490"/>
      <c r="U65" s="522"/>
      <c r="V65" s="490"/>
      <c r="W65" s="522"/>
      <c r="X65" s="490"/>
      <c r="Y65" s="522"/>
      <c r="Z65" s="490"/>
      <c r="AA65" s="522"/>
      <c r="AB65" s="490"/>
      <c r="AC65" s="522"/>
      <c r="AD65" s="490"/>
      <c r="AE65" s="522"/>
      <c r="AF65" s="490"/>
      <c r="AG65" s="522"/>
      <c r="AH65" s="539"/>
    </row>
    <row r="66" spans="1:34" ht="23.25" customHeight="1">
      <c r="A66" s="500"/>
      <c r="B66" s="516"/>
      <c r="C66" s="517" t="s">
        <v>480</v>
      </c>
      <c r="D66" s="518" t="s">
        <v>441</v>
      </c>
      <c r="E66" s="519" t="s">
        <v>284</v>
      </c>
      <c r="F66" s="510" t="s">
        <v>281</v>
      </c>
      <c r="G66" s="508" t="s">
        <v>479</v>
      </c>
      <c r="H66" s="536"/>
      <c r="I66" s="537"/>
      <c r="J66" s="490"/>
      <c r="K66" s="522"/>
      <c r="L66" s="490"/>
      <c r="M66" s="522"/>
      <c r="N66" s="490"/>
      <c r="O66" s="522"/>
      <c r="P66" s="490"/>
      <c r="Q66" s="522"/>
      <c r="R66" s="490"/>
      <c r="S66" s="522"/>
      <c r="T66" s="490"/>
      <c r="U66" s="522"/>
      <c r="V66" s="490"/>
      <c r="W66" s="522"/>
      <c r="X66" s="490"/>
      <c r="Y66" s="522"/>
      <c r="Z66" s="490"/>
      <c r="AA66" s="522"/>
      <c r="AB66" s="490"/>
      <c r="AC66" s="522"/>
      <c r="AD66" s="490"/>
      <c r="AE66" s="522"/>
      <c r="AF66" s="490"/>
      <c r="AG66" s="522"/>
      <c r="AH66" s="539"/>
    </row>
    <row r="67" spans="1:34" ht="23.25" customHeight="1">
      <c r="A67" s="500"/>
      <c r="B67" s="516"/>
      <c r="C67" s="517" t="s">
        <v>481</v>
      </c>
      <c r="D67" s="518" t="s">
        <v>441</v>
      </c>
      <c r="E67" s="519" t="s">
        <v>284</v>
      </c>
      <c r="F67" s="510" t="s">
        <v>281</v>
      </c>
      <c r="G67" s="508" t="s">
        <v>479</v>
      </c>
      <c r="H67" s="536"/>
      <c r="I67" s="537"/>
      <c r="J67" s="588"/>
      <c r="K67" s="489"/>
      <c r="L67" s="582"/>
      <c r="M67" s="489"/>
      <c r="N67" s="582"/>
      <c r="O67" s="489"/>
      <c r="P67" s="582"/>
      <c r="Q67" s="489"/>
      <c r="R67" s="582"/>
      <c r="S67" s="489"/>
      <c r="T67" s="582"/>
      <c r="U67" s="489"/>
      <c r="V67" s="582"/>
      <c r="W67" s="489"/>
      <c r="X67" s="582"/>
      <c r="Y67" s="489"/>
      <c r="Z67" s="582"/>
      <c r="AA67" s="489"/>
      <c r="AB67" s="582"/>
      <c r="AC67" s="489"/>
      <c r="AD67" s="582"/>
      <c r="AE67" s="489"/>
      <c r="AF67" s="582"/>
      <c r="AG67" s="489"/>
      <c r="AH67" s="539"/>
    </row>
    <row r="68" spans="1:34" ht="23.25" customHeight="1">
      <c r="A68" s="500"/>
      <c r="B68" s="516"/>
      <c r="C68" s="517" t="s">
        <v>482</v>
      </c>
      <c r="D68" s="518" t="s">
        <v>441</v>
      </c>
      <c r="E68" s="519" t="s">
        <v>284</v>
      </c>
      <c r="F68" s="510" t="s">
        <v>281</v>
      </c>
      <c r="G68" s="508" t="s">
        <v>340</v>
      </c>
      <c r="H68" s="536"/>
      <c r="I68" s="537"/>
      <c r="J68" s="588"/>
      <c r="K68" s="489"/>
      <c r="L68" s="490"/>
      <c r="M68" s="489"/>
      <c r="N68" s="490"/>
      <c r="O68" s="489"/>
      <c r="P68" s="582"/>
      <c r="Q68" s="489"/>
      <c r="R68" s="582"/>
      <c r="S68" s="489"/>
      <c r="T68" s="490"/>
      <c r="U68" s="489"/>
      <c r="V68" s="490"/>
      <c r="W68" s="489"/>
      <c r="X68" s="582"/>
      <c r="Y68" s="489"/>
      <c r="Z68" s="582"/>
      <c r="AA68" s="489"/>
      <c r="AB68" s="490"/>
      <c r="AC68" s="489"/>
      <c r="AD68" s="490"/>
      <c r="AE68" s="489"/>
      <c r="AF68" s="582"/>
      <c r="AG68" s="489"/>
      <c r="AH68" s="539"/>
    </row>
    <row r="69" spans="1:34" ht="23.25" customHeight="1">
      <c r="A69" s="500"/>
      <c r="B69" s="516"/>
      <c r="C69" s="517" t="s">
        <v>483</v>
      </c>
      <c r="D69" s="518" t="s">
        <v>441</v>
      </c>
      <c r="E69" s="519" t="s">
        <v>284</v>
      </c>
      <c r="F69" s="510" t="s">
        <v>281</v>
      </c>
      <c r="G69" s="508" t="s">
        <v>340</v>
      </c>
      <c r="H69" s="536"/>
      <c r="I69" s="537"/>
      <c r="J69" s="588"/>
      <c r="K69" s="489"/>
      <c r="L69" s="582"/>
      <c r="M69" s="489"/>
      <c r="N69" s="490"/>
      <c r="O69" s="489"/>
      <c r="P69" s="582"/>
      <c r="Q69" s="489"/>
      <c r="R69" s="582"/>
      <c r="S69" s="489"/>
      <c r="T69" s="582"/>
      <c r="U69" s="489"/>
      <c r="V69" s="490"/>
      <c r="W69" s="489"/>
      <c r="X69" s="582"/>
      <c r="Y69" s="489"/>
      <c r="Z69" s="582"/>
      <c r="AA69" s="489"/>
      <c r="AB69" s="582"/>
      <c r="AC69" s="489"/>
      <c r="AD69" s="490"/>
      <c r="AE69" s="489"/>
      <c r="AF69" s="582"/>
      <c r="AG69" s="489"/>
      <c r="AH69" s="539"/>
    </row>
    <row r="70" spans="1:34" ht="23.25" customHeight="1">
      <c r="A70" s="500"/>
      <c r="B70" s="516"/>
      <c r="C70" s="517" t="s">
        <v>347</v>
      </c>
      <c r="D70" s="518" t="s">
        <v>441</v>
      </c>
      <c r="E70" s="519" t="s">
        <v>284</v>
      </c>
      <c r="F70" s="510" t="s">
        <v>280</v>
      </c>
      <c r="G70" s="566" t="s">
        <v>484</v>
      </c>
      <c r="H70" s="586" t="s">
        <v>465</v>
      </c>
      <c r="I70" s="544" t="s">
        <v>392</v>
      </c>
      <c r="J70" s="545" t="s">
        <v>118</v>
      </c>
      <c r="K70" s="489">
        <v>7</v>
      </c>
      <c r="L70" s="490" t="s">
        <v>118</v>
      </c>
      <c r="M70" s="489"/>
      <c r="N70" s="490" t="s">
        <v>97</v>
      </c>
      <c r="O70" s="489"/>
      <c r="P70" s="490" t="s">
        <v>97</v>
      </c>
      <c r="Q70" s="489"/>
      <c r="R70" s="490" t="s">
        <v>119</v>
      </c>
      <c r="S70" s="489"/>
      <c r="T70" s="490" t="s">
        <v>97</v>
      </c>
      <c r="U70" s="489"/>
      <c r="V70" s="490" t="s">
        <v>97</v>
      </c>
      <c r="W70" s="580"/>
      <c r="X70" s="490" t="s">
        <v>97</v>
      </c>
      <c r="Y70" s="489"/>
      <c r="Z70" s="490" t="s">
        <v>97</v>
      </c>
      <c r="AA70" s="489"/>
      <c r="AB70" s="490" t="s">
        <v>97</v>
      </c>
      <c r="AC70" s="489"/>
      <c r="AD70" s="490" t="s">
        <v>119</v>
      </c>
      <c r="AE70" s="489"/>
      <c r="AF70" s="490" t="s">
        <v>97</v>
      </c>
      <c r="AG70" s="489"/>
      <c r="AH70" s="539" t="s">
        <v>393</v>
      </c>
    </row>
    <row r="71" spans="1:34" ht="23.25" customHeight="1">
      <c r="A71" s="500"/>
      <c r="B71" s="516"/>
      <c r="C71" s="517" t="s">
        <v>485</v>
      </c>
      <c r="D71" s="518" t="s">
        <v>441</v>
      </c>
      <c r="E71" s="519" t="s">
        <v>284</v>
      </c>
      <c r="F71" s="510" t="s">
        <v>281</v>
      </c>
      <c r="G71" s="508" t="s">
        <v>210</v>
      </c>
      <c r="H71" s="536"/>
      <c r="I71" s="537"/>
      <c r="J71" s="588"/>
      <c r="K71" s="489"/>
      <c r="L71" s="582"/>
      <c r="M71" s="489"/>
      <c r="N71" s="582"/>
      <c r="O71" s="489"/>
      <c r="P71" s="582"/>
      <c r="Q71" s="489"/>
      <c r="R71" s="582"/>
      <c r="S71" s="489"/>
      <c r="T71" s="582"/>
      <c r="U71" s="489"/>
      <c r="V71" s="582"/>
      <c r="W71" s="489"/>
      <c r="X71" s="582"/>
      <c r="Y71" s="489"/>
      <c r="Z71" s="490"/>
      <c r="AA71" s="489"/>
      <c r="AB71" s="582"/>
      <c r="AC71" s="489"/>
      <c r="AD71" s="582"/>
      <c r="AE71" s="489"/>
      <c r="AF71" s="582"/>
      <c r="AG71" s="489"/>
      <c r="AH71" s="539"/>
    </row>
    <row r="72" spans="1:34" ht="22.5" customHeight="1">
      <c r="A72" s="500"/>
      <c r="B72" s="516"/>
      <c r="C72" s="590" t="s">
        <v>486</v>
      </c>
      <c r="D72" s="518" t="s">
        <v>441</v>
      </c>
      <c r="E72" s="541" t="s">
        <v>284</v>
      </c>
      <c r="F72" s="510" t="s">
        <v>281</v>
      </c>
      <c r="G72" s="518" t="s">
        <v>210</v>
      </c>
      <c r="H72" s="542"/>
      <c r="I72" s="543"/>
      <c r="J72" s="591"/>
      <c r="K72" s="522"/>
      <c r="L72" s="592"/>
      <c r="M72" s="522"/>
      <c r="N72" s="592"/>
      <c r="O72" s="522"/>
      <c r="P72" s="592"/>
      <c r="Q72" s="522"/>
      <c r="R72" s="592"/>
      <c r="S72" s="522"/>
      <c r="T72" s="592"/>
      <c r="U72" s="522"/>
      <c r="V72" s="523"/>
      <c r="W72" s="522"/>
      <c r="X72" s="592"/>
      <c r="Y72" s="522"/>
      <c r="Z72" s="523"/>
      <c r="AA72" s="522"/>
      <c r="AB72" s="592"/>
      <c r="AC72" s="522"/>
      <c r="AD72" s="592"/>
      <c r="AE72" s="522"/>
      <c r="AF72" s="592"/>
      <c r="AG72" s="522"/>
      <c r="AH72" s="539"/>
    </row>
    <row r="73" spans="1:34" ht="49.2" thickBot="1">
      <c r="A73" s="500"/>
      <c r="B73" s="550"/>
      <c r="C73" s="593" t="s">
        <v>487</v>
      </c>
      <c r="D73" s="552" t="s">
        <v>441</v>
      </c>
      <c r="E73" s="553" t="s">
        <v>284</v>
      </c>
      <c r="F73" s="554" t="s">
        <v>281</v>
      </c>
      <c r="G73" s="552" t="s">
        <v>210</v>
      </c>
      <c r="H73" s="555"/>
      <c r="I73" s="497"/>
      <c r="J73" s="594"/>
      <c r="K73" s="495"/>
      <c r="L73" s="595"/>
      <c r="M73" s="495"/>
      <c r="N73" s="595"/>
      <c r="O73" s="495"/>
      <c r="P73" s="595"/>
      <c r="Q73" s="495"/>
      <c r="R73" s="595"/>
      <c r="S73" s="495"/>
      <c r="T73" s="595"/>
      <c r="U73" s="495"/>
      <c r="V73" s="496"/>
      <c r="W73" s="495"/>
      <c r="X73" s="595"/>
      <c r="Y73" s="495"/>
      <c r="Z73" s="496"/>
      <c r="AA73" s="495"/>
      <c r="AB73" s="595"/>
      <c r="AC73" s="495"/>
      <c r="AD73" s="595"/>
      <c r="AE73" s="495"/>
      <c r="AF73" s="595"/>
      <c r="AG73" s="495"/>
      <c r="AH73" s="558"/>
    </row>
    <row r="74" spans="1:34" ht="23.25" customHeight="1">
      <c r="A74" s="500"/>
      <c r="B74" s="516" t="s">
        <v>146</v>
      </c>
      <c r="C74" s="517" t="s">
        <v>488</v>
      </c>
      <c r="D74" s="508" t="s">
        <v>441</v>
      </c>
      <c r="E74" s="519" t="s">
        <v>283</v>
      </c>
      <c r="F74" s="596" t="s">
        <v>281</v>
      </c>
      <c r="G74" s="536" t="s">
        <v>489</v>
      </c>
      <c r="H74" s="597"/>
      <c r="I74" s="537"/>
      <c r="J74" s="588"/>
      <c r="K74" s="489"/>
      <c r="L74" s="582"/>
      <c r="M74" s="489"/>
      <c r="N74" s="582"/>
      <c r="O74" s="489"/>
      <c r="P74" s="582"/>
      <c r="Q74" s="489"/>
      <c r="R74" s="582"/>
      <c r="S74" s="489"/>
      <c r="T74" s="582"/>
      <c r="U74" s="489"/>
      <c r="V74" s="582"/>
      <c r="W74" s="489"/>
      <c r="X74" s="582"/>
      <c r="Y74" s="489"/>
      <c r="Z74" s="582"/>
      <c r="AA74" s="489"/>
      <c r="AB74" s="582"/>
      <c r="AC74" s="489"/>
      <c r="AD74" s="582"/>
      <c r="AE74" s="489"/>
      <c r="AF74" s="582"/>
      <c r="AG74" s="489"/>
      <c r="AH74" s="598"/>
    </row>
    <row r="75" spans="1:34" ht="23.25" customHeight="1">
      <c r="A75" s="500"/>
      <c r="B75" s="516"/>
      <c r="C75" s="517" t="s">
        <v>490</v>
      </c>
      <c r="D75" s="518" t="s">
        <v>441</v>
      </c>
      <c r="E75" s="519" t="s">
        <v>283</v>
      </c>
      <c r="F75" s="510" t="s">
        <v>281</v>
      </c>
      <c r="G75" s="536" t="s">
        <v>489</v>
      </c>
      <c r="H75" s="536"/>
      <c r="I75" s="537"/>
      <c r="J75" s="490"/>
      <c r="K75" s="489"/>
      <c r="L75" s="490"/>
      <c r="M75" s="489"/>
      <c r="N75" s="490"/>
      <c r="O75" s="489"/>
      <c r="P75" s="582"/>
      <c r="Q75" s="489"/>
      <c r="R75" s="582"/>
      <c r="S75" s="489"/>
      <c r="T75" s="582"/>
      <c r="U75" s="489"/>
      <c r="V75" s="582"/>
      <c r="W75" s="489"/>
      <c r="X75" s="582"/>
      <c r="Y75" s="489"/>
      <c r="Z75" s="582"/>
      <c r="AA75" s="489"/>
      <c r="AB75" s="582"/>
      <c r="AC75" s="489"/>
      <c r="AD75" s="582"/>
      <c r="AE75" s="489"/>
      <c r="AF75" s="582"/>
      <c r="AG75" s="489"/>
      <c r="AH75" s="539"/>
    </row>
    <row r="76" spans="1:34" ht="23.4" customHeight="1">
      <c r="A76" s="500"/>
      <c r="B76" s="516"/>
      <c r="C76" s="517" t="s">
        <v>348</v>
      </c>
      <c r="D76" s="518" t="s">
        <v>441</v>
      </c>
      <c r="E76" s="519" t="s">
        <v>283</v>
      </c>
      <c r="F76" s="510" t="s">
        <v>280</v>
      </c>
      <c r="G76" s="508" t="s">
        <v>340</v>
      </c>
      <c r="H76" s="508" t="s">
        <v>340</v>
      </c>
      <c r="I76" s="544" t="s">
        <v>349</v>
      </c>
      <c r="J76" s="545"/>
      <c r="K76" s="489"/>
      <c r="L76" s="490"/>
      <c r="M76" s="489"/>
      <c r="N76" s="546" t="s">
        <v>118</v>
      </c>
      <c r="O76" s="489"/>
      <c r="P76" s="546"/>
      <c r="Q76" s="599"/>
      <c r="R76" s="546"/>
      <c r="S76" s="547"/>
      <c r="T76" s="546"/>
      <c r="U76" s="547"/>
      <c r="V76" s="546"/>
      <c r="W76" s="548"/>
      <c r="X76" s="546"/>
      <c r="Y76" s="547"/>
      <c r="Z76" s="546" t="s">
        <v>119</v>
      </c>
      <c r="AA76" s="547"/>
      <c r="AB76" s="546"/>
      <c r="AC76" s="547"/>
      <c r="AD76" s="546"/>
      <c r="AE76" s="547"/>
      <c r="AF76" s="546"/>
      <c r="AG76" s="547"/>
      <c r="AH76" s="600" t="s">
        <v>491</v>
      </c>
    </row>
    <row r="77" spans="1:34" ht="25.5" customHeight="1">
      <c r="A77" s="601"/>
      <c r="B77" s="602"/>
      <c r="C77" s="584" t="s">
        <v>128</v>
      </c>
      <c r="D77" s="518" t="s">
        <v>441</v>
      </c>
      <c r="E77" s="519" t="s">
        <v>283</v>
      </c>
      <c r="F77" s="510" t="s">
        <v>280</v>
      </c>
      <c r="G77" s="566" t="s">
        <v>455</v>
      </c>
      <c r="H77" s="566" t="s">
        <v>455</v>
      </c>
      <c r="I77" s="544" t="s">
        <v>492</v>
      </c>
      <c r="J77" s="545"/>
      <c r="K77" s="489"/>
      <c r="L77" s="490"/>
      <c r="M77" s="489"/>
      <c r="N77" s="546"/>
      <c r="O77" s="489"/>
      <c r="P77" s="546"/>
      <c r="Q77" s="547"/>
      <c r="R77" s="546"/>
      <c r="S77" s="547"/>
      <c r="T77" s="546"/>
      <c r="U77" s="547"/>
      <c r="V77" s="546"/>
      <c r="W77" s="548"/>
      <c r="X77" s="546"/>
      <c r="Y77" s="547"/>
      <c r="Z77" s="546"/>
      <c r="AA77" s="547"/>
      <c r="AB77" s="546" t="s">
        <v>118</v>
      </c>
      <c r="AC77" s="547"/>
      <c r="AD77" s="546"/>
      <c r="AE77" s="547"/>
      <c r="AF77" s="546"/>
      <c r="AG77" s="547"/>
      <c r="AH77" s="539"/>
    </row>
    <row r="78" spans="1:34" ht="23.25" customHeight="1">
      <c r="A78" s="500"/>
      <c r="B78" s="516"/>
      <c r="C78" s="517" t="s">
        <v>493</v>
      </c>
      <c r="D78" s="518" t="s">
        <v>441</v>
      </c>
      <c r="E78" s="519" t="s">
        <v>283</v>
      </c>
      <c r="F78" s="510" t="s">
        <v>280</v>
      </c>
      <c r="G78" s="508" t="s">
        <v>210</v>
      </c>
      <c r="H78" s="508" t="s">
        <v>210</v>
      </c>
      <c r="I78" s="544" t="s">
        <v>494</v>
      </c>
      <c r="J78" s="603"/>
      <c r="K78" s="489"/>
      <c r="L78" s="604"/>
      <c r="M78" s="605"/>
      <c r="N78" s="604"/>
      <c r="O78" s="605"/>
      <c r="P78" s="604"/>
      <c r="Q78" s="605"/>
      <c r="R78" s="604"/>
      <c r="S78" s="605"/>
      <c r="T78" s="604"/>
      <c r="U78" s="605"/>
      <c r="V78" s="546" t="s">
        <v>118</v>
      </c>
      <c r="W78" s="605"/>
      <c r="X78" s="604"/>
      <c r="Y78" s="605"/>
      <c r="Z78" s="546"/>
      <c r="AA78" s="605"/>
      <c r="AB78" s="604"/>
      <c r="AC78" s="605"/>
      <c r="AD78" s="604"/>
      <c r="AE78" s="605"/>
      <c r="AF78" s="604"/>
      <c r="AG78" s="605"/>
      <c r="AH78" s="606"/>
    </row>
    <row r="79" spans="1:34" ht="32.4">
      <c r="A79" s="500"/>
      <c r="B79" s="516"/>
      <c r="C79" s="607" t="s">
        <v>495</v>
      </c>
      <c r="D79" s="518" t="s">
        <v>496</v>
      </c>
      <c r="E79" s="519" t="s">
        <v>497</v>
      </c>
      <c r="F79" s="596" t="s">
        <v>281</v>
      </c>
      <c r="G79" s="508" t="s">
        <v>498</v>
      </c>
      <c r="H79" s="536"/>
      <c r="I79" s="608"/>
      <c r="J79" s="609"/>
      <c r="K79" s="489"/>
      <c r="L79" s="610"/>
      <c r="M79" s="611"/>
      <c r="N79" s="610"/>
      <c r="O79" s="611"/>
      <c r="P79" s="610"/>
      <c r="Q79" s="611"/>
      <c r="R79" s="610"/>
      <c r="S79" s="611"/>
      <c r="T79" s="610"/>
      <c r="U79" s="611"/>
      <c r="V79" s="490"/>
      <c r="W79" s="611"/>
      <c r="X79" s="610"/>
      <c r="Y79" s="611"/>
      <c r="Z79" s="610"/>
      <c r="AA79" s="611"/>
      <c r="AB79" s="610"/>
      <c r="AC79" s="611"/>
      <c r="AD79" s="610"/>
      <c r="AE79" s="611"/>
      <c r="AF79" s="610"/>
      <c r="AG79" s="611"/>
      <c r="AH79" s="612"/>
    </row>
    <row r="80" spans="1:34" ht="23.25" customHeight="1">
      <c r="A80" s="500"/>
      <c r="B80" s="516"/>
      <c r="C80" s="517" t="s">
        <v>350</v>
      </c>
      <c r="D80" s="518" t="s">
        <v>441</v>
      </c>
      <c r="E80" s="519" t="s">
        <v>283</v>
      </c>
      <c r="F80" s="510" t="s">
        <v>280</v>
      </c>
      <c r="G80" s="536" t="s">
        <v>455</v>
      </c>
      <c r="H80" s="566" t="s">
        <v>455</v>
      </c>
      <c r="I80" s="520" t="s">
        <v>98</v>
      </c>
      <c r="J80" s="545"/>
      <c r="K80" s="489"/>
      <c r="L80" s="490"/>
      <c r="M80" s="489"/>
      <c r="N80" s="546"/>
      <c r="O80" s="489"/>
      <c r="P80" s="546"/>
      <c r="Q80" s="547"/>
      <c r="R80" s="546"/>
      <c r="S80" s="547"/>
      <c r="T80" s="546" t="s">
        <v>686</v>
      </c>
      <c r="U80" s="547"/>
      <c r="V80" s="546"/>
      <c r="W80" s="489"/>
      <c r="X80" s="490"/>
      <c r="Y80" s="489"/>
      <c r="Z80" s="490"/>
      <c r="AA80" s="489"/>
      <c r="AB80" s="582"/>
      <c r="AC80" s="489"/>
      <c r="AD80" s="582"/>
      <c r="AE80" s="489"/>
      <c r="AF80" s="582"/>
      <c r="AG80" s="489"/>
      <c r="AH80" s="539"/>
    </row>
    <row r="81" spans="1:34" ht="23.25" customHeight="1">
      <c r="A81" s="613"/>
      <c r="B81" s="614"/>
      <c r="C81" s="517" t="s">
        <v>351</v>
      </c>
      <c r="D81" s="518" t="s">
        <v>441</v>
      </c>
      <c r="E81" s="519" t="s">
        <v>283</v>
      </c>
      <c r="F81" s="510" t="s">
        <v>280</v>
      </c>
      <c r="G81" s="508" t="s">
        <v>210</v>
      </c>
      <c r="H81" s="566" t="s">
        <v>455</v>
      </c>
      <c r="I81" s="520" t="s">
        <v>98</v>
      </c>
      <c r="J81" s="545"/>
      <c r="K81" s="489"/>
      <c r="L81" s="490"/>
      <c r="M81" s="489"/>
      <c r="N81" s="546"/>
      <c r="O81" s="489"/>
      <c r="P81" s="546"/>
      <c r="Q81" s="547"/>
      <c r="R81" s="546"/>
      <c r="S81" s="547"/>
      <c r="T81" s="546" t="s">
        <v>686</v>
      </c>
      <c r="U81" s="547"/>
      <c r="V81" s="546"/>
      <c r="W81" s="489"/>
      <c r="X81" s="490"/>
      <c r="Y81" s="489"/>
      <c r="Z81" s="490"/>
      <c r="AA81" s="615"/>
      <c r="AB81" s="582"/>
      <c r="AC81" s="615"/>
      <c r="AD81" s="582"/>
      <c r="AE81" s="615"/>
      <c r="AF81" s="582"/>
      <c r="AG81" s="615"/>
      <c r="AH81" s="539"/>
    </row>
    <row r="82" spans="1:34" ht="23.25" customHeight="1">
      <c r="A82" s="500"/>
      <c r="B82" s="516"/>
      <c r="C82" s="517" t="s">
        <v>352</v>
      </c>
      <c r="D82" s="518" t="s">
        <v>441</v>
      </c>
      <c r="E82" s="519" t="s">
        <v>283</v>
      </c>
      <c r="F82" s="510" t="s">
        <v>280</v>
      </c>
      <c r="G82" s="585" t="s">
        <v>499</v>
      </c>
      <c r="H82" s="596" t="s">
        <v>500</v>
      </c>
      <c r="I82" s="537" t="s">
        <v>353</v>
      </c>
      <c r="J82" s="545"/>
      <c r="K82" s="489"/>
      <c r="L82" s="490"/>
      <c r="M82" s="489"/>
      <c r="N82" s="490"/>
      <c r="O82" s="489"/>
      <c r="P82" s="490"/>
      <c r="Q82" s="489"/>
      <c r="R82" s="490"/>
      <c r="S82" s="489"/>
      <c r="T82" s="490"/>
      <c r="U82" s="489"/>
      <c r="V82" s="490"/>
      <c r="W82" s="580"/>
      <c r="X82" s="490"/>
      <c r="Y82" s="489"/>
      <c r="Z82" s="490"/>
      <c r="AA82" s="489"/>
      <c r="AB82" s="490"/>
      <c r="AC82" s="489"/>
      <c r="AD82" s="490"/>
      <c r="AE82" s="489"/>
      <c r="AF82" s="490"/>
      <c r="AG82" s="489"/>
      <c r="AH82" s="539" t="s">
        <v>501</v>
      </c>
    </row>
    <row r="83" spans="1:34" ht="22.5" customHeight="1">
      <c r="A83" s="571"/>
      <c r="B83" s="583"/>
      <c r="C83" s="616" t="s">
        <v>502</v>
      </c>
      <c r="D83" s="518" t="s">
        <v>441</v>
      </c>
      <c r="E83" s="585" t="s">
        <v>283</v>
      </c>
      <c r="F83" s="510" t="s">
        <v>281</v>
      </c>
      <c r="G83" s="585" t="s">
        <v>499</v>
      </c>
      <c r="H83" s="596"/>
      <c r="I83" s="608"/>
      <c r="J83" s="617"/>
      <c r="K83" s="618"/>
      <c r="L83" s="619"/>
      <c r="M83" s="618"/>
      <c r="N83" s="619"/>
      <c r="O83" s="618"/>
      <c r="P83" s="619"/>
      <c r="Q83" s="618"/>
      <c r="R83" s="619"/>
      <c r="S83" s="618"/>
      <c r="T83" s="619"/>
      <c r="U83" s="618"/>
      <c r="V83" s="619"/>
      <c r="W83" s="618"/>
      <c r="X83" s="619"/>
      <c r="Y83" s="618"/>
      <c r="Z83" s="619"/>
      <c r="AA83" s="618"/>
      <c r="AB83" s="619"/>
      <c r="AC83" s="618"/>
      <c r="AD83" s="619"/>
      <c r="AE83" s="618"/>
      <c r="AF83" s="619"/>
      <c r="AG83" s="618"/>
      <c r="AH83" s="612"/>
    </row>
    <row r="84" spans="1:34" ht="22.5" customHeight="1">
      <c r="A84" s="571"/>
      <c r="B84" s="583"/>
      <c r="C84" s="616" t="s">
        <v>503</v>
      </c>
      <c r="D84" s="518" t="s">
        <v>441</v>
      </c>
      <c r="E84" s="585" t="s">
        <v>283</v>
      </c>
      <c r="F84" s="510" t="s">
        <v>280</v>
      </c>
      <c r="G84" s="585" t="s">
        <v>504</v>
      </c>
      <c r="H84" s="596" t="s">
        <v>505</v>
      </c>
      <c r="I84" s="537" t="s">
        <v>353</v>
      </c>
      <c r="J84" s="603"/>
      <c r="K84" s="605"/>
      <c r="L84" s="604"/>
      <c r="M84" s="605"/>
      <c r="N84" s="604"/>
      <c r="O84" s="605"/>
      <c r="P84" s="604"/>
      <c r="Q84" s="605"/>
      <c r="R84" s="604"/>
      <c r="S84" s="605"/>
      <c r="T84" s="604"/>
      <c r="U84" s="605"/>
      <c r="V84" s="604"/>
      <c r="W84" s="605"/>
      <c r="X84" s="604"/>
      <c r="Y84" s="605"/>
      <c r="Z84" s="604"/>
      <c r="AA84" s="605"/>
      <c r="AB84" s="604"/>
      <c r="AC84" s="605"/>
      <c r="AD84" s="604"/>
      <c r="AE84" s="605"/>
      <c r="AF84" s="604"/>
      <c r="AG84" s="605"/>
      <c r="AH84" s="539" t="s">
        <v>501</v>
      </c>
    </row>
    <row r="85" spans="1:34" ht="22.5" customHeight="1">
      <c r="A85" s="571"/>
      <c r="B85" s="583"/>
      <c r="C85" s="616" t="s">
        <v>506</v>
      </c>
      <c r="D85" s="518" t="s">
        <v>441</v>
      </c>
      <c r="E85" s="585" t="s">
        <v>283</v>
      </c>
      <c r="F85" s="510" t="s">
        <v>281</v>
      </c>
      <c r="G85" s="585" t="s">
        <v>499</v>
      </c>
      <c r="H85" s="596"/>
      <c r="I85" s="608"/>
      <c r="J85" s="617"/>
      <c r="K85" s="618"/>
      <c r="L85" s="619"/>
      <c r="M85" s="618"/>
      <c r="N85" s="619"/>
      <c r="O85" s="618"/>
      <c r="P85" s="619"/>
      <c r="Q85" s="618"/>
      <c r="R85" s="619"/>
      <c r="S85" s="618"/>
      <c r="T85" s="619"/>
      <c r="U85" s="618"/>
      <c r="V85" s="619"/>
      <c r="W85" s="618"/>
      <c r="X85" s="619"/>
      <c r="Y85" s="618"/>
      <c r="Z85" s="619"/>
      <c r="AA85" s="618"/>
      <c r="AB85" s="619"/>
      <c r="AC85" s="618"/>
      <c r="AD85" s="619"/>
      <c r="AE85" s="618"/>
      <c r="AF85" s="619"/>
      <c r="AG85" s="618"/>
      <c r="AH85" s="612"/>
    </row>
    <row r="86" spans="1:34" ht="22.5" customHeight="1">
      <c r="A86" s="571"/>
      <c r="B86" s="583"/>
      <c r="C86" s="620" t="s">
        <v>507</v>
      </c>
      <c r="D86" s="518" t="s">
        <v>441</v>
      </c>
      <c r="E86" s="565" t="s">
        <v>283</v>
      </c>
      <c r="F86" s="510" t="s">
        <v>281</v>
      </c>
      <c r="G86" s="566" t="s">
        <v>489</v>
      </c>
      <c r="H86" s="566"/>
      <c r="I86" s="621"/>
      <c r="J86" s="617"/>
      <c r="K86" s="522"/>
      <c r="L86" s="619"/>
      <c r="M86" s="618"/>
      <c r="N86" s="619"/>
      <c r="O86" s="618"/>
      <c r="P86" s="619"/>
      <c r="Q86" s="618"/>
      <c r="R86" s="619"/>
      <c r="S86" s="618"/>
      <c r="T86" s="619"/>
      <c r="U86" s="618"/>
      <c r="V86" s="619"/>
      <c r="W86" s="618"/>
      <c r="X86" s="619"/>
      <c r="Y86" s="618"/>
      <c r="Z86" s="619"/>
      <c r="AA86" s="618"/>
      <c r="AB86" s="619"/>
      <c r="AC86" s="618"/>
      <c r="AD86" s="619"/>
      <c r="AE86" s="618"/>
      <c r="AF86" s="619"/>
      <c r="AG86" s="618"/>
      <c r="AH86" s="612"/>
    </row>
    <row r="87" spans="1:34" ht="23.25" customHeight="1" thickBot="1">
      <c r="A87" s="500"/>
      <c r="B87" s="550"/>
      <c r="C87" s="551" t="s">
        <v>508</v>
      </c>
      <c r="D87" s="552" t="s">
        <v>441</v>
      </c>
      <c r="E87" s="553" t="s">
        <v>283</v>
      </c>
      <c r="F87" s="554" t="s">
        <v>281</v>
      </c>
      <c r="G87" s="576" t="s">
        <v>489</v>
      </c>
      <c r="H87" s="555"/>
      <c r="I87" s="497"/>
      <c r="J87" s="594"/>
      <c r="K87" s="495"/>
      <c r="L87" s="595"/>
      <c r="M87" s="495"/>
      <c r="N87" s="595"/>
      <c r="O87" s="495"/>
      <c r="P87" s="595"/>
      <c r="Q87" s="495"/>
      <c r="R87" s="595"/>
      <c r="S87" s="495"/>
      <c r="T87" s="595"/>
      <c r="U87" s="495"/>
      <c r="V87" s="595"/>
      <c r="W87" s="495"/>
      <c r="X87" s="595"/>
      <c r="Y87" s="495"/>
      <c r="Z87" s="595"/>
      <c r="AA87" s="495"/>
      <c r="AB87" s="595"/>
      <c r="AC87" s="495"/>
      <c r="AD87" s="496"/>
      <c r="AE87" s="495"/>
      <c r="AF87" s="595"/>
      <c r="AG87" s="495"/>
      <c r="AH87" s="558"/>
    </row>
    <row r="88" spans="1:34" ht="23.25" customHeight="1">
      <c r="A88" s="500"/>
      <c r="B88" s="516" t="s">
        <v>153</v>
      </c>
      <c r="C88" s="517" t="s">
        <v>509</v>
      </c>
      <c r="D88" s="508" t="s">
        <v>441</v>
      </c>
      <c r="E88" s="519" t="s">
        <v>510</v>
      </c>
      <c r="F88" s="559" t="s">
        <v>281</v>
      </c>
      <c r="G88" s="519" t="s">
        <v>511</v>
      </c>
      <c r="H88" s="536"/>
      <c r="I88" s="622"/>
      <c r="J88" s="490"/>
      <c r="K88" s="489"/>
      <c r="L88" s="582"/>
      <c r="M88" s="489"/>
      <c r="N88" s="582"/>
      <c r="O88" s="489"/>
      <c r="P88" s="490"/>
      <c r="Q88" s="489"/>
      <c r="R88" s="490"/>
      <c r="S88" s="489"/>
      <c r="T88" s="582"/>
      <c r="U88" s="489"/>
      <c r="V88" s="582"/>
      <c r="W88" s="489"/>
      <c r="X88" s="490"/>
      <c r="Y88" s="489"/>
      <c r="Z88" s="490"/>
      <c r="AA88" s="489"/>
      <c r="AB88" s="582"/>
      <c r="AC88" s="489"/>
      <c r="AD88" s="490"/>
      <c r="AE88" s="489"/>
      <c r="AF88" s="490"/>
      <c r="AG88" s="489"/>
      <c r="AH88" s="623"/>
    </row>
    <row r="89" spans="1:34" ht="23.25" customHeight="1">
      <c r="A89" s="500"/>
      <c r="B89" s="516"/>
      <c r="C89" s="517" t="s">
        <v>512</v>
      </c>
      <c r="D89" s="508" t="s">
        <v>441</v>
      </c>
      <c r="E89" s="519" t="s">
        <v>510</v>
      </c>
      <c r="F89" s="510" t="s">
        <v>281</v>
      </c>
      <c r="G89" s="519" t="s">
        <v>513</v>
      </c>
      <c r="H89" s="536"/>
      <c r="I89" s="567"/>
      <c r="J89" s="545"/>
      <c r="K89" s="489"/>
      <c r="L89" s="582"/>
      <c r="M89" s="489"/>
      <c r="N89" s="582"/>
      <c r="O89" s="489"/>
      <c r="P89" s="490"/>
      <c r="Q89" s="489"/>
      <c r="R89" s="490"/>
      <c r="S89" s="489"/>
      <c r="T89" s="582"/>
      <c r="U89" s="489"/>
      <c r="V89" s="582"/>
      <c r="W89" s="489"/>
      <c r="X89" s="490"/>
      <c r="Y89" s="489"/>
      <c r="Z89" s="490"/>
      <c r="AA89" s="489"/>
      <c r="AB89" s="582"/>
      <c r="AC89" s="489"/>
      <c r="AD89" s="490"/>
      <c r="AE89" s="489"/>
      <c r="AF89" s="490"/>
      <c r="AG89" s="489"/>
      <c r="AH89" s="623"/>
    </row>
    <row r="90" spans="1:34" ht="23.25" customHeight="1">
      <c r="A90" s="500"/>
      <c r="B90" s="516"/>
      <c r="C90" s="540" t="s">
        <v>514</v>
      </c>
      <c r="D90" s="518" t="s">
        <v>441</v>
      </c>
      <c r="E90" s="541" t="s">
        <v>515</v>
      </c>
      <c r="F90" s="510" t="s">
        <v>281</v>
      </c>
      <c r="G90" s="624" t="s">
        <v>489</v>
      </c>
      <c r="H90" s="542"/>
      <c r="I90" s="625"/>
      <c r="J90" s="591"/>
      <c r="K90" s="522"/>
      <c r="L90" s="592"/>
      <c r="M90" s="522"/>
      <c r="N90" s="592"/>
      <c r="O90" s="522"/>
      <c r="P90" s="592"/>
      <c r="Q90" s="522"/>
      <c r="R90" s="592"/>
      <c r="S90" s="522"/>
      <c r="T90" s="592"/>
      <c r="U90" s="522"/>
      <c r="V90" s="592"/>
      <c r="W90" s="522"/>
      <c r="X90" s="592"/>
      <c r="Y90" s="522"/>
      <c r="Z90" s="592"/>
      <c r="AA90" s="522"/>
      <c r="AB90" s="592"/>
      <c r="AC90" s="522"/>
      <c r="AD90" s="523"/>
      <c r="AE90" s="522"/>
      <c r="AF90" s="523"/>
      <c r="AG90" s="522"/>
      <c r="AH90" s="539"/>
    </row>
    <row r="91" spans="1:34" ht="23.25" customHeight="1">
      <c r="A91" s="500"/>
      <c r="B91" s="516"/>
      <c r="C91" s="540" t="s">
        <v>516</v>
      </c>
      <c r="D91" s="518" t="s">
        <v>441</v>
      </c>
      <c r="E91" s="541" t="s">
        <v>517</v>
      </c>
      <c r="F91" s="510" t="s">
        <v>281</v>
      </c>
      <c r="G91" s="626" t="s">
        <v>518</v>
      </c>
      <c r="H91" s="627"/>
      <c r="I91" s="543"/>
      <c r="J91" s="591"/>
      <c r="K91" s="522"/>
      <c r="L91" s="582"/>
      <c r="M91" s="522"/>
      <c r="N91" s="592"/>
      <c r="O91" s="522"/>
      <c r="P91" s="592"/>
      <c r="Q91" s="522"/>
      <c r="R91" s="582"/>
      <c r="S91" s="522"/>
      <c r="T91" s="592"/>
      <c r="U91" s="522"/>
      <c r="V91" s="523"/>
      <c r="W91" s="522"/>
      <c r="X91" s="490"/>
      <c r="Y91" s="522"/>
      <c r="Z91" s="490"/>
      <c r="AA91" s="522"/>
      <c r="AB91" s="592"/>
      <c r="AC91" s="522"/>
      <c r="AD91" s="582"/>
      <c r="AE91" s="522"/>
      <c r="AF91" s="592"/>
      <c r="AG91" s="522"/>
      <c r="AH91" s="539"/>
    </row>
    <row r="92" spans="1:34" ht="22.5" customHeight="1">
      <c r="A92" s="571"/>
      <c r="B92" s="583"/>
      <c r="C92" s="616" t="s">
        <v>519</v>
      </c>
      <c r="D92" s="518" t="s">
        <v>441</v>
      </c>
      <c r="E92" s="585" t="s">
        <v>520</v>
      </c>
      <c r="F92" s="510" t="s">
        <v>281</v>
      </c>
      <c r="G92" s="628" t="s">
        <v>210</v>
      </c>
      <c r="H92" s="566"/>
      <c r="I92" s="537"/>
      <c r="J92" s="610"/>
      <c r="K92" s="618"/>
      <c r="L92" s="619"/>
      <c r="M92" s="618"/>
      <c r="N92" s="619"/>
      <c r="O92" s="618"/>
      <c r="P92" s="619"/>
      <c r="Q92" s="618"/>
      <c r="R92" s="619"/>
      <c r="S92" s="618"/>
      <c r="T92" s="523"/>
      <c r="U92" s="629"/>
      <c r="V92" s="490"/>
      <c r="W92" s="618"/>
      <c r="X92" s="619"/>
      <c r="Y92" s="618"/>
      <c r="Z92" s="619"/>
      <c r="AA92" s="618"/>
      <c r="AB92" s="619"/>
      <c r="AC92" s="618"/>
      <c r="AD92" s="619"/>
      <c r="AE92" s="618"/>
      <c r="AF92" s="619"/>
      <c r="AG92" s="618"/>
      <c r="AH92" s="612"/>
    </row>
    <row r="93" spans="1:34" ht="25.5" customHeight="1">
      <c r="A93" s="571"/>
      <c r="B93" s="583"/>
      <c r="C93" s="616" t="s">
        <v>521</v>
      </c>
      <c r="D93" s="518" t="s">
        <v>441</v>
      </c>
      <c r="E93" s="585" t="s">
        <v>520</v>
      </c>
      <c r="F93" s="510" t="s">
        <v>281</v>
      </c>
      <c r="G93" s="624" t="s">
        <v>489</v>
      </c>
      <c r="H93" s="624"/>
      <c r="I93" s="537"/>
      <c r="J93" s="630"/>
      <c r="K93" s="611"/>
      <c r="L93" s="610"/>
      <c r="M93" s="611"/>
      <c r="N93" s="610"/>
      <c r="O93" s="611"/>
      <c r="P93" s="610"/>
      <c r="Q93" s="611"/>
      <c r="R93" s="610"/>
      <c r="S93" s="611"/>
      <c r="T93" s="490"/>
      <c r="U93" s="611"/>
      <c r="V93" s="610"/>
      <c r="W93" s="611"/>
      <c r="X93" s="610"/>
      <c r="Y93" s="611"/>
      <c r="Z93" s="610"/>
      <c r="AA93" s="611"/>
      <c r="AB93" s="610"/>
      <c r="AC93" s="611"/>
      <c r="AD93" s="610"/>
      <c r="AE93" s="611"/>
      <c r="AF93" s="610"/>
      <c r="AG93" s="611"/>
      <c r="AH93" s="612"/>
    </row>
    <row r="94" spans="1:34" ht="23.25" customHeight="1">
      <c r="A94" s="500"/>
      <c r="B94" s="516"/>
      <c r="C94" s="631" t="s">
        <v>522</v>
      </c>
      <c r="D94" s="518" t="s">
        <v>441</v>
      </c>
      <c r="E94" s="541" t="s">
        <v>523</v>
      </c>
      <c r="F94" s="510" t="s">
        <v>281</v>
      </c>
      <c r="G94" s="518" t="s">
        <v>345</v>
      </c>
      <c r="H94" s="542"/>
      <c r="I94" s="632"/>
      <c r="J94" s="633"/>
      <c r="K94" s="522"/>
      <c r="L94" s="523"/>
      <c r="M94" s="618"/>
      <c r="N94" s="592"/>
      <c r="O94" s="522"/>
      <c r="P94" s="592"/>
      <c r="Q94" s="522"/>
      <c r="R94" s="592"/>
      <c r="S94" s="522"/>
      <c r="T94" s="592"/>
      <c r="U94" s="522"/>
      <c r="V94" s="592"/>
      <c r="W94" s="522"/>
      <c r="X94" s="592"/>
      <c r="Y94" s="522"/>
      <c r="Z94" s="592"/>
      <c r="AA94" s="522"/>
      <c r="AB94" s="592"/>
      <c r="AC94" s="522"/>
      <c r="AD94" s="592"/>
      <c r="AE94" s="522"/>
      <c r="AF94" s="592"/>
      <c r="AG94" s="522"/>
      <c r="AH94" s="539"/>
    </row>
    <row r="95" spans="1:34" ht="23.25" customHeight="1">
      <c r="A95" s="634"/>
      <c r="B95" s="516"/>
      <c r="C95" s="540" t="s">
        <v>354</v>
      </c>
      <c r="D95" s="518" t="s">
        <v>441</v>
      </c>
      <c r="E95" s="541" t="s">
        <v>355</v>
      </c>
      <c r="F95" s="510" t="s">
        <v>281</v>
      </c>
      <c r="G95" s="518" t="s">
        <v>210</v>
      </c>
      <c r="H95" s="542"/>
      <c r="I95" s="543"/>
      <c r="J95" s="635"/>
      <c r="K95" s="636"/>
      <c r="L95" s="637"/>
      <c r="M95" s="636"/>
      <c r="N95" s="523"/>
      <c r="O95" s="618"/>
      <c r="P95" s="637"/>
      <c r="Q95" s="636"/>
      <c r="R95" s="637"/>
      <c r="S95" s="636"/>
      <c r="T95" s="637"/>
      <c r="U95" s="636"/>
      <c r="V95" s="637"/>
      <c r="W95" s="636"/>
      <c r="X95" s="637"/>
      <c r="Y95" s="636"/>
      <c r="Z95" s="637"/>
      <c r="AA95" s="636"/>
      <c r="AB95" s="637"/>
      <c r="AC95" s="636"/>
      <c r="AD95" s="637"/>
      <c r="AE95" s="636"/>
      <c r="AF95" s="637"/>
      <c r="AG95" s="636"/>
      <c r="AH95" s="638"/>
    </row>
    <row r="96" spans="1:34" ht="22.5" customHeight="1">
      <c r="A96" s="571"/>
      <c r="B96" s="583"/>
      <c r="C96" s="616" t="s">
        <v>524</v>
      </c>
      <c r="D96" s="508" t="s">
        <v>441</v>
      </c>
      <c r="E96" s="585" t="s">
        <v>525</v>
      </c>
      <c r="F96" s="510" t="s">
        <v>281</v>
      </c>
      <c r="G96" s="586" t="s">
        <v>210</v>
      </c>
      <c r="H96" s="596"/>
      <c r="I96" s="537"/>
      <c r="J96" s="610"/>
      <c r="K96" s="611"/>
      <c r="L96" s="610"/>
      <c r="M96" s="611"/>
      <c r="N96" s="490"/>
      <c r="O96" s="611"/>
      <c r="P96" s="610"/>
      <c r="Q96" s="611"/>
      <c r="R96" s="610"/>
      <c r="S96" s="611"/>
      <c r="T96" s="610"/>
      <c r="U96" s="611"/>
      <c r="V96" s="610"/>
      <c r="W96" s="611"/>
      <c r="X96" s="610"/>
      <c r="Y96" s="611"/>
      <c r="Z96" s="610"/>
      <c r="AA96" s="611"/>
      <c r="AB96" s="610"/>
      <c r="AC96" s="611"/>
      <c r="AD96" s="610"/>
      <c r="AE96" s="611"/>
      <c r="AF96" s="610"/>
      <c r="AG96" s="611"/>
      <c r="AH96" s="639"/>
    </row>
    <row r="97" spans="1:34" ht="23.25" customHeight="1">
      <c r="A97" s="500"/>
      <c r="B97" s="516"/>
      <c r="C97" s="540" t="s">
        <v>363</v>
      </c>
      <c r="D97" s="518" t="s">
        <v>441</v>
      </c>
      <c r="E97" s="541" t="s">
        <v>364</v>
      </c>
      <c r="F97" s="510" t="s">
        <v>280</v>
      </c>
      <c r="G97" s="518" t="s">
        <v>365</v>
      </c>
      <c r="H97" s="518" t="s">
        <v>365</v>
      </c>
      <c r="I97" s="543" t="s">
        <v>526</v>
      </c>
      <c r="J97" s="633" t="s">
        <v>443</v>
      </c>
      <c r="K97" s="605"/>
      <c r="L97" s="604" t="s">
        <v>443</v>
      </c>
      <c r="M97" s="522"/>
      <c r="N97" s="604" t="s">
        <v>443</v>
      </c>
      <c r="O97" s="605"/>
      <c r="P97" s="604" t="s">
        <v>443</v>
      </c>
      <c r="Q97" s="522"/>
      <c r="R97" s="604" t="s">
        <v>443</v>
      </c>
      <c r="S97" s="522"/>
      <c r="T97" s="604" t="s">
        <v>443</v>
      </c>
      <c r="U97" s="605"/>
      <c r="V97" s="604" t="s">
        <v>443</v>
      </c>
      <c r="W97" s="522"/>
      <c r="X97" s="604" t="s">
        <v>443</v>
      </c>
      <c r="Y97" s="605"/>
      <c r="Z97" s="604" t="s">
        <v>443</v>
      </c>
      <c r="AA97" s="522"/>
      <c r="AB97" s="604" t="s">
        <v>443</v>
      </c>
      <c r="AC97" s="522"/>
      <c r="AD97" s="604" t="s">
        <v>443</v>
      </c>
      <c r="AE97" s="605"/>
      <c r="AF97" s="604" t="s">
        <v>443</v>
      </c>
      <c r="AG97" s="605"/>
      <c r="AH97" s="539" t="s">
        <v>527</v>
      </c>
    </row>
    <row r="98" spans="1:34" ht="22.5" customHeight="1">
      <c r="A98" s="500"/>
      <c r="B98" s="516"/>
      <c r="C98" s="590" t="s">
        <v>528</v>
      </c>
      <c r="D98" s="518" t="s">
        <v>441</v>
      </c>
      <c r="E98" s="541" t="s">
        <v>358</v>
      </c>
      <c r="F98" s="510" t="s">
        <v>280</v>
      </c>
      <c r="G98" s="541" t="s">
        <v>529</v>
      </c>
      <c r="H98" s="541" t="s">
        <v>529</v>
      </c>
      <c r="I98" s="640" t="s">
        <v>530</v>
      </c>
      <c r="J98" s="591"/>
      <c r="K98" s="522"/>
      <c r="L98" s="592"/>
      <c r="M98" s="522"/>
      <c r="N98" s="592"/>
      <c r="O98" s="522"/>
      <c r="P98" s="592"/>
      <c r="Q98" s="522"/>
      <c r="R98" s="592"/>
      <c r="S98" s="522"/>
      <c r="T98" s="592"/>
      <c r="U98" s="522"/>
      <c r="V98" s="523"/>
      <c r="W98" s="522"/>
      <c r="X98" s="523"/>
      <c r="Y98" s="522"/>
      <c r="Z98" s="523"/>
      <c r="AA98" s="522"/>
      <c r="AB98" s="523" t="s">
        <v>443</v>
      </c>
      <c r="AC98" s="522"/>
      <c r="AD98" s="592"/>
      <c r="AE98" s="522"/>
      <c r="AF98" s="592"/>
      <c r="AG98" s="522"/>
      <c r="AH98" s="539" t="s">
        <v>531</v>
      </c>
    </row>
    <row r="99" spans="1:34" ht="22.5" customHeight="1">
      <c r="A99" s="500"/>
      <c r="B99" s="516"/>
      <c r="C99" s="590" t="s">
        <v>532</v>
      </c>
      <c r="D99" s="518" t="s">
        <v>441</v>
      </c>
      <c r="E99" s="541" t="s">
        <v>358</v>
      </c>
      <c r="F99" s="510" t="s">
        <v>280</v>
      </c>
      <c r="G99" s="518" t="s">
        <v>533</v>
      </c>
      <c r="H99" s="518" t="s">
        <v>533</v>
      </c>
      <c r="I99" s="640" t="s">
        <v>530</v>
      </c>
      <c r="J99" s="591"/>
      <c r="K99" s="522"/>
      <c r="L99" s="592"/>
      <c r="M99" s="522"/>
      <c r="N99" s="592"/>
      <c r="O99" s="522"/>
      <c r="P99" s="592"/>
      <c r="Q99" s="522"/>
      <c r="R99" s="592"/>
      <c r="S99" s="522"/>
      <c r="T99" s="592"/>
      <c r="U99" s="522"/>
      <c r="V99" s="523"/>
      <c r="W99" s="522"/>
      <c r="X99" s="523"/>
      <c r="Y99" s="522"/>
      <c r="Z99" s="523"/>
      <c r="AA99" s="522"/>
      <c r="AB99" s="523" t="s">
        <v>443</v>
      </c>
      <c r="AC99" s="522"/>
      <c r="AD99" s="592"/>
      <c r="AE99" s="522"/>
      <c r="AF99" s="592"/>
      <c r="AG99" s="522"/>
      <c r="AH99" s="539" t="s">
        <v>534</v>
      </c>
    </row>
    <row r="100" spans="1:34" ht="51">
      <c r="A100" s="500"/>
      <c r="B100" s="516"/>
      <c r="C100" s="590" t="s">
        <v>535</v>
      </c>
      <c r="D100" s="518" t="s">
        <v>441</v>
      </c>
      <c r="E100" s="541" t="s">
        <v>358</v>
      </c>
      <c r="F100" s="510" t="s">
        <v>281</v>
      </c>
      <c r="G100" s="518" t="s">
        <v>536</v>
      </c>
      <c r="H100" s="542"/>
      <c r="I100" s="543"/>
      <c r="J100" s="591"/>
      <c r="K100" s="522"/>
      <c r="L100" s="592"/>
      <c r="M100" s="522"/>
      <c r="N100" s="592"/>
      <c r="O100" s="522"/>
      <c r="P100" s="592"/>
      <c r="Q100" s="522"/>
      <c r="R100" s="592"/>
      <c r="S100" s="522"/>
      <c r="T100" s="592"/>
      <c r="U100" s="522"/>
      <c r="V100" s="523"/>
      <c r="W100" s="522"/>
      <c r="X100" s="523"/>
      <c r="Y100" s="522"/>
      <c r="Z100" s="523"/>
      <c r="AA100" s="522"/>
      <c r="AB100" s="592"/>
      <c r="AC100" s="522"/>
      <c r="AD100" s="592"/>
      <c r="AE100" s="522"/>
      <c r="AF100" s="592"/>
      <c r="AG100" s="522"/>
      <c r="AH100" s="539"/>
    </row>
    <row r="101" spans="1:34" ht="32.4">
      <c r="A101" s="500"/>
      <c r="B101" s="516"/>
      <c r="C101" s="590" t="s">
        <v>537</v>
      </c>
      <c r="D101" s="518" t="s">
        <v>441</v>
      </c>
      <c r="E101" s="541" t="s">
        <v>358</v>
      </c>
      <c r="F101" s="510" t="s">
        <v>281</v>
      </c>
      <c r="G101" s="518" t="s">
        <v>538</v>
      </c>
      <c r="H101" s="542"/>
      <c r="I101" s="543"/>
      <c r="J101" s="591"/>
      <c r="K101" s="522"/>
      <c r="L101" s="592"/>
      <c r="M101" s="522"/>
      <c r="N101" s="592"/>
      <c r="O101" s="522"/>
      <c r="P101" s="592"/>
      <c r="Q101" s="522"/>
      <c r="R101" s="592"/>
      <c r="S101" s="522"/>
      <c r="T101" s="592"/>
      <c r="U101" s="522"/>
      <c r="V101" s="523"/>
      <c r="W101" s="522"/>
      <c r="X101" s="523"/>
      <c r="Y101" s="522"/>
      <c r="Z101" s="523"/>
      <c r="AA101" s="522"/>
      <c r="AB101" s="592"/>
      <c r="AC101" s="522"/>
      <c r="AD101" s="592"/>
      <c r="AE101" s="522"/>
      <c r="AF101" s="592"/>
      <c r="AG101" s="522"/>
      <c r="AH101" s="539"/>
    </row>
    <row r="102" spans="1:34" ht="28.2">
      <c r="A102" s="500"/>
      <c r="B102" s="516"/>
      <c r="C102" s="590" t="s">
        <v>539</v>
      </c>
      <c r="D102" s="518" t="s">
        <v>441</v>
      </c>
      <c r="E102" s="541" t="s">
        <v>358</v>
      </c>
      <c r="F102" s="510" t="s">
        <v>281</v>
      </c>
      <c r="G102" s="518" t="s">
        <v>533</v>
      </c>
      <c r="H102" s="542"/>
      <c r="I102" s="543"/>
      <c r="J102" s="591"/>
      <c r="K102" s="522"/>
      <c r="L102" s="592"/>
      <c r="M102" s="522"/>
      <c r="N102" s="592"/>
      <c r="O102" s="522"/>
      <c r="P102" s="592"/>
      <c r="Q102" s="522"/>
      <c r="R102" s="592"/>
      <c r="S102" s="522"/>
      <c r="T102" s="592"/>
      <c r="U102" s="522"/>
      <c r="V102" s="523"/>
      <c r="W102" s="522"/>
      <c r="X102" s="523"/>
      <c r="Y102" s="522"/>
      <c r="Z102" s="523"/>
      <c r="AA102" s="522"/>
      <c r="AB102" s="592"/>
      <c r="AC102" s="522"/>
      <c r="AD102" s="592"/>
      <c r="AE102" s="522"/>
      <c r="AF102" s="592"/>
      <c r="AG102" s="522"/>
      <c r="AH102" s="539"/>
    </row>
    <row r="103" spans="1:34" ht="23.25" customHeight="1">
      <c r="A103" s="500"/>
      <c r="B103" s="516"/>
      <c r="C103" s="540" t="s">
        <v>540</v>
      </c>
      <c r="D103" s="518" t="s">
        <v>441</v>
      </c>
      <c r="E103" s="541" t="s">
        <v>358</v>
      </c>
      <c r="F103" s="510" t="s">
        <v>280</v>
      </c>
      <c r="G103" s="641" t="s">
        <v>541</v>
      </c>
      <c r="H103" s="626" t="s">
        <v>541</v>
      </c>
      <c r="I103" s="642" t="s">
        <v>542</v>
      </c>
      <c r="J103" s="643"/>
      <c r="K103" s="644"/>
      <c r="L103" s="645"/>
      <c r="M103" s="644"/>
      <c r="N103" s="646"/>
      <c r="O103" s="644"/>
      <c r="P103" s="646"/>
      <c r="Q103" s="644"/>
      <c r="R103" s="646"/>
      <c r="S103" s="644"/>
      <c r="T103" s="646"/>
      <c r="U103" s="644"/>
      <c r="V103" s="646"/>
      <c r="W103" s="647"/>
      <c r="X103" s="646"/>
      <c r="Y103" s="644"/>
      <c r="Z103" s="648"/>
      <c r="AA103" s="605"/>
      <c r="AB103" s="649"/>
      <c r="AC103" s="644"/>
      <c r="AD103" s="646"/>
      <c r="AE103" s="644"/>
      <c r="AF103" s="646"/>
      <c r="AG103" s="644"/>
      <c r="AH103" s="650" t="s">
        <v>543</v>
      </c>
    </row>
    <row r="104" spans="1:34" ht="23.25" customHeight="1">
      <c r="A104" s="500"/>
      <c r="B104" s="516"/>
      <c r="C104" s="540" t="s">
        <v>544</v>
      </c>
      <c r="D104" s="518" t="s">
        <v>441</v>
      </c>
      <c r="E104" s="541" t="s">
        <v>545</v>
      </c>
      <c r="F104" s="510" t="s">
        <v>281</v>
      </c>
      <c r="G104" s="626" t="s">
        <v>529</v>
      </c>
      <c r="H104" s="627"/>
      <c r="I104" s="543"/>
      <c r="J104" s="591"/>
      <c r="K104" s="522"/>
      <c r="L104" s="582"/>
      <c r="M104" s="522"/>
      <c r="N104" s="592"/>
      <c r="O104" s="522"/>
      <c r="P104" s="592"/>
      <c r="Q104" s="522"/>
      <c r="R104" s="582"/>
      <c r="S104" s="522"/>
      <c r="T104" s="592"/>
      <c r="U104" s="522"/>
      <c r="V104" s="523"/>
      <c r="W104" s="522"/>
      <c r="X104" s="490"/>
      <c r="Y104" s="522"/>
      <c r="Z104" s="490"/>
      <c r="AA104" s="522"/>
      <c r="AB104" s="592"/>
      <c r="AC104" s="522"/>
      <c r="AD104" s="582"/>
      <c r="AE104" s="522"/>
      <c r="AF104" s="592"/>
      <c r="AG104" s="522"/>
      <c r="AH104" s="539"/>
    </row>
    <row r="105" spans="1:34" ht="22.5" customHeight="1">
      <c r="A105" s="526"/>
      <c r="B105" s="527"/>
      <c r="C105" s="651" t="s">
        <v>366</v>
      </c>
      <c r="D105" s="508" t="s">
        <v>441</v>
      </c>
      <c r="E105" s="652" t="s">
        <v>367</v>
      </c>
      <c r="F105" s="559" t="s">
        <v>280</v>
      </c>
      <c r="G105" s="653" t="s">
        <v>368</v>
      </c>
      <c r="H105" s="653" t="s">
        <v>368</v>
      </c>
      <c r="I105" s="654" t="s">
        <v>343</v>
      </c>
      <c r="J105" s="655" t="s">
        <v>97</v>
      </c>
      <c r="K105" s="656">
        <v>23</v>
      </c>
      <c r="L105" s="657" t="s">
        <v>97</v>
      </c>
      <c r="M105" s="656"/>
      <c r="N105" s="657" t="s">
        <v>97</v>
      </c>
      <c r="O105" s="656"/>
      <c r="P105" s="657" t="s">
        <v>97</v>
      </c>
      <c r="Q105" s="656"/>
      <c r="R105" s="657" t="s">
        <v>97</v>
      </c>
      <c r="S105" s="656"/>
      <c r="T105" s="657" t="s">
        <v>97</v>
      </c>
      <c r="U105" s="656"/>
      <c r="V105" s="657" t="s">
        <v>97</v>
      </c>
      <c r="W105" s="658"/>
      <c r="X105" s="657" t="s">
        <v>97</v>
      </c>
      <c r="Y105" s="658"/>
      <c r="Z105" s="657" t="s">
        <v>97</v>
      </c>
      <c r="AA105" s="658"/>
      <c r="AB105" s="657" t="s">
        <v>97</v>
      </c>
      <c r="AC105" s="658"/>
      <c r="AD105" s="657" t="s">
        <v>97</v>
      </c>
      <c r="AE105" s="658"/>
      <c r="AF105" s="657" t="s">
        <v>97</v>
      </c>
      <c r="AG105" s="658"/>
      <c r="AH105" s="659" t="s">
        <v>546</v>
      </c>
    </row>
    <row r="106" spans="1:34" ht="22.5" customHeight="1">
      <c r="A106" s="526"/>
      <c r="B106" s="527"/>
      <c r="C106" s="660" t="s">
        <v>547</v>
      </c>
      <c r="D106" s="518" t="s">
        <v>441</v>
      </c>
      <c r="E106" s="661" t="s">
        <v>367</v>
      </c>
      <c r="F106" s="559" t="s">
        <v>280</v>
      </c>
      <c r="G106" s="641" t="s">
        <v>548</v>
      </c>
      <c r="H106" s="626" t="s">
        <v>548</v>
      </c>
      <c r="I106" s="662" t="s">
        <v>549</v>
      </c>
      <c r="J106" s="663"/>
      <c r="K106" s="532"/>
      <c r="L106" s="657"/>
      <c r="M106" s="532"/>
      <c r="N106" s="664"/>
      <c r="O106" s="532"/>
      <c r="P106" s="664"/>
      <c r="Q106" s="532"/>
      <c r="R106" s="664"/>
      <c r="S106" s="532"/>
      <c r="T106" s="664"/>
      <c r="U106" s="532"/>
      <c r="V106" s="664" t="s">
        <v>386</v>
      </c>
      <c r="W106" s="665"/>
      <c r="X106" s="664"/>
      <c r="Y106" s="665"/>
      <c r="Z106" s="664"/>
      <c r="AA106" s="665"/>
      <c r="AB106" s="664"/>
      <c r="AC106" s="665"/>
      <c r="AD106" s="664"/>
      <c r="AE106" s="665"/>
      <c r="AF106" s="664"/>
      <c r="AG106" s="665"/>
      <c r="AH106" s="659" t="s">
        <v>550</v>
      </c>
    </row>
    <row r="107" spans="1:34" ht="22.5" customHeight="1">
      <c r="A107" s="526"/>
      <c r="B107" s="527"/>
      <c r="C107" s="666" t="s">
        <v>551</v>
      </c>
      <c r="D107" s="667" t="s">
        <v>441</v>
      </c>
      <c r="E107" s="661" t="s">
        <v>367</v>
      </c>
      <c r="F107" s="510" t="s">
        <v>281</v>
      </c>
      <c r="G107" s="586" t="s">
        <v>210</v>
      </c>
      <c r="H107" s="596"/>
      <c r="I107" s="668"/>
      <c r="J107" s="669"/>
      <c r="K107" s="670"/>
      <c r="L107" s="671"/>
      <c r="M107" s="670"/>
      <c r="N107" s="669"/>
      <c r="O107" s="672"/>
      <c r="P107" s="673"/>
      <c r="Q107" s="670"/>
      <c r="R107" s="673"/>
      <c r="S107" s="670"/>
      <c r="T107" s="669"/>
      <c r="U107" s="670"/>
      <c r="V107" s="674"/>
      <c r="W107" s="670"/>
      <c r="X107" s="674"/>
      <c r="Y107" s="670"/>
      <c r="Z107" s="669"/>
      <c r="AA107" s="670"/>
      <c r="AB107" s="674"/>
      <c r="AC107" s="670"/>
      <c r="AD107" s="674"/>
      <c r="AE107" s="670"/>
      <c r="AF107" s="669"/>
      <c r="AG107" s="670"/>
      <c r="AH107" s="570"/>
    </row>
    <row r="108" spans="1:34" ht="22.5" customHeight="1">
      <c r="A108" s="526"/>
      <c r="B108" s="527"/>
      <c r="C108" s="666" t="s">
        <v>552</v>
      </c>
      <c r="D108" s="667" t="s">
        <v>441</v>
      </c>
      <c r="E108" s="675" t="s">
        <v>367</v>
      </c>
      <c r="F108" s="510" t="s">
        <v>281</v>
      </c>
      <c r="G108" s="676" t="s">
        <v>445</v>
      </c>
      <c r="H108" s="677"/>
      <c r="I108" s="668"/>
      <c r="J108" s="669"/>
      <c r="K108" s="670"/>
      <c r="L108" s="533"/>
      <c r="M108" s="678"/>
      <c r="N108" s="533"/>
      <c r="O108" s="678"/>
      <c r="P108" s="619"/>
      <c r="Q108" s="678"/>
      <c r="R108" s="619"/>
      <c r="S108" s="678"/>
      <c r="T108" s="533"/>
      <c r="U108" s="678"/>
      <c r="V108" s="679"/>
      <c r="W108" s="678"/>
      <c r="X108" s="679"/>
      <c r="Y108" s="678"/>
      <c r="Z108" s="533"/>
      <c r="AA108" s="532"/>
      <c r="AB108" s="679"/>
      <c r="AC108" s="678"/>
      <c r="AD108" s="679"/>
      <c r="AE108" s="678"/>
      <c r="AF108" s="533"/>
      <c r="AG108" s="678"/>
      <c r="AH108" s="680"/>
    </row>
    <row r="109" spans="1:34" ht="23.25" customHeight="1">
      <c r="A109" s="526"/>
      <c r="B109" s="527"/>
      <c r="C109" s="660" t="s">
        <v>553</v>
      </c>
      <c r="D109" s="518" t="s">
        <v>441</v>
      </c>
      <c r="E109" s="661" t="s">
        <v>367</v>
      </c>
      <c r="F109" s="510" t="s">
        <v>280</v>
      </c>
      <c r="G109" s="628" t="s">
        <v>445</v>
      </c>
      <c r="H109" s="628" t="s">
        <v>445</v>
      </c>
      <c r="I109" s="625" t="s">
        <v>554</v>
      </c>
      <c r="J109" s="681"/>
      <c r="K109" s="678"/>
      <c r="L109" s="533"/>
      <c r="M109" s="678"/>
      <c r="N109" s="657" t="s">
        <v>97</v>
      </c>
      <c r="O109" s="532"/>
      <c r="P109" s="679"/>
      <c r="Q109" s="678"/>
      <c r="R109" s="679"/>
      <c r="S109" s="678"/>
      <c r="T109" s="679"/>
      <c r="U109" s="678"/>
      <c r="V109" s="679"/>
      <c r="W109" s="678"/>
      <c r="X109" s="679"/>
      <c r="Y109" s="678"/>
      <c r="Z109" s="679"/>
      <c r="AA109" s="678"/>
      <c r="AB109" s="679"/>
      <c r="AC109" s="678"/>
      <c r="AD109" s="679"/>
      <c r="AE109" s="678"/>
      <c r="AF109" s="679"/>
      <c r="AG109" s="678"/>
      <c r="AH109" s="680"/>
    </row>
    <row r="110" spans="1:34" ht="23.25" customHeight="1">
      <c r="A110" s="682"/>
      <c r="B110" s="683"/>
      <c r="C110" s="660" t="s">
        <v>555</v>
      </c>
      <c r="D110" s="518" t="s">
        <v>441</v>
      </c>
      <c r="E110" s="661" t="s">
        <v>556</v>
      </c>
      <c r="F110" s="510" t="s">
        <v>281</v>
      </c>
      <c r="G110" s="628" t="s">
        <v>445</v>
      </c>
      <c r="H110" s="684"/>
      <c r="I110" s="625"/>
      <c r="J110" s="681"/>
      <c r="K110" s="678"/>
      <c r="L110" s="533"/>
      <c r="M110" s="678"/>
      <c r="N110" s="533"/>
      <c r="O110" s="532"/>
      <c r="P110" s="679"/>
      <c r="Q110" s="678"/>
      <c r="R110" s="679"/>
      <c r="S110" s="678"/>
      <c r="T110" s="679"/>
      <c r="U110" s="678"/>
      <c r="V110" s="679"/>
      <c r="W110" s="678"/>
      <c r="X110" s="679"/>
      <c r="Y110" s="678"/>
      <c r="Z110" s="679"/>
      <c r="AA110" s="678"/>
      <c r="AB110" s="679"/>
      <c r="AC110" s="678"/>
      <c r="AD110" s="679"/>
      <c r="AE110" s="678"/>
      <c r="AF110" s="679"/>
      <c r="AG110" s="678"/>
      <c r="AH110" s="680"/>
    </row>
    <row r="111" spans="1:34" ht="23.25" customHeight="1">
      <c r="A111" s="682"/>
      <c r="B111" s="683"/>
      <c r="C111" s="685" t="s">
        <v>557</v>
      </c>
      <c r="D111" s="518" t="s">
        <v>441</v>
      </c>
      <c r="E111" s="661" t="s">
        <v>556</v>
      </c>
      <c r="F111" s="510" t="s">
        <v>281</v>
      </c>
      <c r="G111" s="641" t="s">
        <v>445</v>
      </c>
      <c r="H111" s="626"/>
      <c r="I111" s="686"/>
      <c r="J111" s="687"/>
      <c r="K111" s="678"/>
      <c r="L111" s="533"/>
      <c r="M111" s="678"/>
      <c r="N111" s="533"/>
      <c r="O111" s="532"/>
      <c r="P111" s="679"/>
      <c r="Q111" s="678"/>
      <c r="R111" s="679"/>
      <c r="S111" s="678"/>
      <c r="T111" s="679"/>
      <c r="U111" s="678"/>
      <c r="V111" s="679"/>
      <c r="W111" s="678"/>
      <c r="X111" s="679"/>
      <c r="Y111" s="678"/>
      <c r="Z111" s="679"/>
      <c r="AA111" s="678"/>
      <c r="AB111" s="679"/>
      <c r="AC111" s="678"/>
      <c r="AD111" s="679"/>
      <c r="AE111" s="678"/>
      <c r="AF111" s="679"/>
      <c r="AG111" s="678"/>
      <c r="AH111" s="680"/>
    </row>
    <row r="112" spans="1:34" ht="23.25" customHeight="1">
      <c r="A112" s="688"/>
      <c r="B112" s="689"/>
      <c r="C112" s="540" t="s">
        <v>558</v>
      </c>
      <c r="D112" s="518" t="s">
        <v>441</v>
      </c>
      <c r="E112" s="541" t="s">
        <v>559</v>
      </c>
      <c r="F112" s="510" t="s">
        <v>281</v>
      </c>
      <c r="G112" s="628" t="s">
        <v>465</v>
      </c>
      <c r="H112" s="566"/>
      <c r="I112" s="543"/>
      <c r="J112" s="523"/>
      <c r="K112" s="522"/>
      <c r="L112" s="523"/>
      <c r="M112" s="522"/>
      <c r="N112" s="523"/>
      <c r="O112" s="522"/>
      <c r="P112" s="523"/>
      <c r="Q112" s="522"/>
      <c r="R112" s="523"/>
      <c r="S112" s="522"/>
      <c r="T112" s="523"/>
      <c r="U112" s="522"/>
      <c r="V112" s="523"/>
      <c r="W112" s="522"/>
      <c r="X112" s="523"/>
      <c r="Y112" s="522"/>
      <c r="Z112" s="523"/>
      <c r="AA112" s="522"/>
      <c r="AB112" s="523"/>
      <c r="AC112" s="522"/>
      <c r="AD112" s="523"/>
      <c r="AE112" s="522"/>
      <c r="AF112" s="523"/>
      <c r="AG112" s="522"/>
      <c r="AH112" s="539"/>
    </row>
    <row r="113" spans="1:34" ht="23.25" customHeight="1">
      <c r="A113" s="526"/>
      <c r="B113" s="690"/>
      <c r="C113" s="540" t="s">
        <v>560</v>
      </c>
      <c r="D113" s="518" t="s">
        <v>441</v>
      </c>
      <c r="E113" s="541" t="s">
        <v>559</v>
      </c>
      <c r="F113" s="510" t="s">
        <v>281</v>
      </c>
      <c r="G113" s="628" t="s">
        <v>210</v>
      </c>
      <c r="H113" s="684"/>
      <c r="I113" s="625"/>
      <c r="J113" s="681"/>
      <c r="K113" s="678"/>
      <c r="L113" s="533"/>
      <c r="M113" s="678"/>
      <c r="N113" s="533"/>
      <c r="O113" s="532"/>
      <c r="P113" s="679"/>
      <c r="Q113" s="678"/>
      <c r="R113" s="679"/>
      <c r="S113" s="678"/>
      <c r="T113" s="679"/>
      <c r="U113" s="678"/>
      <c r="V113" s="679"/>
      <c r="W113" s="678"/>
      <c r="X113" s="679"/>
      <c r="Y113" s="678"/>
      <c r="Z113" s="679"/>
      <c r="AA113" s="678"/>
      <c r="AB113" s="679"/>
      <c r="AC113" s="678"/>
      <c r="AD113" s="679"/>
      <c r="AE113" s="678"/>
      <c r="AF113" s="679"/>
      <c r="AG113" s="678"/>
      <c r="AH113" s="680"/>
    </row>
    <row r="114" spans="1:34" ht="23.25" customHeight="1">
      <c r="A114" s="688"/>
      <c r="B114" s="689"/>
      <c r="C114" s="540" t="s">
        <v>561</v>
      </c>
      <c r="D114" s="518" t="s">
        <v>441</v>
      </c>
      <c r="E114" s="541" t="s">
        <v>562</v>
      </c>
      <c r="F114" s="510" t="s">
        <v>281</v>
      </c>
      <c r="G114" s="518" t="s">
        <v>445</v>
      </c>
      <c r="H114" s="542"/>
      <c r="I114" s="543"/>
      <c r="J114" s="523"/>
      <c r="K114" s="522"/>
      <c r="L114" s="523"/>
      <c r="M114" s="522"/>
      <c r="N114" s="523"/>
      <c r="O114" s="522"/>
      <c r="P114" s="523"/>
      <c r="Q114" s="522"/>
      <c r="R114" s="523"/>
      <c r="S114" s="522"/>
      <c r="T114" s="523"/>
      <c r="U114" s="522"/>
      <c r="V114" s="523"/>
      <c r="W114" s="522"/>
      <c r="X114" s="523"/>
      <c r="Y114" s="522"/>
      <c r="Z114" s="523"/>
      <c r="AA114" s="522"/>
      <c r="AB114" s="523"/>
      <c r="AC114" s="522"/>
      <c r="AD114" s="523"/>
      <c r="AE114" s="522"/>
      <c r="AF114" s="523"/>
      <c r="AG114" s="522"/>
      <c r="AH114" s="539"/>
    </row>
    <row r="115" spans="1:34" ht="23.25" customHeight="1">
      <c r="A115" s="688"/>
      <c r="B115" s="689"/>
      <c r="C115" s="540" t="s">
        <v>561</v>
      </c>
      <c r="D115" s="518" t="s">
        <v>441</v>
      </c>
      <c r="E115" s="541" t="s">
        <v>562</v>
      </c>
      <c r="F115" s="510" t="s">
        <v>281</v>
      </c>
      <c r="G115" s="518" t="s">
        <v>445</v>
      </c>
      <c r="H115" s="542"/>
      <c r="I115" s="543"/>
      <c r="J115" s="523"/>
      <c r="K115" s="522"/>
      <c r="L115" s="523"/>
      <c r="M115" s="522"/>
      <c r="N115" s="523"/>
      <c r="O115" s="522"/>
      <c r="P115" s="523"/>
      <c r="Q115" s="522"/>
      <c r="R115" s="523"/>
      <c r="S115" s="522"/>
      <c r="T115" s="523"/>
      <c r="U115" s="522"/>
      <c r="V115" s="523"/>
      <c r="W115" s="522"/>
      <c r="X115" s="523"/>
      <c r="Y115" s="522"/>
      <c r="Z115" s="523"/>
      <c r="AA115" s="522"/>
      <c r="AB115" s="523"/>
      <c r="AC115" s="522"/>
      <c r="AD115" s="523"/>
      <c r="AE115" s="522"/>
      <c r="AF115" s="523"/>
      <c r="AG115" s="522"/>
      <c r="AH115" s="539"/>
    </row>
    <row r="116" spans="1:34" ht="22.5" customHeight="1">
      <c r="A116" s="500"/>
      <c r="B116" s="516"/>
      <c r="C116" s="540" t="s">
        <v>563</v>
      </c>
      <c r="D116" s="518" t="s">
        <v>441</v>
      </c>
      <c r="E116" s="541" t="s">
        <v>564</v>
      </c>
      <c r="F116" s="510" t="s">
        <v>281</v>
      </c>
      <c r="G116" s="541" t="s">
        <v>511</v>
      </c>
      <c r="H116" s="542"/>
      <c r="I116" s="543"/>
      <c r="J116" s="521"/>
      <c r="K116" s="522"/>
      <c r="L116" s="523"/>
      <c r="M116" s="522"/>
      <c r="N116" s="523"/>
      <c r="O116" s="522"/>
      <c r="P116" s="523"/>
      <c r="Q116" s="522"/>
      <c r="R116" s="523"/>
      <c r="S116" s="538"/>
      <c r="T116" s="523"/>
      <c r="U116" s="522"/>
      <c r="V116" s="523"/>
      <c r="W116" s="522"/>
      <c r="X116" s="523"/>
      <c r="Y116" s="522"/>
      <c r="Z116" s="523"/>
      <c r="AA116" s="522"/>
      <c r="AB116" s="523"/>
      <c r="AC116" s="522"/>
      <c r="AD116" s="523"/>
      <c r="AE116" s="522"/>
      <c r="AF116" s="523"/>
      <c r="AG116" s="522"/>
      <c r="AH116" s="539"/>
    </row>
    <row r="117" spans="1:34" ht="22.95" customHeight="1">
      <c r="A117" s="500"/>
      <c r="B117" s="516"/>
      <c r="C117" s="540" t="s">
        <v>565</v>
      </c>
      <c r="D117" s="518" t="s">
        <v>441</v>
      </c>
      <c r="E117" s="541" t="s">
        <v>564</v>
      </c>
      <c r="F117" s="510" t="s">
        <v>281</v>
      </c>
      <c r="G117" s="541" t="s">
        <v>511</v>
      </c>
      <c r="H117" s="542"/>
      <c r="I117" s="543"/>
      <c r="J117" s="521"/>
      <c r="K117" s="522"/>
      <c r="L117" s="523"/>
      <c r="M117" s="522"/>
      <c r="N117" s="523"/>
      <c r="O117" s="522"/>
      <c r="P117" s="523"/>
      <c r="Q117" s="522"/>
      <c r="R117" s="523"/>
      <c r="S117" s="538"/>
      <c r="T117" s="523"/>
      <c r="U117" s="522"/>
      <c r="V117" s="523"/>
      <c r="W117" s="522"/>
      <c r="X117" s="523"/>
      <c r="Y117" s="522"/>
      <c r="Z117" s="523"/>
      <c r="AA117" s="522"/>
      <c r="AB117" s="523"/>
      <c r="AC117" s="522"/>
      <c r="AD117" s="523"/>
      <c r="AE117" s="522"/>
      <c r="AF117" s="523"/>
      <c r="AG117" s="522"/>
      <c r="AH117" s="539"/>
    </row>
    <row r="118" spans="1:34" ht="23.25" customHeight="1">
      <c r="A118" s="500"/>
      <c r="B118" s="516"/>
      <c r="C118" s="540" t="s">
        <v>566</v>
      </c>
      <c r="D118" s="518" t="s">
        <v>441</v>
      </c>
      <c r="E118" s="541" t="s">
        <v>567</v>
      </c>
      <c r="F118" s="510" t="s">
        <v>281</v>
      </c>
      <c r="G118" s="518" t="s">
        <v>568</v>
      </c>
      <c r="H118" s="542"/>
      <c r="I118" s="543"/>
      <c r="J118" s="523"/>
      <c r="K118" s="522"/>
      <c r="L118" s="523"/>
      <c r="M118" s="522"/>
      <c r="N118" s="523"/>
      <c r="O118" s="522"/>
      <c r="P118" s="523"/>
      <c r="Q118" s="522"/>
      <c r="R118" s="523"/>
      <c r="S118" s="522"/>
      <c r="T118" s="523"/>
      <c r="U118" s="522"/>
      <c r="V118" s="523"/>
      <c r="W118" s="522"/>
      <c r="X118" s="523"/>
      <c r="Y118" s="522"/>
      <c r="Z118" s="523"/>
      <c r="AA118" s="522"/>
      <c r="AB118" s="523"/>
      <c r="AC118" s="522"/>
      <c r="AD118" s="523"/>
      <c r="AE118" s="522"/>
      <c r="AF118" s="523"/>
      <c r="AG118" s="522"/>
      <c r="AH118" s="691"/>
    </row>
    <row r="119" spans="1:34" ht="23.25" customHeight="1">
      <c r="A119" s="526"/>
      <c r="B119" s="527"/>
      <c r="C119" s="660" t="s">
        <v>569</v>
      </c>
      <c r="D119" s="518" t="s">
        <v>441</v>
      </c>
      <c r="E119" s="661" t="s">
        <v>570</v>
      </c>
      <c r="F119" s="510" t="s">
        <v>281</v>
      </c>
      <c r="G119" s="566" t="s">
        <v>489</v>
      </c>
      <c r="H119" s="566"/>
      <c r="I119" s="543"/>
      <c r="J119" s="681"/>
      <c r="K119" s="678"/>
      <c r="L119" s="533"/>
      <c r="M119" s="678"/>
      <c r="N119" s="533"/>
      <c r="O119" s="532"/>
      <c r="P119" s="679"/>
      <c r="Q119" s="678"/>
      <c r="R119" s="679"/>
      <c r="S119" s="678"/>
      <c r="T119" s="679"/>
      <c r="U119" s="678"/>
      <c r="V119" s="679"/>
      <c r="W119" s="678"/>
      <c r="X119" s="679"/>
      <c r="Y119" s="678"/>
      <c r="Z119" s="679"/>
      <c r="AA119" s="678"/>
      <c r="AB119" s="679"/>
      <c r="AC119" s="678"/>
      <c r="AD119" s="679"/>
      <c r="AE119" s="678"/>
      <c r="AF119" s="533"/>
      <c r="AG119" s="678"/>
      <c r="AH119" s="680"/>
    </row>
    <row r="120" spans="1:34" ht="23.25" customHeight="1">
      <c r="A120" s="500"/>
      <c r="B120" s="516"/>
      <c r="C120" s="540" t="s">
        <v>571</v>
      </c>
      <c r="D120" s="518" t="s">
        <v>441</v>
      </c>
      <c r="E120" s="541" t="s">
        <v>572</v>
      </c>
      <c r="F120" s="510" t="s">
        <v>281</v>
      </c>
      <c r="G120" s="518" t="s">
        <v>573</v>
      </c>
      <c r="H120" s="542"/>
      <c r="I120" s="543"/>
      <c r="J120" s="523"/>
      <c r="K120" s="522"/>
      <c r="L120" s="523"/>
      <c r="M120" s="522"/>
      <c r="N120" s="523"/>
      <c r="O120" s="522"/>
      <c r="P120" s="523"/>
      <c r="Q120" s="522"/>
      <c r="R120" s="523"/>
      <c r="S120" s="522"/>
      <c r="T120" s="523"/>
      <c r="U120" s="522"/>
      <c r="V120" s="523"/>
      <c r="W120" s="522"/>
      <c r="X120" s="523"/>
      <c r="Y120" s="522"/>
      <c r="Z120" s="523"/>
      <c r="AA120" s="522"/>
      <c r="AB120" s="523"/>
      <c r="AC120" s="522"/>
      <c r="AD120" s="523"/>
      <c r="AE120" s="522"/>
      <c r="AF120" s="523"/>
      <c r="AG120" s="522"/>
      <c r="AH120" s="539"/>
    </row>
    <row r="121" spans="1:34" ht="23.25" customHeight="1">
      <c r="A121" s="526"/>
      <c r="B121" s="527"/>
      <c r="C121" s="540" t="s">
        <v>574</v>
      </c>
      <c r="D121" s="518" t="s">
        <v>441</v>
      </c>
      <c r="E121" s="541" t="s">
        <v>575</v>
      </c>
      <c r="F121" s="510" t="s">
        <v>281</v>
      </c>
      <c r="G121" s="518" t="s">
        <v>576</v>
      </c>
      <c r="H121" s="684"/>
      <c r="I121" s="625"/>
      <c r="J121" s="681"/>
      <c r="K121" s="678"/>
      <c r="L121" s="533"/>
      <c r="M121" s="678"/>
      <c r="N121" s="533"/>
      <c r="O121" s="532"/>
      <c r="P121" s="679"/>
      <c r="Q121" s="678"/>
      <c r="R121" s="679"/>
      <c r="S121" s="678"/>
      <c r="T121" s="679"/>
      <c r="U121" s="678"/>
      <c r="V121" s="679"/>
      <c r="W121" s="678"/>
      <c r="X121" s="679"/>
      <c r="Y121" s="678"/>
      <c r="Z121" s="679"/>
      <c r="AA121" s="678"/>
      <c r="AB121" s="679"/>
      <c r="AC121" s="678"/>
      <c r="AD121" s="679"/>
      <c r="AE121" s="678"/>
      <c r="AF121" s="679"/>
      <c r="AG121" s="678"/>
      <c r="AH121" s="680"/>
    </row>
    <row r="122" spans="1:34" ht="23.25" customHeight="1" thickBot="1">
      <c r="A122" s="526"/>
      <c r="B122" s="692"/>
      <c r="C122" s="551" t="s">
        <v>577</v>
      </c>
      <c r="D122" s="552" t="s">
        <v>441</v>
      </c>
      <c r="E122" s="553" t="s">
        <v>578</v>
      </c>
      <c r="F122" s="554" t="s">
        <v>281</v>
      </c>
      <c r="G122" s="575" t="s">
        <v>365</v>
      </c>
      <c r="H122" s="693"/>
      <c r="I122" s="694"/>
      <c r="J122" s="695"/>
      <c r="K122" s="696"/>
      <c r="L122" s="697"/>
      <c r="M122" s="696"/>
      <c r="N122" s="697"/>
      <c r="O122" s="698"/>
      <c r="P122" s="699"/>
      <c r="Q122" s="696"/>
      <c r="R122" s="699"/>
      <c r="S122" s="696"/>
      <c r="T122" s="699"/>
      <c r="U122" s="696"/>
      <c r="V122" s="699"/>
      <c r="W122" s="696"/>
      <c r="X122" s="699"/>
      <c r="Y122" s="696"/>
      <c r="Z122" s="699"/>
      <c r="AA122" s="696"/>
      <c r="AB122" s="699"/>
      <c r="AC122" s="696"/>
      <c r="AD122" s="699"/>
      <c r="AE122" s="696"/>
      <c r="AF122" s="699"/>
      <c r="AG122" s="696"/>
      <c r="AH122" s="700"/>
    </row>
    <row r="123" spans="1:34" ht="23.25" customHeight="1">
      <c r="A123" s="500"/>
      <c r="B123" s="701" t="s">
        <v>579</v>
      </c>
      <c r="C123" s="702" t="s">
        <v>580</v>
      </c>
      <c r="D123" s="703" t="s">
        <v>334</v>
      </c>
      <c r="E123" s="704" t="s">
        <v>581</v>
      </c>
      <c r="F123" s="559" t="s">
        <v>281</v>
      </c>
      <c r="G123" s="703" t="s">
        <v>210</v>
      </c>
      <c r="H123" s="705"/>
      <c r="I123" s="706"/>
      <c r="J123" s="707"/>
      <c r="K123" s="708"/>
      <c r="L123" s="709"/>
      <c r="M123" s="710"/>
      <c r="N123" s="709"/>
      <c r="O123" s="710"/>
      <c r="P123" s="711"/>
      <c r="Q123" s="708"/>
      <c r="R123" s="711"/>
      <c r="S123" s="708"/>
      <c r="T123" s="711"/>
      <c r="U123" s="708"/>
      <c r="V123" s="711"/>
      <c r="W123" s="708"/>
      <c r="X123" s="711"/>
      <c r="Y123" s="708"/>
      <c r="Z123" s="711"/>
      <c r="AA123" s="708"/>
      <c r="AB123" s="711"/>
      <c r="AC123" s="708"/>
      <c r="AD123" s="711"/>
      <c r="AE123" s="708"/>
      <c r="AF123" s="711"/>
      <c r="AG123" s="708"/>
      <c r="AH123" s="712"/>
    </row>
    <row r="124" spans="1:34" ht="23.25" customHeight="1">
      <c r="A124" s="500"/>
      <c r="B124" s="516"/>
      <c r="C124" s="517" t="s">
        <v>582</v>
      </c>
      <c r="D124" s="508" t="s">
        <v>441</v>
      </c>
      <c r="E124" s="519" t="s">
        <v>583</v>
      </c>
      <c r="F124" s="559" t="s">
        <v>280</v>
      </c>
      <c r="G124" s="508" t="s">
        <v>210</v>
      </c>
      <c r="H124" s="508" t="s">
        <v>210</v>
      </c>
      <c r="I124" s="537" t="s">
        <v>584</v>
      </c>
      <c r="J124" s="490"/>
      <c r="K124" s="489"/>
      <c r="L124" s="490" t="s">
        <v>450</v>
      </c>
      <c r="M124" s="489"/>
      <c r="N124" s="490"/>
      <c r="O124" s="489"/>
      <c r="P124" s="490"/>
      <c r="Q124" s="489"/>
      <c r="R124" s="490"/>
      <c r="S124" s="489"/>
      <c r="T124" s="490"/>
      <c r="U124" s="489"/>
      <c r="V124" s="490"/>
      <c r="W124" s="489"/>
      <c r="X124" s="490"/>
      <c r="Y124" s="489"/>
      <c r="Z124" s="490"/>
      <c r="AA124" s="489"/>
      <c r="AB124" s="490"/>
      <c r="AC124" s="489"/>
      <c r="AD124" s="490"/>
      <c r="AE124" s="489"/>
      <c r="AF124" s="490"/>
      <c r="AG124" s="489"/>
      <c r="AH124" s="549"/>
    </row>
    <row r="125" spans="1:34" ht="22.5" customHeight="1">
      <c r="A125" s="571"/>
      <c r="B125" s="583"/>
      <c r="C125" s="616" t="s">
        <v>585</v>
      </c>
      <c r="D125" s="508" t="s">
        <v>441</v>
      </c>
      <c r="E125" s="585" t="s">
        <v>586</v>
      </c>
      <c r="F125" s="510" t="s">
        <v>281</v>
      </c>
      <c r="G125" s="586" t="s">
        <v>210</v>
      </c>
      <c r="H125" s="596"/>
      <c r="I125" s="537"/>
      <c r="J125" s="630"/>
      <c r="K125" s="611"/>
      <c r="L125" s="610"/>
      <c r="M125" s="611"/>
      <c r="N125" s="610"/>
      <c r="O125" s="611"/>
      <c r="P125" s="610"/>
      <c r="Q125" s="611"/>
      <c r="R125" s="610"/>
      <c r="S125" s="611"/>
      <c r="T125" s="610"/>
      <c r="U125" s="611"/>
      <c r="V125" s="610"/>
      <c r="W125" s="611"/>
      <c r="X125" s="610"/>
      <c r="Y125" s="611"/>
      <c r="Z125" s="610"/>
      <c r="AA125" s="611"/>
      <c r="AB125" s="610"/>
      <c r="AC125" s="611"/>
      <c r="AD125" s="610"/>
      <c r="AE125" s="611"/>
      <c r="AF125" s="610"/>
      <c r="AG125" s="611"/>
      <c r="AH125" s="549"/>
    </row>
    <row r="126" spans="1:34" ht="22.5" customHeight="1">
      <c r="A126" s="571"/>
      <c r="B126" s="583"/>
      <c r="C126" s="620" t="s">
        <v>587</v>
      </c>
      <c r="D126" s="518" t="s">
        <v>441</v>
      </c>
      <c r="E126" s="565" t="s">
        <v>588</v>
      </c>
      <c r="F126" s="510" t="s">
        <v>281</v>
      </c>
      <c r="G126" s="518" t="s">
        <v>589</v>
      </c>
      <c r="H126" s="542"/>
      <c r="I126" s="543"/>
      <c r="J126" s="713"/>
      <c r="K126" s="618"/>
      <c r="L126" s="619"/>
      <c r="M126" s="618"/>
      <c r="N126" s="619"/>
      <c r="O126" s="618"/>
      <c r="P126" s="619"/>
      <c r="Q126" s="618"/>
      <c r="R126" s="619"/>
      <c r="S126" s="618"/>
      <c r="T126" s="619"/>
      <c r="U126" s="618"/>
      <c r="V126" s="619"/>
      <c r="W126" s="618"/>
      <c r="X126" s="619"/>
      <c r="Y126" s="618"/>
      <c r="Z126" s="619"/>
      <c r="AA126" s="618"/>
      <c r="AB126" s="619"/>
      <c r="AC126" s="618"/>
      <c r="AD126" s="619"/>
      <c r="AE126" s="618"/>
      <c r="AF126" s="619"/>
      <c r="AG126" s="618"/>
      <c r="AH126" s="539"/>
    </row>
    <row r="127" spans="1:34" ht="23.25" customHeight="1">
      <c r="A127" s="500"/>
      <c r="B127" s="516"/>
      <c r="C127" s="540" t="s">
        <v>590</v>
      </c>
      <c r="D127" s="518" t="s">
        <v>441</v>
      </c>
      <c r="E127" s="541" t="s">
        <v>591</v>
      </c>
      <c r="F127" s="510" t="s">
        <v>281</v>
      </c>
      <c r="G127" s="703" t="s">
        <v>210</v>
      </c>
      <c r="H127" s="542"/>
      <c r="I127" s="543"/>
      <c r="J127" s="523"/>
      <c r="K127" s="522"/>
      <c r="L127" s="523"/>
      <c r="M127" s="522"/>
      <c r="N127" s="523"/>
      <c r="O127" s="522"/>
      <c r="P127" s="523"/>
      <c r="Q127" s="522"/>
      <c r="R127" s="523"/>
      <c r="S127" s="522"/>
      <c r="T127" s="523"/>
      <c r="U127" s="522"/>
      <c r="V127" s="523"/>
      <c r="W127" s="522"/>
      <c r="X127" s="523"/>
      <c r="Y127" s="522"/>
      <c r="Z127" s="523"/>
      <c r="AA127" s="522"/>
      <c r="AB127" s="523"/>
      <c r="AC127" s="522"/>
      <c r="AD127" s="523"/>
      <c r="AE127" s="522"/>
      <c r="AF127" s="523"/>
      <c r="AG127" s="522"/>
      <c r="AH127" s="539"/>
    </row>
    <row r="128" spans="1:34" ht="23.25" customHeight="1">
      <c r="A128" s="500"/>
      <c r="B128" s="516"/>
      <c r="C128" s="540" t="s">
        <v>592</v>
      </c>
      <c r="D128" s="518" t="s">
        <v>441</v>
      </c>
      <c r="E128" s="541" t="s">
        <v>593</v>
      </c>
      <c r="F128" s="510" t="s">
        <v>281</v>
      </c>
      <c r="G128" s="703" t="s">
        <v>210</v>
      </c>
      <c r="H128" s="542"/>
      <c r="I128" s="543"/>
      <c r="J128" s="523"/>
      <c r="K128" s="522"/>
      <c r="L128" s="523"/>
      <c r="M128" s="522"/>
      <c r="N128" s="523"/>
      <c r="O128" s="522"/>
      <c r="P128" s="523"/>
      <c r="Q128" s="522"/>
      <c r="R128" s="523"/>
      <c r="S128" s="522"/>
      <c r="T128" s="523"/>
      <c r="U128" s="522"/>
      <c r="V128" s="523"/>
      <c r="W128" s="522"/>
      <c r="X128" s="523"/>
      <c r="Y128" s="522"/>
      <c r="Z128" s="523"/>
      <c r="AA128" s="522"/>
      <c r="AB128" s="523"/>
      <c r="AC128" s="522"/>
      <c r="AD128" s="523"/>
      <c r="AE128" s="522"/>
      <c r="AF128" s="523"/>
      <c r="AG128" s="522"/>
      <c r="AH128" s="539"/>
    </row>
    <row r="129" spans="1:34" ht="23.25" customHeight="1">
      <c r="A129" s="500"/>
      <c r="B129" s="516"/>
      <c r="C129" s="540" t="s">
        <v>594</v>
      </c>
      <c r="D129" s="518" t="s">
        <v>441</v>
      </c>
      <c r="E129" s="541" t="s">
        <v>595</v>
      </c>
      <c r="F129" s="510" t="s">
        <v>281</v>
      </c>
      <c r="G129" s="518" t="s">
        <v>518</v>
      </c>
      <c r="H129" s="542"/>
      <c r="I129" s="543"/>
      <c r="J129" s="523"/>
      <c r="K129" s="522"/>
      <c r="L129" s="523"/>
      <c r="M129" s="522"/>
      <c r="N129" s="523"/>
      <c r="O129" s="522"/>
      <c r="P129" s="523"/>
      <c r="Q129" s="522"/>
      <c r="R129" s="523"/>
      <c r="S129" s="522"/>
      <c r="T129" s="523"/>
      <c r="U129" s="522"/>
      <c r="V129" s="523"/>
      <c r="W129" s="522"/>
      <c r="X129" s="523"/>
      <c r="Y129" s="522"/>
      <c r="Z129" s="523"/>
      <c r="AA129" s="522"/>
      <c r="AB129" s="523"/>
      <c r="AC129" s="522"/>
      <c r="AD129" s="523"/>
      <c r="AE129" s="522"/>
      <c r="AF129" s="523"/>
      <c r="AG129" s="522"/>
      <c r="AH129" s="539"/>
    </row>
    <row r="130" spans="1:34" ht="22.5" customHeight="1">
      <c r="A130" s="571"/>
      <c r="B130" s="583"/>
      <c r="C130" s="616" t="s">
        <v>360</v>
      </c>
      <c r="D130" s="508" t="s">
        <v>441</v>
      </c>
      <c r="E130" s="585" t="s">
        <v>361</v>
      </c>
      <c r="F130" s="510" t="s">
        <v>281</v>
      </c>
      <c r="G130" s="586" t="s">
        <v>210</v>
      </c>
      <c r="H130" s="596"/>
      <c r="I130" s="537"/>
      <c r="J130" s="609"/>
      <c r="K130" s="611"/>
      <c r="L130" s="610"/>
      <c r="M130" s="611"/>
      <c r="N130" s="610"/>
      <c r="O130" s="611"/>
      <c r="P130" s="610"/>
      <c r="Q130" s="611"/>
      <c r="R130" s="610"/>
      <c r="S130" s="611"/>
      <c r="T130" s="610"/>
      <c r="U130" s="611"/>
      <c r="V130" s="610"/>
      <c r="W130" s="611"/>
      <c r="X130" s="490"/>
      <c r="Y130" s="611"/>
      <c r="Z130" s="610"/>
      <c r="AA130" s="611"/>
      <c r="AB130" s="610"/>
      <c r="AC130" s="611"/>
      <c r="AD130" s="610"/>
      <c r="AE130" s="611"/>
      <c r="AF130" s="610"/>
      <c r="AG130" s="611"/>
      <c r="AH130" s="639"/>
    </row>
    <row r="131" spans="1:34" ht="22.5" customHeight="1">
      <c r="A131" s="571"/>
      <c r="B131" s="583"/>
      <c r="C131" s="714" t="s">
        <v>362</v>
      </c>
      <c r="D131" s="518" t="s">
        <v>441</v>
      </c>
      <c r="E131" s="565" t="s">
        <v>361</v>
      </c>
      <c r="F131" s="510" t="s">
        <v>281</v>
      </c>
      <c r="G131" s="628" t="s">
        <v>210</v>
      </c>
      <c r="H131" s="566"/>
      <c r="I131" s="543"/>
      <c r="J131" s="617"/>
      <c r="K131" s="715"/>
      <c r="L131" s="619"/>
      <c r="M131" s="618"/>
      <c r="N131" s="619"/>
      <c r="O131" s="618"/>
      <c r="P131" s="619"/>
      <c r="Q131" s="618"/>
      <c r="R131" s="619"/>
      <c r="S131" s="618"/>
      <c r="T131" s="619"/>
      <c r="U131" s="618"/>
      <c r="V131" s="619"/>
      <c r="W131" s="618"/>
      <c r="X131" s="619"/>
      <c r="Y131" s="618"/>
      <c r="Z131" s="619"/>
      <c r="AA131" s="618"/>
      <c r="AB131" s="619"/>
      <c r="AC131" s="618"/>
      <c r="AD131" s="619"/>
      <c r="AE131" s="618"/>
      <c r="AF131" s="619"/>
      <c r="AG131" s="618"/>
      <c r="AH131" s="716"/>
    </row>
    <row r="132" spans="1:34" ht="22.5" customHeight="1">
      <c r="A132" s="571"/>
      <c r="B132" s="583"/>
      <c r="C132" s="717" t="s">
        <v>596</v>
      </c>
      <c r="D132" s="508" t="s">
        <v>441</v>
      </c>
      <c r="E132" s="585" t="s">
        <v>586</v>
      </c>
      <c r="F132" s="566" t="s">
        <v>280</v>
      </c>
      <c r="G132" s="586" t="s">
        <v>548</v>
      </c>
      <c r="H132" s="586" t="s">
        <v>548</v>
      </c>
      <c r="I132" s="543" t="s">
        <v>526</v>
      </c>
      <c r="J132" s="603"/>
      <c r="K132" s="718"/>
      <c r="L132" s="604"/>
      <c r="M132" s="605"/>
      <c r="N132" s="604"/>
      <c r="O132" s="605"/>
      <c r="P132" s="604"/>
      <c r="Q132" s="605"/>
      <c r="R132" s="657" t="s">
        <v>386</v>
      </c>
      <c r="S132" s="605"/>
      <c r="T132" s="604"/>
      <c r="U132" s="605"/>
      <c r="V132" s="604"/>
      <c r="W132" s="605"/>
      <c r="X132" s="604"/>
      <c r="Y132" s="605"/>
      <c r="Z132" s="604"/>
      <c r="AA132" s="605"/>
      <c r="AB132" s="604"/>
      <c r="AC132" s="605"/>
      <c r="AD132" s="604"/>
      <c r="AE132" s="605"/>
      <c r="AF132" s="604"/>
      <c r="AG132" s="605"/>
      <c r="AH132" s="719" t="s">
        <v>597</v>
      </c>
    </row>
    <row r="133" spans="1:34" ht="22.5" customHeight="1">
      <c r="A133" s="571"/>
      <c r="B133" s="583"/>
      <c r="C133" s="616" t="s">
        <v>598</v>
      </c>
      <c r="D133" s="508" t="s">
        <v>441</v>
      </c>
      <c r="E133" s="585" t="s">
        <v>586</v>
      </c>
      <c r="F133" s="566" t="s">
        <v>281</v>
      </c>
      <c r="G133" s="586" t="s">
        <v>445</v>
      </c>
      <c r="H133" s="596"/>
      <c r="I133" s="537"/>
      <c r="J133" s="630"/>
      <c r="K133" s="611"/>
      <c r="L133" s="610"/>
      <c r="M133" s="611"/>
      <c r="N133" s="610"/>
      <c r="O133" s="611"/>
      <c r="P133" s="610"/>
      <c r="Q133" s="611"/>
      <c r="R133" s="610"/>
      <c r="S133" s="611"/>
      <c r="T133" s="610"/>
      <c r="U133" s="611"/>
      <c r="V133" s="610"/>
      <c r="W133" s="611"/>
      <c r="X133" s="610"/>
      <c r="Y133" s="611"/>
      <c r="Z133" s="610"/>
      <c r="AA133" s="611"/>
      <c r="AB133" s="610"/>
      <c r="AC133" s="611"/>
      <c r="AD133" s="610"/>
      <c r="AE133" s="611"/>
      <c r="AF133" s="610"/>
      <c r="AG133" s="611"/>
      <c r="AH133" s="549"/>
    </row>
    <row r="134" spans="1:34" ht="23.25" customHeight="1">
      <c r="A134" s="500"/>
      <c r="B134" s="516"/>
      <c r="C134" s="517" t="s">
        <v>599</v>
      </c>
      <c r="D134" s="518" t="s">
        <v>441</v>
      </c>
      <c r="E134" s="585" t="s">
        <v>586</v>
      </c>
      <c r="F134" s="566" t="s">
        <v>281</v>
      </c>
      <c r="G134" s="508" t="s">
        <v>210</v>
      </c>
      <c r="H134" s="536"/>
      <c r="I134" s="537"/>
      <c r="J134" s="588"/>
      <c r="K134" s="489"/>
      <c r="L134" s="582"/>
      <c r="M134" s="489"/>
      <c r="N134" s="582"/>
      <c r="O134" s="489"/>
      <c r="P134" s="582"/>
      <c r="Q134" s="489"/>
      <c r="R134" s="582"/>
      <c r="S134" s="489"/>
      <c r="T134" s="582"/>
      <c r="U134" s="489"/>
      <c r="V134" s="582"/>
      <c r="W134" s="489"/>
      <c r="X134" s="582"/>
      <c r="Y134" s="489"/>
      <c r="Z134" s="490"/>
      <c r="AA134" s="489"/>
      <c r="AB134" s="582"/>
      <c r="AC134" s="489"/>
      <c r="AD134" s="582"/>
      <c r="AE134" s="489"/>
      <c r="AF134" s="582"/>
      <c r="AG134" s="489"/>
      <c r="AH134" s="539"/>
    </row>
    <row r="135" spans="1:34" ht="22.5" customHeight="1">
      <c r="A135" s="571"/>
      <c r="B135" s="583"/>
      <c r="C135" s="620" t="s">
        <v>600</v>
      </c>
      <c r="D135" s="518" t="s">
        <v>441</v>
      </c>
      <c r="E135" s="565" t="s">
        <v>588</v>
      </c>
      <c r="F135" s="566" t="s">
        <v>281</v>
      </c>
      <c r="G135" s="628" t="s">
        <v>445</v>
      </c>
      <c r="H135" s="566"/>
      <c r="I135" s="543"/>
      <c r="J135" s="713"/>
      <c r="K135" s="618"/>
      <c r="L135" s="619"/>
      <c r="M135" s="618"/>
      <c r="N135" s="619"/>
      <c r="O135" s="618"/>
      <c r="P135" s="619"/>
      <c r="Q135" s="618"/>
      <c r="R135" s="619"/>
      <c r="S135" s="618"/>
      <c r="T135" s="619"/>
      <c r="U135" s="618"/>
      <c r="V135" s="619"/>
      <c r="W135" s="618"/>
      <c r="X135" s="619"/>
      <c r="Y135" s="618"/>
      <c r="Z135" s="619"/>
      <c r="AA135" s="618"/>
      <c r="AB135" s="619"/>
      <c r="AC135" s="618"/>
      <c r="AD135" s="619"/>
      <c r="AE135" s="618"/>
      <c r="AF135" s="619"/>
      <c r="AG135" s="618"/>
      <c r="AH135" s="539"/>
    </row>
    <row r="136" spans="1:34" ht="22.5" customHeight="1">
      <c r="A136" s="571"/>
      <c r="B136" s="583"/>
      <c r="C136" s="616" t="s">
        <v>601</v>
      </c>
      <c r="D136" s="508" t="s">
        <v>602</v>
      </c>
      <c r="E136" s="585" t="s">
        <v>603</v>
      </c>
      <c r="F136" s="566" t="s">
        <v>281</v>
      </c>
      <c r="G136" s="586" t="s">
        <v>604</v>
      </c>
      <c r="H136" s="596"/>
      <c r="I136" s="537"/>
      <c r="J136" s="609"/>
      <c r="K136" s="611"/>
      <c r="L136" s="610"/>
      <c r="M136" s="611"/>
      <c r="N136" s="610"/>
      <c r="O136" s="611"/>
      <c r="P136" s="610"/>
      <c r="Q136" s="611"/>
      <c r="R136" s="610"/>
      <c r="S136" s="611"/>
      <c r="T136" s="610"/>
      <c r="U136" s="611"/>
      <c r="V136" s="610"/>
      <c r="W136" s="611"/>
      <c r="X136" s="610"/>
      <c r="Y136" s="611"/>
      <c r="Z136" s="610"/>
      <c r="AA136" s="611"/>
      <c r="AB136" s="610"/>
      <c r="AC136" s="611"/>
      <c r="AD136" s="610"/>
      <c r="AE136" s="611"/>
      <c r="AF136" s="610"/>
      <c r="AG136" s="611"/>
      <c r="AH136" s="549"/>
    </row>
    <row r="137" spans="1:34" ht="22.5" customHeight="1">
      <c r="A137" s="571"/>
      <c r="B137" s="583"/>
      <c r="C137" s="720" t="s">
        <v>605</v>
      </c>
      <c r="D137" s="721" t="s">
        <v>496</v>
      </c>
      <c r="E137" s="722" t="s">
        <v>606</v>
      </c>
      <c r="F137" s="566" t="s">
        <v>281</v>
      </c>
      <c r="G137" s="723" t="s">
        <v>518</v>
      </c>
      <c r="H137" s="724"/>
      <c r="I137" s="567"/>
      <c r="J137" s="725"/>
      <c r="K137" s="726"/>
      <c r="L137" s="727"/>
      <c r="M137" s="726"/>
      <c r="N137" s="727"/>
      <c r="O137" s="726"/>
      <c r="P137" s="727"/>
      <c r="Q137" s="726"/>
      <c r="R137" s="727"/>
      <c r="S137" s="726"/>
      <c r="T137" s="727"/>
      <c r="U137" s="726"/>
      <c r="V137" s="727"/>
      <c r="W137" s="726"/>
      <c r="X137" s="727"/>
      <c r="Y137" s="726"/>
      <c r="Z137" s="727"/>
      <c r="AA137" s="726"/>
      <c r="AB137" s="727"/>
      <c r="AC137" s="726"/>
      <c r="AD137" s="727"/>
      <c r="AE137" s="726"/>
      <c r="AF137" s="727"/>
      <c r="AG137" s="726"/>
      <c r="AH137" s="728"/>
    </row>
    <row r="138" spans="1:34" ht="22.5" customHeight="1">
      <c r="A138" s="571"/>
      <c r="B138" s="729"/>
      <c r="C138" s="620" t="s">
        <v>607</v>
      </c>
      <c r="D138" s="518" t="s">
        <v>334</v>
      </c>
      <c r="E138" s="565" t="s">
        <v>608</v>
      </c>
      <c r="F138" s="566" t="s">
        <v>281</v>
      </c>
      <c r="G138" s="628" t="s">
        <v>518</v>
      </c>
      <c r="H138" s="566"/>
      <c r="I138" s="543"/>
      <c r="J138" s="617"/>
      <c r="K138" s="618"/>
      <c r="L138" s="619"/>
      <c r="M138" s="618"/>
      <c r="N138" s="619"/>
      <c r="O138" s="618"/>
      <c r="P138" s="619"/>
      <c r="Q138" s="618"/>
      <c r="R138" s="619"/>
      <c r="S138" s="618"/>
      <c r="T138" s="619"/>
      <c r="U138" s="618"/>
      <c r="V138" s="619"/>
      <c r="W138" s="618"/>
      <c r="X138" s="619"/>
      <c r="Y138" s="618"/>
      <c r="Z138" s="619"/>
      <c r="AA138" s="618"/>
      <c r="AB138" s="619"/>
      <c r="AC138" s="618"/>
      <c r="AD138" s="619"/>
      <c r="AE138" s="618"/>
      <c r="AF138" s="619"/>
      <c r="AG138" s="618"/>
      <c r="AH138" s="539"/>
    </row>
    <row r="139" spans="1:34" ht="22.5" customHeight="1" thickBot="1">
      <c r="A139" s="571"/>
      <c r="B139" s="730"/>
      <c r="C139" s="731" t="s">
        <v>609</v>
      </c>
      <c r="D139" s="732" t="s">
        <v>602</v>
      </c>
      <c r="E139" s="733" t="s">
        <v>610</v>
      </c>
      <c r="F139" s="734" t="s">
        <v>281</v>
      </c>
      <c r="G139" s="735" t="s">
        <v>445</v>
      </c>
      <c r="H139" s="736"/>
      <c r="I139" s="737"/>
      <c r="J139" s="738"/>
      <c r="K139" s="739"/>
      <c r="L139" s="740"/>
      <c r="M139" s="739"/>
      <c r="N139" s="740"/>
      <c r="O139" s="739"/>
      <c r="P139" s="740"/>
      <c r="Q139" s="739"/>
      <c r="R139" s="740"/>
      <c r="S139" s="739"/>
      <c r="T139" s="740"/>
      <c r="U139" s="739"/>
      <c r="V139" s="740"/>
      <c r="W139" s="739"/>
      <c r="X139" s="740"/>
      <c r="Y139" s="739"/>
      <c r="Z139" s="740"/>
      <c r="AA139" s="739"/>
      <c r="AB139" s="740"/>
      <c r="AC139" s="739"/>
      <c r="AD139" s="740"/>
      <c r="AE139" s="739"/>
      <c r="AF139" s="740"/>
      <c r="AG139" s="739"/>
      <c r="AH139" s="741"/>
    </row>
    <row r="140" spans="1:34" ht="33" thickTop="1">
      <c r="A140" s="500"/>
      <c r="B140" s="742" t="s">
        <v>611</v>
      </c>
      <c r="C140" s="584" t="s">
        <v>612</v>
      </c>
      <c r="D140" s="743" t="s">
        <v>613</v>
      </c>
      <c r="E140" s="585" t="s">
        <v>458</v>
      </c>
      <c r="F140" s="559" t="s">
        <v>280</v>
      </c>
      <c r="G140" s="586" t="s">
        <v>332</v>
      </c>
      <c r="H140" s="596" t="s">
        <v>614</v>
      </c>
      <c r="I140" s="744" t="s">
        <v>344</v>
      </c>
      <c r="J140" s="745" t="s">
        <v>118</v>
      </c>
      <c r="K140" s="746"/>
      <c r="L140" s="747"/>
      <c r="M140" s="746"/>
      <c r="N140" s="747"/>
      <c r="O140" s="746"/>
      <c r="P140" s="747"/>
      <c r="Q140" s="746"/>
      <c r="R140" s="747"/>
      <c r="S140" s="746"/>
      <c r="T140" s="747"/>
      <c r="U140" s="746"/>
      <c r="V140" s="747"/>
      <c r="W140" s="746"/>
      <c r="X140" s="747"/>
      <c r="Y140" s="746"/>
      <c r="Z140" s="747"/>
      <c r="AA140" s="746"/>
      <c r="AB140" s="747"/>
      <c r="AC140" s="746"/>
      <c r="AD140" s="747"/>
      <c r="AE140" s="746"/>
      <c r="AF140" s="747"/>
      <c r="AG140" s="746"/>
      <c r="AH140" s="748"/>
    </row>
    <row r="141" spans="1:34" ht="32.4">
      <c r="A141" s="500"/>
      <c r="B141" s="749" t="s">
        <v>615</v>
      </c>
      <c r="C141" s="714" t="s">
        <v>616</v>
      </c>
      <c r="D141" s="750" t="s">
        <v>613</v>
      </c>
      <c r="E141" s="565" t="s">
        <v>284</v>
      </c>
      <c r="F141" s="510" t="s">
        <v>280</v>
      </c>
      <c r="G141" s="628" t="s">
        <v>371</v>
      </c>
      <c r="H141" s="566" t="s">
        <v>617</v>
      </c>
      <c r="I141" s="520" t="s">
        <v>343</v>
      </c>
      <c r="J141" s="751" t="s">
        <v>118</v>
      </c>
      <c r="K141" s="605"/>
      <c r="L141" s="604"/>
      <c r="M141" s="605"/>
      <c r="N141" s="604"/>
      <c r="O141" s="605"/>
      <c r="P141" s="604"/>
      <c r="Q141" s="605"/>
      <c r="R141" s="604"/>
      <c r="S141" s="605"/>
      <c r="T141" s="604"/>
      <c r="U141" s="605"/>
      <c r="V141" s="604"/>
      <c r="W141" s="605"/>
      <c r="X141" s="604"/>
      <c r="Y141" s="605"/>
      <c r="Z141" s="604"/>
      <c r="AA141" s="605"/>
      <c r="AB141" s="604"/>
      <c r="AC141" s="605"/>
      <c r="AD141" s="604"/>
      <c r="AE141" s="605"/>
      <c r="AF141" s="604"/>
      <c r="AG141" s="605"/>
      <c r="AH141" s="606"/>
    </row>
    <row r="142" spans="1:34" ht="32.4">
      <c r="A142" s="500"/>
      <c r="B142" s="516"/>
      <c r="C142" s="517" t="s">
        <v>618</v>
      </c>
      <c r="D142" s="750" t="s">
        <v>619</v>
      </c>
      <c r="E142" s="541" t="s">
        <v>371</v>
      </c>
      <c r="F142" s="559" t="s">
        <v>281</v>
      </c>
      <c r="G142" s="519" t="s">
        <v>332</v>
      </c>
      <c r="H142" s="566"/>
      <c r="I142" s="537"/>
      <c r="J142" s="490"/>
      <c r="K142" s="618"/>
      <c r="L142" s="582"/>
      <c r="M142" s="489"/>
      <c r="N142" s="582"/>
      <c r="O142" s="489"/>
      <c r="P142" s="490"/>
      <c r="Q142" s="489"/>
      <c r="R142" s="490"/>
      <c r="S142" s="489"/>
      <c r="T142" s="490"/>
      <c r="U142" s="489"/>
      <c r="V142" s="490"/>
      <c r="W142" s="489"/>
      <c r="X142" s="582"/>
      <c r="Y142" s="489"/>
      <c r="Z142" s="582"/>
      <c r="AA142" s="489"/>
      <c r="AB142" s="582"/>
      <c r="AC142" s="489"/>
      <c r="AD142" s="582"/>
      <c r="AE142" s="489"/>
      <c r="AF142" s="582"/>
      <c r="AG142" s="489"/>
      <c r="AH142" s="539"/>
    </row>
    <row r="143" spans="1:34" ht="32.4">
      <c r="A143" s="571"/>
      <c r="B143" s="583"/>
      <c r="C143" s="616" t="s">
        <v>620</v>
      </c>
      <c r="D143" s="750" t="s">
        <v>613</v>
      </c>
      <c r="E143" s="585" t="s">
        <v>283</v>
      </c>
      <c r="F143" s="510" t="s">
        <v>280</v>
      </c>
      <c r="G143" s="586" t="s">
        <v>371</v>
      </c>
      <c r="H143" s="566" t="s">
        <v>617</v>
      </c>
      <c r="I143" s="520" t="s">
        <v>343</v>
      </c>
      <c r="J143" s="751" t="s">
        <v>118</v>
      </c>
      <c r="K143" s="605"/>
      <c r="L143" s="619"/>
      <c r="M143" s="618"/>
      <c r="N143" s="619"/>
      <c r="O143" s="618"/>
      <c r="P143" s="619"/>
      <c r="Q143" s="618"/>
      <c r="R143" s="619"/>
      <c r="S143" s="618"/>
      <c r="T143" s="619"/>
      <c r="U143" s="618"/>
      <c r="V143" s="619"/>
      <c r="W143" s="618"/>
      <c r="X143" s="619"/>
      <c r="Y143" s="618"/>
      <c r="Z143" s="619"/>
      <c r="AA143" s="618"/>
      <c r="AB143" s="619"/>
      <c r="AC143" s="618"/>
      <c r="AD143" s="619"/>
      <c r="AE143" s="618"/>
      <c r="AF143" s="619"/>
      <c r="AG143" s="618"/>
      <c r="AH143" s="612"/>
    </row>
    <row r="144" spans="1:34" ht="32.4">
      <c r="A144" s="571"/>
      <c r="B144" s="583"/>
      <c r="C144" s="616" t="s">
        <v>621</v>
      </c>
      <c r="D144" s="750" t="s">
        <v>613</v>
      </c>
      <c r="E144" s="585" t="s">
        <v>283</v>
      </c>
      <c r="F144" s="510" t="s">
        <v>280</v>
      </c>
      <c r="G144" s="586" t="s">
        <v>371</v>
      </c>
      <c r="H144" s="566" t="s">
        <v>617</v>
      </c>
      <c r="I144" s="520" t="s">
        <v>343</v>
      </c>
      <c r="J144" s="751" t="s">
        <v>118</v>
      </c>
      <c r="K144" s="752"/>
      <c r="L144" s="619"/>
      <c r="M144" s="618"/>
      <c r="N144" s="619"/>
      <c r="O144" s="618"/>
      <c r="P144" s="619"/>
      <c r="Q144" s="618"/>
      <c r="R144" s="619"/>
      <c r="S144" s="618"/>
      <c r="T144" s="619"/>
      <c r="U144" s="618"/>
      <c r="V144" s="619"/>
      <c r="W144" s="618"/>
      <c r="X144" s="619"/>
      <c r="Y144" s="618"/>
      <c r="Z144" s="619"/>
      <c r="AA144" s="618"/>
      <c r="AB144" s="619"/>
      <c r="AC144" s="618"/>
      <c r="AD144" s="619"/>
      <c r="AE144" s="618"/>
      <c r="AF144" s="619"/>
      <c r="AG144" s="618"/>
      <c r="AH144" s="612"/>
    </row>
    <row r="145" spans="1:34" ht="32.4">
      <c r="A145" s="571"/>
      <c r="B145" s="583"/>
      <c r="C145" s="753" t="s">
        <v>622</v>
      </c>
      <c r="D145" s="750" t="s">
        <v>613</v>
      </c>
      <c r="E145" s="565" t="s">
        <v>283</v>
      </c>
      <c r="F145" s="510" t="s">
        <v>281</v>
      </c>
      <c r="G145" s="628" t="s">
        <v>371</v>
      </c>
      <c r="H145" s="566"/>
      <c r="I145" s="543"/>
      <c r="J145" s="617"/>
      <c r="K145" s="754"/>
      <c r="L145" s="619"/>
      <c r="M145" s="618"/>
      <c r="N145" s="619"/>
      <c r="O145" s="618"/>
      <c r="P145" s="619"/>
      <c r="Q145" s="618"/>
      <c r="R145" s="619"/>
      <c r="S145" s="618"/>
      <c r="T145" s="619"/>
      <c r="U145" s="618"/>
      <c r="V145" s="619"/>
      <c r="W145" s="618"/>
      <c r="X145" s="619"/>
      <c r="Y145" s="618"/>
      <c r="Z145" s="619"/>
      <c r="AA145" s="618"/>
      <c r="AB145" s="619"/>
      <c r="AC145" s="618"/>
      <c r="AD145" s="619"/>
      <c r="AE145" s="618"/>
      <c r="AF145" s="619"/>
      <c r="AG145" s="618"/>
      <c r="AH145" s="612"/>
    </row>
    <row r="146" spans="1:34" ht="32.4">
      <c r="A146" s="571"/>
      <c r="B146" s="583"/>
      <c r="C146" s="714" t="s">
        <v>623</v>
      </c>
      <c r="D146" s="750" t="s">
        <v>613</v>
      </c>
      <c r="E146" s="565" t="s">
        <v>283</v>
      </c>
      <c r="F146" s="510" t="s">
        <v>281</v>
      </c>
      <c r="G146" s="586" t="s">
        <v>371</v>
      </c>
      <c r="H146" s="566"/>
      <c r="I146" s="543"/>
      <c r="J146" s="617"/>
      <c r="K146" s="618"/>
      <c r="L146" s="619"/>
      <c r="M146" s="618"/>
      <c r="N146" s="619"/>
      <c r="O146" s="618"/>
      <c r="P146" s="619"/>
      <c r="Q146" s="618"/>
      <c r="R146" s="619"/>
      <c r="S146" s="618"/>
      <c r="T146" s="619"/>
      <c r="U146" s="618"/>
      <c r="V146" s="619"/>
      <c r="W146" s="618"/>
      <c r="X146" s="619"/>
      <c r="Y146" s="618"/>
      <c r="Z146" s="619"/>
      <c r="AA146" s="618"/>
      <c r="AB146" s="619"/>
      <c r="AC146" s="618"/>
      <c r="AD146" s="619"/>
      <c r="AE146" s="618"/>
      <c r="AF146" s="619"/>
      <c r="AG146" s="618"/>
      <c r="AH146" s="755"/>
    </row>
    <row r="147" spans="1:34" ht="32.4">
      <c r="A147" s="571"/>
      <c r="B147" s="583"/>
      <c r="C147" s="756" t="s">
        <v>624</v>
      </c>
      <c r="D147" s="750" t="s">
        <v>613</v>
      </c>
      <c r="E147" s="541" t="s">
        <v>283</v>
      </c>
      <c r="F147" s="510" t="s">
        <v>281</v>
      </c>
      <c r="G147" s="628" t="s">
        <v>371</v>
      </c>
      <c r="H147" s="566"/>
      <c r="I147" s="543"/>
      <c r="J147" s="617"/>
      <c r="K147" s="618"/>
      <c r="L147" s="619"/>
      <c r="M147" s="618"/>
      <c r="N147" s="619"/>
      <c r="O147" s="618"/>
      <c r="P147" s="619"/>
      <c r="Q147" s="618"/>
      <c r="R147" s="619"/>
      <c r="S147" s="618"/>
      <c r="T147" s="619"/>
      <c r="U147" s="618"/>
      <c r="V147" s="619"/>
      <c r="W147" s="618"/>
      <c r="X147" s="619"/>
      <c r="Y147" s="618"/>
      <c r="Z147" s="619"/>
      <c r="AA147" s="618"/>
      <c r="AB147" s="619"/>
      <c r="AC147" s="618"/>
      <c r="AD147" s="619"/>
      <c r="AE147" s="618"/>
      <c r="AF147" s="619"/>
      <c r="AG147" s="618"/>
      <c r="AH147" s="755"/>
    </row>
    <row r="148" spans="1:34" ht="32.4">
      <c r="A148" s="571"/>
      <c r="B148" s="583"/>
      <c r="C148" s="714" t="s">
        <v>625</v>
      </c>
      <c r="D148" s="750" t="s">
        <v>613</v>
      </c>
      <c r="E148" s="757" t="s">
        <v>626</v>
      </c>
      <c r="F148" s="510" t="s">
        <v>281</v>
      </c>
      <c r="G148" s="586" t="s">
        <v>371</v>
      </c>
      <c r="H148" s="566"/>
      <c r="I148" s="543"/>
      <c r="J148" s="617"/>
      <c r="K148" s="618"/>
      <c r="L148" s="619"/>
      <c r="M148" s="618"/>
      <c r="N148" s="619"/>
      <c r="O148" s="618"/>
      <c r="P148" s="619"/>
      <c r="Q148" s="618"/>
      <c r="R148" s="619"/>
      <c r="S148" s="618"/>
      <c r="T148" s="619"/>
      <c r="U148" s="618"/>
      <c r="V148" s="619"/>
      <c r="W148" s="618"/>
      <c r="X148" s="619"/>
      <c r="Y148" s="618"/>
      <c r="Z148" s="619"/>
      <c r="AA148" s="618"/>
      <c r="AB148" s="619"/>
      <c r="AC148" s="618"/>
      <c r="AD148" s="619"/>
      <c r="AE148" s="618"/>
      <c r="AF148" s="619"/>
      <c r="AG148" s="618"/>
      <c r="AH148" s="755"/>
    </row>
    <row r="149" spans="1:34" ht="32.4">
      <c r="A149" s="500"/>
      <c r="B149" s="516"/>
      <c r="C149" s="517" t="s">
        <v>356</v>
      </c>
      <c r="D149" s="750" t="s">
        <v>613</v>
      </c>
      <c r="E149" s="519" t="s">
        <v>355</v>
      </c>
      <c r="F149" s="559" t="s">
        <v>280</v>
      </c>
      <c r="G149" s="586" t="s">
        <v>371</v>
      </c>
      <c r="H149" s="566" t="s">
        <v>617</v>
      </c>
      <c r="I149" s="758" t="s">
        <v>627</v>
      </c>
      <c r="J149" s="759" t="s">
        <v>118</v>
      </c>
      <c r="K149" s="760"/>
      <c r="L149" s="759"/>
      <c r="M149" s="760"/>
      <c r="N149" s="761"/>
      <c r="O149" s="760"/>
      <c r="P149" s="761"/>
      <c r="Q149" s="760"/>
      <c r="R149" s="761"/>
      <c r="S149" s="760"/>
      <c r="T149" s="761"/>
      <c r="U149" s="760"/>
      <c r="V149" s="761"/>
      <c r="W149" s="762"/>
      <c r="X149" s="761"/>
      <c r="Y149" s="760"/>
      <c r="Z149" s="761"/>
      <c r="AA149" s="760"/>
      <c r="AB149" s="761"/>
      <c r="AC149" s="760"/>
      <c r="AD149" s="761"/>
      <c r="AE149" s="760"/>
      <c r="AF149" s="761"/>
      <c r="AG149" s="760"/>
      <c r="AH149" s="606" t="s">
        <v>628</v>
      </c>
    </row>
    <row r="150" spans="1:34" ht="48.6">
      <c r="A150" s="500"/>
      <c r="B150" s="516"/>
      <c r="C150" s="517" t="s">
        <v>357</v>
      </c>
      <c r="D150" s="750" t="s">
        <v>613</v>
      </c>
      <c r="E150" s="519" t="s">
        <v>355</v>
      </c>
      <c r="F150" s="559" t="s">
        <v>629</v>
      </c>
      <c r="G150" s="628" t="s">
        <v>371</v>
      </c>
      <c r="H150" s="566" t="s">
        <v>617</v>
      </c>
      <c r="I150" s="763" t="s">
        <v>630</v>
      </c>
      <c r="J150" s="759" t="s">
        <v>118</v>
      </c>
      <c r="K150" s="605"/>
      <c r="L150" s="759"/>
      <c r="M150" s="605"/>
      <c r="N150" s="761"/>
      <c r="O150" s="605"/>
      <c r="P150" s="761"/>
      <c r="Q150" s="605"/>
      <c r="R150" s="761"/>
      <c r="S150" s="605"/>
      <c r="T150" s="761"/>
      <c r="U150" s="605"/>
      <c r="V150" s="761"/>
      <c r="W150" s="764"/>
      <c r="X150" s="761"/>
      <c r="Y150" s="605"/>
      <c r="Z150" s="761"/>
      <c r="AA150" s="605"/>
      <c r="AB150" s="761"/>
      <c r="AC150" s="605"/>
      <c r="AD150" s="761"/>
      <c r="AE150" s="605"/>
      <c r="AF150" s="761"/>
      <c r="AG150" s="605"/>
      <c r="AH150" s="719" t="s">
        <v>631</v>
      </c>
    </row>
    <row r="151" spans="1:34" ht="32.4">
      <c r="A151" s="500"/>
      <c r="B151" s="516"/>
      <c r="C151" s="517" t="s">
        <v>632</v>
      </c>
      <c r="D151" s="750" t="s">
        <v>613</v>
      </c>
      <c r="E151" s="519" t="s">
        <v>355</v>
      </c>
      <c r="F151" s="559" t="s">
        <v>280</v>
      </c>
      <c r="G151" s="628" t="s">
        <v>371</v>
      </c>
      <c r="H151" s="566" t="s">
        <v>617</v>
      </c>
      <c r="I151" s="567" t="s">
        <v>394</v>
      </c>
      <c r="J151" s="545" t="s">
        <v>118</v>
      </c>
      <c r="K151" s="522"/>
      <c r="L151" s="545"/>
      <c r="M151" s="522"/>
      <c r="N151" s="761"/>
      <c r="O151" s="522"/>
      <c r="P151" s="490"/>
      <c r="Q151" s="522"/>
      <c r="R151" s="490"/>
      <c r="S151" s="522"/>
      <c r="T151" s="490"/>
      <c r="U151" s="522"/>
      <c r="V151" s="490"/>
      <c r="W151" s="524"/>
      <c r="X151" s="490"/>
      <c r="Y151" s="522"/>
      <c r="Z151" s="490"/>
      <c r="AA151" s="522"/>
      <c r="AB151" s="490"/>
      <c r="AC151" s="522"/>
      <c r="AD151" s="490"/>
      <c r="AE151" s="522"/>
      <c r="AF151" s="490"/>
      <c r="AG151" s="522"/>
      <c r="AH151" s="606"/>
    </row>
    <row r="152" spans="1:34" ht="32.4">
      <c r="A152" s="571"/>
      <c r="B152" s="583"/>
      <c r="C152" s="620" t="s">
        <v>633</v>
      </c>
      <c r="D152" s="750" t="s">
        <v>613</v>
      </c>
      <c r="E152" s="565" t="s">
        <v>359</v>
      </c>
      <c r="F152" s="510" t="s">
        <v>281</v>
      </c>
      <c r="G152" s="628" t="s">
        <v>371</v>
      </c>
      <c r="H152" s="566"/>
      <c r="I152" s="543"/>
      <c r="J152" s="619"/>
      <c r="K152" s="618"/>
      <c r="L152" s="619"/>
      <c r="M152" s="618"/>
      <c r="N152" s="619"/>
      <c r="O152" s="618"/>
      <c r="P152" s="619"/>
      <c r="Q152" s="618"/>
      <c r="R152" s="619"/>
      <c r="S152" s="618"/>
      <c r="T152" s="619"/>
      <c r="U152" s="618"/>
      <c r="V152" s="619"/>
      <c r="W152" s="618"/>
      <c r="X152" s="619"/>
      <c r="Y152" s="618"/>
      <c r="Z152" s="619"/>
      <c r="AA152" s="618"/>
      <c r="AB152" s="619"/>
      <c r="AC152" s="618"/>
      <c r="AD152" s="619"/>
      <c r="AE152" s="618"/>
      <c r="AF152" s="619"/>
      <c r="AG152" s="618"/>
      <c r="AH152" s="612"/>
    </row>
    <row r="153" spans="1:34" ht="32.4">
      <c r="A153" s="500"/>
      <c r="B153" s="749"/>
      <c r="C153" s="517" t="s">
        <v>634</v>
      </c>
      <c r="D153" s="743" t="s">
        <v>635</v>
      </c>
      <c r="E153" s="519" t="s">
        <v>332</v>
      </c>
      <c r="F153" s="510" t="s">
        <v>281</v>
      </c>
      <c r="G153" s="519" t="s">
        <v>332</v>
      </c>
      <c r="H153" s="536"/>
      <c r="I153" s="537"/>
      <c r="J153" s="588"/>
      <c r="K153" s="489"/>
      <c r="L153" s="582"/>
      <c r="M153" s="489"/>
      <c r="N153" s="582"/>
      <c r="O153" s="489"/>
      <c r="P153" s="582"/>
      <c r="Q153" s="489"/>
      <c r="R153" s="582"/>
      <c r="S153" s="489"/>
      <c r="T153" s="582"/>
      <c r="U153" s="489"/>
      <c r="V153" s="582"/>
      <c r="W153" s="489"/>
      <c r="X153" s="582"/>
      <c r="Y153" s="489"/>
      <c r="Z153" s="582"/>
      <c r="AA153" s="489"/>
      <c r="AB153" s="490"/>
      <c r="AC153" s="489"/>
      <c r="AD153" s="582"/>
      <c r="AE153" s="489"/>
      <c r="AF153" s="490"/>
      <c r="AG153" s="489"/>
      <c r="AH153" s="549"/>
    </row>
    <row r="154" spans="1:34" ht="48.6">
      <c r="A154" s="500"/>
      <c r="B154" s="749"/>
      <c r="C154" s="517" t="s">
        <v>636</v>
      </c>
      <c r="D154" s="750" t="s">
        <v>637</v>
      </c>
      <c r="E154" s="519" t="s">
        <v>638</v>
      </c>
      <c r="F154" s="510" t="s">
        <v>281</v>
      </c>
      <c r="G154" s="519" t="s">
        <v>332</v>
      </c>
      <c r="H154" s="765"/>
      <c r="I154" s="537"/>
      <c r="J154" s="588"/>
      <c r="K154" s="489"/>
      <c r="L154" s="582"/>
      <c r="M154" s="489"/>
      <c r="N154" s="582"/>
      <c r="O154" s="489"/>
      <c r="P154" s="582"/>
      <c r="Q154" s="489"/>
      <c r="R154" s="582"/>
      <c r="S154" s="489"/>
      <c r="T154" s="582"/>
      <c r="U154" s="489"/>
      <c r="V154" s="582"/>
      <c r="W154" s="489"/>
      <c r="X154" s="582"/>
      <c r="Y154" s="489"/>
      <c r="Z154" s="582"/>
      <c r="AA154" s="489"/>
      <c r="AB154" s="582"/>
      <c r="AC154" s="489"/>
      <c r="AD154" s="490"/>
      <c r="AE154" s="489"/>
      <c r="AF154" s="582"/>
      <c r="AG154" s="489"/>
      <c r="AH154" s="539"/>
    </row>
    <row r="155" spans="1:34" ht="32.4">
      <c r="A155" s="500"/>
      <c r="B155" s="516"/>
      <c r="C155" s="517" t="s">
        <v>639</v>
      </c>
      <c r="D155" s="750" t="s">
        <v>619</v>
      </c>
      <c r="E155" s="519" t="s">
        <v>638</v>
      </c>
      <c r="F155" s="510" t="s">
        <v>281</v>
      </c>
      <c r="G155" s="519" t="s">
        <v>332</v>
      </c>
      <c r="H155" s="766"/>
      <c r="I155" s="537"/>
      <c r="J155" s="588"/>
      <c r="K155" s="489"/>
      <c r="L155" s="582"/>
      <c r="M155" s="489"/>
      <c r="N155" s="582"/>
      <c r="O155" s="489"/>
      <c r="P155" s="582"/>
      <c r="Q155" s="489"/>
      <c r="R155" s="582"/>
      <c r="S155" s="489"/>
      <c r="T155" s="582"/>
      <c r="U155" s="489"/>
      <c r="V155" s="582"/>
      <c r="W155" s="489"/>
      <c r="X155" s="582"/>
      <c r="Y155" s="489"/>
      <c r="Z155" s="490"/>
      <c r="AA155" s="489"/>
      <c r="AB155" s="582"/>
      <c r="AC155" s="489"/>
      <c r="AD155" s="490"/>
      <c r="AE155" s="489"/>
      <c r="AF155" s="582"/>
      <c r="AG155" s="489"/>
      <c r="AH155" s="539"/>
    </row>
    <row r="156" spans="1:34" ht="32.4">
      <c r="A156" s="571"/>
      <c r="B156" s="583"/>
      <c r="C156" s="616" t="s">
        <v>640</v>
      </c>
      <c r="D156" s="743" t="s">
        <v>613</v>
      </c>
      <c r="E156" s="585" t="s">
        <v>641</v>
      </c>
      <c r="F156" s="510" t="s">
        <v>281</v>
      </c>
      <c r="G156" s="586" t="s">
        <v>371</v>
      </c>
      <c r="H156" s="596"/>
      <c r="I156" s="537"/>
      <c r="J156" s="610"/>
      <c r="K156" s="611"/>
      <c r="L156" s="610"/>
      <c r="M156" s="611"/>
      <c r="N156" s="610"/>
      <c r="O156" s="611"/>
      <c r="P156" s="610"/>
      <c r="Q156" s="611"/>
      <c r="R156" s="610"/>
      <c r="S156" s="611"/>
      <c r="T156" s="610"/>
      <c r="U156" s="611"/>
      <c r="V156" s="610"/>
      <c r="W156" s="611"/>
      <c r="X156" s="610"/>
      <c r="Y156" s="611"/>
      <c r="Z156" s="610"/>
      <c r="AA156" s="611"/>
      <c r="AB156" s="610"/>
      <c r="AC156" s="611"/>
      <c r="AD156" s="610"/>
      <c r="AE156" s="611"/>
      <c r="AF156" s="610"/>
      <c r="AG156" s="611"/>
      <c r="AH156" s="767"/>
    </row>
    <row r="157" spans="1:34" ht="33" thickBot="1">
      <c r="A157" s="571"/>
      <c r="B157" s="768"/>
      <c r="C157" s="769" t="s">
        <v>642</v>
      </c>
      <c r="D157" s="770" t="s">
        <v>613</v>
      </c>
      <c r="E157" s="771" t="s">
        <v>641</v>
      </c>
      <c r="F157" s="772" t="s">
        <v>280</v>
      </c>
      <c r="G157" s="735" t="s">
        <v>371</v>
      </c>
      <c r="H157" s="734" t="s">
        <v>617</v>
      </c>
      <c r="I157" s="773" t="s">
        <v>343</v>
      </c>
      <c r="J157" s="774" t="s">
        <v>118</v>
      </c>
      <c r="K157" s="775"/>
      <c r="L157" s="776"/>
      <c r="M157" s="775"/>
      <c r="N157" s="776"/>
      <c r="O157" s="775"/>
      <c r="P157" s="777"/>
      <c r="Q157" s="778"/>
      <c r="R157" s="777"/>
      <c r="S157" s="778"/>
      <c r="T157" s="777"/>
      <c r="U157" s="778"/>
      <c r="V157" s="777"/>
      <c r="W157" s="778"/>
      <c r="X157" s="777"/>
      <c r="Y157" s="778"/>
      <c r="Z157" s="777"/>
      <c r="AA157" s="778"/>
      <c r="AB157" s="777"/>
      <c r="AC157" s="778"/>
      <c r="AD157" s="777"/>
      <c r="AE157" s="778"/>
      <c r="AF157" s="777"/>
      <c r="AG157" s="778"/>
      <c r="AH157" s="779"/>
    </row>
    <row r="158" spans="1:34" ht="23.25" customHeight="1" thickTop="1">
      <c r="A158" s="500"/>
      <c r="B158" s="516"/>
      <c r="C158" s="780"/>
      <c r="D158" s="536"/>
      <c r="E158" s="581"/>
      <c r="F158" s="559"/>
      <c r="G158" s="536"/>
      <c r="H158" s="536"/>
      <c r="I158" s="537"/>
      <c r="J158" s="588"/>
      <c r="K158" s="489"/>
      <c r="L158" s="582"/>
      <c r="M158" s="489"/>
      <c r="N158" s="582"/>
      <c r="O158" s="489"/>
      <c r="P158" s="582"/>
      <c r="Q158" s="489"/>
      <c r="R158" s="582"/>
      <c r="S158" s="489"/>
      <c r="T158" s="490"/>
      <c r="U158" s="489"/>
      <c r="V158" s="490"/>
      <c r="W158" s="489"/>
      <c r="X158" s="582"/>
      <c r="Y158" s="489"/>
      <c r="Z158" s="582"/>
      <c r="AA158" s="489"/>
      <c r="AB158" s="582"/>
      <c r="AC158" s="489"/>
      <c r="AD158" s="582"/>
      <c r="AE158" s="489"/>
      <c r="AF158" s="490"/>
      <c r="AG158" s="489"/>
      <c r="AH158" s="549"/>
    </row>
    <row r="159" spans="1:34" ht="23.25" customHeight="1">
      <c r="A159" s="500"/>
      <c r="B159" s="781"/>
      <c r="C159" s="780"/>
      <c r="D159" s="542"/>
      <c r="E159" s="581"/>
      <c r="F159" s="510"/>
      <c r="G159" s="542"/>
      <c r="H159" s="542"/>
      <c r="I159" s="537"/>
      <c r="J159" s="588"/>
      <c r="K159" s="489"/>
      <c r="L159" s="582"/>
      <c r="M159" s="489"/>
      <c r="N159" s="582"/>
      <c r="O159" s="489"/>
      <c r="P159" s="582"/>
      <c r="Q159" s="489"/>
      <c r="R159" s="582"/>
      <c r="S159" s="489"/>
      <c r="T159" s="490"/>
      <c r="U159" s="489"/>
      <c r="V159" s="490"/>
      <c r="W159" s="489"/>
      <c r="X159" s="490"/>
      <c r="Y159" s="489"/>
      <c r="Z159" s="582"/>
      <c r="AA159" s="489"/>
      <c r="AB159" s="582"/>
      <c r="AC159" s="489"/>
      <c r="AD159" s="582"/>
      <c r="AE159" s="489"/>
      <c r="AF159" s="582"/>
      <c r="AG159" s="489"/>
      <c r="AH159" s="539"/>
    </row>
    <row r="160" spans="1:34" ht="25.5" customHeight="1">
      <c r="A160" s="526"/>
      <c r="B160" s="782"/>
      <c r="C160" s="783"/>
      <c r="D160" s="542"/>
      <c r="E160" s="784"/>
      <c r="F160" s="510"/>
      <c r="G160" s="559"/>
      <c r="H160" s="559"/>
      <c r="I160" s="785"/>
      <c r="J160" s="786"/>
      <c r="K160" s="656"/>
      <c r="L160" s="787"/>
      <c r="M160" s="656"/>
      <c r="N160" s="787"/>
      <c r="O160" s="656"/>
      <c r="P160" s="787"/>
      <c r="Q160" s="656"/>
      <c r="R160" s="787"/>
      <c r="S160" s="656"/>
      <c r="T160" s="490"/>
      <c r="U160" s="489"/>
      <c r="V160" s="490"/>
      <c r="W160" s="656"/>
      <c r="X160" s="787"/>
      <c r="Y160" s="656"/>
      <c r="Z160" s="787"/>
      <c r="AA160" s="656"/>
      <c r="AB160" s="787"/>
      <c r="AC160" s="656"/>
      <c r="AD160" s="787"/>
      <c r="AE160" s="656"/>
      <c r="AF160" s="787"/>
      <c r="AG160" s="656"/>
      <c r="AH160" s="539"/>
    </row>
    <row r="161" spans="1:34" ht="23.25" customHeight="1">
      <c r="A161" s="500"/>
      <c r="B161" s="781"/>
      <c r="C161" s="780"/>
      <c r="D161" s="542"/>
      <c r="E161" s="581"/>
      <c r="F161" s="510"/>
      <c r="G161" s="536"/>
      <c r="H161" s="536"/>
      <c r="I161" s="537"/>
      <c r="J161" s="490"/>
      <c r="K161" s="522"/>
      <c r="L161" s="490"/>
      <c r="M161" s="522"/>
      <c r="N161" s="490"/>
      <c r="O161" s="522"/>
      <c r="P161" s="490"/>
      <c r="Q161" s="522"/>
      <c r="R161" s="490"/>
      <c r="S161" s="538"/>
      <c r="T161" s="490"/>
      <c r="U161" s="522"/>
      <c r="V161" s="523"/>
      <c r="W161" s="522"/>
      <c r="X161" s="523"/>
      <c r="Y161" s="522"/>
      <c r="Z161" s="523"/>
      <c r="AA161" s="522"/>
      <c r="AB161" s="523"/>
      <c r="AC161" s="522"/>
      <c r="AD161" s="490"/>
      <c r="AE161" s="522"/>
      <c r="AF161" s="490"/>
      <c r="AG161" s="522"/>
      <c r="AH161" s="539"/>
    </row>
    <row r="162" spans="1:34" ht="23.25" customHeight="1">
      <c r="A162" s="500"/>
      <c r="B162" s="781"/>
      <c r="C162" s="788"/>
      <c r="D162" s="542"/>
      <c r="E162" s="581"/>
      <c r="F162" s="510"/>
      <c r="G162" s="789"/>
      <c r="H162" s="542"/>
      <c r="I162" s="543"/>
      <c r="J162" s="523"/>
      <c r="K162" s="522"/>
      <c r="L162" s="523"/>
      <c r="M162" s="522"/>
      <c r="N162" s="523"/>
      <c r="O162" s="522"/>
      <c r="P162" s="523"/>
      <c r="Q162" s="522"/>
      <c r="R162" s="523"/>
      <c r="S162" s="538"/>
      <c r="T162" s="523"/>
      <c r="U162" s="522"/>
      <c r="V162" s="523"/>
      <c r="W162" s="522"/>
      <c r="X162" s="523"/>
      <c r="Y162" s="522"/>
      <c r="Z162" s="523"/>
      <c r="AA162" s="522"/>
      <c r="AB162" s="523"/>
      <c r="AC162" s="522"/>
      <c r="AD162" s="523"/>
      <c r="AE162" s="522"/>
      <c r="AF162" s="523"/>
      <c r="AG162" s="522"/>
      <c r="AH162" s="539"/>
    </row>
    <row r="163" spans="1:34" ht="23.25" customHeight="1">
      <c r="A163" s="500"/>
      <c r="B163" s="781"/>
      <c r="C163" s="788"/>
      <c r="D163" s="542"/>
      <c r="E163" s="784"/>
      <c r="F163" s="510"/>
      <c r="G163" s="789"/>
      <c r="H163" s="542"/>
      <c r="I163" s="543"/>
      <c r="J163" s="523"/>
      <c r="K163" s="522"/>
      <c r="L163" s="523"/>
      <c r="M163" s="522"/>
      <c r="N163" s="523"/>
      <c r="O163" s="522"/>
      <c r="P163" s="523"/>
      <c r="Q163" s="522"/>
      <c r="R163" s="523"/>
      <c r="S163" s="538"/>
      <c r="T163" s="523"/>
      <c r="U163" s="522"/>
      <c r="V163" s="523"/>
      <c r="W163" s="522"/>
      <c r="X163" s="523"/>
      <c r="Y163" s="522"/>
      <c r="Z163" s="523"/>
      <c r="AA163" s="522"/>
      <c r="AB163" s="523"/>
      <c r="AC163" s="522"/>
      <c r="AD163" s="523"/>
      <c r="AE163" s="522"/>
      <c r="AF163" s="523"/>
      <c r="AG163" s="522"/>
      <c r="AH163" s="539"/>
    </row>
    <row r="164" spans="1:34" ht="22.95" customHeight="1" thickBot="1">
      <c r="A164" s="500"/>
      <c r="B164" s="790"/>
      <c r="C164" s="791"/>
      <c r="D164" s="555"/>
      <c r="E164" s="792"/>
      <c r="F164" s="554"/>
      <c r="G164" s="793"/>
      <c r="H164" s="555"/>
      <c r="I164" s="497"/>
      <c r="J164" s="496"/>
      <c r="K164" s="495"/>
      <c r="L164" s="496"/>
      <c r="M164" s="495"/>
      <c r="N164" s="496"/>
      <c r="O164" s="495"/>
      <c r="P164" s="496"/>
      <c r="Q164" s="495"/>
      <c r="R164" s="496"/>
      <c r="S164" s="557"/>
      <c r="T164" s="496"/>
      <c r="U164" s="495"/>
      <c r="V164" s="496"/>
      <c r="W164" s="495"/>
      <c r="X164" s="496"/>
      <c r="Y164" s="495"/>
      <c r="Z164" s="496"/>
      <c r="AA164" s="495"/>
      <c r="AB164" s="496"/>
      <c r="AC164" s="495"/>
      <c r="AD164" s="496"/>
      <c r="AE164" s="495"/>
      <c r="AF164" s="496"/>
      <c r="AG164" s="495"/>
      <c r="AH164" s="558"/>
    </row>
    <row r="165" spans="1:34" ht="23.4">
      <c r="A165" s="396"/>
      <c r="B165" s="397"/>
      <c r="C165" s="400"/>
      <c r="D165" s="400"/>
      <c r="E165" s="400"/>
      <c r="F165" s="400"/>
      <c r="G165" s="400"/>
      <c r="H165" s="400"/>
      <c r="I165" s="400"/>
      <c r="J165" s="400"/>
      <c r="K165" s="400"/>
      <c r="L165" s="400"/>
      <c r="M165" s="400"/>
      <c r="N165" s="400"/>
      <c r="O165" s="400"/>
      <c r="P165" s="400"/>
      <c r="Q165" s="400"/>
      <c r="R165" s="400"/>
      <c r="S165" s="400"/>
      <c r="T165" s="400"/>
      <c r="U165" s="400"/>
      <c r="V165" s="400"/>
      <c r="W165" s="400"/>
      <c r="X165" s="400"/>
      <c r="Y165" s="400"/>
      <c r="Z165" s="400"/>
      <c r="AA165" s="400"/>
      <c r="AB165" s="400"/>
      <c r="AC165" s="400"/>
      <c r="AD165" s="400"/>
      <c r="AE165" s="400"/>
      <c r="AF165" s="400"/>
      <c r="AG165" s="400"/>
      <c r="AH165" s="400"/>
    </row>
    <row r="166" spans="1:34" ht="19.8" thickBot="1">
      <c r="A166" s="396"/>
      <c r="B166" s="475" t="s">
        <v>643</v>
      </c>
      <c r="C166" s="400"/>
      <c r="D166" s="400"/>
      <c r="E166" s="400"/>
      <c r="F166" s="400"/>
      <c r="G166" s="794"/>
      <c r="H166" s="400"/>
      <c r="I166" s="499" t="s">
        <v>439</v>
      </c>
      <c r="J166" s="400"/>
      <c r="K166" s="400"/>
      <c r="L166" s="400"/>
      <c r="M166" s="400"/>
      <c r="N166" s="400"/>
      <c r="O166" s="400"/>
      <c r="P166" s="400"/>
      <c r="Q166" s="400"/>
      <c r="R166" s="400"/>
      <c r="S166" s="400"/>
      <c r="T166" s="400"/>
      <c r="U166" s="400"/>
      <c r="V166" s="400"/>
      <c r="W166" s="400"/>
      <c r="X166" s="400"/>
      <c r="Y166" s="400"/>
      <c r="Z166" s="400"/>
      <c r="AA166" s="400"/>
      <c r="AB166" s="400"/>
      <c r="AC166" s="400"/>
      <c r="AD166" s="400"/>
      <c r="AE166" s="400"/>
      <c r="AF166" s="400"/>
      <c r="AG166" s="400"/>
      <c r="AH166" s="400"/>
    </row>
    <row r="167" spans="1:34" ht="16.2">
      <c r="A167" s="500"/>
      <c r="B167" s="1256" t="s">
        <v>325</v>
      </c>
      <c r="C167" s="1259" t="s">
        <v>317</v>
      </c>
      <c r="D167" s="1262" t="s">
        <v>318</v>
      </c>
      <c r="E167" s="501"/>
      <c r="F167" s="501"/>
      <c r="G167" s="502"/>
      <c r="H167" s="503"/>
      <c r="I167" s="1265" t="s">
        <v>326</v>
      </c>
      <c r="J167" s="1268" t="s">
        <v>73</v>
      </c>
      <c r="K167" s="1247"/>
      <c r="L167" s="1246" t="s">
        <v>33</v>
      </c>
      <c r="M167" s="1247"/>
      <c r="N167" s="1246" t="s">
        <v>34</v>
      </c>
      <c r="O167" s="1247"/>
      <c r="P167" s="1246" t="s">
        <v>35</v>
      </c>
      <c r="Q167" s="1247"/>
      <c r="R167" s="1246" t="s">
        <v>36</v>
      </c>
      <c r="S167" s="1247"/>
      <c r="T167" s="1246" t="s">
        <v>37</v>
      </c>
      <c r="U167" s="1247"/>
      <c r="V167" s="1246" t="s">
        <v>38</v>
      </c>
      <c r="W167" s="1247"/>
      <c r="X167" s="1246" t="s">
        <v>39</v>
      </c>
      <c r="Y167" s="1247"/>
      <c r="Z167" s="1246" t="s">
        <v>40</v>
      </c>
      <c r="AA167" s="1247"/>
      <c r="AB167" s="1246" t="s">
        <v>320</v>
      </c>
      <c r="AC167" s="1247"/>
      <c r="AD167" s="1246" t="s">
        <v>321</v>
      </c>
      <c r="AE167" s="1247"/>
      <c r="AF167" s="1246" t="s">
        <v>322</v>
      </c>
      <c r="AG167" s="1247"/>
      <c r="AH167" s="476" t="s">
        <v>53</v>
      </c>
    </row>
    <row r="168" spans="1:34" ht="16.2">
      <c r="A168" s="500"/>
      <c r="B168" s="1257"/>
      <c r="C168" s="1260"/>
      <c r="D168" s="1263"/>
      <c r="E168" s="1248" t="s">
        <v>323</v>
      </c>
      <c r="F168" s="1248" t="s">
        <v>327</v>
      </c>
      <c r="G168" s="1250" t="s">
        <v>328</v>
      </c>
      <c r="H168" s="1251"/>
      <c r="I168" s="1266"/>
      <c r="J168" s="1252" t="s">
        <v>194</v>
      </c>
      <c r="K168" s="1254" t="s">
        <v>195</v>
      </c>
      <c r="L168" s="1244" t="s">
        <v>194</v>
      </c>
      <c r="M168" s="1242" t="s">
        <v>195</v>
      </c>
      <c r="N168" s="1244" t="s">
        <v>194</v>
      </c>
      <c r="O168" s="1242" t="s">
        <v>195</v>
      </c>
      <c r="P168" s="1244" t="s">
        <v>194</v>
      </c>
      <c r="Q168" s="1242" t="s">
        <v>195</v>
      </c>
      <c r="R168" s="1244" t="s">
        <v>194</v>
      </c>
      <c r="S168" s="1242" t="s">
        <v>195</v>
      </c>
      <c r="T168" s="1244" t="s">
        <v>194</v>
      </c>
      <c r="U168" s="1242" t="s">
        <v>195</v>
      </c>
      <c r="V168" s="1244" t="s">
        <v>194</v>
      </c>
      <c r="W168" s="1242" t="s">
        <v>195</v>
      </c>
      <c r="X168" s="1244" t="s">
        <v>194</v>
      </c>
      <c r="Y168" s="1242" t="s">
        <v>195</v>
      </c>
      <c r="Z168" s="1244" t="s">
        <v>194</v>
      </c>
      <c r="AA168" s="1242" t="s">
        <v>195</v>
      </c>
      <c r="AB168" s="1244" t="s">
        <v>194</v>
      </c>
      <c r="AC168" s="1242" t="s">
        <v>195</v>
      </c>
      <c r="AD168" s="1244" t="s">
        <v>194</v>
      </c>
      <c r="AE168" s="1242" t="s">
        <v>195</v>
      </c>
      <c r="AF168" s="1244" t="s">
        <v>194</v>
      </c>
      <c r="AG168" s="1242" t="s">
        <v>195</v>
      </c>
      <c r="AH168" s="477"/>
    </row>
    <row r="169" spans="1:34" ht="16.8" thickBot="1">
      <c r="A169" s="500"/>
      <c r="B169" s="1258"/>
      <c r="C169" s="1261"/>
      <c r="D169" s="1264"/>
      <c r="E169" s="1249"/>
      <c r="F169" s="1249"/>
      <c r="G169" s="504" t="s">
        <v>329</v>
      </c>
      <c r="H169" s="505" t="s">
        <v>330</v>
      </c>
      <c r="I169" s="1267"/>
      <c r="J169" s="1253"/>
      <c r="K169" s="1255"/>
      <c r="L169" s="1245"/>
      <c r="M169" s="1243"/>
      <c r="N169" s="1245"/>
      <c r="O169" s="1243"/>
      <c r="P169" s="1245"/>
      <c r="Q169" s="1243"/>
      <c r="R169" s="1245"/>
      <c r="S169" s="1243"/>
      <c r="T169" s="1245"/>
      <c r="U169" s="1243"/>
      <c r="V169" s="1245"/>
      <c r="W169" s="1243"/>
      <c r="X169" s="1245"/>
      <c r="Y169" s="1243"/>
      <c r="Z169" s="1245"/>
      <c r="AA169" s="1243"/>
      <c r="AB169" s="1245"/>
      <c r="AC169" s="1243"/>
      <c r="AD169" s="1245"/>
      <c r="AE169" s="1243"/>
      <c r="AF169" s="1245"/>
      <c r="AG169" s="1243"/>
      <c r="AH169" s="478"/>
    </row>
    <row r="170" spans="1:34" ht="23.25" customHeight="1" thickTop="1">
      <c r="A170" s="500"/>
      <c r="B170" s="795" t="s">
        <v>331</v>
      </c>
      <c r="C170" s="796"/>
      <c r="D170" s="797"/>
      <c r="E170" s="798"/>
      <c r="F170" s="799"/>
      <c r="G170" s="797"/>
      <c r="H170" s="797"/>
      <c r="I170" s="744"/>
      <c r="J170" s="800"/>
      <c r="K170" s="801"/>
      <c r="L170" s="800"/>
      <c r="M170" s="801"/>
      <c r="N170" s="800"/>
      <c r="O170" s="801"/>
      <c r="P170" s="800"/>
      <c r="Q170" s="801"/>
      <c r="R170" s="800"/>
      <c r="S170" s="801"/>
      <c r="T170" s="800"/>
      <c r="U170" s="801"/>
      <c r="V170" s="800"/>
      <c r="W170" s="801"/>
      <c r="X170" s="800"/>
      <c r="Y170" s="801"/>
      <c r="Z170" s="800"/>
      <c r="AA170" s="801"/>
      <c r="AB170" s="800"/>
      <c r="AC170" s="801"/>
      <c r="AD170" s="800"/>
      <c r="AE170" s="801"/>
      <c r="AF170" s="800"/>
      <c r="AG170" s="801"/>
      <c r="AH170" s="802"/>
    </row>
    <row r="171" spans="1:34" ht="23.25" customHeight="1">
      <c r="A171" s="500"/>
      <c r="B171" s="803" t="s">
        <v>333</v>
      </c>
      <c r="C171" s="780"/>
      <c r="D171" s="542"/>
      <c r="E171" s="581"/>
      <c r="F171" s="510"/>
      <c r="G171" s="536"/>
      <c r="H171" s="536"/>
      <c r="I171" s="537"/>
      <c r="J171" s="523"/>
      <c r="K171" s="522"/>
      <c r="L171" s="523"/>
      <c r="M171" s="522"/>
      <c r="N171" s="523"/>
      <c r="O171" s="522"/>
      <c r="P171" s="523"/>
      <c r="Q171" s="522"/>
      <c r="R171" s="523"/>
      <c r="S171" s="522"/>
      <c r="T171" s="523"/>
      <c r="U171" s="522"/>
      <c r="V171" s="523"/>
      <c r="W171" s="522"/>
      <c r="X171" s="523"/>
      <c r="Y171" s="522"/>
      <c r="Z171" s="523"/>
      <c r="AA171" s="522"/>
      <c r="AB171" s="523"/>
      <c r="AC171" s="522"/>
      <c r="AD171" s="523"/>
      <c r="AE171" s="522"/>
      <c r="AF171" s="523"/>
      <c r="AG171" s="522"/>
      <c r="AH171" s="539"/>
    </row>
    <row r="172" spans="1:34" ht="23.25" customHeight="1">
      <c r="A172" s="500"/>
      <c r="B172" s="803"/>
      <c r="C172" s="780"/>
      <c r="D172" s="542"/>
      <c r="E172" s="581"/>
      <c r="F172" s="510"/>
      <c r="G172" s="536"/>
      <c r="H172" s="536"/>
      <c r="I172" s="537"/>
      <c r="J172" s="490"/>
      <c r="K172" s="522"/>
      <c r="L172" s="490"/>
      <c r="M172" s="522"/>
      <c r="N172" s="490"/>
      <c r="O172" s="522"/>
      <c r="P172" s="490"/>
      <c r="Q172" s="522"/>
      <c r="R172" s="490"/>
      <c r="S172" s="522"/>
      <c r="T172" s="490"/>
      <c r="U172" s="522"/>
      <c r="V172" s="490"/>
      <c r="W172" s="522"/>
      <c r="X172" s="490"/>
      <c r="Y172" s="522"/>
      <c r="Z172" s="490"/>
      <c r="AA172" s="522"/>
      <c r="AB172" s="490"/>
      <c r="AC172" s="522"/>
      <c r="AD172" s="490"/>
      <c r="AE172" s="522"/>
      <c r="AF172" s="490"/>
      <c r="AG172" s="522"/>
      <c r="AH172" s="539"/>
    </row>
    <row r="173" spans="1:34" ht="23.25" customHeight="1">
      <c r="A173" s="500"/>
      <c r="B173" s="803"/>
      <c r="C173" s="780"/>
      <c r="D173" s="542"/>
      <c r="E173" s="581"/>
      <c r="F173" s="510"/>
      <c r="G173" s="536"/>
      <c r="H173" s="536"/>
      <c r="I173" s="537"/>
      <c r="J173" s="490"/>
      <c r="K173" s="804"/>
      <c r="L173" s="490"/>
      <c r="M173" s="805"/>
      <c r="N173" s="592"/>
      <c r="O173" s="805"/>
      <c r="P173" s="490"/>
      <c r="Q173" s="805"/>
      <c r="R173" s="490"/>
      <c r="S173" s="522"/>
      <c r="T173" s="582"/>
      <c r="U173" s="805"/>
      <c r="V173" s="582"/>
      <c r="W173" s="805"/>
      <c r="X173" s="582"/>
      <c r="Y173" s="805"/>
      <c r="Z173" s="490"/>
      <c r="AA173" s="805"/>
      <c r="AB173" s="490"/>
      <c r="AC173" s="805"/>
      <c r="AD173" s="582"/>
      <c r="AE173" s="805"/>
      <c r="AF173" s="582"/>
      <c r="AG173" s="805"/>
      <c r="AH173" s="539"/>
    </row>
    <row r="174" spans="1:34" ht="23.25" customHeight="1">
      <c r="A174" s="500"/>
      <c r="B174" s="803"/>
      <c r="C174" s="780"/>
      <c r="D174" s="542"/>
      <c r="E174" s="581"/>
      <c r="F174" s="510"/>
      <c r="G174" s="536"/>
      <c r="H174" s="536"/>
      <c r="I174" s="537"/>
      <c r="J174" s="490"/>
      <c r="K174" s="522"/>
      <c r="L174" s="490"/>
      <c r="M174" s="522"/>
      <c r="N174" s="490"/>
      <c r="O174" s="522"/>
      <c r="P174" s="490"/>
      <c r="Q174" s="522"/>
      <c r="R174" s="490"/>
      <c r="S174" s="522"/>
      <c r="T174" s="490"/>
      <c r="U174" s="522"/>
      <c r="V174" s="490"/>
      <c r="W174" s="522"/>
      <c r="X174" s="490"/>
      <c r="Y174" s="522"/>
      <c r="Z174" s="490"/>
      <c r="AA174" s="522"/>
      <c r="AB174" s="490"/>
      <c r="AC174" s="522"/>
      <c r="AD174" s="490"/>
      <c r="AE174" s="522"/>
      <c r="AF174" s="490"/>
      <c r="AG174" s="522"/>
      <c r="AH174" s="539"/>
    </row>
    <row r="175" spans="1:34" ht="23.25" customHeight="1">
      <c r="A175" s="500"/>
      <c r="B175" s="803"/>
      <c r="C175" s="780"/>
      <c r="D175" s="542"/>
      <c r="E175" s="581"/>
      <c r="F175" s="510"/>
      <c r="G175" s="536"/>
      <c r="H175" s="536"/>
      <c r="I175" s="537"/>
      <c r="J175" s="588"/>
      <c r="K175" s="489"/>
      <c r="L175" s="490"/>
      <c r="M175" s="489"/>
      <c r="N175" s="490"/>
      <c r="O175" s="489"/>
      <c r="P175" s="582"/>
      <c r="Q175" s="489"/>
      <c r="R175" s="582"/>
      <c r="S175" s="489"/>
      <c r="T175" s="582"/>
      <c r="U175" s="489"/>
      <c r="V175" s="582"/>
      <c r="W175" s="489"/>
      <c r="X175" s="582"/>
      <c r="Y175" s="489"/>
      <c r="Z175" s="582"/>
      <c r="AA175" s="489"/>
      <c r="AB175" s="582"/>
      <c r="AC175" s="489"/>
      <c r="AD175" s="582"/>
      <c r="AE175" s="489"/>
      <c r="AF175" s="490"/>
      <c r="AG175" s="489"/>
      <c r="AH175" s="539"/>
    </row>
    <row r="176" spans="1:34" ht="23.25" customHeight="1">
      <c r="A176" s="500"/>
      <c r="B176" s="803"/>
      <c r="C176" s="806"/>
      <c r="D176" s="542"/>
      <c r="E176" s="640"/>
      <c r="F176" s="510"/>
      <c r="G176" s="542"/>
      <c r="H176" s="542"/>
      <c r="I176" s="537"/>
      <c r="J176" s="591"/>
      <c r="K176" s="522"/>
      <c r="L176" s="490"/>
      <c r="M176" s="522"/>
      <c r="N176" s="490"/>
      <c r="O176" s="522"/>
      <c r="P176" s="592"/>
      <c r="Q176" s="522"/>
      <c r="R176" s="592"/>
      <c r="S176" s="522"/>
      <c r="T176" s="592"/>
      <c r="U176" s="522"/>
      <c r="V176" s="592"/>
      <c r="W176" s="522"/>
      <c r="X176" s="592"/>
      <c r="Y176" s="522"/>
      <c r="Z176" s="592"/>
      <c r="AA176" s="522"/>
      <c r="AB176" s="592"/>
      <c r="AC176" s="522"/>
      <c r="AD176" s="592"/>
      <c r="AE176" s="522"/>
      <c r="AF176" s="592"/>
      <c r="AG176" s="522"/>
      <c r="AH176" s="539"/>
    </row>
    <row r="177" spans="1:34" ht="23.25" customHeight="1">
      <c r="A177" s="500"/>
      <c r="B177" s="781"/>
      <c r="C177" s="780"/>
      <c r="D177" s="542"/>
      <c r="E177" s="581"/>
      <c r="F177" s="510"/>
      <c r="G177" s="536"/>
      <c r="H177" s="536"/>
      <c r="I177" s="537"/>
      <c r="J177" s="588"/>
      <c r="K177" s="489"/>
      <c r="L177" s="490"/>
      <c r="M177" s="489"/>
      <c r="N177" s="490"/>
      <c r="O177" s="489"/>
      <c r="P177" s="582"/>
      <c r="Q177" s="489"/>
      <c r="R177" s="582"/>
      <c r="S177" s="489"/>
      <c r="T177" s="582"/>
      <c r="U177" s="489"/>
      <c r="V177" s="582"/>
      <c r="W177" s="489"/>
      <c r="X177" s="582"/>
      <c r="Y177" s="489"/>
      <c r="Z177" s="582"/>
      <c r="AA177" s="489"/>
      <c r="AB177" s="582"/>
      <c r="AC177" s="489"/>
      <c r="AD177" s="582"/>
      <c r="AE177" s="489"/>
      <c r="AF177" s="582"/>
      <c r="AG177" s="489"/>
      <c r="AH177" s="539"/>
    </row>
    <row r="178" spans="1:34" ht="22.95" customHeight="1">
      <c r="A178" s="500"/>
      <c r="B178" s="807"/>
      <c r="C178" s="808"/>
      <c r="D178" s="809"/>
      <c r="E178" s="810"/>
      <c r="F178" s="811"/>
      <c r="G178" s="809"/>
      <c r="H178" s="809"/>
      <c r="I178" s="812"/>
      <c r="J178" s="813"/>
      <c r="K178" s="814"/>
      <c r="L178" s="813"/>
      <c r="M178" s="814"/>
      <c r="N178" s="813"/>
      <c r="O178" s="814"/>
      <c r="P178" s="813"/>
      <c r="Q178" s="814"/>
      <c r="R178" s="813"/>
      <c r="S178" s="814"/>
      <c r="T178" s="813"/>
      <c r="U178" s="814"/>
      <c r="V178" s="813"/>
      <c r="W178" s="814"/>
      <c r="X178" s="813"/>
      <c r="Y178" s="814"/>
      <c r="Z178" s="813"/>
      <c r="AA178" s="814"/>
      <c r="AB178" s="813"/>
      <c r="AC178" s="814"/>
      <c r="AD178" s="813"/>
      <c r="AE178" s="814"/>
      <c r="AF178" s="813"/>
      <c r="AG178" s="814"/>
      <c r="AH178" s="815"/>
    </row>
    <row r="179" spans="1:34" ht="22.95" customHeight="1">
      <c r="A179" s="500"/>
      <c r="B179" s="816" t="s">
        <v>644</v>
      </c>
      <c r="C179" s="817"/>
      <c r="D179" s="809"/>
      <c r="E179" s="818"/>
      <c r="F179" s="811"/>
      <c r="G179" s="819"/>
      <c r="H179" s="819"/>
      <c r="I179" s="820"/>
      <c r="J179" s="821"/>
      <c r="K179" s="822"/>
      <c r="L179" s="823"/>
      <c r="M179" s="822"/>
      <c r="N179" s="823"/>
      <c r="O179" s="822"/>
      <c r="P179" s="823"/>
      <c r="Q179" s="822"/>
      <c r="R179" s="823"/>
      <c r="S179" s="822"/>
      <c r="T179" s="823"/>
      <c r="U179" s="822"/>
      <c r="V179" s="813"/>
      <c r="W179" s="822"/>
      <c r="X179" s="823"/>
      <c r="Y179" s="822"/>
      <c r="Z179" s="823"/>
      <c r="AA179" s="822"/>
      <c r="AB179" s="823"/>
      <c r="AC179" s="822"/>
      <c r="AD179" s="823"/>
      <c r="AE179" s="822"/>
      <c r="AF179" s="823"/>
      <c r="AG179" s="822"/>
      <c r="AH179" s="815"/>
    </row>
    <row r="180" spans="1:34" ht="23.25" customHeight="1">
      <c r="A180" s="500"/>
      <c r="B180" s="807"/>
      <c r="C180" s="817"/>
      <c r="D180" s="809"/>
      <c r="E180" s="818"/>
      <c r="F180" s="811"/>
      <c r="G180" s="819"/>
      <c r="H180" s="824"/>
      <c r="I180" s="820"/>
      <c r="J180" s="825"/>
      <c r="K180" s="826"/>
      <c r="L180" s="827"/>
      <c r="M180" s="826"/>
      <c r="N180" s="828"/>
      <c r="O180" s="826"/>
      <c r="P180" s="828"/>
      <c r="Q180" s="826"/>
      <c r="R180" s="827"/>
      <c r="S180" s="826"/>
      <c r="T180" s="827"/>
      <c r="U180" s="826"/>
      <c r="V180" s="829"/>
      <c r="W180" s="826"/>
      <c r="X180" s="828"/>
      <c r="Y180" s="826"/>
      <c r="Z180" s="827"/>
      <c r="AA180" s="826"/>
      <c r="AB180" s="827"/>
      <c r="AC180" s="826"/>
      <c r="AD180" s="828"/>
      <c r="AE180" s="826"/>
      <c r="AF180" s="828"/>
      <c r="AG180" s="826"/>
      <c r="AH180" s="830"/>
    </row>
    <row r="181" spans="1:34" ht="22.5" customHeight="1">
      <c r="A181" s="571"/>
      <c r="B181" s="781" t="s">
        <v>124</v>
      </c>
      <c r="C181" s="831"/>
      <c r="D181" s="536"/>
      <c r="E181" s="832"/>
      <c r="F181" s="559"/>
      <c r="G181" s="596"/>
      <c r="H181" s="833"/>
      <c r="I181" s="834"/>
      <c r="J181" s="835"/>
      <c r="K181" s="836"/>
      <c r="L181" s="837"/>
      <c r="M181" s="836"/>
      <c r="N181" s="837"/>
      <c r="O181" s="836"/>
      <c r="P181" s="837"/>
      <c r="Q181" s="836"/>
      <c r="R181" s="837"/>
      <c r="S181" s="836"/>
      <c r="T181" s="837"/>
      <c r="U181" s="836"/>
      <c r="V181" s="837"/>
      <c r="W181" s="836"/>
      <c r="X181" s="837"/>
      <c r="Y181" s="836"/>
      <c r="Z181" s="837"/>
      <c r="AA181" s="836"/>
      <c r="AB181" s="837"/>
      <c r="AC181" s="836"/>
      <c r="AD181" s="837"/>
      <c r="AE181" s="836"/>
      <c r="AF181" s="837"/>
      <c r="AG181" s="836"/>
      <c r="AH181" s="838"/>
    </row>
    <row r="182" spans="1:34" ht="22.2" customHeight="1">
      <c r="A182" s="571"/>
      <c r="B182" s="839"/>
      <c r="C182" s="840"/>
      <c r="D182" s="809"/>
      <c r="E182" s="841"/>
      <c r="F182" s="811"/>
      <c r="G182" s="842"/>
      <c r="H182" s="843"/>
      <c r="I182" s="844"/>
      <c r="J182" s="845"/>
      <c r="K182" s="846"/>
      <c r="L182" s="847"/>
      <c r="M182" s="846"/>
      <c r="N182" s="847"/>
      <c r="O182" s="846"/>
      <c r="P182" s="847"/>
      <c r="Q182" s="846"/>
      <c r="R182" s="847"/>
      <c r="S182" s="846"/>
      <c r="T182" s="847"/>
      <c r="U182" s="846"/>
      <c r="V182" s="847"/>
      <c r="W182" s="846"/>
      <c r="X182" s="847"/>
      <c r="Y182" s="846"/>
      <c r="Z182" s="847"/>
      <c r="AA182" s="846"/>
      <c r="AB182" s="847"/>
      <c r="AC182" s="846"/>
      <c r="AD182" s="847"/>
      <c r="AE182" s="846"/>
      <c r="AF182" s="847"/>
      <c r="AG182" s="846"/>
      <c r="AH182" s="848"/>
    </row>
    <row r="183" spans="1:34" ht="23.25" customHeight="1">
      <c r="A183" s="500"/>
      <c r="B183" s="781" t="s">
        <v>132</v>
      </c>
      <c r="C183" s="780"/>
      <c r="D183" s="536"/>
      <c r="E183" s="581"/>
      <c r="F183" s="559"/>
      <c r="G183" s="536"/>
      <c r="H183" s="536"/>
      <c r="I183" s="537"/>
      <c r="J183" s="588"/>
      <c r="K183" s="489"/>
      <c r="L183" s="582"/>
      <c r="M183" s="489"/>
      <c r="N183" s="490"/>
      <c r="O183" s="489"/>
      <c r="P183" s="582"/>
      <c r="Q183" s="489"/>
      <c r="R183" s="582"/>
      <c r="S183" s="489"/>
      <c r="T183" s="582"/>
      <c r="U183" s="489"/>
      <c r="V183" s="582"/>
      <c r="W183" s="489"/>
      <c r="X183" s="582"/>
      <c r="Y183" s="489"/>
      <c r="Z183" s="490"/>
      <c r="AA183" s="489"/>
      <c r="AB183" s="582"/>
      <c r="AC183" s="489"/>
      <c r="AD183" s="582"/>
      <c r="AE183" s="489"/>
      <c r="AF183" s="582"/>
      <c r="AG183" s="489"/>
      <c r="AH183" s="549"/>
    </row>
    <row r="184" spans="1:34" ht="23.25" customHeight="1">
      <c r="A184" s="500"/>
      <c r="B184" s="781"/>
      <c r="C184" s="780"/>
      <c r="D184" s="542"/>
      <c r="E184" s="581"/>
      <c r="F184" s="510"/>
      <c r="G184" s="536"/>
      <c r="H184" s="536"/>
      <c r="I184" s="537"/>
      <c r="J184" s="490"/>
      <c r="K184" s="489"/>
      <c r="L184" s="490"/>
      <c r="M184" s="522"/>
      <c r="N184" s="582"/>
      <c r="O184" s="489"/>
      <c r="P184" s="490"/>
      <c r="Q184" s="489"/>
      <c r="R184" s="490"/>
      <c r="S184" s="489"/>
      <c r="T184" s="582"/>
      <c r="U184" s="489"/>
      <c r="V184" s="490"/>
      <c r="W184" s="489"/>
      <c r="X184" s="490"/>
      <c r="Y184" s="489"/>
      <c r="Z184" s="490"/>
      <c r="AA184" s="489"/>
      <c r="AB184" s="582"/>
      <c r="AC184" s="489"/>
      <c r="AD184" s="490"/>
      <c r="AE184" s="489"/>
      <c r="AF184" s="490"/>
      <c r="AG184" s="489"/>
      <c r="AH184" s="539"/>
    </row>
    <row r="185" spans="1:34" ht="23.25" customHeight="1">
      <c r="A185" s="500"/>
      <c r="B185" s="781"/>
      <c r="C185" s="780"/>
      <c r="D185" s="542"/>
      <c r="E185" s="581"/>
      <c r="F185" s="510"/>
      <c r="G185" s="536"/>
      <c r="H185" s="536"/>
      <c r="I185" s="537"/>
      <c r="J185" s="545"/>
      <c r="K185" s="489"/>
      <c r="L185" s="490"/>
      <c r="M185" s="522"/>
      <c r="N185" s="582"/>
      <c r="O185" s="489"/>
      <c r="P185" s="490"/>
      <c r="Q185" s="489"/>
      <c r="R185" s="490"/>
      <c r="S185" s="489"/>
      <c r="T185" s="582"/>
      <c r="U185" s="489"/>
      <c r="V185" s="490"/>
      <c r="W185" s="489"/>
      <c r="X185" s="490"/>
      <c r="Y185" s="489"/>
      <c r="Z185" s="490"/>
      <c r="AA185" s="489"/>
      <c r="AB185" s="582"/>
      <c r="AC185" s="489"/>
      <c r="AD185" s="490"/>
      <c r="AE185" s="489"/>
      <c r="AF185" s="490"/>
      <c r="AG185" s="489"/>
      <c r="AH185" s="539"/>
    </row>
    <row r="186" spans="1:34" ht="23.25" customHeight="1">
      <c r="A186" s="500"/>
      <c r="B186" s="781"/>
      <c r="C186" s="780"/>
      <c r="D186" s="542"/>
      <c r="E186" s="581"/>
      <c r="F186" s="510"/>
      <c r="G186" s="536"/>
      <c r="H186" s="536"/>
      <c r="I186" s="537"/>
      <c r="J186" s="545"/>
      <c r="K186" s="489"/>
      <c r="L186" s="490"/>
      <c r="M186" s="522"/>
      <c r="N186" s="582"/>
      <c r="O186" s="489"/>
      <c r="P186" s="490"/>
      <c r="Q186" s="489"/>
      <c r="R186" s="490"/>
      <c r="S186" s="489"/>
      <c r="T186" s="582"/>
      <c r="U186" s="489"/>
      <c r="V186" s="490"/>
      <c r="W186" s="489"/>
      <c r="X186" s="490"/>
      <c r="Y186" s="489"/>
      <c r="Z186" s="490"/>
      <c r="AA186" s="489"/>
      <c r="AB186" s="582"/>
      <c r="AC186" s="489"/>
      <c r="AD186" s="490"/>
      <c r="AE186" s="489"/>
      <c r="AF186" s="490"/>
      <c r="AG186" s="489"/>
      <c r="AH186" s="539"/>
    </row>
    <row r="187" spans="1:34" ht="23.25" customHeight="1">
      <c r="A187" s="500"/>
      <c r="B187" s="781"/>
      <c r="C187" s="806"/>
      <c r="D187" s="542"/>
      <c r="E187" s="581"/>
      <c r="F187" s="510"/>
      <c r="G187" s="536"/>
      <c r="H187" s="542"/>
      <c r="I187" s="537"/>
      <c r="J187" s="591"/>
      <c r="K187" s="522"/>
      <c r="L187" s="490"/>
      <c r="M187" s="522"/>
      <c r="N187" s="592"/>
      <c r="O187" s="522"/>
      <c r="P187" s="490"/>
      <c r="Q187" s="522"/>
      <c r="R187" s="490"/>
      <c r="S187" s="522"/>
      <c r="T187" s="592"/>
      <c r="U187" s="522"/>
      <c r="V187" s="592"/>
      <c r="W187" s="522"/>
      <c r="X187" s="490"/>
      <c r="Y187" s="522"/>
      <c r="Z187" s="592"/>
      <c r="AA187" s="522"/>
      <c r="AB187" s="592"/>
      <c r="AC187" s="522"/>
      <c r="AD187" s="490"/>
      <c r="AE187" s="522"/>
      <c r="AF187" s="592"/>
      <c r="AG187" s="522"/>
      <c r="AH187" s="539"/>
    </row>
    <row r="188" spans="1:34" ht="23.25" customHeight="1">
      <c r="A188" s="500"/>
      <c r="B188" s="781"/>
      <c r="C188" s="849"/>
      <c r="D188" s="542"/>
      <c r="E188" s="581"/>
      <c r="F188" s="510"/>
      <c r="G188" s="536"/>
      <c r="H188" s="542"/>
      <c r="I188" s="537"/>
      <c r="J188" s="591"/>
      <c r="K188" s="522"/>
      <c r="L188" s="592"/>
      <c r="M188" s="522"/>
      <c r="N188" s="592"/>
      <c r="O188" s="522"/>
      <c r="P188" s="523"/>
      <c r="Q188" s="522"/>
      <c r="R188" s="592"/>
      <c r="S188" s="522"/>
      <c r="T188" s="592"/>
      <c r="U188" s="522"/>
      <c r="V188" s="592"/>
      <c r="W188" s="522"/>
      <c r="X188" s="523"/>
      <c r="Y188" s="522"/>
      <c r="Z188" s="592"/>
      <c r="AA188" s="522"/>
      <c r="AB188" s="592"/>
      <c r="AC188" s="522"/>
      <c r="AD188" s="592"/>
      <c r="AE188" s="522"/>
      <c r="AF188" s="490"/>
      <c r="AG188" s="522"/>
      <c r="AH188" s="728"/>
    </row>
    <row r="189" spans="1:34" ht="23.25" customHeight="1">
      <c r="A189" s="500"/>
      <c r="B189" s="781"/>
      <c r="C189" s="780"/>
      <c r="D189" s="542"/>
      <c r="E189" s="581"/>
      <c r="F189" s="510"/>
      <c r="G189" s="536"/>
      <c r="H189" s="536"/>
      <c r="I189" s="537"/>
      <c r="J189" s="490"/>
      <c r="K189" s="522"/>
      <c r="L189" s="490"/>
      <c r="M189" s="522"/>
      <c r="N189" s="490"/>
      <c r="O189" s="522"/>
      <c r="P189" s="490"/>
      <c r="Q189" s="522"/>
      <c r="R189" s="490"/>
      <c r="S189" s="522"/>
      <c r="T189" s="490"/>
      <c r="U189" s="522"/>
      <c r="V189" s="490"/>
      <c r="W189" s="522"/>
      <c r="X189" s="490"/>
      <c r="Y189" s="522"/>
      <c r="Z189" s="490"/>
      <c r="AA189" s="522"/>
      <c r="AB189" s="490"/>
      <c r="AC189" s="522"/>
      <c r="AD189" s="490"/>
      <c r="AE189" s="522"/>
      <c r="AF189" s="490"/>
      <c r="AG189" s="522"/>
      <c r="AH189" s="539"/>
    </row>
    <row r="190" spans="1:34" ht="23.25" customHeight="1">
      <c r="A190" s="500"/>
      <c r="B190" s="807"/>
      <c r="C190" s="808"/>
      <c r="D190" s="809"/>
      <c r="E190" s="818"/>
      <c r="F190" s="811"/>
      <c r="G190" s="819"/>
      <c r="H190" s="809"/>
      <c r="I190" s="812"/>
      <c r="J190" s="823"/>
      <c r="K190" s="822"/>
      <c r="L190" s="823"/>
      <c r="M190" s="822"/>
      <c r="N190" s="823"/>
      <c r="O190" s="822"/>
      <c r="P190" s="823"/>
      <c r="Q190" s="822"/>
      <c r="R190" s="823"/>
      <c r="S190" s="822"/>
      <c r="T190" s="823"/>
      <c r="U190" s="822"/>
      <c r="V190" s="823"/>
      <c r="W190" s="822"/>
      <c r="X190" s="823"/>
      <c r="Y190" s="822"/>
      <c r="Z190" s="823"/>
      <c r="AA190" s="822"/>
      <c r="AB190" s="823"/>
      <c r="AC190" s="822"/>
      <c r="AD190" s="823"/>
      <c r="AE190" s="822"/>
      <c r="AF190" s="823"/>
      <c r="AG190" s="822"/>
      <c r="AH190" s="815"/>
    </row>
    <row r="191" spans="1:34" ht="23.25" customHeight="1">
      <c r="A191" s="500"/>
      <c r="B191" s="781" t="s">
        <v>645</v>
      </c>
      <c r="C191" s="780"/>
      <c r="D191" s="536"/>
      <c r="E191" s="581"/>
      <c r="F191" s="559"/>
      <c r="G191" s="536"/>
      <c r="H191" s="536"/>
      <c r="I191" s="537"/>
      <c r="J191" s="589"/>
      <c r="K191" s="489"/>
      <c r="L191" s="582"/>
      <c r="M191" s="489"/>
      <c r="N191" s="490"/>
      <c r="O191" s="489"/>
      <c r="P191" s="582"/>
      <c r="Q191" s="489"/>
      <c r="R191" s="582"/>
      <c r="S191" s="489"/>
      <c r="T191" s="582"/>
      <c r="U191" s="489"/>
      <c r="V191" s="490"/>
      <c r="W191" s="489"/>
      <c r="X191" s="582"/>
      <c r="Y191" s="489"/>
      <c r="Z191" s="582"/>
      <c r="AA191" s="489"/>
      <c r="AB191" s="582"/>
      <c r="AC191" s="489"/>
      <c r="AD191" s="490"/>
      <c r="AE191" s="489"/>
      <c r="AF191" s="582"/>
      <c r="AG191" s="489"/>
      <c r="AH191" s="549"/>
    </row>
    <row r="192" spans="1:34" ht="23.25" customHeight="1">
      <c r="A192" s="500"/>
      <c r="B192" s="781"/>
      <c r="C192" s="780"/>
      <c r="D192" s="542"/>
      <c r="E192" s="581"/>
      <c r="F192" s="510"/>
      <c r="G192" s="536"/>
      <c r="H192" s="536"/>
      <c r="I192" s="543"/>
      <c r="J192" s="588"/>
      <c r="K192" s="489"/>
      <c r="L192" s="490"/>
      <c r="M192" s="489"/>
      <c r="N192" s="490"/>
      <c r="O192" s="489"/>
      <c r="P192" s="582"/>
      <c r="Q192" s="489"/>
      <c r="R192" s="582"/>
      <c r="S192" s="489"/>
      <c r="T192" s="582"/>
      <c r="U192" s="489"/>
      <c r="V192" s="582"/>
      <c r="W192" s="489"/>
      <c r="X192" s="490"/>
      <c r="Y192" s="489"/>
      <c r="Z192" s="582"/>
      <c r="AA192" s="489"/>
      <c r="AB192" s="582"/>
      <c r="AC192" s="489"/>
      <c r="AD192" s="582"/>
      <c r="AE192" s="489"/>
      <c r="AF192" s="582"/>
      <c r="AG192" s="489"/>
      <c r="AH192" s="539"/>
    </row>
    <row r="193" spans="1:34" ht="23.25" customHeight="1">
      <c r="A193" s="500"/>
      <c r="B193" s="781"/>
      <c r="C193" s="780"/>
      <c r="D193" s="542"/>
      <c r="E193" s="581"/>
      <c r="F193" s="510"/>
      <c r="G193" s="536"/>
      <c r="H193" s="536"/>
      <c r="I193" s="543"/>
      <c r="J193" s="588"/>
      <c r="K193" s="489"/>
      <c r="L193" s="490"/>
      <c r="M193" s="489"/>
      <c r="N193" s="490"/>
      <c r="O193" s="489"/>
      <c r="P193" s="582"/>
      <c r="Q193" s="489"/>
      <c r="R193" s="582"/>
      <c r="S193" s="489"/>
      <c r="T193" s="582"/>
      <c r="U193" s="489"/>
      <c r="V193" s="582"/>
      <c r="W193" s="489"/>
      <c r="X193" s="490"/>
      <c r="Y193" s="489"/>
      <c r="Z193" s="582"/>
      <c r="AA193" s="489"/>
      <c r="AB193" s="582"/>
      <c r="AC193" s="489"/>
      <c r="AD193" s="582"/>
      <c r="AE193" s="489"/>
      <c r="AF193" s="582"/>
      <c r="AG193" s="489"/>
      <c r="AH193" s="539"/>
    </row>
    <row r="194" spans="1:34" ht="23.25" customHeight="1">
      <c r="A194" s="500"/>
      <c r="B194" s="781"/>
      <c r="C194" s="806"/>
      <c r="D194" s="542"/>
      <c r="E194" s="581"/>
      <c r="F194" s="510"/>
      <c r="G194" s="536"/>
      <c r="H194" s="542"/>
      <c r="I194" s="543"/>
      <c r="J194" s="591"/>
      <c r="K194" s="522"/>
      <c r="L194" s="592"/>
      <c r="M194" s="522"/>
      <c r="N194" s="592"/>
      <c r="O194" s="522"/>
      <c r="P194" s="592"/>
      <c r="Q194" s="522"/>
      <c r="R194" s="592"/>
      <c r="S194" s="522"/>
      <c r="T194" s="490"/>
      <c r="U194" s="522"/>
      <c r="V194" s="592"/>
      <c r="W194" s="522"/>
      <c r="X194" s="592"/>
      <c r="Y194" s="522"/>
      <c r="Z194" s="592"/>
      <c r="AA194" s="522"/>
      <c r="AB194" s="592"/>
      <c r="AC194" s="522"/>
      <c r="AD194" s="592"/>
      <c r="AE194" s="522"/>
      <c r="AF194" s="490"/>
      <c r="AG194" s="522"/>
      <c r="AH194" s="539"/>
    </row>
    <row r="195" spans="1:34" ht="23.25" customHeight="1">
      <c r="A195" s="500"/>
      <c r="B195" s="807"/>
      <c r="C195" s="817"/>
      <c r="D195" s="809"/>
      <c r="E195" s="818"/>
      <c r="F195" s="811"/>
      <c r="G195" s="819"/>
      <c r="H195" s="819"/>
      <c r="I195" s="820"/>
      <c r="J195" s="850"/>
      <c r="K195" s="814"/>
      <c r="L195" s="851"/>
      <c r="M195" s="814"/>
      <c r="N195" s="851"/>
      <c r="O195" s="814"/>
      <c r="P195" s="851"/>
      <c r="Q195" s="814"/>
      <c r="R195" s="851"/>
      <c r="S195" s="814"/>
      <c r="T195" s="813"/>
      <c r="U195" s="814"/>
      <c r="V195" s="851"/>
      <c r="W195" s="814"/>
      <c r="X195" s="851"/>
      <c r="Y195" s="814"/>
      <c r="Z195" s="851"/>
      <c r="AA195" s="814"/>
      <c r="AB195" s="851"/>
      <c r="AC195" s="814"/>
      <c r="AD195" s="851"/>
      <c r="AE195" s="814"/>
      <c r="AF195" s="852"/>
      <c r="AG195" s="814"/>
      <c r="AH195" s="853"/>
    </row>
    <row r="196" spans="1:34" ht="22.5" customHeight="1">
      <c r="A196" s="571"/>
      <c r="B196" s="781" t="s">
        <v>153</v>
      </c>
      <c r="C196" s="854"/>
      <c r="D196" s="542"/>
      <c r="E196" s="596"/>
      <c r="F196" s="510"/>
      <c r="G196" s="596"/>
      <c r="H196" s="596"/>
      <c r="I196" s="608"/>
      <c r="J196" s="855"/>
      <c r="K196" s="856"/>
      <c r="L196" s="857"/>
      <c r="M196" s="856"/>
      <c r="N196" s="857"/>
      <c r="O196" s="858"/>
      <c r="P196" s="857"/>
      <c r="Q196" s="858"/>
      <c r="R196" s="619"/>
      <c r="S196" s="618"/>
      <c r="T196" s="619"/>
      <c r="U196" s="618"/>
      <c r="V196" s="619"/>
      <c r="W196" s="618"/>
      <c r="X196" s="619"/>
      <c r="Y196" s="618"/>
      <c r="Z196" s="619"/>
      <c r="AA196" s="618"/>
      <c r="AB196" s="619"/>
      <c r="AC196" s="856"/>
      <c r="AD196" s="619"/>
      <c r="AE196" s="618"/>
      <c r="AF196" s="619"/>
      <c r="AG196" s="618"/>
      <c r="AH196" s="612"/>
    </row>
    <row r="197" spans="1:34" ht="23.25" customHeight="1">
      <c r="A197" s="500"/>
      <c r="B197" s="781"/>
      <c r="C197" s="806"/>
      <c r="D197" s="542"/>
      <c r="E197" s="640"/>
      <c r="F197" s="510"/>
      <c r="G197" s="542"/>
      <c r="H197" s="542"/>
      <c r="I197" s="543"/>
      <c r="J197" s="523"/>
      <c r="K197" s="856"/>
      <c r="L197" s="523"/>
      <c r="M197" s="522"/>
      <c r="N197" s="523"/>
      <c r="O197" s="522"/>
      <c r="P197" s="592"/>
      <c r="Q197" s="859"/>
      <c r="R197" s="592"/>
      <c r="S197" s="522"/>
      <c r="T197" s="592"/>
      <c r="U197" s="522"/>
      <c r="V197" s="592"/>
      <c r="W197" s="522"/>
      <c r="X197" s="523"/>
      <c r="Y197" s="522"/>
      <c r="Z197" s="523"/>
      <c r="AA197" s="522"/>
      <c r="AB197" s="592"/>
      <c r="AC197" s="522"/>
      <c r="AD197" s="592"/>
      <c r="AE197" s="522"/>
      <c r="AF197" s="592"/>
      <c r="AG197" s="522"/>
      <c r="AH197" s="539"/>
    </row>
    <row r="198" spans="1:34" ht="23.25" customHeight="1">
      <c r="A198" s="500"/>
      <c r="B198" s="781"/>
      <c r="C198" s="806"/>
      <c r="D198" s="542"/>
      <c r="E198" s="640"/>
      <c r="F198" s="510"/>
      <c r="G198" s="542"/>
      <c r="H198" s="542"/>
      <c r="I198" s="543"/>
      <c r="J198" s="591"/>
      <c r="K198" s="522"/>
      <c r="L198" s="592"/>
      <c r="M198" s="522"/>
      <c r="N198" s="592"/>
      <c r="O198" s="522"/>
      <c r="P198" s="523"/>
      <c r="Q198" s="859"/>
      <c r="R198" s="592"/>
      <c r="S198" s="522"/>
      <c r="T198" s="619"/>
      <c r="U198" s="522"/>
      <c r="V198" s="523"/>
      <c r="W198" s="522"/>
      <c r="X198" s="523"/>
      <c r="Y198" s="522"/>
      <c r="Z198" s="523"/>
      <c r="AA198" s="522"/>
      <c r="AB198" s="592"/>
      <c r="AC198" s="522"/>
      <c r="AD198" s="592"/>
      <c r="AE198" s="522"/>
      <c r="AF198" s="592"/>
      <c r="AG198" s="522"/>
      <c r="AH198" s="539"/>
    </row>
    <row r="199" spans="1:34" ht="23.25" customHeight="1">
      <c r="A199" s="688"/>
      <c r="B199" s="781"/>
      <c r="C199" s="806"/>
      <c r="D199" s="542"/>
      <c r="E199" s="640"/>
      <c r="F199" s="510"/>
      <c r="G199" s="542"/>
      <c r="H199" s="542"/>
      <c r="I199" s="543"/>
      <c r="J199" s="523"/>
      <c r="K199" s="522"/>
      <c r="L199" s="523"/>
      <c r="M199" s="522"/>
      <c r="N199" s="523"/>
      <c r="O199" s="522"/>
      <c r="P199" s="523"/>
      <c r="Q199" s="522"/>
      <c r="R199" s="523"/>
      <c r="S199" s="522"/>
      <c r="T199" s="523"/>
      <c r="U199" s="522"/>
      <c r="V199" s="523"/>
      <c r="W199" s="522"/>
      <c r="X199" s="523"/>
      <c r="Y199" s="522"/>
      <c r="Z199" s="523"/>
      <c r="AA199" s="522"/>
      <c r="AB199" s="523"/>
      <c r="AC199" s="522"/>
      <c r="AD199" s="523"/>
      <c r="AE199" s="522"/>
      <c r="AF199" s="523"/>
      <c r="AG199" s="522"/>
      <c r="AH199" s="539"/>
    </row>
    <row r="200" spans="1:34" ht="23.25" customHeight="1" thickBot="1">
      <c r="A200" s="688"/>
      <c r="B200" s="790"/>
      <c r="C200" s="860"/>
      <c r="D200" s="555"/>
      <c r="E200" s="792"/>
      <c r="F200" s="861"/>
      <c r="G200" s="555"/>
      <c r="H200" s="862"/>
      <c r="I200" s="863"/>
      <c r="J200" s="864"/>
      <c r="K200" s="865"/>
      <c r="L200" s="864"/>
      <c r="M200" s="865"/>
      <c r="N200" s="864"/>
      <c r="O200" s="865"/>
      <c r="P200" s="864"/>
      <c r="Q200" s="865"/>
      <c r="R200" s="864"/>
      <c r="S200" s="865"/>
      <c r="T200" s="864"/>
      <c r="U200" s="865"/>
      <c r="V200" s="864"/>
      <c r="W200" s="865"/>
      <c r="X200" s="864"/>
      <c r="Y200" s="865"/>
      <c r="Z200" s="864"/>
      <c r="AA200" s="865"/>
      <c r="AB200" s="864"/>
      <c r="AC200" s="865"/>
      <c r="AD200" s="864"/>
      <c r="AE200" s="865"/>
      <c r="AF200" s="864"/>
      <c r="AG200" s="865"/>
      <c r="AH200" s="866"/>
    </row>
    <row r="201" spans="1:34" ht="19.2">
      <c r="B201" s="868"/>
    </row>
  </sheetData>
  <sheetProtection formatCells="0" formatColumns="0" formatRows="0" insertColumns="0" insertRows="0" deleteColumns="0" deleteRows="0" selectLockedCells="1" autoFilter="0"/>
  <mergeCells count="218">
    <mergeCell ref="I11:O11"/>
    <mergeCell ref="J12:K12"/>
    <mergeCell ref="L12:M12"/>
    <mergeCell ref="N12:O12"/>
    <mergeCell ref="J13:K13"/>
    <mergeCell ref="L13:M13"/>
    <mergeCell ref="N13:O13"/>
    <mergeCell ref="B5:I5"/>
    <mergeCell ref="J5:T5"/>
    <mergeCell ref="J17:K17"/>
    <mergeCell ref="L17:M17"/>
    <mergeCell ref="N17:O17"/>
    <mergeCell ref="P17:Q17"/>
    <mergeCell ref="R17:S17"/>
    <mergeCell ref="T17:U17"/>
    <mergeCell ref="V17:W17"/>
    <mergeCell ref="X17:Y17"/>
    <mergeCell ref="J16:K16"/>
    <mergeCell ref="L16:M16"/>
    <mergeCell ref="N16:O16"/>
    <mergeCell ref="P16:Q16"/>
    <mergeCell ref="R16:S16"/>
    <mergeCell ref="T16:U16"/>
    <mergeCell ref="U5:W5"/>
    <mergeCell ref="F6:I6"/>
    <mergeCell ref="J6:L6"/>
    <mergeCell ref="M6:P6"/>
    <mergeCell ref="Q6:T6"/>
    <mergeCell ref="B11:G11"/>
    <mergeCell ref="V18:W18"/>
    <mergeCell ref="X18:Y18"/>
    <mergeCell ref="J19:K19"/>
    <mergeCell ref="L19:M19"/>
    <mergeCell ref="N19:O19"/>
    <mergeCell ref="P19:Q19"/>
    <mergeCell ref="R19:S19"/>
    <mergeCell ref="T19:U19"/>
    <mergeCell ref="V19:W19"/>
    <mergeCell ref="X19:Y19"/>
    <mergeCell ref="J18:K18"/>
    <mergeCell ref="L18:M18"/>
    <mergeCell ref="N18:O18"/>
    <mergeCell ref="P18:Q18"/>
    <mergeCell ref="R18:S18"/>
    <mergeCell ref="T18:U18"/>
    <mergeCell ref="V16:W16"/>
    <mergeCell ref="X16:Y16"/>
    <mergeCell ref="V20:W20"/>
    <mergeCell ref="X20:Y20"/>
    <mergeCell ref="J21:K21"/>
    <mergeCell ref="L21:M21"/>
    <mergeCell ref="N21:O21"/>
    <mergeCell ref="P21:Q21"/>
    <mergeCell ref="R21:S21"/>
    <mergeCell ref="T21:U21"/>
    <mergeCell ref="V21:W21"/>
    <mergeCell ref="X21:Y21"/>
    <mergeCell ref="J20:K20"/>
    <mergeCell ref="L20:M20"/>
    <mergeCell ref="N20:O20"/>
    <mergeCell ref="P20:Q20"/>
    <mergeCell ref="R20:S20"/>
    <mergeCell ref="T20:U20"/>
    <mergeCell ref="V22:W22"/>
    <mergeCell ref="X22:Y22"/>
    <mergeCell ref="J23:K23"/>
    <mergeCell ref="L23:M23"/>
    <mergeCell ref="N23:O23"/>
    <mergeCell ref="P23:Q23"/>
    <mergeCell ref="R23:S23"/>
    <mergeCell ref="T23:U23"/>
    <mergeCell ref="V23:W23"/>
    <mergeCell ref="X23:Y23"/>
    <mergeCell ref="J22:K22"/>
    <mergeCell ref="L22:M22"/>
    <mergeCell ref="N22:O22"/>
    <mergeCell ref="P22:Q22"/>
    <mergeCell ref="R22:S22"/>
    <mergeCell ref="T22:U22"/>
    <mergeCell ref="V24:W24"/>
    <mergeCell ref="X24:Y24"/>
    <mergeCell ref="B28:B30"/>
    <mergeCell ref="C28:C30"/>
    <mergeCell ref="D28:E30"/>
    <mergeCell ref="F28:I30"/>
    <mergeCell ref="J28:K28"/>
    <mergeCell ref="L28:M28"/>
    <mergeCell ref="N28:O28"/>
    <mergeCell ref="P28:Q28"/>
    <mergeCell ref="J24:K24"/>
    <mergeCell ref="L24:M24"/>
    <mergeCell ref="N24:O24"/>
    <mergeCell ref="P24:Q24"/>
    <mergeCell ref="R24:S24"/>
    <mergeCell ref="T24:U24"/>
    <mergeCell ref="AD28:AE28"/>
    <mergeCell ref="AF28:AG28"/>
    <mergeCell ref="J29:J30"/>
    <mergeCell ref="K29:K30"/>
    <mergeCell ref="L29:L30"/>
    <mergeCell ref="M29:M30"/>
    <mergeCell ref="N29:N30"/>
    <mergeCell ref="O29:O30"/>
    <mergeCell ref="P29:P30"/>
    <mergeCell ref="Q29:Q30"/>
    <mergeCell ref="R28:S28"/>
    <mergeCell ref="T28:U28"/>
    <mergeCell ref="V28:W28"/>
    <mergeCell ref="X28:Y28"/>
    <mergeCell ref="Z28:AA28"/>
    <mergeCell ref="AB28:AC28"/>
    <mergeCell ref="AD29:AD30"/>
    <mergeCell ref="AE29:AE30"/>
    <mergeCell ref="AF29:AF30"/>
    <mergeCell ref="AG29:AG30"/>
    <mergeCell ref="D31:E31"/>
    <mergeCell ref="F31:I31"/>
    <mergeCell ref="X29:X30"/>
    <mergeCell ref="Y29:Y30"/>
    <mergeCell ref="Z29:Z30"/>
    <mergeCell ref="AA29:AA30"/>
    <mergeCell ref="AB29:AB30"/>
    <mergeCell ref="AC29:AC30"/>
    <mergeCell ref="R29:R30"/>
    <mergeCell ref="S29:S30"/>
    <mergeCell ref="T29:T30"/>
    <mergeCell ref="U29:U30"/>
    <mergeCell ref="V29:V30"/>
    <mergeCell ref="W29:W30"/>
    <mergeCell ref="D32:E32"/>
    <mergeCell ref="D33:E33"/>
    <mergeCell ref="F33:I33"/>
    <mergeCell ref="B36:B38"/>
    <mergeCell ref="C36:C38"/>
    <mergeCell ref="D36:D38"/>
    <mergeCell ref="I36:I38"/>
    <mergeCell ref="E37:E38"/>
    <mergeCell ref="F37:F38"/>
    <mergeCell ref="G37:H37"/>
    <mergeCell ref="V36:W36"/>
    <mergeCell ref="X36:Y36"/>
    <mergeCell ref="Z36:AA36"/>
    <mergeCell ref="AB36:AC36"/>
    <mergeCell ref="AD36:AE36"/>
    <mergeCell ref="AF36:AG36"/>
    <mergeCell ref="J36:K36"/>
    <mergeCell ref="L36:M36"/>
    <mergeCell ref="N36:O36"/>
    <mergeCell ref="P36:Q36"/>
    <mergeCell ref="R36:S36"/>
    <mergeCell ref="T36:U36"/>
    <mergeCell ref="AD37:AD38"/>
    <mergeCell ref="AE37:AE38"/>
    <mergeCell ref="AF37:AF38"/>
    <mergeCell ref="AG37:AG38"/>
    <mergeCell ref="V37:V38"/>
    <mergeCell ref="W37:W38"/>
    <mergeCell ref="X37:X38"/>
    <mergeCell ref="Y37:Y38"/>
    <mergeCell ref="Z37:Z38"/>
    <mergeCell ref="AA37:AA38"/>
    <mergeCell ref="B167:B169"/>
    <mergeCell ref="C167:C169"/>
    <mergeCell ref="D167:D169"/>
    <mergeCell ref="I167:I169"/>
    <mergeCell ref="J167:K167"/>
    <mergeCell ref="L167:M167"/>
    <mergeCell ref="M168:M169"/>
    <mergeCell ref="AB37:AB38"/>
    <mergeCell ref="AC37:AC38"/>
    <mergeCell ref="P37:P38"/>
    <mergeCell ref="Q37:Q38"/>
    <mergeCell ref="R37:R38"/>
    <mergeCell ref="S37:S38"/>
    <mergeCell ref="T37:T38"/>
    <mergeCell ref="U37:U38"/>
    <mergeCell ref="J37:J38"/>
    <mergeCell ref="K37:K38"/>
    <mergeCell ref="L37:L38"/>
    <mergeCell ref="M37:M38"/>
    <mergeCell ref="N37:N38"/>
    <mergeCell ref="O37:O38"/>
    <mergeCell ref="Z168:Z169"/>
    <mergeCell ref="AA168:AA169"/>
    <mergeCell ref="AB168:AB169"/>
    <mergeCell ref="AF167:AG167"/>
    <mergeCell ref="E168:E169"/>
    <mergeCell ref="F168:F169"/>
    <mergeCell ref="G168:H168"/>
    <mergeCell ref="J168:J169"/>
    <mergeCell ref="K168:K169"/>
    <mergeCell ref="L168:L169"/>
    <mergeCell ref="N167:O167"/>
    <mergeCell ref="P167:Q167"/>
    <mergeCell ref="R167:S167"/>
    <mergeCell ref="T167:U167"/>
    <mergeCell ref="V167:W167"/>
    <mergeCell ref="X167:Y167"/>
    <mergeCell ref="N168:N169"/>
    <mergeCell ref="O168:O169"/>
    <mergeCell ref="P168:P169"/>
    <mergeCell ref="Q168:Q169"/>
    <mergeCell ref="R168:R169"/>
    <mergeCell ref="S168:S169"/>
    <mergeCell ref="Z167:AA167"/>
    <mergeCell ref="AB167:AC167"/>
    <mergeCell ref="AD167:AE167"/>
    <mergeCell ref="AF168:AF169"/>
    <mergeCell ref="AG168:AG169"/>
    <mergeCell ref="AC168:AC169"/>
    <mergeCell ref="AD168:AD169"/>
    <mergeCell ref="AE168:AE169"/>
    <mergeCell ref="T168:T169"/>
    <mergeCell ref="U168:U169"/>
    <mergeCell ref="V168:V169"/>
    <mergeCell ref="W168:W169"/>
    <mergeCell ref="X168:X169"/>
    <mergeCell ref="Y168:Y169"/>
  </mergeCells>
  <phoneticPr fontId="7"/>
  <conditionalFormatting sqref="F191:F193 F39:F53 F55:F157">
    <cfRule type="expression" dxfId="1961" priority="1963">
      <formula>$F39="▼ 選択"</formula>
    </cfRule>
  </conditionalFormatting>
  <conditionalFormatting sqref="C191:AH193 C52:AH53 C43:AH46 C55:AH56 C100:AH102 C113:E114 G113:AH114 C116:E123 G116:AH123 F113:F123 C39:H42 C48:AH50 C47:H47 C58:AH59 C60:H60 C71:AH75 C79:AH79 C85:AH86 C84:H84 C104:AH104 C107:AH108 C133:AH139 C142:AH142 C140:H141 C145:AH148 C143:H144 L143:AH144 C152:AH156 C149:H151 C157:H157 P157:AH157 C51:F51 C57:H57 C70:F70 C76:H78 C97:H99 C103:H103 C105:H106 C109:H109 C124:AH131 C132:H132 C110:AH112 C61:AH69 C83:AH83 C80:H82 H51 H70 C88:AH89 C87:F87 H87:AH87 C91:AH96 C90:F90 H90:AH90">
    <cfRule type="expression" dxfId="1960" priority="1960">
      <formula>$F39="無"</formula>
    </cfRule>
  </conditionalFormatting>
  <conditionalFormatting sqref="G191:G193 G39:G50 G116:G157 H39:H42 H51 H57 H70 H76 H78 H97:H99 H103 H105:H106 H109 H124 H132 H111 G55:G69 G52:G53 G71:G86 G88:G89 G91:G114">
    <cfRule type="expression" dxfId="1959" priority="1962">
      <formula>$G39="▼ 選択"</formula>
    </cfRule>
  </conditionalFormatting>
  <conditionalFormatting sqref="H191:H193 H52:H53 H39:H50 H99:H114 H116:H157 H55:H97">
    <cfRule type="expression" dxfId="1958" priority="1961">
      <formula>$H39="▼ 選択"</formula>
    </cfRule>
  </conditionalFormatting>
  <conditionalFormatting sqref="J8:W8">
    <cfRule type="expression" dxfId="1957" priority="1959">
      <formula>J$8="▼ 選択"</formula>
    </cfRule>
  </conditionalFormatting>
  <conditionalFormatting sqref="D13:H13">
    <cfRule type="expression" dxfId="1956" priority="1958">
      <formula>D$13="▼ 選択"</formula>
    </cfRule>
  </conditionalFormatting>
  <conditionalFormatting sqref="H82">
    <cfRule type="expression" dxfId="1955" priority="1957">
      <formula>$G82="▼ 選択"</formula>
    </cfRule>
  </conditionalFormatting>
  <conditionalFormatting sqref="F54">
    <cfRule type="expression" dxfId="1954" priority="1956">
      <formula>$F54="▼ 選択"</formula>
    </cfRule>
  </conditionalFormatting>
  <conditionalFormatting sqref="F54">
    <cfRule type="expression" dxfId="1953" priority="1955">
      <formula>$F54="無"</formula>
    </cfRule>
  </conditionalFormatting>
  <conditionalFormatting sqref="I13">
    <cfRule type="expression" dxfId="1952" priority="1954">
      <formula>I$13="▼ 選択"</formula>
    </cfRule>
  </conditionalFormatting>
  <conditionalFormatting sqref="C115:E115 G115:AH115">
    <cfRule type="expression" dxfId="1951" priority="1951">
      <formula>$F115="無"</formula>
    </cfRule>
  </conditionalFormatting>
  <conditionalFormatting sqref="G115">
    <cfRule type="expression" dxfId="1950" priority="1953">
      <formula>$G115="▼ 選択"</formula>
    </cfRule>
  </conditionalFormatting>
  <conditionalFormatting sqref="H115">
    <cfRule type="expression" dxfId="1949" priority="1952">
      <formula>$H115="▼ 選択"</formula>
    </cfRule>
  </conditionalFormatting>
  <conditionalFormatting sqref="J41 AB41:AG41 L41 N41 P41 R41 T41 V41:W41 Y41">
    <cfRule type="expression" dxfId="1948" priority="1950" stopIfTrue="1">
      <formula>$F41="無"</formula>
    </cfRule>
  </conditionalFormatting>
  <conditionalFormatting sqref="Z41:AA41">
    <cfRule type="expression" dxfId="1947" priority="1949" stopIfTrue="1">
      <formula>$F41="無"</formula>
    </cfRule>
  </conditionalFormatting>
  <conditionalFormatting sqref="K41">
    <cfRule type="expression" dxfId="1946" priority="1948" stopIfTrue="1">
      <formula>$F41="無"</formula>
    </cfRule>
  </conditionalFormatting>
  <conditionalFormatting sqref="M41">
    <cfRule type="expression" dxfId="1945" priority="1947" stopIfTrue="1">
      <formula>$F41="無"</formula>
    </cfRule>
  </conditionalFormatting>
  <conditionalFormatting sqref="O41">
    <cfRule type="expression" dxfId="1944" priority="1946" stopIfTrue="1">
      <formula>$F41="無"</formula>
    </cfRule>
  </conditionalFormatting>
  <conditionalFormatting sqref="Q41">
    <cfRule type="expression" dxfId="1943" priority="1945" stopIfTrue="1">
      <formula>$F41="無"</formula>
    </cfRule>
  </conditionalFormatting>
  <conditionalFormatting sqref="S41">
    <cfRule type="expression" dxfId="1942" priority="1944" stopIfTrue="1">
      <formula>$F41="無"</formula>
    </cfRule>
  </conditionalFormatting>
  <conditionalFormatting sqref="U41">
    <cfRule type="expression" dxfId="1941" priority="1943" stopIfTrue="1">
      <formula>$F41="無"</formula>
    </cfRule>
  </conditionalFormatting>
  <conditionalFormatting sqref="W78:Y78 J78:U78 AA78:AH78">
    <cfRule type="expression" dxfId="1940" priority="1941">
      <formula>$F78="無"</formula>
    </cfRule>
  </conditionalFormatting>
  <conditionalFormatting sqref="W80:AH81">
    <cfRule type="expression" dxfId="1939" priority="1940">
      <formula>$F80="無"</formula>
    </cfRule>
  </conditionalFormatting>
  <conditionalFormatting sqref="J84:AG84">
    <cfRule type="expression" dxfId="1938" priority="1939">
      <formula>$F84="無"</formula>
    </cfRule>
  </conditionalFormatting>
  <conditionalFormatting sqref="I97:AH99">
    <cfRule type="expression" dxfId="1937" priority="1937">
      <formula>$F97="無"</formula>
    </cfRule>
  </conditionalFormatting>
  <conditionalFormatting sqref="I98">
    <cfRule type="expression" dxfId="1936" priority="1938">
      <formula>$I98="▼ 選択"</formula>
    </cfRule>
  </conditionalFormatting>
  <conditionalFormatting sqref="I99">
    <cfRule type="expression" dxfId="1935" priority="1936">
      <formula>$I99="▼ 選択"</formula>
    </cfRule>
  </conditionalFormatting>
  <conditionalFormatting sqref="I99">
    <cfRule type="expression" dxfId="1934" priority="1935">
      <formula>$I99="▼ 選択"</formula>
    </cfRule>
  </conditionalFormatting>
  <conditionalFormatting sqref="P103 J103 L103 N103 R103 T103 V103:AH103">
    <cfRule type="expression" dxfId="1933" priority="1934" stopIfTrue="1">
      <formula>$F103="無"</formula>
    </cfRule>
  </conditionalFormatting>
  <conditionalFormatting sqref="L103">
    <cfRule type="expression" dxfId="1932" priority="1933" stopIfTrue="1">
      <formula>$F103="無"</formula>
    </cfRule>
  </conditionalFormatting>
  <conditionalFormatting sqref="P103">
    <cfRule type="expression" dxfId="1931" priority="1932" stopIfTrue="1">
      <formula>$F103="無"</formula>
    </cfRule>
  </conditionalFormatting>
  <conditionalFormatting sqref="V103:W103">
    <cfRule type="expression" dxfId="1930" priority="1931" stopIfTrue="1">
      <formula>$F103="無"</formula>
    </cfRule>
  </conditionalFormatting>
  <conditionalFormatting sqref="X103:Y103">
    <cfRule type="expression" dxfId="1929" priority="1930" stopIfTrue="1">
      <formula>$F103="無"</formula>
    </cfRule>
  </conditionalFormatting>
  <conditionalFormatting sqref="Z103:AA103">
    <cfRule type="expression" dxfId="1928" priority="1929" stopIfTrue="1">
      <formula>$F103="無"</formula>
    </cfRule>
  </conditionalFormatting>
  <conditionalFormatting sqref="AB103:AC103">
    <cfRule type="expression" dxfId="1927" priority="1928" stopIfTrue="1">
      <formula>$F103="無"</formula>
    </cfRule>
  </conditionalFormatting>
  <conditionalFormatting sqref="K103">
    <cfRule type="expression" dxfId="1926" priority="1927" stopIfTrue="1">
      <formula>$F103="無"</formula>
    </cfRule>
  </conditionalFormatting>
  <conditionalFormatting sqref="M103">
    <cfRule type="expression" dxfId="1925" priority="1926" stopIfTrue="1">
      <formula>$F103="無"</formula>
    </cfRule>
  </conditionalFormatting>
  <conditionalFormatting sqref="M103">
    <cfRule type="expression" dxfId="1924" priority="1925" stopIfTrue="1">
      <formula>$F103="無"</formula>
    </cfRule>
  </conditionalFormatting>
  <conditionalFormatting sqref="M103">
    <cfRule type="expression" dxfId="1923" priority="1924" stopIfTrue="1">
      <formula>$F103="無"</formula>
    </cfRule>
  </conditionalFormatting>
  <conditionalFormatting sqref="M103">
    <cfRule type="expression" dxfId="1922" priority="1923" stopIfTrue="1">
      <formula>$F103="無"</formula>
    </cfRule>
  </conditionalFormatting>
  <conditionalFormatting sqref="O103">
    <cfRule type="expression" dxfId="1921" priority="1922" stopIfTrue="1">
      <formula>$F103="無"</formula>
    </cfRule>
  </conditionalFormatting>
  <conditionalFormatting sqref="O103">
    <cfRule type="expression" dxfId="1920" priority="1921" stopIfTrue="1">
      <formula>$F103="無"</formula>
    </cfRule>
  </conditionalFormatting>
  <conditionalFormatting sqref="O103">
    <cfRule type="expression" dxfId="1919" priority="1920" stopIfTrue="1">
      <formula>$F103="無"</formula>
    </cfRule>
  </conditionalFormatting>
  <conditionalFormatting sqref="O103">
    <cfRule type="expression" dxfId="1918" priority="1919" stopIfTrue="1">
      <formula>$F103="無"</formula>
    </cfRule>
  </conditionalFormatting>
  <conditionalFormatting sqref="Q103">
    <cfRule type="expression" dxfId="1917" priority="1918" stopIfTrue="1">
      <formula>$F103="無"</formula>
    </cfRule>
  </conditionalFormatting>
  <conditionalFormatting sqref="Q103">
    <cfRule type="expression" dxfId="1916" priority="1917" stopIfTrue="1">
      <formula>$F103="無"</formula>
    </cfRule>
  </conditionalFormatting>
  <conditionalFormatting sqref="S103">
    <cfRule type="expression" dxfId="1915" priority="1916" stopIfTrue="1">
      <formula>$F103="無"</formula>
    </cfRule>
  </conditionalFormatting>
  <conditionalFormatting sqref="S103">
    <cfRule type="expression" dxfId="1914" priority="1915" stopIfTrue="1">
      <formula>$F103="無"</formula>
    </cfRule>
  </conditionalFormatting>
  <conditionalFormatting sqref="U103">
    <cfRule type="expression" dxfId="1913" priority="1914" stopIfTrue="1">
      <formula>$F103="無"</formula>
    </cfRule>
  </conditionalFormatting>
  <conditionalFormatting sqref="U103">
    <cfRule type="expression" dxfId="1912" priority="1913" stopIfTrue="1">
      <formula>$F103="無"</formula>
    </cfRule>
  </conditionalFormatting>
  <conditionalFormatting sqref="I105:J105 L105 N105 P105 R105 T105 V105:AH105">
    <cfRule type="expression" dxfId="1911" priority="1912">
      <formula>$E105="無"</formula>
    </cfRule>
  </conditionalFormatting>
  <conditionalFormatting sqref="K105">
    <cfRule type="expression" dxfId="1910" priority="1911" stopIfTrue="1">
      <formula>$F105="無"</formula>
    </cfRule>
  </conditionalFormatting>
  <conditionalFormatting sqref="K105">
    <cfRule type="expression" dxfId="1909" priority="1910" stopIfTrue="1">
      <formula>$F105="無"</formula>
    </cfRule>
  </conditionalFormatting>
  <conditionalFormatting sqref="K105">
    <cfRule type="expression" dxfId="1908" priority="1909" stopIfTrue="1">
      <formula>$F105="無"</formula>
    </cfRule>
  </conditionalFormatting>
  <conditionalFormatting sqref="K105">
    <cfRule type="expression" dxfId="1907" priority="1908" stopIfTrue="1">
      <formula>$F105="無"</formula>
    </cfRule>
  </conditionalFormatting>
  <conditionalFormatting sqref="K105">
    <cfRule type="expression" dxfId="1906" priority="1907" stopIfTrue="1">
      <formula>$F105="無"</formula>
    </cfRule>
  </conditionalFormatting>
  <conditionalFormatting sqref="K105">
    <cfRule type="expression" dxfId="1905" priority="1906" stopIfTrue="1">
      <formula>$F105="無"</formula>
    </cfRule>
  </conditionalFormatting>
  <conditionalFormatting sqref="K105">
    <cfRule type="expression" dxfId="1904" priority="1905" stopIfTrue="1">
      <formula>$F105="無"</formula>
    </cfRule>
  </conditionalFormatting>
  <conditionalFormatting sqref="K105">
    <cfRule type="expression" dxfId="1903" priority="1904" stopIfTrue="1">
      <formula>$F105="無"</formula>
    </cfRule>
  </conditionalFormatting>
  <conditionalFormatting sqref="K105">
    <cfRule type="expression" dxfId="1902" priority="1903" stopIfTrue="1">
      <formula>$F105="無"</formula>
    </cfRule>
  </conditionalFormatting>
  <conditionalFormatting sqref="K105">
    <cfRule type="expression" dxfId="1901" priority="1902" stopIfTrue="1">
      <formula>$F105="無"</formula>
    </cfRule>
  </conditionalFormatting>
  <conditionalFormatting sqref="K105">
    <cfRule type="expression" dxfId="1900" priority="1901" stopIfTrue="1">
      <formula>$F105="無"</formula>
    </cfRule>
  </conditionalFormatting>
  <conditionalFormatting sqref="K105">
    <cfRule type="expression" dxfId="1899" priority="1900" stopIfTrue="1">
      <formula>$F105="無"</formula>
    </cfRule>
  </conditionalFormatting>
  <conditionalFormatting sqref="K105">
    <cfRule type="expression" dxfId="1898" priority="1899" stopIfTrue="1">
      <formula>$F105="無"</formula>
    </cfRule>
  </conditionalFormatting>
  <conditionalFormatting sqref="K105">
    <cfRule type="expression" dxfId="1897" priority="1898" stopIfTrue="1">
      <formula>$F105="無"</formula>
    </cfRule>
  </conditionalFormatting>
  <conditionalFormatting sqref="K105">
    <cfRule type="expression" dxfId="1896" priority="1897" stopIfTrue="1">
      <formula>$F105="無"</formula>
    </cfRule>
  </conditionalFormatting>
  <conditionalFormatting sqref="K105">
    <cfRule type="expression" dxfId="1895" priority="1896" stopIfTrue="1">
      <formula>$F105="無"</formula>
    </cfRule>
  </conditionalFormatting>
  <conditionalFormatting sqref="K105">
    <cfRule type="expression" dxfId="1894" priority="1895" stopIfTrue="1">
      <formula>$F105="無"</formula>
    </cfRule>
  </conditionalFormatting>
  <conditionalFormatting sqref="K105">
    <cfRule type="expression" dxfId="1893" priority="1894" stopIfTrue="1">
      <formula>$F105="無"</formula>
    </cfRule>
  </conditionalFormatting>
  <conditionalFormatting sqref="K105">
    <cfRule type="expression" dxfId="1892" priority="1893" stopIfTrue="1">
      <formula>$F105="無"</formula>
    </cfRule>
  </conditionalFormatting>
  <conditionalFormatting sqref="K105">
    <cfRule type="expression" dxfId="1891" priority="1892" stopIfTrue="1">
      <formula>$F105="無"</formula>
    </cfRule>
  </conditionalFormatting>
  <conditionalFormatting sqref="K105">
    <cfRule type="expression" dxfId="1890" priority="1891" stopIfTrue="1">
      <formula>$F105="無"</formula>
    </cfRule>
  </conditionalFormatting>
  <conditionalFormatting sqref="K105">
    <cfRule type="expression" dxfId="1889" priority="1890" stopIfTrue="1">
      <formula>$F105="無"</formula>
    </cfRule>
  </conditionalFormatting>
  <conditionalFormatting sqref="K105">
    <cfRule type="expression" dxfId="1888" priority="1889" stopIfTrue="1">
      <formula>$F105="無"</formula>
    </cfRule>
  </conditionalFormatting>
  <conditionalFormatting sqref="K105">
    <cfRule type="expression" dxfId="1887" priority="1888" stopIfTrue="1">
      <formula>$F105="無"</formula>
    </cfRule>
  </conditionalFormatting>
  <conditionalFormatting sqref="K105">
    <cfRule type="expression" dxfId="1886" priority="1887" stopIfTrue="1">
      <formula>$F105="無"</formula>
    </cfRule>
  </conditionalFormatting>
  <conditionalFormatting sqref="K105">
    <cfRule type="expression" dxfId="1885" priority="1886" stopIfTrue="1">
      <formula>$F105="無"</formula>
    </cfRule>
  </conditionalFormatting>
  <conditionalFormatting sqref="K105">
    <cfRule type="expression" dxfId="1884" priority="1885" stopIfTrue="1">
      <formula>$F105="無"</formula>
    </cfRule>
  </conditionalFormatting>
  <conditionalFormatting sqref="K105">
    <cfRule type="expression" dxfId="1883" priority="1884" stopIfTrue="1">
      <formula>$F105="無"</formula>
    </cfRule>
  </conditionalFormatting>
  <conditionalFormatting sqref="K105">
    <cfRule type="expression" dxfId="1882" priority="1883" stopIfTrue="1">
      <formula>$F105="無"</formula>
    </cfRule>
  </conditionalFormatting>
  <conditionalFormatting sqref="K105">
    <cfRule type="expression" dxfId="1881" priority="1882" stopIfTrue="1">
      <formula>$F105="無"</formula>
    </cfRule>
  </conditionalFormatting>
  <conditionalFormatting sqref="K105">
    <cfRule type="expression" dxfId="1880" priority="1881" stopIfTrue="1">
      <formula>$F105="無"</formula>
    </cfRule>
  </conditionalFormatting>
  <conditionalFormatting sqref="K105">
    <cfRule type="expression" dxfId="1879" priority="1880" stopIfTrue="1">
      <formula>$F105="無"</formula>
    </cfRule>
  </conditionalFormatting>
  <conditionalFormatting sqref="K105">
    <cfRule type="expression" dxfId="1878" priority="1879" stopIfTrue="1">
      <formula>$F105="無"</formula>
    </cfRule>
  </conditionalFormatting>
  <conditionalFormatting sqref="K105">
    <cfRule type="expression" dxfId="1877" priority="1878" stopIfTrue="1">
      <formula>$F105="無"</formula>
    </cfRule>
  </conditionalFormatting>
  <conditionalFormatting sqref="K105">
    <cfRule type="expression" dxfId="1876" priority="1877" stopIfTrue="1">
      <formula>$F105="無"</formula>
    </cfRule>
  </conditionalFormatting>
  <conditionalFormatting sqref="K105">
    <cfRule type="expression" dxfId="1875" priority="1876" stopIfTrue="1">
      <formula>$F105="無"</formula>
    </cfRule>
  </conditionalFormatting>
  <conditionalFormatting sqref="K105">
    <cfRule type="expression" dxfId="1874" priority="1875" stopIfTrue="1">
      <formula>$F105="無"</formula>
    </cfRule>
  </conditionalFormatting>
  <conditionalFormatting sqref="K105">
    <cfRule type="expression" dxfId="1873" priority="1874" stopIfTrue="1">
      <formula>$F105="無"</formula>
    </cfRule>
  </conditionalFormatting>
  <conditionalFormatting sqref="K105">
    <cfRule type="expression" dxfId="1872" priority="1873" stopIfTrue="1">
      <formula>$F105="無"</formula>
    </cfRule>
  </conditionalFormatting>
  <conditionalFormatting sqref="K105">
    <cfRule type="expression" dxfId="1871" priority="1872" stopIfTrue="1">
      <formula>$F105="無"</formula>
    </cfRule>
  </conditionalFormatting>
  <conditionalFormatting sqref="K105">
    <cfRule type="expression" dxfId="1870" priority="1871" stopIfTrue="1">
      <formula>$F105="無"</formula>
    </cfRule>
  </conditionalFormatting>
  <conditionalFormatting sqref="K105">
    <cfRule type="expression" dxfId="1869" priority="1870" stopIfTrue="1">
      <formula>$F105="無"</formula>
    </cfRule>
  </conditionalFormatting>
  <conditionalFormatting sqref="K105">
    <cfRule type="expression" dxfId="1868" priority="1835" stopIfTrue="1">
      <formula>$F105="無"</formula>
    </cfRule>
  </conditionalFormatting>
  <conditionalFormatting sqref="K105">
    <cfRule type="expression" dxfId="1867" priority="1834" stopIfTrue="1">
      <formula>$F105="無"</formula>
    </cfRule>
  </conditionalFormatting>
  <conditionalFormatting sqref="K105">
    <cfRule type="expression" dxfId="1866" priority="1833" stopIfTrue="1">
      <formula>$F105="無"</formula>
    </cfRule>
  </conditionalFormatting>
  <conditionalFormatting sqref="K105">
    <cfRule type="expression" dxfId="1865" priority="1832" stopIfTrue="1">
      <formula>$F105="無"</formula>
    </cfRule>
  </conditionalFormatting>
  <conditionalFormatting sqref="K105">
    <cfRule type="expression" dxfId="1864" priority="1831" stopIfTrue="1">
      <formula>$F105="無"</formula>
    </cfRule>
  </conditionalFormatting>
  <conditionalFormatting sqref="K105">
    <cfRule type="expression" dxfId="1863" priority="1830" stopIfTrue="1">
      <formula>$F105="無"</formula>
    </cfRule>
  </conditionalFormatting>
  <conditionalFormatting sqref="K105">
    <cfRule type="expression" dxfId="1862" priority="1829" stopIfTrue="1">
      <formula>$F105="無"</formula>
    </cfRule>
  </conditionalFormatting>
  <conditionalFormatting sqref="K105">
    <cfRule type="expression" dxfId="1861" priority="1828" stopIfTrue="1">
      <formula>$F105="無"</formula>
    </cfRule>
  </conditionalFormatting>
  <conditionalFormatting sqref="K105">
    <cfRule type="expression" dxfId="1860" priority="1827" stopIfTrue="1">
      <formula>$F105="無"</formula>
    </cfRule>
  </conditionalFormatting>
  <conditionalFormatting sqref="K105">
    <cfRule type="expression" dxfId="1859" priority="1826" stopIfTrue="1">
      <formula>$F105="無"</formula>
    </cfRule>
  </conditionalFormatting>
  <conditionalFormatting sqref="K105">
    <cfRule type="expression" dxfId="1858" priority="1869" stopIfTrue="1">
      <formula>$F105="無"</formula>
    </cfRule>
  </conditionalFormatting>
  <conditionalFormatting sqref="K105">
    <cfRule type="expression" dxfId="1857" priority="1868" stopIfTrue="1">
      <formula>$F105="無"</formula>
    </cfRule>
  </conditionalFormatting>
  <conditionalFormatting sqref="K105">
    <cfRule type="expression" dxfId="1856" priority="1867" stopIfTrue="1">
      <formula>$F105="無"</formula>
    </cfRule>
  </conditionalFormatting>
  <conditionalFormatting sqref="K105">
    <cfRule type="expression" dxfId="1855" priority="1866" stopIfTrue="1">
      <formula>$F105="無"</formula>
    </cfRule>
  </conditionalFormatting>
  <conditionalFormatting sqref="K105">
    <cfRule type="expression" dxfId="1854" priority="1865" stopIfTrue="1">
      <formula>$F105="無"</formula>
    </cfRule>
  </conditionalFormatting>
  <conditionalFormatting sqref="K105">
    <cfRule type="expression" dxfId="1853" priority="1864" stopIfTrue="1">
      <formula>$F105="無"</formula>
    </cfRule>
  </conditionalFormatting>
  <conditionalFormatting sqref="K105">
    <cfRule type="expression" dxfId="1852" priority="1863" stopIfTrue="1">
      <formula>$F105="無"</formula>
    </cfRule>
  </conditionalFormatting>
  <conditionalFormatting sqref="K105">
    <cfRule type="expression" dxfId="1851" priority="1862" stopIfTrue="1">
      <formula>$F105="無"</formula>
    </cfRule>
  </conditionalFormatting>
  <conditionalFormatting sqref="K105">
    <cfRule type="expression" dxfId="1850" priority="1861" stopIfTrue="1">
      <formula>$F105="無"</formula>
    </cfRule>
  </conditionalFormatting>
  <conditionalFormatting sqref="K105">
    <cfRule type="expression" dxfId="1849" priority="1860" stopIfTrue="1">
      <formula>$F105="無"</formula>
    </cfRule>
  </conditionalFormatting>
  <conditionalFormatting sqref="K105">
    <cfRule type="expression" dxfId="1848" priority="1859" stopIfTrue="1">
      <formula>$F105="無"</formula>
    </cfRule>
  </conditionalFormatting>
  <conditionalFormatting sqref="K105">
    <cfRule type="expression" dxfId="1847" priority="1858" stopIfTrue="1">
      <formula>$F105="無"</formula>
    </cfRule>
  </conditionalFormatting>
  <conditionalFormatting sqref="K105">
    <cfRule type="expression" dxfId="1846" priority="1857" stopIfTrue="1">
      <formula>$F105="無"</formula>
    </cfRule>
  </conditionalFormatting>
  <conditionalFormatting sqref="K105">
    <cfRule type="expression" dxfId="1845" priority="1856" stopIfTrue="1">
      <formula>$F105="無"</formula>
    </cfRule>
  </conditionalFormatting>
  <conditionalFormatting sqref="K105">
    <cfRule type="expression" dxfId="1844" priority="1855" stopIfTrue="1">
      <formula>$F105="無"</formula>
    </cfRule>
  </conditionalFormatting>
  <conditionalFormatting sqref="K105">
    <cfRule type="expression" dxfId="1843" priority="1854" stopIfTrue="1">
      <formula>$F105="無"</formula>
    </cfRule>
  </conditionalFormatting>
  <conditionalFormatting sqref="K105">
    <cfRule type="expression" dxfId="1842" priority="1853" stopIfTrue="1">
      <formula>$F105="無"</formula>
    </cfRule>
  </conditionalFormatting>
  <conditionalFormatting sqref="K105">
    <cfRule type="expression" dxfId="1841" priority="1852" stopIfTrue="1">
      <formula>$F105="無"</formula>
    </cfRule>
  </conditionalFormatting>
  <conditionalFormatting sqref="K105">
    <cfRule type="expression" dxfId="1840" priority="1851" stopIfTrue="1">
      <formula>$F105="無"</formula>
    </cfRule>
  </conditionalFormatting>
  <conditionalFormatting sqref="K105">
    <cfRule type="expression" dxfId="1839" priority="1850" stopIfTrue="1">
      <formula>$F105="無"</formula>
    </cfRule>
  </conditionalFormatting>
  <conditionalFormatting sqref="K105">
    <cfRule type="expression" dxfId="1838" priority="1849" stopIfTrue="1">
      <formula>$F105="無"</formula>
    </cfRule>
  </conditionalFormatting>
  <conditionalFormatting sqref="K105">
    <cfRule type="expression" dxfId="1837" priority="1848" stopIfTrue="1">
      <formula>$F105="無"</formula>
    </cfRule>
  </conditionalFormatting>
  <conditionalFormatting sqref="K105">
    <cfRule type="expression" dxfId="1836" priority="1847" stopIfTrue="1">
      <formula>$F105="無"</formula>
    </cfRule>
  </conditionalFormatting>
  <conditionalFormatting sqref="K105">
    <cfRule type="expression" dxfId="1835" priority="1846" stopIfTrue="1">
      <formula>$F105="無"</formula>
    </cfRule>
  </conditionalFormatting>
  <conditionalFormatting sqref="K105">
    <cfRule type="expression" dxfId="1834" priority="1845" stopIfTrue="1">
      <formula>$F105="無"</formula>
    </cfRule>
  </conditionalFormatting>
  <conditionalFormatting sqref="K105">
    <cfRule type="expression" dxfId="1833" priority="1844" stopIfTrue="1">
      <formula>$F105="無"</formula>
    </cfRule>
  </conditionalFormatting>
  <conditionalFormatting sqref="K105">
    <cfRule type="expression" dxfId="1832" priority="1843" stopIfTrue="1">
      <formula>$F105="無"</formula>
    </cfRule>
  </conditionalFormatting>
  <conditionalFormatting sqref="K105">
    <cfRule type="expression" dxfId="1831" priority="1842" stopIfTrue="1">
      <formula>$F105="無"</formula>
    </cfRule>
  </conditionalFormatting>
  <conditionalFormatting sqref="K105">
    <cfRule type="expression" dxfId="1830" priority="1841" stopIfTrue="1">
      <formula>$F105="無"</formula>
    </cfRule>
  </conditionalFormatting>
  <conditionalFormatting sqref="K105">
    <cfRule type="expression" dxfId="1829" priority="1840" stopIfTrue="1">
      <formula>$F105="無"</formula>
    </cfRule>
  </conditionalFormatting>
  <conditionalFormatting sqref="K105">
    <cfRule type="expression" dxfId="1828" priority="1839" stopIfTrue="1">
      <formula>$F105="無"</formula>
    </cfRule>
  </conditionalFormatting>
  <conditionalFormatting sqref="K105">
    <cfRule type="expression" dxfId="1827" priority="1838" stopIfTrue="1">
      <formula>$F105="無"</formula>
    </cfRule>
  </conditionalFormatting>
  <conditionalFormatting sqref="K105">
    <cfRule type="expression" dxfId="1826" priority="1837" stopIfTrue="1">
      <formula>$F105="無"</formula>
    </cfRule>
  </conditionalFormatting>
  <conditionalFormatting sqref="K105">
    <cfRule type="expression" dxfId="1825" priority="1836" stopIfTrue="1">
      <formula>$F105="無"</formula>
    </cfRule>
  </conditionalFormatting>
  <conditionalFormatting sqref="K105">
    <cfRule type="expression" dxfId="1824" priority="1825" stopIfTrue="1">
      <formula>$F105="無"</formula>
    </cfRule>
  </conditionalFormatting>
  <conditionalFormatting sqref="K105">
    <cfRule type="expression" dxfId="1823" priority="1824" stopIfTrue="1">
      <formula>$F105="無"</formula>
    </cfRule>
  </conditionalFormatting>
  <conditionalFormatting sqref="K105">
    <cfRule type="expression" dxfId="1822" priority="1823" stopIfTrue="1">
      <formula>$F105="無"</formula>
    </cfRule>
  </conditionalFormatting>
  <conditionalFormatting sqref="K105">
    <cfRule type="expression" dxfId="1821" priority="1822" stopIfTrue="1">
      <formula>$F105="無"</formula>
    </cfRule>
  </conditionalFormatting>
  <conditionalFormatting sqref="K105">
    <cfRule type="expression" dxfId="1820" priority="1821" stopIfTrue="1">
      <formula>$F105="無"</formula>
    </cfRule>
  </conditionalFormatting>
  <conditionalFormatting sqref="K105">
    <cfRule type="expression" dxfId="1819" priority="1820" stopIfTrue="1">
      <formula>$F105="無"</formula>
    </cfRule>
  </conditionalFormatting>
  <conditionalFormatting sqref="K105">
    <cfRule type="expression" dxfId="1818" priority="1819" stopIfTrue="1">
      <formula>$F105="無"</formula>
    </cfRule>
  </conditionalFormatting>
  <conditionalFormatting sqref="K105">
    <cfRule type="expression" dxfId="1817" priority="1818" stopIfTrue="1">
      <formula>$F105="無"</formula>
    </cfRule>
  </conditionalFormatting>
  <conditionalFormatting sqref="K105">
    <cfRule type="expression" dxfId="1816" priority="1817" stopIfTrue="1">
      <formula>$F105="無"</formula>
    </cfRule>
  </conditionalFormatting>
  <conditionalFormatting sqref="K105">
    <cfRule type="expression" dxfId="1815" priority="1816" stopIfTrue="1">
      <formula>$F105="無"</formula>
    </cfRule>
  </conditionalFormatting>
  <conditionalFormatting sqref="K105">
    <cfRule type="expression" dxfId="1814" priority="1815" stopIfTrue="1">
      <formula>$F105="無"</formula>
    </cfRule>
  </conditionalFormatting>
  <conditionalFormatting sqref="K105">
    <cfRule type="expression" dxfId="1813" priority="1814" stopIfTrue="1">
      <formula>$F105="無"</formula>
    </cfRule>
  </conditionalFormatting>
  <conditionalFormatting sqref="K105">
    <cfRule type="expression" dxfId="1812" priority="1813" stopIfTrue="1">
      <formula>$F105="無"</formula>
    </cfRule>
  </conditionalFormatting>
  <conditionalFormatting sqref="K105">
    <cfRule type="expression" dxfId="1811" priority="1812" stopIfTrue="1">
      <formula>$F105="無"</formula>
    </cfRule>
  </conditionalFormatting>
  <conditionalFormatting sqref="K105">
    <cfRule type="expression" dxfId="1810" priority="1811" stopIfTrue="1">
      <formula>$F105="無"</formula>
    </cfRule>
  </conditionalFormatting>
  <conditionalFormatting sqref="K105">
    <cfRule type="expression" dxfId="1809" priority="1810" stopIfTrue="1">
      <formula>$F105="無"</formula>
    </cfRule>
  </conditionalFormatting>
  <conditionalFormatting sqref="K105">
    <cfRule type="expression" dxfId="1808" priority="1809" stopIfTrue="1">
      <formula>$F105="無"</formula>
    </cfRule>
  </conditionalFormatting>
  <conditionalFormatting sqref="K105">
    <cfRule type="expression" dxfId="1807" priority="1808" stopIfTrue="1">
      <formula>$F105="無"</formula>
    </cfRule>
  </conditionalFormatting>
  <conditionalFormatting sqref="K105">
    <cfRule type="expression" dxfId="1806" priority="1807" stopIfTrue="1">
      <formula>$F105="無"</formula>
    </cfRule>
  </conditionalFormatting>
  <conditionalFormatting sqref="K105">
    <cfRule type="expression" dxfId="1805" priority="1806" stopIfTrue="1">
      <formula>$F105="無"</formula>
    </cfRule>
  </conditionalFormatting>
  <conditionalFormatting sqref="K105">
    <cfRule type="expression" dxfId="1804" priority="1805" stopIfTrue="1">
      <formula>$F105="無"</formula>
    </cfRule>
  </conditionalFormatting>
  <conditionalFormatting sqref="K105">
    <cfRule type="expression" dxfId="1803" priority="1804" stopIfTrue="1">
      <formula>$F105="無"</formula>
    </cfRule>
  </conditionalFormatting>
  <conditionalFormatting sqref="K105">
    <cfRule type="expression" dxfId="1802" priority="1803" stopIfTrue="1">
      <formula>$F105="無"</formula>
    </cfRule>
  </conditionalFormatting>
  <conditionalFormatting sqref="K105">
    <cfRule type="expression" dxfId="1801" priority="1802" stopIfTrue="1">
      <formula>$F105="無"</formula>
    </cfRule>
  </conditionalFormatting>
  <conditionalFormatting sqref="K105">
    <cfRule type="expression" dxfId="1800" priority="1801" stopIfTrue="1">
      <formula>$F105="無"</formula>
    </cfRule>
  </conditionalFormatting>
  <conditionalFormatting sqref="K105">
    <cfRule type="expression" dxfId="1799" priority="1800" stopIfTrue="1">
      <formula>$F105="無"</formula>
    </cfRule>
  </conditionalFormatting>
  <conditionalFormatting sqref="K105">
    <cfRule type="expression" dxfId="1798" priority="1799" stopIfTrue="1">
      <formula>$F105="無"</formula>
    </cfRule>
  </conditionalFormatting>
  <conditionalFormatting sqref="K105">
    <cfRule type="expression" dxfId="1797" priority="1798" stopIfTrue="1">
      <formula>$F105="無"</formula>
    </cfRule>
  </conditionalFormatting>
  <conditionalFormatting sqref="K105">
    <cfRule type="expression" dxfId="1796" priority="1797" stopIfTrue="1">
      <formula>$F105="無"</formula>
    </cfRule>
  </conditionalFormatting>
  <conditionalFormatting sqref="K105">
    <cfRule type="expression" dxfId="1795" priority="1796" stopIfTrue="1">
      <formula>$F105="無"</formula>
    </cfRule>
  </conditionalFormatting>
  <conditionalFormatting sqref="K105">
    <cfRule type="expression" dxfId="1794" priority="1795" stopIfTrue="1">
      <formula>$F105="無"</formula>
    </cfRule>
  </conditionalFormatting>
  <conditionalFormatting sqref="K105">
    <cfRule type="expression" dxfId="1793" priority="1794" stopIfTrue="1">
      <formula>$F105="無"</formula>
    </cfRule>
  </conditionalFormatting>
  <conditionalFormatting sqref="K105">
    <cfRule type="expression" dxfId="1792" priority="1793" stopIfTrue="1">
      <formula>$F105="無"</formula>
    </cfRule>
  </conditionalFormatting>
  <conditionalFormatting sqref="K105">
    <cfRule type="expression" dxfId="1791" priority="1792" stopIfTrue="1">
      <formula>$F105="無"</formula>
    </cfRule>
  </conditionalFormatting>
  <conditionalFormatting sqref="K105">
    <cfRule type="expression" dxfId="1790" priority="1791" stopIfTrue="1">
      <formula>$F105="無"</formula>
    </cfRule>
  </conditionalFormatting>
  <conditionalFormatting sqref="K105">
    <cfRule type="expression" dxfId="1789" priority="1790" stopIfTrue="1">
      <formula>$F105="無"</formula>
    </cfRule>
  </conditionalFormatting>
  <conditionalFormatting sqref="K105">
    <cfRule type="expression" dxfId="1788" priority="1789" stopIfTrue="1">
      <formula>$F105="無"</formula>
    </cfRule>
  </conditionalFormatting>
  <conditionalFormatting sqref="K105">
    <cfRule type="expression" dxfId="1787" priority="1788" stopIfTrue="1">
      <formula>$F105="無"</formula>
    </cfRule>
  </conditionalFormatting>
  <conditionalFormatting sqref="K105">
    <cfRule type="expression" dxfId="1786" priority="1787" stopIfTrue="1">
      <formula>$F105="無"</formula>
    </cfRule>
  </conditionalFormatting>
  <conditionalFormatting sqref="K105">
    <cfRule type="expression" dxfId="1785" priority="1786" stopIfTrue="1">
      <formula>$F105="無"</formula>
    </cfRule>
  </conditionalFormatting>
  <conditionalFormatting sqref="K105">
    <cfRule type="expression" dxfId="1784" priority="1785" stopIfTrue="1">
      <formula>$F105="無"</formula>
    </cfRule>
  </conditionalFormatting>
  <conditionalFormatting sqref="K105">
    <cfRule type="expression" dxfId="1783" priority="1784" stopIfTrue="1">
      <formula>$F105="無"</formula>
    </cfRule>
  </conditionalFormatting>
  <conditionalFormatting sqref="K105">
    <cfRule type="expression" dxfId="1782" priority="1783" stopIfTrue="1">
      <formula>$F105="無"</formula>
    </cfRule>
  </conditionalFormatting>
  <conditionalFormatting sqref="K105">
    <cfRule type="expression" dxfId="1781" priority="1782" stopIfTrue="1">
      <formula>$F105="無"</formula>
    </cfRule>
  </conditionalFormatting>
  <conditionalFormatting sqref="K105">
    <cfRule type="expression" dxfId="1780" priority="1781" stopIfTrue="1">
      <formula>$F105="無"</formula>
    </cfRule>
  </conditionalFormatting>
  <conditionalFormatting sqref="K105">
    <cfRule type="expression" dxfId="1779" priority="1780" stopIfTrue="1">
      <formula>$F105="無"</formula>
    </cfRule>
  </conditionalFormatting>
  <conditionalFormatting sqref="K105">
    <cfRule type="expression" dxfId="1778" priority="1779" stopIfTrue="1">
      <formula>$F105="無"</formula>
    </cfRule>
  </conditionalFormatting>
  <conditionalFormatting sqref="K105">
    <cfRule type="expression" dxfId="1777" priority="1778" stopIfTrue="1">
      <formula>$F105="無"</formula>
    </cfRule>
  </conditionalFormatting>
  <conditionalFormatting sqref="K105">
    <cfRule type="expression" dxfId="1776" priority="1777" stopIfTrue="1">
      <formula>$F105="無"</formula>
    </cfRule>
  </conditionalFormatting>
  <conditionalFormatting sqref="K105">
    <cfRule type="expression" dxfId="1775" priority="1776" stopIfTrue="1">
      <formula>$F105="無"</formula>
    </cfRule>
  </conditionalFormatting>
  <conditionalFormatting sqref="K105">
    <cfRule type="expression" dxfId="1774" priority="1775" stopIfTrue="1">
      <formula>$F105="無"</formula>
    </cfRule>
  </conditionalFormatting>
  <conditionalFormatting sqref="K105">
    <cfRule type="expression" dxfId="1773" priority="1774" stopIfTrue="1">
      <formula>$F105="無"</formula>
    </cfRule>
  </conditionalFormatting>
  <conditionalFormatting sqref="K105">
    <cfRule type="expression" dxfId="1772" priority="1773" stopIfTrue="1">
      <formula>$F105="無"</formula>
    </cfRule>
  </conditionalFormatting>
  <conditionalFormatting sqref="K105">
    <cfRule type="expression" dxfId="1771" priority="1772" stopIfTrue="1">
      <formula>$F105="無"</formula>
    </cfRule>
  </conditionalFormatting>
  <conditionalFormatting sqref="K105">
    <cfRule type="expression" dxfId="1770" priority="1771" stopIfTrue="1">
      <formula>$F105="無"</formula>
    </cfRule>
  </conditionalFormatting>
  <conditionalFormatting sqref="K105">
    <cfRule type="expression" dxfId="1769" priority="1770" stopIfTrue="1">
      <formula>$F105="無"</formula>
    </cfRule>
  </conditionalFormatting>
  <conditionalFormatting sqref="K105">
    <cfRule type="expression" dxfId="1768" priority="1769" stopIfTrue="1">
      <formula>$F105="無"</formula>
    </cfRule>
  </conditionalFormatting>
  <conditionalFormatting sqref="K105">
    <cfRule type="expression" dxfId="1767" priority="1768" stopIfTrue="1">
      <formula>$F105="無"</formula>
    </cfRule>
  </conditionalFormatting>
  <conditionalFormatting sqref="K105">
    <cfRule type="expression" dxfId="1766" priority="1767" stopIfTrue="1">
      <formula>$F105="無"</formula>
    </cfRule>
  </conditionalFormatting>
  <conditionalFormatting sqref="K105">
    <cfRule type="expression" dxfId="1765" priority="1766" stopIfTrue="1">
      <formula>$F105="無"</formula>
    </cfRule>
  </conditionalFormatting>
  <conditionalFormatting sqref="K105">
    <cfRule type="expression" dxfId="1764" priority="1765" stopIfTrue="1">
      <formula>$F105="無"</formula>
    </cfRule>
  </conditionalFormatting>
  <conditionalFormatting sqref="K105">
    <cfRule type="expression" dxfId="1763" priority="1764" stopIfTrue="1">
      <formula>$F105="無"</formula>
    </cfRule>
  </conditionalFormatting>
  <conditionalFormatting sqref="K105">
    <cfRule type="expression" dxfId="1762" priority="1763" stopIfTrue="1">
      <formula>$F105="無"</formula>
    </cfRule>
  </conditionalFormatting>
  <conditionalFormatting sqref="K105">
    <cfRule type="expression" dxfId="1761" priority="1762" stopIfTrue="1">
      <formula>$F105="無"</formula>
    </cfRule>
  </conditionalFormatting>
  <conditionalFormatting sqref="K105">
    <cfRule type="expression" dxfId="1760" priority="1761" stopIfTrue="1">
      <formula>$F105="無"</formula>
    </cfRule>
  </conditionalFormatting>
  <conditionalFormatting sqref="K105">
    <cfRule type="expression" dxfId="1759" priority="1760" stopIfTrue="1">
      <formula>$F105="無"</formula>
    </cfRule>
  </conditionalFormatting>
  <conditionalFormatting sqref="K105">
    <cfRule type="expression" dxfId="1758" priority="1759" stopIfTrue="1">
      <formula>$F105="無"</formula>
    </cfRule>
  </conditionalFormatting>
  <conditionalFormatting sqref="K105">
    <cfRule type="expression" dxfId="1757" priority="1758" stopIfTrue="1">
      <formula>$F105="無"</formula>
    </cfRule>
  </conditionalFormatting>
  <conditionalFormatting sqref="K105">
    <cfRule type="expression" dxfId="1756" priority="1757" stopIfTrue="1">
      <formula>$F105="無"</formula>
    </cfRule>
  </conditionalFormatting>
  <conditionalFormatting sqref="K105">
    <cfRule type="expression" dxfId="1755" priority="1756" stopIfTrue="1">
      <formula>$F105="無"</formula>
    </cfRule>
  </conditionalFormatting>
  <conditionalFormatting sqref="M105">
    <cfRule type="expression" dxfId="1754" priority="1755" stopIfTrue="1">
      <formula>$F105="無"</formula>
    </cfRule>
  </conditionalFormatting>
  <conditionalFormatting sqref="M105">
    <cfRule type="expression" dxfId="1753" priority="1754" stopIfTrue="1">
      <formula>$F105="無"</formula>
    </cfRule>
  </conditionalFormatting>
  <conditionalFormatting sqref="M105">
    <cfRule type="expression" dxfId="1752" priority="1753" stopIfTrue="1">
      <formula>$F105="無"</formula>
    </cfRule>
  </conditionalFormatting>
  <conditionalFormatting sqref="M105">
    <cfRule type="expression" dxfId="1751" priority="1752" stopIfTrue="1">
      <formula>$F105="無"</formula>
    </cfRule>
  </conditionalFormatting>
  <conditionalFormatting sqref="M105">
    <cfRule type="expression" dxfId="1750" priority="1751" stopIfTrue="1">
      <formula>$F105="無"</formula>
    </cfRule>
  </conditionalFormatting>
  <conditionalFormatting sqref="M105">
    <cfRule type="expression" dxfId="1749" priority="1750" stopIfTrue="1">
      <formula>$F105="無"</formula>
    </cfRule>
  </conditionalFormatting>
  <conditionalFormatting sqref="M105">
    <cfRule type="expression" dxfId="1748" priority="1749" stopIfTrue="1">
      <formula>$F105="無"</formula>
    </cfRule>
  </conditionalFormatting>
  <conditionalFormatting sqref="M105">
    <cfRule type="expression" dxfId="1747" priority="1748" stopIfTrue="1">
      <formula>$F105="無"</formula>
    </cfRule>
  </conditionalFormatting>
  <conditionalFormatting sqref="M105">
    <cfRule type="expression" dxfId="1746" priority="1747" stopIfTrue="1">
      <formula>$F105="無"</formula>
    </cfRule>
  </conditionalFormatting>
  <conditionalFormatting sqref="M105">
    <cfRule type="expression" dxfId="1745" priority="1746" stopIfTrue="1">
      <formula>$F105="無"</formula>
    </cfRule>
  </conditionalFormatting>
  <conditionalFormatting sqref="M105">
    <cfRule type="expression" dxfId="1744" priority="1745" stopIfTrue="1">
      <formula>$F105="無"</formula>
    </cfRule>
  </conditionalFormatting>
  <conditionalFormatting sqref="M105">
    <cfRule type="expression" dxfId="1743" priority="1744" stopIfTrue="1">
      <formula>$F105="無"</formula>
    </cfRule>
  </conditionalFormatting>
  <conditionalFormatting sqref="M105">
    <cfRule type="expression" dxfId="1742" priority="1743" stopIfTrue="1">
      <formula>$F105="無"</formula>
    </cfRule>
  </conditionalFormatting>
  <conditionalFormatting sqref="M105">
    <cfRule type="expression" dxfId="1741" priority="1742" stopIfTrue="1">
      <formula>$F105="無"</formula>
    </cfRule>
  </conditionalFormatting>
  <conditionalFormatting sqref="M105">
    <cfRule type="expression" dxfId="1740" priority="1741" stopIfTrue="1">
      <formula>$F105="無"</formula>
    </cfRule>
  </conditionalFormatting>
  <conditionalFormatting sqref="M105">
    <cfRule type="expression" dxfId="1739" priority="1740" stopIfTrue="1">
      <formula>$F105="無"</formula>
    </cfRule>
  </conditionalFormatting>
  <conditionalFormatting sqref="M105">
    <cfRule type="expression" dxfId="1738" priority="1739" stopIfTrue="1">
      <formula>$F105="無"</formula>
    </cfRule>
  </conditionalFormatting>
  <conditionalFormatting sqref="M105">
    <cfRule type="expression" dxfId="1737" priority="1738" stopIfTrue="1">
      <formula>$F105="無"</formula>
    </cfRule>
  </conditionalFormatting>
  <conditionalFormatting sqref="M105">
    <cfRule type="expression" dxfId="1736" priority="1737" stopIfTrue="1">
      <formula>$F105="無"</formula>
    </cfRule>
  </conditionalFormatting>
  <conditionalFormatting sqref="M105">
    <cfRule type="expression" dxfId="1735" priority="1736" stopIfTrue="1">
      <formula>$F105="無"</formula>
    </cfRule>
  </conditionalFormatting>
  <conditionalFormatting sqref="M105">
    <cfRule type="expression" dxfId="1734" priority="1735" stopIfTrue="1">
      <formula>$F105="無"</formula>
    </cfRule>
  </conditionalFormatting>
  <conditionalFormatting sqref="M105">
    <cfRule type="expression" dxfId="1733" priority="1734" stopIfTrue="1">
      <formula>$F105="無"</formula>
    </cfRule>
  </conditionalFormatting>
  <conditionalFormatting sqref="M105">
    <cfRule type="expression" dxfId="1732" priority="1733" stopIfTrue="1">
      <formula>$F105="無"</formula>
    </cfRule>
  </conditionalFormatting>
  <conditionalFormatting sqref="M105">
    <cfRule type="expression" dxfId="1731" priority="1732" stopIfTrue="1">
      <formula>$F105="無"</formula>
    </cfRule>
  </conditionalFormatting>
  <conditionalFormatting sqref="M105">
    <cfRule type="expression" dxfId="1730" priority="1731" stopIfTrue="1">
      <formula>$F105="無"</formula>
    </cfRule>
  </conditionalFormatting>
  <conditionalFormatting sqref="M105">
    <cfRule type="expression" dxfId="1729" priority="1730" stopIfTrue="1">
      <formula>$F105="無"</formula>
    </cfRule>
  </conditionalFormatting>
  <conditionalFormatting sqref="M105">
    <cfRule type="expression" dxfId="1728" priority="1729" stopIfTrue="1">
      <formula>$F105="無"</formula>
    </cfRule>
  </conditionalFormatting>
  <conditionalFormatting sqref="M105">
    <cfRule type="expression" dxfId="1727" priority="1728" stopIfTrue="1">
      <formula>$F105="無"</formula>
    </cfRule>
  </conditionalFormatting>
  <conditionalFormatting sqref="M105">
    <cfRule type="expression" dxfId="1726" priority="1727" stopIfTrue="1">
      <formula>$F105="無"</formula>
    </cfRule>
  </conditionalFormatting>
  <conditionalFormatting sqref="M105">
    <cfRule type="expression" dxfId="1725" priority="1726" stopIfTrue="1">
      <formula>$F105="無"</formula>
    </cfRule>
  </conditionalFormatting>
  <conditionalFormatting sqref="M105">
    <cfRule type="expression" dxfId="1724" priority="1725" stopIfTrue="1">
      <formula>$F105="無"</formula>
    </cfRule>
  </conditionalFormatting>
  <conditionalFormatting sqref="M105">
    <cfRule type="expression" dxfId="1723" priority="1724" stopIfTrue="1">
      <formula>$F105="無"</formula>
    </cfRule>
  </conditionalFormatting>
  <conditionalFormatting sqref="M105">
    <cfRule type="expression" dxfId="1722" priority="1723" stopIfTrue="1">
      <formula>$F105="無"</formula>
    </cfRule>
  </conditionalFormatting>
  <conditionalFormatting sqref="M105">
    <cfRule type="expression" dxfId="1721" priority="1722" stopIfTrue="1">
      <formula>$F105="無"</formula>
    </cfRule>
  </conditionalFormatting>
  <conditionalFormatting sqref="M105">
    <cfRule type="expression" dxfId="1720" priority="1721" stopIfTrue="1">
      <formula>$F105="無"</formula>
    </cfRule>
  </conditionalFormatting>
  <conditionalFormatting sqref="M105">
    <cfRule type="expression" dxfId="1719" priority="1720" stopIfTrue="1">
      <formula>$F105="無"</formula>
    </cfRule>
  </conditionalFormatting>
  <conditionalFormatting sqref="M105">
    <cfRule type="expression" dxfId="1718" priority="1719" stopIfTrue="1">
      <formula>$F105="無"</formula>
    </cfRule>
  </conditionalFormatting>
  <conditionalFormatting sqref="M105">
    <cfRule type="expression" dxfId="1717" priority="1718" stopIfTrue="1">
      <formula>$F105="無"</formula>
    </cfRule>
  </conditionalFormatting>
  <conditionalFormatting sqref="M105">
    <cfRule type="expression" dxfId="1716" priority="1717" stopIfTrue="1">
      <formula>$F105="無"</formula>
    </cfRule>
  </conditionalFormatting>
  <conditionalFormatting sqref="M105">
    <cfRule type="expression" dxfId="1715" priority="1716" stopIfTrue="1">
      <formula>$F105="無"</formula>
    </cfRule>
  </conditionalFormatting>
  <conditionalFormatting sqref="M105">
    <cfRule type="expression" dxfId="1714" priority="1715" stopIfTrue="1">
      <formula>$F105="無"</formula>
    </cfRule>
  </conditionalFormatting>
  <conditionalFormatting sqref="M105">
    <cfRule type="expression" dxfId="1713" priority="1714" stopIfTrue="1">
      <formula>$F105="無"</formula>
    </cfRule>
  </conditionalFormatting>
  <conditionalFormatting sqref="M105">
    <cfRule type="expression" dxfId="1712" priority="1713" stopIfTrue="1">
      <formula>$F105="無"</formula>
    </cfRule>
  </conditionalFormatting>
  <conditionalFormatting sqref="M105">
    <cfRule type="expression" dxfId="1711" priority="1712" stopIfTrue="1">
      <formula>$F105="無"</formula>
    </cfRule>
  </conditionalFormatting>
  <conditionalFormatting sqref="M105">
    <cfRule type="expression" dxfId="1710" priority="1711" stopIfTrue="1">
      <formula>$F105="無"</formula>
    </cfRule>
  </conditionalFormatting>
  <conditionalFormatting sqref="M105">
    <cfRule type="expression" dxfId="1709" priority="1710" stopIfTrue="1">
      <formula>$F105="無"</formula>
    </cfRule>
  </conditionalFormatting>
  <conditionalFormatting sqref="M105">
    <cfRule type="expression" dxfId="1708" priority="1709" stopIfTrue="1">
      <formula>$F105="無"</formula>
    </cfRule>
  </conditionalFormatting>
  <conditionalFormatting sqref="M105">
    <cfRule type="expression" dxfId="1707" priority="1708" stopIfTrue="1">
      <formula>$F105="無"</formula>
    </cfRule>
  </conditionalFormatting>
  <conditionalFormatting sqref="M105">
    <cfRule type="expression" dxfId="1706" priority="1707" stopIfTrue="1">
      <formula>$F105="無"</formula>
    </cfRule>
  </conditionalFormatting>
  <conditionalFormatting sqref="M105">
    <cfRule type="expression" dxfId="1705" priority="1706" stopIfTrue="1">
      <formula>$F105="無"</formula>
    </cfRule>
  </conditionalFormatting>
  <conditionalFormatting sqref="M105">
    <cfRule type="expression" dxfId="1704" priority="1705" stopIfTrue="1">
      <formula>$F105="無"</formula>
    </cfRule>
  </conditionalFormatting>
  <conditionalFormatting sqref="M105">
    <cfRule type="expression" dxfId="1703" priority="1704" stopIfTrue="1">
      <formula>$F105="無"</formula>
    </cfRule>
  </conditionalFormatting>
  <conditionalFormatting sqref="M105">
    <cfRule type="expression" dxfId="1702" priority="1703" stopIfTrue="1">
      <formula>$F105="無"</formula>
    </cfRule>
  </conditionalFormatting>
  <conditionalFormatting sqref="M105">
    <cfRule type="expression" dxfId="1701" priority="1702" stopIfTrue="1">
      <formula>$F105="無"</formula>
    </cfRule>
  </conditionalFormatting>
  <conditionalFormatting sqref="M105">
    <cfRule type="expression" dxfId="1700" priority="1701" stopIfTrue="1">
      <formula>$F105="無"</formula>
    </cfRule>
  </conditionalFormatting>
  <conditionalFormatting sqref="M105">
    <cfRule type="expression" dxfId="1699" priority="1700" stopIfTrue="1">
      <formula>$F105="無"</formula>
    </cfRule>
  </conditionalFormatting>
  <conditionalFormatting sqref="M105">
    <cfRule type="expression" dxfId="1698" priority="1699" stopIfTrue="1">
      <formula>$F105="無"</formula>
    </cfRule>
  </conditionalFormatting>
  <conditionalFormatting sqref="M105">
    <cfRule type="expression" dxfId="1697" priority="1698" stopIfTrue="1">
      <formula>$F105="無"</formula>
    </cfRule>
  </conditionalFormatting>
  <conditionalFormatting sqref="M105">
    <cfRule type="expression" dxfId="1696" priority="1697" stopIfTrue="1">
      <formula>$F105="無"</formula>
    </cfRule>
  </conditionalFormatting>
  <conditionalFormatting sqref="M105">
    <cfRule type="expression" dxfId="1695" priority="1696" stopIfTrue="1">
      <formula>$F105="無"</formula>
    </cfRule>
  </conditionalFormatting>
  <conditionalFormatting sqref="M105">
    <cfRule type="expression" dxfId="1694" priority="1695" stopIfTrue="1">
      <formula>$F105="無"</formula>
    </cfRule>
  </conditionalFormatting>
  <conditionalFormatting sqref="M105">
    <cfRule type="expression" dxfId="1693" priority="1694" stopIfTrue="1">
      <formula>$F105="無"</formula>
    </cfRule>
  </conditionalFormatting>
  <conditionalFormatting sqref="M105">
    <cfRule type="expression" dxfId="1692" priority="1693" stopIfTrue="1">
      <formula>$F105="無"</formula>
    </cfRule>
  </conditionalFormatting>
  <conditionalFormatting sqref="M105">
    <cfRule type="expression" dxfId="1691" priority="1692" stopIfTrue="1">
      <formula>$F105="無"</formula>
    </cfRule>
  </conditionalFormatting>
  <conditionalFormatting sqref="M105">
    <cfRule type="expression" dxfId="1690" priority="1691" stopIfTrue="1">
      <formula>$F105="無"</formula>
    </cfRule>
  </conditionalFormatting>
  <conditionalFormatting sqref="M105">
    <cfRule type="expression" dxfId="1689" priority="1690" stopIfTrue="1">
      <formula>$F105="無"</formula>
    </cfRule>
  </conditionalFormatting>
  <conditionalFormatting sqref="M105">
    <cfRule type="expression" dxfId="1688" priority="1689" stopIfTrue="1">
      <formula>$F105="無"</formula>
    </cfRule>
  </conditionalFormatting>
  <conditionalFormatting sqref="M105">
    <cfRule type="expression" dxfId="1687" priority="1688" stopIfTrue="1">
      <formula>$F105="無"</formula>
    </cfRule>
  </conditionalFormatting>
  <conditionalFormatting sqref="M105">
    <cfRule type="expression" dxfId="1686" priority="1687" stopIfTrue="1">
      <formula>$F105="無"</formula>
    </cfRule>
  </conditionalFormatting>
  <conditionalFormatting sqref="M105">
    <cfRule type="expression" dxfId="1685" priority="1686" stopIfTrue="1">
      <formula>$F105="無"</formula>
    </cfRule>
  </conditionalFormatting>
  <conditionalFormatting sqref="M105">
    <cfRule type="expression" dxfId="1684" priority="1685" stopIfTrue="1">
      <formula>$F105="無"</formula>
    </cfRule>
  </conditionalFormatting>
  <conditionalFormatting sqref="M105">
    <cfRule type="expression" dxfId="1683" priority="1684" stopIfTrue="1">
      <formula>$F105="無"</formula>
    </cfRule>
  </conditionalFormatting>
  <conditionalFormatting sqref="M105">
    <cfRule type="expression" dxfId="1682" priority="1683" stopIfTrue="1">
      <formula>$F105="無"</formula>
    </cfRule>
  </conditionalFormatting>
  <conditionalFormatting sqref="M105">
    <cfRule type="expression" dxfId="1681" priority="1682" stopIfTrue="1">
      <formula>$F105="無"</formula>
    </cfRule>
  </conditionalFormatting>
  <conditionalFormatting sqref="M105">
    <cfRule type="expression" dxfId="1680" priority="1681" stopIfTrue="1">
      <formula>$F105="無"</formula>
    </cfRule>
  </conditionalFormatting>
  <conditionalFormatting sqref="M105">
    <cfRule type="expression" dxfId="1679" priority="1680" stopIfTrue="1">
      <formula>$F105="無"</formula>
    </cfRule>
  </conditionalFormatting>
  <conditionalFormatting sqref="M105">
    <cfRule type="expression" dxfId="1678" priority="1679" stopIfTrue="1">
      <formula>$F105="無"</formula>
    </cfRule>
  </conditionalFormatting>
  <conditionalFormatting sqref="M105">
    <cfRule type="expression" dxfId="1677" priority="1678" stopIfTrue="1">
      <formula>$F105="無"</formula>
    </cfRule>
  </conditionalFormatting>
  <conditionalFormatting sqref="M105">
    <cfRule type="expression" dxfId="1676" priority="1677" stopIfTrue="1">
      <formula>$F105="無"</formula>
    </cfRule>
  </conditionalFormatting>
  <conditionalFormatting sqref="M105">
    <cfRule type="expression" dxfId="1675" priority="1676" stopIfTrue="1">
      <formula>$F105="無"</formula>
    </cfRule>
  </conditionalFormatting>
  <conditionalFormatting sqref="M105">
    <cfRule type="expression" dxfId="1674" priority="1675" stopIfTrue="1">
      <formula>$F105="無"</formula>
    </cfRule>
  </conditionalFormatting>
  <conditionalFormatting sqref="M105">
    <cfRule type="expression" dxfId="1673" priority="1674" stopIfTrue="1">
      <formula>$F105="無"</formula>
    </cfRule>
  </conditionalFormatting>
  <conditionalFormatting sqref="M105">
    <cfRule type="expression" dxfId="1672" priority="1673" stopIfTrue="1">
      <formula>$F105="無"</formula>
    </cfRule>
  </conditionalFormatting>
  <conditionalFormatting sqref="M105">
    <cfRule type="expression" dxfId="1671" priority="1672" stopIfTrue="1">
      <formula>$F105="無"</formula>
    </cfRule>
  </conditionalFormatting>
  <conditionalFormatting sqref="M105">
    <cfRule type="expression" dxfId="1670" priority="1671" stopIfTrue="1">
      <formula>$F105="無"</formula>
    </cfRule>
  </conditionalFormatting>
  <conditionalFormatting sqref="M105">
    <cfRule type="expression" dxfId="1669" priority="1670" stopIfTrue="1">
      <formula>$F105="無"</formula>
    </cfRule>
  </conditionalFormatting>
  <conditionalFormatting sqref="M105">
    <cfRule type="expression" dxfId="1668" priority="1669" stopIfTrue="1">
      <formula>$F105="無"</formula>
    </cfRule>
  </conditionalFormatting>
  <conditionalFormatting sqref="M105">
    <cfRule type="expression" dxfId="1667" priority="1668" stopIfTrue="1">
      <formula>$F105="無"</formula>
    </cfRule>
  </conditionalFormatting>
  <conditionalFormatting sqref="M105">
    <cfRule type="expression" dxfId="1666" priority="1667" stopIfTrue="1">
      <formula>$F105="無"</formula>
    </cfRule>
  </conditionalFormatting>
  <conditionalFormatting sqref="M105">
    <cfRule type="expression" dxfId="1665" priority="1666" stopIfTrue="1">
      <formula>$F105="無"</formula>
    </cfRule>
  </conditionalFormatting>
  <conditionalFormatting sqref="M105">
    <cfRule type="expression" dxfId="1664" priority="1665" stopIfTrue="1">
      <formula>$F105="無"</formula>
    </cfRule>
  </conditionalFormatting>
  <conditionalFormatting sqref="M105">
    <cfRule type="expression" dxfId="1663" priority="1664" stopIfTrue="1">
      <formula>$F105="無"</formula>
    </cfRule>
  </conditionalFormatting>
  <conditionalFormatting sqref="M105">
    <cfRule type="expression" dxfId="1662" priority="1663" stopIfTrue="1">
      <formula>$F105="無"</formula>
    </cfRule>
  </conditionalFormatting>
  <conditionalFormatting sqref="M105">
    <cfRule type="expression" dxfId="1661" priority="1662" stopIfTrue="1">
      <formula>$F105="無"</formula>
    </cfRule>
  </conditionalFormatting>
  <conditionalFormatting sqref="M105">
    <cfRule type="expression" dxfId="1660" priority="1661" stopIfTrue="1">
      <formula>$F105="無"</formula>
    </cfRule>
  </conditionalFormatting>
  <conditionalFormatting sqref="M105">
    <cfRule type="expression" dxfId="1659" priority="1660" stopIfTrue="1">
      <formula>$F105="無"</formula>
    </cfRule>
  </conditionalFormatting>
  <conditionalFormatting sqref="M105">
    <cfRule type="expression" dxfId="1658" priority="1659" stopIfTrue="1">
      <formula>$F105="無"</formula>
    </cfRule>
  </conditionalFormatting>
  <conditionalFormatting sqref="M105">
    <cfRule type="expression" dxfId="1657" priority="1658" stopIfTrue="1">
      <formula>$F105="無"</formula>
    </cfRule>
  </conditionalFormatting>
  <conditionalFormatting sqref="M105">
    <cfRule type="expression" dxfId="1656" priority="1657" stopIfTrue="1">
      <formula>$F105="無"</formula>
    </cfRule>
  </conditionalFormatting>
  <conditionalFormatting sqref="M105">
    <cfRule type="expression" dxfId="1655" priority="1656" stopIfTrue="1">
      <formula>$F105="無"</formula>
    </cfRule>
  </conditionalFormatting>
  <conditionalFormatting sqref="M105">
    <cfRule type="expression" dxfId="1654" priority="1655" stopIfTrue="1">
      <formula>$F105="無"</formula>
    </cfRule>
  </conditionalFormatting>
  <conditionalFormatting sqref="M105">
    <cfRule type="expression" dxfId="1653" priority="1654" stopIfTrue="1">
      <formula>$F105="無"</formula>
    </cfRule>
  </conditionalFormatting>
  <conditionalFormatting sqref="M105">
    <cfRule type="expression" dxfId="1652" priority="1653" stopIfTrue="1">
      <formula>$F105="無"</formula>
    </cfRule>
  </conditionalFormatting>
  <conditionalFormatting sqref="M105">
    <cfRule type="expression" dxfId="1651" priority="1652" stopIfTrue="1">
      <formula>$F105="無"</formula>
    </cfRule>
  </conditionalFormatting>
  <conditionalFormatting sqref="M105">
    <cfRule type="expression" dxfId="1650" priority="1651" stopIfTrue="1">
      <formula>$F105="無"</formula>
    </cfRule>
  </conditionalFormatting>
  <conditionalFormatting sqref="M105">
    <cfRule type="expression" dxfId="1649" priority="1650" stopIfTrue="1">
      <formula>$F105="無"</formula>
    </cfRule>
  </conditionalFormatting>
  <conditionalFormatting sqref="M105">
    <cfRule type="expression" dxfId="1648" priority="1649" stopIfTrue="1">
      <formula>$F105="無"</formula>
    </cfRule>
  </conditionalFormatting>
  <conditionalFormatting sqref="M105">
    <cfRule type="expression" dxfId="1647" priority="1648" stopIfTrue="1">
      <formula>$F105="無"</formula>
    </cfRule>
  </conditionalFormatting>
  <conditionalFormatting sqref="M105">
    <cfRule type="expression" dxfId="1646" priority="1647" stopIfTrue="1">
      <formula>$F105="無"</formula>
    </cfRule>
  </conditionalFormatting>
  <conditionalFormatting sqref="M105">
    <cfRule type="expression" dxfId="1645" priority="1646" stopIfTrue="1">
      <formula>$F105="無"</formula>
    </cfRule>
  </conditionalFormatting>
  <conditionalFormatting sqref="M105">
    <cfRule type="expression" dxfId="1644" priority="1645" stopIfTrue="1">
      <formula>$F105="無"</formula>
    </cfRule>
  </conditionalFormatting>
  <conditionalFormatting sqref="M105">
    <cfRule type="expression" dxfId="1643" priority="1644" stopIfTrue="1">
      <formula>$F105="無"</formula>
    </cfRule>
  </conditionalFormatting>
  <conditionalFormatting sqref="M105">
    <cfRule type="expression" dxfId="1642" priority="1643" stopIfTrue="1">
      <formula>$F105="無"</formula>
    </cfRule>
  </conditionalFormatting>
  <conditionalFormatting sqref="M105">
    <cfRule type="expression" dxfId="1641" priority="1642" stopIfTrue="1">
      <formula>$F105="無"</formula>
    </cfRule>
  </conditionalFormatting>
  <conditionalFormatting sqref="M105">
    <cfRule type="expression" dxfId="1640" priority="1641" stopIfTrue="1">
      <formula>$F105="無"</formula>
    </cfRule>
  </conditionalFormatting>
  <conditionalFormatting sqref="M105">
    <cfRule type="expression" dxfId="1639" priority="1640" stopIfTrue="1">
      <formula>$F105="無"</formula>
    </cfRule>
  </conditionalFormatting>
  <conditionalFormatting sqref="M105">
    <cfRule type="expression" dxfId="1638" priority="1639" stopIfTrue="1">
      <formula>$F105="無"</formula>
    </cfRule>
  </conditionalFormatting>
  <conditionalFormatting sqref="M105">
    <cfRule type="expression" dxfId="1637" priority="1638" stopIfTrue="1">
      <formula>$F105="無"</formula>
    </cfRule>
  </conditionalFormatting>
  <conditionalFormatting sqref="M105">
    <cfRule type="expression" dxfId="1636" priority="1637" stopIfTrue="1">
      <formula>$F105="無"</formula>
    </cfRule>
  </conditionalFormatting>
  <conditionalFormatting sqref="M105">
    <cfRule type="expression" dxfId="1635" priority="1636" stopIfTrue="1">
      <formula>$F105="無"</formula>
    </cfRule>
  </conditionalFormatting>
  <conditionalFormatting sqref="M105">
    <cfRule type="expression" dxfId="1634" priority="1635" stopIfTrue="1">
      <formula>$F105="無"</formula>
    </cfRule>
  </conditionalFormatting>
  <conditionalFormatting sqref="M105">
    <cfRule type="expression" dxfId="1633" priority="1634" stopIfTrue="1">
      <formula>$F105="無"</formula>
    </cfRule>
  </conditionalFormatting>
  <conditionalFormatting sqref="M105">
    <cfRule type="expression" dxfId="1632" priority="1633" stopIfTrue="1">
      <formula>$F105="無"</formula>
    </cfRule>
  </conditionalFormatting>
  <conditionalFormatting sqref="M105">
    <cfRule type="expression" dxfId="1631" priority="1632" stopIfTrue="1">
      <formula>$F105="無"</formula>
    </cfRule>
  </conditionalFormatting>
  <conditionalFormatting sqref="M105">
    <cfRule type="expression" dxfId="1630" priority="1631" stopIfTrue="1">
      <formula>$F105="無"</formula>
    </cfRule>
  </conditionalFormatting>
  <conditionalFormatting sqref="M105">
    <cfRule type="expression" dxfId="1629" priority="1630" stopIfTrue="1">
      <formula>$F105="無"</formula>
    </cfRule>
  </conditionalFormatting>
  <conditionalFormatting sqref="M105">
    <cfRule type="expression" dxfId="1628" priority="1629" stopIfTrue="1">
      <formula>$F105="無"</formula>
    </cfRule>
  </conditionalFormatting>
  <conditionalFormatting sqref="M105">
    <cfRule type="expression" dxfId="1627" priority="1628" stopIfTrue="1">
      <formula>$F105="無"</formula>
    </cfRule>
  </conditionalFormatting>
  <conditionalFormatting sqref="M105">
    <cfRule type="expression" dxfId="1626" priority="1627" stopIfTrue="1">
      <formula>$F105="無"</formula>
    </cfRule>
  </conditionalFormatting>
  <conditionalFormatting sqref="M105">
    <cfRule type="expression" dxfId="1625" priority="1626" stopIfTrue="1">
      <formula>$F105="無"</formula>
    </cfRule>
  </conditionalFormatting>
  <conditionalFormatting sqref="M105">
    <cfRule type="expression" dxfId="1624" priority="1625" stopIfTrue="1">
      <formula>$F105="無"</formula>
    </cfRule>
  </conditionalFormatting>
  <conditionalFormatting sqref="M105">
    <cfRule type="expression" dxfId="1623" priority="1624" stopIfTrue="1">
      <formula>$F105="無"</formula>
    </cfRule>
  </conditionalFormatting>
  <conditionalFormatting sqref="M105">
    <cfRule type="expression" dxfId="1622" priority="1623" stopIfTrue="1">
      <formula>$F105="無"</formula>
    </cfRule>
  </conditionalFormatting>
  <conditionalFormatting sqref="M105">
    <cfRule type="expression" dxfId="1621" priority="1622" stopIfTrue="1">
      <formula>$F105="無"</formula>
    </cfRule>
  </conditionalFormatting>
  <conditionalFormatting sqref="M105">
    <cfRule type="expression" dxfId="1620" priority="1621" stopIfTrue="1">
      <formula>$F105="無"</formula>
    </cfRule>
  </conditionalFormatting>
  <conditionalFormatting sqref="M105">
    <cfRule type="expression" dxfId="1619" priority="1620" stopIfTrue="1">
      <formula>$F105="無"</formula>
    </cfRule>
  </conditionalFormatting>
  <conditionalFormatting sqref="M105">
    <cfRule type="expression" dxfId="1618" priority="1619" stopIfTrue="1">
      <formula>$F105="無"</formula>
    </cfRule>
  </conditionalFormatting>
  <conditionalFormatting sqref="M105">
    <cfRule type="expression" dxfId="1617" priority="1618" stopIfTrue="1">
      <formula>$F105="無"</formula>
    </cfRule>
  </conditionalFormatting>
  <conditionalFormatting sqref="M105">
    <cfRule type="expression" dxfId="1616" priority="1617" stopIfTrue="1">
      <formula>$F105="無"</formula>
    </cfRule>
  </conditionalFormatting>
  <conditionalFormatting sqref="M105">
    <cfRule type="expression" dxfId="1615" priority="1616" stopIfTrue="1">
      <formula>$F105="無"</formula>
    </cfRule>
  </conditionalFormatting>
  <conditionalFormatting sqref="M105">
    <cfRule type="expression" dxfId="1614" priority="1615" stopIfTrue="1">
      <formula>$F105="無"</formula>
    </cfRule>
  </conditionalFormatting>
  <conditionalFormatting sqref="M105">
    <cfRule type="expression" dxfId="1613" priority="1614" stopIfTrue="1">
      <formula>$F105="無"</formula>
    </cfRule>
  </conditionalFormatting>
  <conditionalFormatting sqref="M105">
    <cfRule type="expression" dxfId="1612" priority="1613" stopIfTrue="1">
      <formula>$F105="無"</formula>
    </cfRule>
  </conditionalFormatting>
  <conditionalFormatting sqref="M105">
    <cfRule type="expression" dxfId="1611" priority="1612" stopIfTrue="1">
      <formula>$F105="無"</formula>
    </cfRule>
  </conditionalFormatting>
  <conditionalFormatting sqref="M105">
    <cfRule type="expression" dxfId="1610" priority="1611" stopIfTrue="1">
      <formula>$F105="無"</formula>
    </cfRule>
  </conditionalFormatting>
  <conditionalFormatting sqref="M105">
    <cfRule type="expression" dxfId="1609" priority="1610" stopIfTrue="1">
      <formula>$F105="無"</formula>
    </cfRule>
  </conditionalFormatting>
  <conditionalFormatting sqref="M105">
    <cfRule type="expression" dxfId="1608" priority="1609" stopIfTrue="1">
      <formula>$F105="無"</formula>
    </cfRule>
  </conditionalFormatting>
  <conditionalFormatting sqref="M105">
    <cfRule type="expression" dxfId="1607" priority="1608" stopIfTrue="1">
      <formula>$F105="無"</formula>
    </cfRule>
  </conditionalFormatting>
  <conditionalFormatting sqref="M105">
    <cfRule type="expression" dxfId="1606" priority="1607" stopIfTrue="1">
      <formula>$F105="無"</formula>
    </cfRule>
  </conditionalFormatting>
  <conditionalFormatting sqref="M105">
    <cfRule type="expression" dxfId="1605" priority="1606" stopIfTrue="1">
      <formula>$F105="無"</formula>
    </cfRule>
  </conditionalFormatting>
  <conditionalFormatting sqref="M105">
    <cfRule type="expression" dxfId="1604" priority="1605" stopIfTrue="1">
      <formula>$F105="無"</formula>
    </cfRule>
  </conditionalFormatting>
  <conditionalFormatting sqref="M105">
    <cfRule type="expression" dxfId="1603" priority="1604" stopIfTrue="1">
      <formula>$F105="無"</formula>
    </cfRule>
  </conditionalFormatting>
  <conditionalFormatting sqref="M105">
    <cfRule type="expression" dxfId="1602" priority="1603" stopIfTrue="1">
      <formula>$F105="無"</formula>
    </cfRule>
  </conditionalFormatting>
  <conditionalFormatting sqref="M105">
    <cfRule type="expression" dxfId="1601" priority="1602" stopIfTrue="1">
      <formula>$F105="無"</formula>
    </cfRule>
  </conditionalFormatting>
  <conditionalFormatting sqref="M105">
    <cfRule type="expression" dxfId="1600" priority="1601" stopIfTrue="1">
      <formula>$F105="無"</formula>
    </cfRule>
  </conditionalFormatting>
  <conditionalFormatting sqref="M105">
    <cfRule type="expression" dxfId="1599" priority="1600" stopIfTrue="1">
      <formula>$F105="無"</formula>
    </cfRule>
  </conditionalFormatting>
  <conditionalFormatting sqref="M105">
    <cfRule type="expression" dxfId="1598" priority="1599" stopIfTrue="1">
      <formula>$F105="無"</formula>
    </cfRule>
  </conditionalFormatting>
  <conditionalFormatting sqref="M105">
    <cfRule type="expression" dxfId="1597" priority="1598" stopIfTrue="1">
      <formula>$F105="無"</formula>
    </cfRule>
  </conditionalFormatting>
  <conditionalFormatting sqref="M105">
    <cfRule type="expression" dxfId="1596" priority="1597" stopIfTrue="1">
      <formula>$F105="無"</formula>
    </cfRule>
  </conditionalFormatting>
  <conditionalFormatting sqref="M105">
    <cfRule type="expression" dxfId="1595" priority="1596" stopIfTrue="1">
      <formula>$F105="無"</formula>
    </cfRule>
  </conditionalFormatting>
  <conditionalFormatting sqref="M105">
    <cfRule type="expression" dxfId="1594" priority="1595" stopIfTrue="1">
      <formula>$F105="無"</formula>
    </cfRule>
  </conditionalFormatting>
  <conditionalFormatting sqref="M105">
    <cfRule type="expression" dxfId="1593" priority="1594" stopIfTrue="1">
      <formula>$F105="無"</formula>
    </cfRule>
  </conditionalFormatting>
  <conditionalFormatting sqref="M105">
    <cfRule type="expression" dxfId="1592" priority="1593" stopIfTrue="1">
      <formula>$F105="無"</formula>
    </cfRule>
  </conditionalFormatting>
  <conditionalFormatting sqref="M105">
    <cfRule type="expression" dxfId="1591" priority="1592" stopIfTrue="1">
      <formula>$F105="無"</formula>
    </cfRule>
  </conditionalFormatting>
  <conditionalFormatting sqref="M105">
    <cfRule type="expression" dxfId="1590" priority="1591" stopIfTrue="1">
      <formula>$F105="無"</formula>
    </cfRule>
  </conditionalFormatting>
  <conditionalFormatting sqref="M105">
    <cfRule type="expression" dxfId="1589" priority="1590" stopIfTrue="1">
      <formula>$F105="無"</formula>
    </cfRule>
  </conditionalFormatting>
  <conditionalFormatting sqref="M105">
    <cfRule type="expression" dxfId="1588" priority="1589" stopIfTrue="1">
      <formula>$F105="無"</formula>
    </cfRule>
  </conditionalFormatting>
  <conditionalFormatting sqref="M105">
    <cfRule type="expression" dxfId="1587" priority="1588" stopIfTrue="1">
      <formula>$F105="無"</formula>
    </cfRule>
  </conditionalFormatting>
  <conditionalFormatting sqref="M105">
    <cfRule type="expression" dxfId="1586" priority="1587" stopIfTrue="1">
      <formula>$F105="無"</formula>
    </cfRule>
  </conditionalFormatting>
  <conditionalFormatting sqref="M105">
    <cfRule type="expression" dxfId="1585" priority="1586" stopIfTrue="1">
      <formula>$F105="無"</formula>
    </cfRule>
  </conditionalFormatting>
  <conditionalFormatting sqref="M105">
    <cfRule type="expression" dxfId="1584" priority="1585" stopIfTrue="1">
      <formula>$F105="無"</formula>
    </cfRule>
  </conditionalFormatting>
  <conditionalFormatting sqref="M105">
    <cfRule type="expression" dxfId="1583" priority="1584" stopIfTrue="1">
      <formula>$F105="無"</formula>
    </cfRule>
  </conditionalFormatting>
  <conditionalFormatting sqref="M105">
    <cfRule type="expression" dxfId="1582" priority="1583" stopIfTrue="1">
      <formula>$F105="無"</formula>
    </cfRule>
  </conditionalFormatting>
  <conditionalFormatting sqref="M105">
    <cfRule type="expression" dxfId="1581" priority="1582" stopIfTrue="1">
      <formula>$F105="無"</formula>
    </cfRule>
  </conditionalFormatting>
  <conditionalFormatting sqref="M105">
    <cfRule type="expression" dxfId="1580" priority="1581" stopIfTrue="1">
      <formula>$F105="無"</formula>
    </cfRule>
  </conditionalFormatting>
  <conditionalFormatting sqref="M105">
    <cfRule type="expression" dxfId="1579" priority="1580" stopIfTrue="1">
      <formula>$F105="無"</formula>
    </cfRule>
  </conditionalFormatting>
  <conditionalFormatting sqref="M105">
    <cfRule type="expression" dxfId="1578" priority="1579" stopIfTrue="1">
      <formula>$F105="無"</formula>
    </cfRule>
  </conditionalFormatting>
  <conditionalFormatting sqref="M105">
    <cfRule type="expression" dxfId="1577" priority="1578" stopIfTrue="1">
      <formula>$F105="無"</formula>
    </cfRule>
  </conditionalFormatting>
  <conditionalFormatting sqref="M105">
    <cfRule type="expression" dxfId="1576" priority="1577" stopIfTrue="1">
      <formula>$F105="無"</formula>
    </cfRule>
  </conditionalFormatting>
  <conditionalFormatting sqref="M105">
    <cfRule type="expression" dxfId="1575" priority="1576" stopIfTrue="1">
      <formula>$F105="無"</formula>
    </cfRule>
  </conditionalFormatting>
  <conditionalFormatting sqref="M105">
    <cfRule type="expression" dxfId="1574" priority="1575" stopIfTrue="1">
      <formula>$F105="無"</formula>
    </cfRule>
  </conditionalFormatting>
  <conditionalFormatting sqref="M105">
    <cfRule type="expression" dxfId="1573" priority="1574" stopIfTrue="1">
      <formula>$F105="無"</formula>
    </cfRule>
  </conditionalFormatting>
  <conditionalFormatting sqref="M105">
    <cfRule type="expression" dxfId="1572" priority="1573" stopIfTrue="1">
      <formula>$F105="無"</formula>
    </cfRule>
  </conditionalFormatting>
  <conditionalFormatting sqref="M105">
    <cfRule type="expression" dxfId="1571" priority="1572" stopIfTrue="1">
      <formula>$F105="無"</formula>
    </cfRule>
  </conditionalFormatting>
  <conditionalFormatting sqref="M105">
    <cfRule type="expression" dxfId="1570" priority="1571" stopIfTrue="1">
      <formula>$F105="無"</formula>
    </cfRule>
  </conditionalFormatting>
  <conditionalFormatting sqref="M105">
    <cfRule type="expression" dxfId="1569" priority="1570" stopIfTrue="1">
      <formula>$F105="無"</formula>
    </cfRule>
  </conditionalFormatting>
  <conditionalFormatting sqref="M105">
    <cfRule type="expression" dxfId="1568" priority="1569" stopIfTrue="1">
      <formula>$F105="無"</formula>
    </cfRule>
  </conditionalFormatting>
  <conditionalFormatting sqref="M105">
    <cfRule type="expression" dxfId="1567" priority="1568" stopIfTrue="1">
      <formula>$F105="無"</formula>
    </cfRule>
  </conditionalFormatting>
  <conditionalFormatting sqref="M105">
    <cfRule type="expression" dxfId="1566" priority="1567" stopIfTrue="1">
      <formula>$F105="無"</formula>
    </cfRule>
  </conditionalFormatting>
  <conditionalFormatting sqref="M105">
    <cfRule type="expression" dxfId="1565" priority="1566" stopIfTrue="1">
      <formula>$F105="無"</formula>
    </cfRule>
  </conditionalFormatting>
  <conditionalFormatting sqref="M105">
    <cfRule type="expression" dxfId="1564" priority="1565" stopIfTrue="1">
      <formula>$F105="無"</formula>
    </cfRule>
  </conditionalFormatting>
  <conditionalFormatting sqref="M105">
    <cfRule type="expression" dxfId="1563" priority="1564" stopIfTrue="1">
      <formula>$F105="無"</formula>
    </cfRule>
  </conditionalFormatting>
  <conditionalFormatting sqref="M105">
    <cfRule type="expression" dxfId="1562" priority="1563" stopIfTrue="1">
      <formula>$F105="無"</formula>
    </cfRule>
  </conditionalFormatting>
  <conditionalFormatting sqref="M105">
    <cfRule type="expression" dxfId="1561" priority="1562" stopIfTrue="1">
      <formula>$F105="無"</formula>
    </cfRule>
  </conditionalFormatting>
  <conditionalFormatting sqref="M105">
    <cfRule type="expression" dxfId="1560" priority="1561" stopIfTrue="1">
      <formula>$F105="無"</formula>
    </cfRule>
  </conditionalFormatting>
  <conditionalFormatting sqref="M105">
    <cfRule type="expression" dxfId="1559" priority="1560" stopIfTrue="1">
      <formula>$F105="無"</formula>
    </cfRule>
  </conditionalFormatting>
  <conditionalFormatting sqref="M105">
    <cfRule type="expression" dxfId="1558" priority="1559" stopIfTrue="1">
      <formula>$F105="無"</formula>
    </cfRule>
  </conditionalFormatting>
  <conditionalFormatting sqref="M105">
    <cfRule type="expression" dxfId="1557" priority="1558" stopIfTrue="1">
      <formula>$F105="無"</formula>
    </cfRule>
  </conditionalFormatting>
  <conditionalFormatting sqref="M105">
    <cfRule type="expression" dxfId="1556" priority="1557" stopIfTrue="1">
      <formula>$F105="無"</formula>
    </cfRule>
  </conditionalFormatting>
  <conditionalFormatting sqref="M105">
    <cfRule type="expression" dxfId="1555" priority="1556" stopIfTrue="1">
      <formula>$F105="無"</formula>
    </cfRule>
  </conditionalFormatting>
  <conditionalFormatting sqref="M105">
    <cfRule type="expression" dxfId="1554" priority="1555" stopIfTrue="1">
      <formula>$F105="無"</formula>
    </cfRule>
  </conditionalFormatting>
  <conditionalFormatting sqref="M105">
    <cfRule type="expression" dxfId="1553" priority="1554" stopIfTrue="1">
      <formula>$F105="無"</formula>
    </cfRule>
  </conditionalFormatting>
  <conditionalFormatting sqref="M105">
    <cfRule type="expression" dxfId="1552" priority="1553" stopIfTrue="1">
      <formula>$F105="無"</formula>
    </cfRule>
  </conditionalFormatting>
  <conditionalFormatting sqref="O105">
    <cfRule type="expression" dxfId="1551" priority="1552" stopIfTrue="1">
      <formula>$F105="無"</formula>
    </cfRule>
  </conditionalFormatting>
  <conditionalFormatting sqref="O105">
    <cfRule type="expression" dxfId="1550" priority="1551" stopIfTrue="1">
      <formula>$F105="無"</formula>
    </cfRule>
  </conditionalFormatting>
  <conditionalFormatting sqref="O105">
    <cfRule type="expression" dxfId="1549" priority="1550" stopIfTrue="1">
      <formula>$F105="無"</formula>
    </cfRule>
  </conditionalFormatting>
  <conditionalFormatting sqref="O105">
    <cfRule type="expression" dxfId="1548" priority="1549" stopIfTrue="1">
      <formula>$F105="無"</formula>
    </cfRule>
  </conditionalFormatting>
  <conditionalFormatting sqref="O105">
    <cfRule type="expression" dxfId="1547" priority="1548" stopIfTrue="1">
      <formula>$F105="無"</formula>
    </cfRule>
  </conditionalFormatting>
  <conditionalFormatting sqref="O105">
    <cfRule type="expression" dxfId="1546" priority="1547" stopIfTrue="1">
      <formula>$F105="無"</formula>
    </cfRule>
  </conditionalFormatting>
  <conditionalFormatting sqref="O105">
    <cfRule type="expression" dxfId="1545" priority="1546" stopIfTrue="1">
      <formula>$F105="無"</formula>
    </cfRule>
  </conditionalFormatting>
  <conditionalFormatting sqref="O105">
    <cfRule type="expression" dxfId="1544" priority="1545" stopIfTrue="1">
      <formula>$F105="無"</formula>
    </cfRule>
  </conditionalFormatting>
  <conditionalFormatting sqref="O105">
    <cfRule type="expression" dxfId="1543" priority="1544" stopIfTrue="1">
      <formula>$F105="無"</formula>
    </cfRule>
  </conditionalFormatting>
  <conditionalFormatting sqref="O105">
    <cfRule type="expression" dxfId="1542" priority="1543" stopIfTrue="1">
      <formula>$F105="無"</formula>
    </cfRule>
  </conditionalFormatting>
  <conditionalFormatting sqref="O105">
    <cfRule type="expression" dxfId="1541" priority="1542" stopIfTrue="1">
      <formula>$F105="無"</formula>
    </cfRule>
  </conditionalFormatting>
  <conditionalFormatting sqref="O105">
    <cfRule type="expression" dxfId="1540" priority="1541" stopIfTrue="1">
      <formula>$F105="無"</formula>
    </cfRule>
  </conditionalFormatting>
  <conditionalFormatting sqref="O105">
    <cfRule type="expression" dxfId="1539" priority="1540" stopIfTrue="1">
      <formula>$F105="無"</formula>
    </cfRule>
  </conditionalFormatting>
  <conditionalFormatting sqref="O105">
    <cfRule type="expression" dxfId="1538" priority="1539" stopIfTrue="1">
      <formula>$F105="無"</formula>
    </cfRule>
  </conditionalFormatting>
  <conditionalFormatting sqref="O105">
    <cfRule type="expression" dxfId="1537" priority="1538" stopIfTrue="1">
      <formula>$F105="無"</formula>
    </cfRule>
  </conditionalFormatting>
  <conditionalFormatting sqref="O105">
    <cfRule type="expression" dxfId="1536" priority="1537" stopIfTrue="1">
      <formula>$F105="無"</formula>
    </cfRule>
  </conditionalFormatting>
  <conditionalFormatting sqref="O105">
    <cfRule type="expression" dxfId="1535" priority="1536" stopIfTrue="1">
      <formula>$F105="無"</formula>
    </cfRule>
  </conditionalFormatting>
  <conditionalFormatting sqref="O105">
    <cfRule type="expression" dxfId="1534" priority="1535" stopIfTrue="1">
      <formula>$F105="無"</formula>
    </cfRule>
  </conditionalFormatting>
  <conditionalFormatting sqref="O105">
    <cfRule type="expression" dxfId="1533" priority="1534" stopIfTrue="1">
      <formula>$F105="無"</formula>
    </cfRule>
  </conditionalFormatting>
  <conditionalFormatting sqref="O105">
    <cfRule type="expression" dxfId="1532" priority="1533" stopIfTrue="1">
      <formula>$F105="無"</formula>
    </cfRule>
  </conditionalFormatting>
  <conditionalFormatting sqref="O105">
    <cfRule type="expression" dxfId="1531" priority="1532" stopIfTrue="1">
      <formula>$F105="無"</formula>
    </cfRule>
  </conditionalFormatting>
  <conditionalFormatting sqref="O105">
    <cfRule type="expression" dxfId="1530" priority="1531" stopIfTrue="1">
      <formula>$F105="無"</formula>
    </cfRule>
  </conditionalFormatting>
  <conditionalFormatting sqref="O105">
    <cfRule type="expression" dxfId="1529" priority="1530" stopIfTrue="1">
      <formula>$F105="無"</formula>
    </cfRule>
  </conditionalFormatting>
  <conditionalFormatting sqref="O105">
    <cfRule type="expression" dxfId="1528" priority="1529" stopIfTrue="1">
      <formula>$F105="無"</formula>
    </cfRule>
  </conditionalFormatting>
  <conditionalFormatting sqref="O105">
    <cfRule type="expression" dxfId="1527" priority="1528" stopIfTrue="1">
      <formula>$F105="無"</formula>
    </cfRule>
  </conditionalFormatting>
  <conditionalFormatting sqref="O105">
    <cfRule type="expression" dxfId="1526" priority="1527" stopIfTrue="1">
      <formula>$F105="無"</formula>
    </cfRule>
  </conditionalFormatting>
  <conditionalFormatting sqref="O105">
    <cfRule type="expression" dxfId="1525" priority="1526" stopIfTrue="1">
      <formula>$F105="無"</formula>
    </cfRule>
  </conditionalFormatting>
  <conditionalFormatting sqref="O105">
    <cfRule type="expression" dxfId="1524" priority="1525" stopIfTrue="1">
      <formula>$F105="無"</formula>
    </cfRule>
  </conditionalFormatting>
  <conditionalFormatting sqref="O105">
    <cfRule type="expression" dxfId="1523" priority="1524" stopIfTrue="1">
      <formula>$F105="無"</formula>
    </cfRule>
  </conditionalFormatting>
  <conditionalFormatting sqref="O105">
    <cfRule type="expression" dxfId="1522" priority="1523" stopIfTrue="1">
      <formula>$F105="無"</formula>
    </cfRule>
  </conditionalFormatting>
  <conditionalFormatting sqref="O105">
    <cfRule type="expression" dxfId="1521" priority="1522" stopIfTrue="1">
      <formula>$F105="無"</formula>
    </cfRule>
  </conditionalFormatting>
  <conditionalFormatting sqref="O105">
    <cfRule type="expression" dxfId="1520" priority="1521" stopIfTrue="1">
      <formula>$F105="無"</formula>
    </cfRule>
  </conditionalFormatting>
  <conditionalFormatting sqref="O105">
    <cfRule type="expression" dxfId="1519" priority="1520" stopIfTrue="1">
      <formula>$F105="無"</formula>
    </cfRule>
  </conditionalFormatting>
  <conditionalFormatting sqref="O105">
    <cfRule type="expression" dxfId="1518" priority="1519" stopIfTrue="1">
      <formula>$F105="無"</formula>
    </cfRule>
  </conditionalFormatting>
  <conditionalFormatting sqref="O105">
    <cfRule type="expression" dxfId="1517" priority="1518" stopIfTrue="1">
      <formula>$F105="無"</formula>
    </cfRule>
  </conditionalFormatting>
  <conditionalFormatting sqref="O105">
    <cfRule type="expression" dxfId="1516" priority="1517" stopIfTrue="1">
      <formula>$F105="無"</formula>
    </cfRule>
  </conditionalFormatting>
  <conditionalFormatting sqref="O105">
    <cfRule type="expression" dxfId="1515" priority="1516" stopIfTrue="1">
      <formula>$F105="無"</formula>
    </cfRule>
  </conditionalFormatting>
  <conditionalFormatting sqref="O105">
    <cfRule type="expression" dxfId="1514" priority="1515" stopIfTrue="1">
      <formula>$F105="無"</formula>
    </cfRule>
  </conditionalFormatting>
  <conditionalFormatting sqref="O105">
    <cfRule type="expression" dxfId="1513" priority="1514" stopIfTrue="1">
      <formula>$F105="無"</formula>
    </cfRule>
  </conditionalFormatting>
  <conditionalFormatting sqref="O105">
    <cfRule type="expression" dxfId="1512" priority="1513" stopIfTrue="1">
      <formula>$F105="無"</formula>
    </cfRule>
  </conditionalFormatting>
  <conditionalFormatting sqref="O105">
    <cfRule type="expression" dxfId="1511" priority="1512" stopIfTrue="1">
      <formula>$F105="無"</formula>
    </cfRule>
  </conditionalFormatting>
  <conditionalFormatting sqref="O105">
    <cfRule type="expression" dxfId="1510" priority="1511" stopIfTrue="1">
      <formula>$F105="無"</formula>
    </cfRule>
  </conditionalFormatting>
  <conditionalFormatting sqref="O105">
    <cfRule type="expression" dxfId="1509" priority="1510" stopIfTrue="1">
      <formula>$F105="無"</formula>
    </cfRule>
  </conditionalFormatting>
  <conditionalFormatting sqref="O105">
    <cfRule type="expression" dxfId="1508" priority="1509" stopIfTrue="1">
      <formula>$F105="無"</formula>
    </cfRule>
  </conditionalFormatting>
  <conditionalFormatting sqref="O105">
    <cfRule type="expression" dxfId="1507" priority="1508" stopIfTrue="1">
      <formula>$F105="無"</formula>
    </cfRule>
  </conditionalFormatting>
  <conditionalFormatting sqref="O105">
    <cfRule type="expression" dxfId="1506" priority="1507" stopIfTrue="1">
      <formula>$F105="無"</formula>
    </cfRule>
  </conditionalFormatting>
  <conditionalFormatting sqref="O105">
    <cfRule type="expression" dxfId="1505" priority="1506" stopIfTrue="1">
      <formula>$F105="無"</formula>
    </cfRule>
  </conditionalFormatting>
  <conditionalFormatting sqref="O105">
    <cfRule type="expression" dxfId="1504" priority="1505" stopIfTrue="1">
      <formula>$F105="無"</formula>
    </cfRule>
  </conditionalFormatting>
  <conditionalFormatting sqref="O105">
    <cfRule type="expression" dxfId="1503" priority="1504" stopIfTrue="1">
      <formula>$F105="無"</formula>
    </cfRule>
  </conditionalFormatting>
  <conditionalFormatting sqref="O105">
    <cfRule type="expression" dxfId="1502" priority="1503" stopIfTrue="1">
      <formula>$F105="無"</formula>
    </cfRule>
  </conditionalFormatting>
  <conditionalFormatting sqref="O105">
    <cfRule type="expression" dxfId="1501" priority="1502" stopIfTrue="1">
      <formula>$F105="無"</formula>
    </cfRule>
  </conditionalFormatting>
  <conditionalFormatting sqref="O105">
    <cfRule type="expression" dxfId="1500" priority="1501" stopIfTrue="1">
      <formula>$F105="無"</formula>
    </cfRule>
  </conditionalFormatting>
  <conditionalFormatting sqref="O105">
    <cfRule type="expression" dxfId="1499" priority="1500" stopIfTrue="1">
      <formula>$F105="無"</formula>
    </cfRule>
  </conditionalFormatting>
  <conditionalFormatting sqref="O105">
    <cfRule type="expression" dxfId="1498" priority="1499" stopIfTrue="1">
      <formula>$F105="無"</formula>
    </cfRule>
  </conditionalFormatting>
  <conditionalFormatting sqref="O105">
    <cfRule type="expression" dxfId="1497" priority="1498" stopIfTrue="1">
      <formula>$F105="無"</formula>
    </cfRule>
  </conditionalFormatting>
  <conditionalFormatting sqref="O105">
    <cfRule type="expression" dxfId="1496" priority="1497" stopIfTrue="1">
      <formula>$F105="無"</formula>
    </cfRule>
  </conditionalFormatting>
  <conditionalFormatting sqref="O105">
    <cfRule type="expression" dxfId="1495" priority="1496" stopIfTrue="1">
      <formula>$F105="無"</formula>
    </cfRule>
  </conditionalFormatting>
  <conditionalFormatting sqref="O105">
    <cfRule type="expression" dxfId="1494" priority="1495" stopIfTrue="1">
      <formula>$F105="無"</formula>
    </cfRule>
  </conditionalFormatting>
  <conditionalFormatting sqref="O105">
    <cfRule type="expression" dxfId="1493" priority="1494" stopIfTrue="1">
      <formula>$F105="無"</formula>
    </cfRule>
  </conditionalFormatting>
  <conditionalFormatting sqref="O105">
    <cfRule type="expression" dxfId="1492" priority="1493" stopIfTrue="1">
      <formula>$F105="無"</formula>
    </cfRule>
  </conditionalFormatting>
  <conditionalFormatting sqref="O105">
    <cfRule type="expression" dxfId="1491" priority="1492" stopIfTrue="1">
      <formula>$F105="無"</formula>
    </cfRule>
  </conditionalFormatting>
  <conditionalFormatting sqref="O105">
    <cfRule type="expression" dxfId="1490" priority="1491" stopIfTrue="1">
      <formula>$F105="無"</formula>
    </cfRule>
  </conditionalFormatting>
  <conditionalFormatting sqref="O105">
    <cfRule type="expression" dxfId="1489" priority="1490" stopIfTrue="1">
      <formula>$F105="無"</formula>
    </cfRule>
  </conditionalFormatting>
  <conditionalFormatting sqref="O105">
    <cfRule type="expression" dxfId="1488" priority="1489" stopIfTrue="1">
      <formula>$F105="無"</formula>
    </cfRule>
  </conditionalFormatting>
  <conditionalFormatting sqref="O105">
    <cfRule type="expression" dxfId="1487" priority="1488" stopIfTrue="1">
      <formula>$F105="無"</formula>
    </cfRule>
  </conditionalFormatting>
  <conditionalFormatting sqref="O105">
    <cfRule type="expression" dxfId="1486" priority="1487" stopIfTrue="1">
      <formula>$F105="無"</formula>
    </cfRule>
  </conditionalFormatting>
  <conditionalFormatting sqref="O105">
    <cfRule type="expression" dxfId="1485" priority="1486" stopIfTrue="1">
      <formula>$F105="無"</formula>
    </cfRule>
  </conditionalFormatting>
  <conditionalFormatting sqref="O105">
    <cfRule type="expression" dxfId="1484" priority="1485" stopIfTrue="1">
      <formula>$F105="無"</formula>
    </cfRule>
  </conditionalFormatting>
  <conditionalFormatting sqref="O105">
    <cfRule type="expression" dxfId="1483" priority="1484" stopIfTrue="1">
      <formula>$F105="無"</formula>
    </cfRule>
  </conditionalFormatting>
  <conditionalFormatting sqref="O105">
    <cfRule type="expression" dxfId="1482" priority="1483" stopIfTrue="1">
      <formula>$F105="無"</formula>
    </cfRule>
  </conditionalFormatting>
  <conditionalFormatting sqref="O105">
    <cfRule type="expression" dxfId="1481" priority="1482" stopIfTrue="1">
      <formula>$F105="無"</formula>
    </cfRule>
  </conditionalFormatting>
  <conditionalFormatting sqref="O105">
    <cfRule type="expression" dxfId="1480" priority="1481" stopIfTrue="1">
      <formula>$F105="無"</formula>
    </cfRule>
  </conditionalFormatting>
  <conditionalFormatting sqref="O105">
    <cfRule type="expression" dxfId="1479" priority="1480" stopIfTrue="1">
      <formula>$F105="無"</formula>
    </cfRule>
  </conditionalFormatting>
  <conditionalFormatting sqref="O105">
    <cfRule type="expression" dxfId="1478" priority="1479" stopIfTrue="1">
      <formula>$F105="無"</formula>
    </cfRule>
  </conditionalFormatting>
  <conditionalFormatting sqref="O105">
    <cfRule type="expression" dxfId="1477" priority="1478" stopIfTrue="1">
      <formula>$F105="無"</formula>
    </cfRule>
  </conditionalFormatting>
  <conditionalFormatting sqref="O105">
    <cfRule type="expression" dxfId="1476" priority="1477" stopIfTrue="1">
      <formula>$F105="無"</formula>
    </cfRule>
  </conditionalFormatting>
  <conditionalFormatting sqref="O105">
    <cfRule type="expression" dxfId="1475" priority="1476" stopIfTrue="1">
      <formula>$F105="無"</formula>
    </cfRule>
  </conditionalFormatting>
  <conditionalFormatting sqref="O105">
    <cfRule type="expression" dxfId="1474" priority="1475" stopIfTrue="1">
      <formula>$F105="無"</formula>
    </cfRule>
  </conditionalFormatting>
  <conditionalFormatting sqref="O105">
    <cfRule type="expression" dxfId="1473" priority="1474" stopIfTrue="1">
      <formula>$F105="無"</formula>
    </cfRule>
  </conditionalFormatting>
  <conditionalFormatting sqref="O105">
    <cfRule type="expression" dxfId="1472" priority="1473" stopIfTrue="1">
      <formula>$F105="無"</formula>
    </cfRule>
  </conditionalFormatting>
  <conditionalFormatting sqref="O105">
    <cfRule type="expression" dxfId="1471" priority="1472" stopIfTrue="1">
      <formula>$F105="無"</formula>
    </cfRule>
  </conditionalFormatting>
  <conditionalFormatting sqref="O105">
    <cfRule type="expression" dxfId="1470" priority="1471" stopIfTrue="1">
      <formula>$F105="無"</formula>
    </cfRule>
  </conditionalFormatting>
  <conditionalFormatting sqref="O105">
    <cfRule type="expression" dxfId="1469" priority="1470" stopIfTrue="1">
      <formula>$F105="無"</formula>
    </cfRule>
  </conditionalFormatting>
  <conditionalFormatting sqref="O105">
    <cfRule type="expression" dxfId="1468" priority="1469" stopIfTrue="1">
      <formula>$F105="無"</formula>
    </cfRule>
  </conditionalFormatting>
  <conditionalFormatting sqref="O105">
    <cfRule type="expression" dxfId="1467" priority="1468" stopIfTrue="1">
      <formula>$F105="無"</formula>
    </cfRule>
  </conditionalFormatting>
  <conditionalFormatting sqref="O105">
    <cfRule type="expression" dxfId="1466" priority="1467" stopIfTrue="1">
      <formula>$F105="無"</formula>
    </cfRule>
  </conditionalFormatting>
  <conditionalFormatting sqref="O105">
    <cfRule type="expression" dxfId="1465" priority="1466" stopIfTrue="1">
      <formula>$F105="無"</formula>
    </cfRule>
  </conditionalFormatting>
  <conditionalFormatting sqref="O105">
    <cfRule type="expression" dxfId="1464" priority="1465" stopIfTrue="1">
      <formula>$F105="無"</formula>
    </cfRule>
  </conditionalFormatting>
  <conditionalFormatting sqref="O105">
    <cfRule type="expression" dxfId="1463" priority="1464" stopIfTrue="1">
      <formula>$F105="無"</formula>
    </cfRule>
  </conditionalFormatting>
  <conditionalFormatting sqref="O105">
    <cfRule type="expression" dxfId="1462" priority="1463" stopIfTrue="1">
      <formula>$F105="無"</formula>
    </cfRule>
  </conditionalFormatting>
  <conditionalFormatting sqref="O105">
    <cfRule type="expression" dxfId="1461" priority="1462" stopIfTrue="1">
      <formula>$F105="無"</formula>
    </cfRule>
  </conditionalFormatting>
  <conditionalFormatting sqref="O105">
    <cfRule type="expression" dxfId="1460" priority="1461" stopIfTrue="1">
      <formula>$F105="無"</formula>
    </cfRule>
  </conditionalFormatting>
  <conditionalFormatting sqref="O105">
    <cfRule type="expression" dxfId="1459" priority="1460" stopIfTrue="1">
      <formula>$F105="無"</formula>
    </cfRule>
  </conditionalFormatting>
  <conditionalFormatting sqref="O105">
    <cfRule type="expression" dxfId="1458" priority="1459" stopIfTrue="1">
      <formula>$F105="無"</formula>
    </cfRule>
  </conditionalFormatting>
  <conditionalFormatting sqref="O105">
    <cfRule type="expression" dxfId="1457" priority="1458" stopIfTrue="1">
      <formula>$F105="無"</formula>
    </cfRule>
  </conditionalFormatting>
  <conditionalFormatting sqref="O105">
    <cfRule type="expression" dxfId="1456" priority="1457" stopIfTrue="1">
      <formula>$F105="無"</formula>
    </cfRule>
  </conditionalFormatting>
  <conditionalFormatting sqref="O105">
    <cfRule type="expression" dxfId="1455" priority="1456" stopIfTrue="1">
      <formula>$F105="無"</formula>
    </cfRule>
  </conditionalFormatting>
  <conditionalFormatting sqref="O105">
    <cfRule type="expression" dxfId="1454" priority="1455" stopIfTrue="1">
      <formula>$F105="無"</formula>
    </cfRule>
  </conditionalFormatting>
  <conditionalFormatting sqref="O105">
    <cfRule type="expression" dxfId="1453" priority="1454" stopIfTrue="1">
      <formula>$F105="無"</formula>
    </cfRule>
  </conditionalFormatting>
  <conditionalFormatting sqref="O105">
    <cfRule type="expression" dxfId="1452" priority="1453" stopIfTrue="1">
      <formula>$F105="無"</formula>
    </cfRule>
  </conditionalFormatting>
  <conditionalFormatting sqref="O105">
    <cfRule type="expression" dxfId="1451" priority="1452" stopIfTrue="1">
      <formula>$F105="無"</formula>
    </cfRule>
  </conditionalFormatting>
  <conditionalFormatting sqref="O105">
    <cfRule type="expression" dxfId="1450" priority="1451" stopIfTrue="1">
      <formula>$F105="無"</formula>
    </cfRule>
  </conditionalFormatting>
  <conditionalFormatting sqref="O105">
    <cfRule type="expression" dxfId="1449" priority="1450" stopIfTrue="1">
      <formula>$F105="無"</formula>
    </cfRule>
  </conditionalFormatting>
  <conditionalFormatting sqref="O105">
    <cfRule type="expression" dxfId="1448" priority="1449" stopIfTrue="1">
      <formula>$F105="無"</formula>
    </cfRule>
  </conditionalFormatting>
  <conditionalFormatting sqref="O105">
    <cfRule type="expression" dxfId="1447" priority="1448" stopIfTrue="1">
      <formula>$F105="無"</formula>
    </cfRule>
  </conditionalFormatting>
  <conditionalFormatting sqref="O105">
    <cfRule type="expression" dxfId="1446" priority="1447" stopIfTrue="1">
      <formula>$F105="無"</formula>
    </cfRule>
  </conditionalFormatting>
  <conditionalFormatting sqref="O105">
    <cfRule type="expression" dxfId="1445" priority="1446" stopIfTrue="1">
      <formula>$F105="無"</formula>
    </cfRule>
  </conditionalFormatting>
  <conditionalFormatting sqref="O105">
    <cfRule type="expression" dxfId="1444" priority="1445" stopIfTrue="1">
      <formula>$F105="無"</formula>
    </cfRule>
  </conditionalFormatting>
  <conditionalFormatting sqref="O105">
    <cfRule type="expression" dxfId="1443" priority="1444" stopIfTrue="1">
      <formula>$F105="無"</formula>
    </cfRule>
  </conditionalFormatting>
  <conditionalFormatting sqref="O105">
    <cfRule type="expression" dxfId="1442" priority="1443" stopIfTrue="1">
      <formula>$F105="無"</formula>
    </cfRule>
  </conditionalFormatting>
  <conditionalFormatting sqref="O105">
    <cfRule type="expression" dxfId="1441" priority="1442" stopIfTrue="1">
      <formula>$F105="無"</formula>
    </cfRule>
  </conditionalFormatting>
  <conditionalFormatting sqref="O105">
    <cfRule type="expression" dxfId="1440" priority="1441" stopIfTrue="1">
      <formula>$F105="無"</formula>
    </cfRule>
  </conditionalFormatting>
  <conditionalFormatting sqref="O105">
    <cfRule type="expression" dxfId="1439" priority="1440" stopIfTrue="1">
      <formula>$F105="無"</formula>
    </cfRule>
  </conditionalFormatting>
  <conditionalFormatting sqref="O105">
    <cfRule type="expression" dxfId="1438" priority="1439" stopIfTrue="1">
      <formula>$F105="無"</formula>
    </cfRule>
  </conditionalFormatting>
  <conditionalFormatting sqref="O105">
    <cfRule type="expression" dxfId="1437" priority="1438" stopIfTrue="1">
      <formula>$F105="無"</formula>
    </cfRule>
  </conditionalFormatting>
  <conditionalFormatting sqref="O105">
    <cfRule type="expression" dxfId="1436" priority="1437" stopIfTrue="1">
      <formula>$F105="無"</formula>
    </cfRule>
  </conditionalFormatting>
  <conditionalFormatting sqref="O105">
    <cfRule type="expression" dxfId="1435" priority="1436" stopIfTrue="1">
      <formula>$F105="無"</formula>
    </cfRule>
  </conditionalFormatting>
  <conditionalFormatting sqref="O105">
    <cfRule type="expression" dxfId="1434" priority="1435" stopIfTrue="1">
      <formula>$F105="無"</formula>
    </cfRule>
  </conditionalFormatting>
  <conditionalFormatting sqref="O105">
    <cfRule type="expression" dxfId="1433" priority="1434" stopIfTrue="1">
      <formula>$F105="無"</formula>
    </cfRule>
  </conditionalFormatting>
  <conditionalFormatting sqref="O105">
    <cfRule type="expression" dxfId="1432" priority="1433" stopIfTrue="1">
      <formula>$F105="無"</formula>
    </cfRule>
  </conditionalFormatting>
  <conditionalFormatting sqref="O105">
    <cfRule type="expression" dxfId="1431" priority="1432" stopIfTrue="1">
      <formula>$F105="無"</formula>
    </cfRule>
  </conditionalFormatting>
  <conditionalFormatting sqref="O105">
    <cfRule type="expression" dxfId="1430" priority="1431" stopIfTrue="1">
      <formula>$F105="無"</formula>
    </cfRule>
  </conditionalFormatting>
  <conditionalFormatting sqref="O105">
    <cfRule type="expression" dxfId="1429" priority="1430" stopIfTrue="1">
      <formula>$F105="無"</formula>
    </cfRule>
  </conditionalFormatting>
  <conditionalFormatting sqref="O105">
    <cfRule type="expression" dxfId="1428" priority="1429" stopIfTrue="1">
      <formula>$F105="無"</formula>
    </cfRule>
  </conditionalFormatting>
  <conditionalFormatting sqref="O105">
    <cfRule type="expression" dxfId="1427" priority="1428" stopIfTrue="1">
      <formula>$F105="無"</formula>
    </cfRule>
  </conditionalFormatting>
  <conditionalFormatting sqref="O105">
    <cfRule type="expression" dxfId="1426" priority="1427" stopIfTrue="1">
      <formula>$F105="無"</formula>
    </cfRule>
  </conditionalFormatting>
  <conditionalFormatting sqref="O105">
    <cfRule type="expression" dxfId="1425" priority="1426" stopIfTrue="1">
      <formula>$F105="無"</formula>
    </cfRule>
  </conditionalFormatting>
  <conditionalFormatting sqref="O105">
    <cfRule type="expression" dxfId="1424" priority="1425" stopIfTrue="1">
      <formula>$F105="無"</formula>
    </cfRule>
  </conditionalFormatting>
  <conditionalFormatting sqref="O105">
    <cfRule type="expression" dxfId="1423" priority="1424" stopIfTrue="1">
      <formula>$F105="無"</formula>
    </cfRule>
  </conditionalFormatting>
  <conditionalFormatting sqref="O105">
    <cfRule type="expression" dxfId="1422" priority="1423" stopIfTrue="1">
      <formula>$F105="無"</formula>
    </cfRule>
  </conditionalFormatting>
  <conditionalFormatting sqref="O105">
    <cfRule type="expression" dxfId="1421" priority="1422" stopIfTrue="1">
      <formula>$F105="無"</formula>
    </cfRule>
  </conditionalFormatting>
  <conditionalFormatting sqref="O105">
    <cfRule type="expression" dxfId="1420" priority="1421" stopIfTrue="1">
      <formula>$F105="無"</formula>
    </cfRule>
  </conditionalFormatting>
  <conditionalFormatting sqref="O105">
    <cfRule type="expression" dxfId="1419" priority="1420" stopIfTrue="1">
      <formula>$F105="無"</formula>
    </cfRule>
  </conditionalFormatting>
  <conditionalFormatting sqref="O105">
    <cfRule type="expression" dxfId="1418" priority="1419" stopIfTrue="1">
      <formula>$F105="無"</formula>
    </cfRule>
  </conditionalFormatting>
  <conditionalFormatting sqref="O105">
    <cfRule type="expression" dxfId="1417" priority="1418" stopIfTrue="1">
      <formula>$F105="無"</formula>
    </cfRule>
  </conditionalFormatting>
  <conditionalFormatting sqref="O105">
    <cfRule type="expression" dxfId="1416" priority="1417" stopIfTrue="1">
      <formula>$F105="無"</formula>
    </cfRule>
  </conditionalFormatting>
  <conditionalFormatting sqref="O105">
    <cfRule type="expression" dxfId="1415" priority="1416" stopIfTrue="1">
      <formula>$F105="無"</formula>
    </cfRule>
  </conditionalFormatting>
  <conditionalFormatting sqref="O105">
    <cfRule type="expression" dxfId="1414" priority="1415" stopIfTrue="1">
      <formula>$F105="無"</formula>
    </cfRule>
  </conditionalFormatting>
  <conditionalFormatting sqref="O105">
    <cfRule type="expression" dxfId="1413" priority="1414" stopIfTrue="1">
      <formula>$F105="無"</formula>
    </cfRule>
  </conditionalFormatting>
  <conditionalFormatting sqref="O105">
    <cfRule type="expression" dxfId="1412" priority="1413" stopIfTrue="1">
      <formula>$F105="無"</formula>
    </cfRule>
  </conditionalFormatting>
  <conditionalFormatting sqref="O105">
    <cfRule type="expression" dxfId="1411" priority="1412" stopIfTrue="1">
      <formula>$F105="無"</formula>
    </cfRule>
  </conditionalFormatting>
  <conditionalFormatting sqref="O105">
    <cfRule type="expression" dxfId="1410" priority="1411" stopIfTrue="1">
      <formula>$F105="無"</formula>
    </cfRule>
  </conditionalFormatting>
  <conditionalFormatting sqref="O105">
    <cfRule type="expression" dxfId="1409" priority="1410" stopIfTrue="1">
      <formula>$F105="無"</formula>
    </cfRule>
  </conditionalFormatting>
  <conditionalFormatting sqref="O105">
    <cfRule type="expression" dxfId="1408" priority="1409" stopIfTrue="1">
      <formula>$F105="無"</formula>
    </cfRule>
  </conditionalFormatting>
  <conditionalFormatting sqref="O105">
    <cfRule type="expression" dxfId="1407" priority="1408" stopIfTrue="1">
      <formula>$F105="無"</formula>
    </cfRule>
  </conditionalFormatting>
  <conditionalFormatting sqref="O105">
    <cfRule type="expression" dxfId="1406" priority="1407" stopIfTrue="1">
      <formula>$F105="無"</formula>
    </cfRule>
  </conditionalFormatting>
  <conditionalFormatting sqref="O105">
    <cfRule type="expression" dxfId="1405" priority="1406" stopIfTrue="1">
      <formula>$F105="無"</formula>
    </cfRule>
  </conditionalFormatting>
  <conditionalFormatting sqref="O105">
    <cfRule type="expression" dxfId="1404" priority="1405" stopIfTrue="1">
      <formula>$F105="無"</formula>
    </cfRule>
  </conditionalFormatting>
  <conditionalFormatting sqref="O105">
    <cfRule type="expression" dxfId="1403" priority="1404" stopIfTrue="1">
      <formula>$F105="無"</formula>
    </cfRule>
  </conditionalFormatting>
  <conditionalFormatting sqref="O105">
    <cfRule type="expression" dxfId="1402" priority="1403" stopIfTrue="1">
      <formula>$F105="無"</formula>
    </cfRule>
  </conditionalFormatting>
  <conditionalFormatting sqref="O105">
    <cfRule type="expression" dxfId="1401" priority="1402" stopIfTrue="1">
      <formula>$F105="無"</formula>
    </cfRule>
  </conditionalFormatting>
  <conditionalFormatting sqref="O105">
    <cfRule type="expression" dxfId="1400" priority="1401" stopIfTrue="1">
      <formula>$F105="無"</formula>
    </cfRule>
  </conditionalFormatting>
  <conditionalFormatting sqref="O105">
    <cfRule type="expression" dxfId="1399" priority="1400" stopIfTrue="1">
      <formula>$F105="無"</formula>
    </cfRule>
  </conditionalFormatting>
  <conditionalFormatting sqref="O105">
    <cfRule type="expression" dxfId="1398" priority="1399" stopIfTrue="1">
      <formula>$F105="無"</formula>
    </cfRule>
  </conditionalFormatting>
  <conditionalFormatting sqref="O105">
    <cfRule type="expression" dxfId="1397" priority="1398" stopIfTrue="1">
      <formula>$F105="無"</formula>
    </cfRule>
  </conditionalFormatting>
  <conditionalFormatting sqref="O105">
    <cfRule type="expression" dxfId="1396" priority="1397" stopIfTrue="1">
      <formula>$F105="無"</formula>
    </cfRule>
  </conditionalFormatting>
  <conditionalFormatting sqref="O105">
    <cfRule type="expression" dxfId="1395" priority="1396" stopIfTrue="1">
      <formula>$F105="無"</formula>
    </cfRule>
  </conditionalFormatting>
  <conditionalFormatting sqref="O105">
    <cfRule type="expression" dxfId="1394" priority="1395" stopIfTrue="1">
      <formula>$F105="無"</formula>
    </cfRule>
  </conditionalFormatting>
  <conditionalFormatting sqref="O105">
    <cfRule type="expression" dxfId="1393" priority="1394" stopIfTrue="1">
      <formula>$F105="無"</formula>
    </cfRule>
  </conditionalFormatting>
  <conditionalFormatting sqref="O105">
    <cfRule type="expression" dxfId="1392" priority="1393" stopIfTrue="1">
      <formula>$F105="無"</formula>
    </cfRule>
  </conditionalFormatting>
  <conditionalFormatting sqref="O105">
    <cfRule type="expression" dxfId="1391" priority="1392" stopIfTrue="1">
      <formula>$F105="無"</formula>
    </cfRule>
  </conditionalFormatting>
  <conditionalFormatting sqref="O105">
    <cfRule type="expression" dxfId="1390" priority="1391" stopIfTrue="1">
      <formula>$F105="無"</formula>
    </cfRule>
  </conditionalFormatting>
  <conditionalFormatting sqref="O105">
    <cfRule type="expression" dxfId="1389" priority="1390" stopIfTrue="1">
      <formula>$F105="無"</formula>
    </cfRule>
  </conditionalFormatting>
  <conditionalFormatting sqref="O105">
    <cfRule type="expression" dxfId="1388" priority="1389" stopIfTrue="1">
      <formula>$F105="無"</formula>
    </cfRule>
  </conditionalFormatting>
  <conditionalFormatting sqref="O105">
    <cfRule type="expression" dxfId="1387" priority="1388" stopIfTrue="1">
      <formula>$F105="無"</formula>
    </cfRule>
  </conditionalFormatting>
  <conditionalFormatting sqref="O105">
    <cfRule type="expression" dxfId="1386" priority="1387" stopIfTrue="1">
      <formula>$F105="無"</formula>
    </cfRule>
  </conditionalFormatting>
  <conditionalFormatting sqref="O105">
    <cfRule type="expression" dxfId="1385" priority="1386" stopIfTrue="1">
      <formula>$F105="無"</formula>
    </cfRule>
  </conditionalFormatting>
  <conditionalFormatting sqref="O105">
    <cfRule type="expression" dxfId="1384" priority="1385" stopIfTrue="1">
      <formula>$F105="無"</formula>
    </cfRule>
  </conditionalFormatting>
  <conditionalFormatting sqref="O105">
    <cfRule type="expression" dxfId="1383" priority="1384" stopIfTrue="1">
      <formula>$F105="無"</formula>
    </cfRule>
  </conditionalFormatting>
  <conditionalFormatting sqref="O105">
    <cfRule type="expression" dxfId="1382" priority="1383" stopIfTrue="1">
      <formula>$F105="無"</formula>
    </cfRule>
  </conditionalFormatting>
  <conditionalFormatting sqref="O105">
    <cfRule type="expression" dxfId="1381" priority="1382" stopIfTrue="1">
      <formula>$F105="無"</formula>
    </cfRule>
  </conditionalFormatting>
  <conditionalFormatting sqref="O105">
    <cfRule type="expression" dxfId="1380" priority="1381" stopIfTrue="1">
      <formula>$F105="無"</formula>
    </cfRule>
  </conditionalFormatting>
  <conditionalFormatting sqref="O105">
    <cfRule type="expression" dxfId="1379" priority="1380" stopIfTrue="1">
      <formula>$F105="無"</formula>
    </cfRule>
  </conditionalFormatting>
  <conditionalFormatting sqref="O105">
    <cfRule type="expression" dxfId="1378" priority="1379" stopIfTrue="1">
      <formula>$F105="無"</formula>
    </cfRule>
  </conditionalFormatting>
  <conditionalFormatting sqref="O105">
    <cfRule type="expression" dxfId="1377" priority="1378" stopIfTrue="1">
      <formula>$F105="無"</formula>
    </cfRule>
  </conditionalFormatting>
  <conditionalFormatting sqref="O105">
    <cfRule type="expression" dxfId="1376" priority="1377" stopIfTrue="1">
      <formula>$F105="無"</formula>
    </cfRule>
  </conditionalFormatting>
  <conditionalFormatting sqref="O105">
    <cfRule type="expression" dxfId="1375" priority="1376" stopIfTrue="1">
      <formula>$F105="無"</formula>
    </cfRule>
  </conditionalFormatting>
  <conditionalFormatting sqref="O105">
    <cfRule type="expression" dxfId="1374" priority="1375" stopIfTrue="1">
      <formula>$F105="無"</formula>
    </cfRule>
  </conditionalFormatting>
  <conditionalFormatting sqref="O105">
    <cfRule type="expression" dxfId="1373" priority="1374" stopIfTrue="1">
      <formula>$F105="無"</formula>
    </cfRule>
  </conditionalFormatting>
  <conditionalFormatting sqref="O105">
    <cfRule type="expression" dxfId="1372" priority="1373" stopIfTrue="1">
      <formula>$F105="無"</formula>
    </cfRule>
  </conditionalFormatting>
  <conditionalFormatting sqref="O105">
    <cfRule type="expression" dxfId="1371" priority="1372" stopIfTrue="1">
      <formula>$F105="無"</formula>
    </cfRule>
  </conditionalFormatting>
  <conditionalFormatting sqref="O105">
    <cfRule type="expression" dxfId="1370" priority="1371" stopIfTrue="1">
      <formula>$F105="無"</formula>
    </cfRule>
  </conditionalFormatting>
  <conditionalFormatting sqref="O105">
    <cfRule type="expression" dxfId="1369" priority="1370" stopIfTrue="1">
      <formula>$F105="無"</formula>
    </cfRule>
  </conditionalFormatting>
  <conditionalFormatting sqref="O105">
    <cfRule type="expression" dxfId="1368" priority="1369" stopIfTrue="1">
      <formula>$F105="無"</formula>
    </cfRule>
  </conditionalFormatting>
  <conditionalFormatting sqref="O105">
    <cfRule type="expression" dxfId="1367" priority="1368" stopIfTrue="1">
      <formula>$F105="無"</formula>
    </cfRule>
  </conditionalFormatting>
  <conditionalFormatting sqref="O105">
    <cfRule type="expression" dxfId="1366" priority="1367" stopIfTrue="1">
      <formula>$F105="無"</formula>
    </cfRule>
  </conditionalFormatting>
  <conditionalFormatting sqref="O105">
    <cfRule type="expression" dxfId="1365" priority="1366" stopIfTrue="1">
      <formula>$F105="無"</formula>
    </cfRule>
  </conditionalFormatting>
  <conditionalFormatting sqref="O105">
    <cfRule type="expression" dxfId="1364" priority="1365" stopIfTrue="1">
      <formula>$F105="無"</formula>
    </cfRule>
  </conditionalFormatting>
  <conditionalFormatting sqref="O105">
    <cfRule type="expression" dxfId="1363" priority="1364" stopIfTrue="1">
      <formula>$F105="無"</formula>
    </cfRule>
  </conditionalFormatting>
  <conditionalFormatting sqref="O105">
    <cfRule type="expression" dxfId="1362" priority="1363" stopIfTrue="1">
      <formula>$F105="無"</formula>
    </cfRule>
  </conditionalFormatting>
  <conditionalFormatting sqref="O105">
    <cfRule type="expression" dxfId="1361" priority="1362" stopIfTrue="1">
      <formula>$F105="無"</formula>
    </cfRule>
  </conditionalFormatting>
  <conditionalFormatting sqref="O105">
    <cfRule type="expression" dxfId="1360" priority="1361" stopIfTrue="1">
      <formula>$F105="無"</formula>
    </cfRule>
  </conditionalFormatting>
  <conditionalFormatting sqref="O105">
    <cfRule type="expression" dxfId="1359" priority="1360" stopIfTrue="1">
      <formula>$F105="無"</formula>
    </cfRule>
  </conditionalFormatting>
  <conditionalFormatting sqref="O105">
    <cfRule type="expression" dxfId="1358" priority="1359" stopIfTrue="1">
      <formula>$F105="無"</formula>
    </cfRule>
  </conditionalFormatting>
  <conditionalFormatting sqref="O105">
    <cfRule type="expression" dxfId="1357" priority="1358" stopIfTrue="1">
      <formula>$F105="無"</formula>
    </cfRule>
  </conditionalFormatting>
  <conditionalFormatting sqref="O105">
    <cfRule type="expression" dxfId="1356" priority="1357" stopIfTrue="1">
      <formula>$F105="無"</formula>
    </cfRule>
  </conditionalFormatting>
  <conditionalFormatting sqref="O105">
    <cfRule type="expression" dxfId="1355" priority="1356" stopIfTrue="1">
      <formula>$F105="無"</formula>
    </cfRule>
  </conditionalFormatting>
  <conditionalFormatting sqref="O105">
    <cfRule type="expression" dxfId="1354" priority="1355" stopIfTrue="1">
      <formula>$F105="無"</formula>
    </cfRule>
  </conditionalFormatting>
  <conditionalFormatting sqref="O105">
    <cfRule type="expression" dxfId="1353" priority="1354" stopIfTrue="1">
      <formula>$F105="無"</formula>
    </cfRule>
  </conditionalFormatting>
  <conditionalFormatting sqref="O105">
    <cfRule type="expression" dxfId="1352" priority="1353" stopIfTrue="1">
      <formula>$F105="無"</formula>
    </cfRule>
  </conditionalFormatting>
  <conditionalFormatting sqref="O105">
    <cfRule type="expression" dxfId="1351" priority="1352" stopIfTrue="1">
      <formula>$F105="無"</formula>
    </cfRule>
  </conditionalFormatting>
  <conditionalFormatting sqref="O105">
    <cfRule type="expression" dxfId="1350" priority="1351" stopIfTrue="1">
      <formula>$F105="無"</formula>
    </cfRule>
  </conditionalFormatting>
  <conditionalFormatting sqref="O105">
    <cfRule type="expression" dxfId="1349" priority="1350" stopIfTrue="1">
      <formula>$F105="無"</formula>
    </cfRule>
  </conditionalFormatting>
  <conditionalFormatting sqref="Q105">
    <cfRule type="expression" dxfId="1348" priority="1349" stopIfTrue="1">
      <formula>$F105="無"</formula>
    </cfRule>
  </conditionalFormatting>
  <conditionalFormatting sqref="Q105">
    <cfRule type="expression" dxfId="1347" priority="1348" stopIfTrue="1">
      <formula>$F105="無"</formula>
    </cfRule>
  </conditionalFormatting>
  <conditionalFormatting sqref="Q105">
    <cfRule type="expression" dxfId="1346" priority="1347" stopIfTrue="1">
      <formula>$F105="無"</formula>
    </cfRule>
  </conditionalFormatting>
  <conditionalFormatting sqref="Q105">
    <cfRule type="expression" dxfId="1345" priority="1346" stopIfTrue="1">
      <formula>$F105="無"</formula>
    </cfRule>
  </conditionalFormatting>
  <conditionalFormatting sqref="Q105">
    <cfRule type="expression" dxfId="1344" priority="1345" stopIfTrue="1">
      <formula>$F105="無"</formula>
    </cfRule>
  </conditionalFormatting>
  <conditionalFormatting sqref="Q105">
    <cfRule type="expression" dxfId="1343" priority="1344" stopIfTrue="1">
      <formula>$F105="無"</formula>
    </cfRule>
  </conditionalFormatting>
  <conditionalFormatting sqref="Q105">
    <cfRule type="expression" dxfId="1342" priority="1343" stopIfTrue="1">
      <formula>$F105="無"</formula>
    </cfRule>
  </conditionalFormatting>
  <conditionalFormatting sqref="Q105">
    <cfRule type="expression" dxfId="1341" priority="1342" stopIfTrue="1">
      <formula>$F105="無"</formula>
    </cfRule>
  </conditionalFormatting>
  <conditionalFormatting sqref="Q105">
    <cfRule type="expression" dxfId="1340" priority="1341" stopIfTrue="1">
      <formula>$F105="無"</formula>
    </cfRule>
  </conditionalFormatting>
  <conditionalFormatting sqref="Q105">
    <cfRule type="expression" dxfId="1339" priority="1340" stopIfTrue="1">
      <formula>$F105="無"</formula>
    </cfRule>
  </conditionalFormatting>
  <conditionalFormatting sqref="Q105">
    <cfRule type="expression" dxfId="1338" priority="1339" stopIfTrue="1">
      <formula>$F105="無"</formula>
    </cfRule>
  </conditionalFormatting>
  <conditionalFormatting sqref="Q105">
    <cfRule type="expression" dxfId="1337" priority="1338" stopIfTrue="1">
      <formula>$F105="無"</formula>
    </cfRule>
  </conditionalFormatting>
  <conditionalFormatting sqref="Q105">
    <cfRule type="expression" dxfId="1336" priority="1337" stopIfTrue="1">
      <formula>$F105="無"</formula>
    </cfRule>
  </conditionalFormatting>
  <conditionalFormatting sqref="Q105">
    <cfRule type="expression" dxfId="1335" priority="1336" stopIfTrue="1">
      <formula>$F105="無"</formula>
    </cfRule>
  </conditionalFormatting>
  <conditionalFormatting sqref="Q105">
    <cfRule type="expression" dxfId="1334" priority="1335" stopIfTrue="1">
      <formula>$F105="無"</formula>
    </cfRule>
  </conditionalFormatting>
  <conditionalFormatting sqref="Q105">
    <cfRule type="expression" dxfId="1333" priority="1334" stopIfTrue="1">
      <formula>$F105="無"</formula>
    </cfRule>
  </conditionalFormatting>
  <conditionalFormatting sqref="Q105">
    <cfRule type="expression" dxfId="1332" priority="1333" stopIfTrue="1">
      <formula>$F105="無"</formula>
    </cfRule>
  </conditionalFormatting>
  <conditionalFormatting sqref="Q105">
    <cfRule type="expression" dxfId="1331" priority="1332" stopIfTrue="1">
      <formula>$F105="無"</formula>
    </cfRule>
  </conditionalFormatting>
  <conditionalFormatting sqref="Q105">
    <cfRule type="expression" dxfId="1330" priority="1331" stopIfTrue="1">
      <formula>$F105="無"</formula>
    </cfRule>
  </conditionalFormatting>
  <conditionalFormatting sqref="Q105">
    <cfRule type="expression" dxfId="1329" priority="1330" stopIfTrue="1">
      <formula>$F105="無"</formula>
    </cfRule>
  </conditionalFormatting>
  <conditionalFormatting sqref="Q105">
    <cfRule type="expression" dxfId="1328" priority="1329" stopIfTrue="1">
      <formula>$F105="無"</formula>
    </cfRule>
  </conditionalFormatting>
  <conditionalFormatting sqref="Q105">
    <cfRule type="expression" dxfId="1327" priority="1328" stopIfTrue="1">
      <formula>$F105="無"</formula>
    </cfRule>
  </conditionalFormatting>
  <conditionalFormatting sqref="Q105">
    <cfRule type="expression" dxfId="1326" priority="1327" stopIfTrue="1">
      <formula>$F105="無"</formula>
    </cfRule>
  </conditionalFormatting>
  <conditionalFormatting sqref="Q105">
    <cfRule type="expression" dxfId="1325" priority="1326" stopIfTrue="1">
      <formula>$F105="無"</formula>
    </cfRule>
  </conditionalFormatting>
  <conditionalFormatting sqref="Q105">
    <cfRule type="expression" dxfId="1324" priority="1325" stopIfTrue="1">
      <formula>$F105="無"</formula>
    </cfRule>
  </conditionalFormatting>
  <conditionalFormatting sqref="Q105">
    <cfRule type="expression" dxfId="1323" priority="1324" stopIfTrue="1">
      <formula>$F105="無"</formula>
    </cfRule>
  </conditionalFormatting>
  <conditionalFormatting sqref="Q105">
    <cfRule type="expression" dxfId="1322" priority="1323" stopIfTrue="1">
      <formula>$F105="無"</formula>
    </cfRule>
  </conditionalFormatting>
  <conditionalFormatting sqref="Q105">
    <cfRule type="expression" dxfId="1321" priority="1322" stopIfTrue="1">
      <formula>$F105="無"</formula>
    </cfRule>
  </conditionalFormatting>
  <conditionalFormatting sqref="Q105">
    <cfRule type="expression" dxfId="1320" priority="1321" stopIfTrue="1">
      <formula>$F105="無"</formula>
    </cfRule>
  </conditionalFormatting>
  <conditionalFormatting sqref="Q105">
    <cfRule type="expression" dxfId="1319" priority="1320" stopIfTrue="1">
      <formula>$F105="無"</formula>
    </cfRule>
  </conditionalFormatting>
  <conditionalFormatting sqref="Q105">
    <cfRule type="expression" dxfId="1318" priority="1319" stopIfTrue="1">
      <formula>$F105="無"</formula>
    </cfRule>
  </conditionalFormatting>
  <conditionalFormatting sqref="Q105">
    <cfRule type="expression" dxfId="1317" priority="1318" stopIfTrue="1">
      <formula>$F105="無"</formula>
    </cfRule>
  </conditionalFormatting>
  <conditionalFormatting sqref="Q105">
    <cfRule type="expression" dxfId="1316" priority="1317" stopIfTrue="1">
      <formula>$F105="無"</formula>
    </cfRule>
  </conditionalFormatting>
  <conditionalFormatting sqref="Q105">
    <cfRule type="expression" dxfId="1315" priority="1316" stopIfTrue="1">
      <formula>$F105="無"</formula>
    </cfRule>
  </conditionalFormatting>
  <conditionalFormatting sqref="Q105">
    <cfRule type="expression" dxfId="1314" priority="1315" stopIfTrue="1">
      <formula>$F105="無"</formula>
    </cfRule>
  </conditionalFormatting>
  <conditionalFormatting sqref="Q105">
    <cfRule type="expression" dxfId="1313" priority="1314" stopIfTrue="1">
      <formula>$F105="無"</formula>
    </cfRule>
  </conditionalFormatting>
  <conditionalFormatting sqref="Q105">
    <cfRule type="expression" dxfId="1312" priority="1313" stopIfTrue="1">
      <formula>$F105="無"</formula>
    </cfRule>
  </conditionalFormatting>
  <conditionalFormatting sqref="Q105">
    <cfRule type="expression" dxfId="1311" priority="1312" stopIfTrue="1">
      <formula>$F105="無"</formula>
    </cfRule>
  </conditionalFormatting>
  <conditionalFormatting sqref="Q105">
    <cfRule type="expression" dxfId="1310" priority="1311" stopIfTrue="1">
      <formula>$F105="無"</formula>
    </cfRule>
  </conditionalFormatting>
  <conditionalFormatting sqref="Q105">
    <cfRule type="expression" dxfId="1309" priority="1310" stopIfTrue="1">
      <formula>$F105="無"</formula>
    </cfRule>
  </conditionalFormatting>
  <conditionalFormatting sqref="Q105">
    <cfRule type="expression" dxfId="1308" priority="1309" stopIfTrue="1">
      <formula>$F105="無"</formula>
    </cfRule>
  </conditionalFormatting>
  <conditionalFormatting sqref="Q105">
    <cfRule type="expression" dxfId="1307" priority="1308" stopIfTrue="1">
      <formula>$F105="無"</formula>
    </cfRule>
  </conditionalFormatting>
  <conditionalFormatting sqref="S105">
    <cfRule type="expression" dxfId="1306" priority="1307" stopIfTrue="1">
      <formula>$F105="無"</formula>
    </cfRule>
  </conditionalFormatting>
  <conditionalFormatting sqref="S105">
    <cfRule type="expression" dxfId="1305" priority="1306" stopIfTrue="1">
      <formula>$F105="無"</formula>
    </cfRule>
  </conditionalFormatting>
  <conditionalFormatting sqref="S105">
    <cfRule type="expression" dxfId="1304" priority="1305" stopIfTrue="1">
      <formula>$F105="無"</formula>
    </cfRule>
  </conditionalFormatting>
  <conditionalFormatting sqref="S105">
    <cfRule type="expression" dxfId="1303" priority="1304" stopIfTrue="1">
      <formula>$F105="無"</formula>
    </cfRule>
  </conditionalFormatting>
  <conditionalFormatting sqref="S105">
    <cfRule type="expression" dxfId="1302" priority="1303" stopIfTrue="1">
      <formula>$F105="無"</formula>
    </cfRule>
  </conditionalFormatting>
  <conditionalFormatting sqref="S105">
    <cfRule type="expression" dxfId="1301" priority="1302" stopIfTrue="1">
      <formula>$F105="無"</formula>
    </cfRule>
  </conditionalFormatting>
  <conditionalFormatting sqref="S105">
    <cfRule type="expression" dxfId="1300" priority="1301" stopIfTrue="1">
      <formula>$F105="無"</formula>
    </cfRule>
  </conditionalFormatting>
  <conditionalFormatting sqref="S105">
    <cfRule type="expression" dxfId="1299" priority="1300" stopIfTrue="1">
      <formula>$F105="無"</formula>
    </cfRule>
  </conditionalFormatting>
  <conditionalFormatting sqref="S105">
    <cfRule type="expression" dxfId="1298" priority="1299" stopIfTrue="1">
      <formula>$F105="無"</formula>
    </cfRule>
  </conditionalFormatting>
  <conditionalFormatting sqref="S105">
    <cfRule type="expression" dxfId="1297" priority="1298" stopIfTrue="1">
      <formula>$F105="無"</formula>
    </cfRule>
  </conditionalFormatting>
  <conditionalFormatting sqref="S105">
    <cfRule type="expression" dxfId="1296" priority="1297" stopIfTrue="1">
      <formula>$F105="無"</formula>
    </cfRule>
  </conditionalFormatting>
  <conditionalFormatting sqref="S105">
    <cfRule type="expression" dxfId="1295" priority="1296" stopIfTrue="1">
      <formula>$F105="無"</formula>
    </cfRule>
  </conditionalFormatting>
  <conditionalFormatting sqref="S105">
    <cfRule type="expression" dxfId="1294" priority="1295" stopIfTrue="1">
      <formula>$F105="無"</formula>
    </cfRule>
  </conditionalFormatting>
  <conditionalFormatting sqref="S105">
    <cfRule type="expression" dxfId="1293" priority="1294" stopIfTrue="1">
      <formula>$F105="無"</formula>
    </cfRule>
  </conditionalFormatting>
  <conditionalFormatting sqref="S105">
    <cfRule type="expression" dxfId="1292" priority="1293" stopIfTrue="1">
      <formula>$F105="無"</formula>
    </cfRule>
  </conditionalFormatting>
  <conditionalFormatting sqref="S105">
    <cfRule type="expression" dxfId="1291" priority="1292" stopIfTrue="1">
      <formula>$F105="無"</formula>
    </cfRule>
  </conditionalFormatting>
  <conditionalFormatting sqref="S105">
    <cfRule type="expression" dxfId="1290" priority="1291" stopIfTrue="1">
      <formula>$F105="無"</formula>
    </cfRule>
  </conditionalFormatting>
  <conditionalFormatting sqref="S105">
    <cfRule type="expression" dxfId="1289" priority="1290" stopIfTrue="1">
      <formula>$F105="無"</formula>
    </cfRule>
  </conditionalFormatting>
  <conditionalFormatting sqref="S105">
    <cfRule type="expression" dxfId="1288" priority="1289" stopIfTrue="1">
      <formula>$F105="無"</formula>
    </cfRule>
  </conditionalFormatting>
  <conditionalFormatting sqref="S105">
    <cfRule type="expression" dxfId="1287" priority="1288" stopIfTrue="1">
      <formula>$F105="無"</formula>
    </cfRule>
  </conditionalFormatting>
  <conditionalFormatting sqref="S105">
    <cfRule type="expression" dxfId="1286" priority="1287" stopIfTrue="1">
      <formula>$F105="無"</formula>
    </cfRule>
  </conditionalFormatting>
  <conditionalFormatting sqref="S105">
    <cfRule type="expression" dxfId="1285" priority="1286" stopIfTrue="1">
      <formula>$F105="無"</formula>
    </cfRule>
  </conditionalFormatting>
  <conditionalFormatting sqref="S105">
    <cfRule type="expression" dxfId="1284" priority="1285" stopIfTrue="1">
      <formula>$F105="無"</formula>
    </cfRule>
  </conditionalFormatting>
  <conditionalFormatting sqref="S105">
    <cfRule type="expression" dxfId="1283" priority="1284" stopIfTrue="1">
      <formula>$F105="無"</formula>
    </cfRule>
  </conditionalFormatting>
  <conditionalFormatting sqref="S105">
    <cfRule type="expression" dxfId="1282" priority="1283" stopIfTrue="1">
      <formula>$F105="無"</formula>
    </cfRule>
  </conditionalFormatting>
  <conditionalFormatting sqref="S105">
    <cfRule type="expression" dxfId="1281" priority="1282" stopIfTrue="1">
      <formula>$F105="無"</formula>
    </cfRule>
  </conditionalFormatting>
  <conditionalFormatting sqref="S105">
    <cfRule type="expression" dxfId="1280" priority="1281" stopIfTrue="1">
      <formula>$F105="無"</formula>
    </cfRule>
  </conditionalFormatting>
  <conditionalFormatting sqref="S105">
    <cfRule type="expression" dxfId="1279" priority="1280" stopIfTrue="1">
      <formula>$F105="無"</formula>
    </cfRule>
  </conditionalFormatting>
  <conditionalFormatting sqref="S105">
    <cfRule type="expression" dxfId="1278" priority="1279" stopIfTrue="1">
      <formula>$F105="無"</formula>
    </cfRule>
  </conditionalFormatting>
  <conditionalFormatting sqref="S105">
    <cfRule type="expression" dxfId="1277" priority="1278" stopIfTrue="1">
      <formula>$F105="無"</formula>
    </cfRule>
  </conditionalFormatting>
  <conditionalFormatting sqref="S105">
    <cfRule type="expression" dxfId="1276" priority="1277" stopIfTrue="1">
      <formula>$F105="無"</formula>
    </cfRule>
  </conditionalFormatting>
  <conditionalFormatting sqref="S105">
    <cfRule type="expression" dxfId="1275" priority="1276" stopIfTrue="1">
      <formula>$F105="無"</formula>
    </cfRule>
  </conditionalFormatting>
  <conditionalFormatting sqref="S105">
    <cfRule type="expression" dxfId="1274" priority="1275" stopIfTrue="1">
      <formula>$F105="無"</formula>
    </cfRule>
  </conditionalFormatting>
  <conditionalFormatting sqref="S105">
    <cfRule type="expression" dxfId="1273" priority="1274" stopIfTrue="1">
      <formula>$F105="無"</formula>
    </cfRule>
  </conditionalFormatting>
  <conditionalFormatting sqref="S105">
    <cfRule type="expression" dxfId="1272" priority="1273" stopIfTrue="1">
      <formula>$F105="無"</formula>
    </cfRule>
  </conditionalFormatting>
  <conditionalFormatting sqref="S105">
    <cfRule type="expression" dxfId="1271" priority="1272" stopIfTrue="1">
      <formula>$F105="無"</formula>
    </cfRule>
  </conditionalFormatting>
  <conditionalFormatting sqref="S105">
    <cfRule type="expression" dxfId="1270" priority="1271" stopIfTrue="1">
      <formula>$F105="無"</formula>
    </cfRule>
  </conditionalFormatting>
  <conditionalFormatting sqref="S105">
    <cfRule type="expression" dxfId="1269" priority="1270" stopIfTrue="1">
      <formula>$F105="無"</formula>
    </cfRule>
  </conditionalFormatting>
  <conditionalFormatting sqref="S105">
    <cfRule type="expression" dxfId="1268" priority="1269" stopIfTrue="1">
      <formula>$F105="無"</formula>
    </cfRule>
  </conditionalFormatting>
  <conditionalFormatting sqref="S105">
    <cfRule type="expression" dxfId="1267" priority="1268" stopIfTrue="1">
      <formula>$F105="無"</formula>
    </cfRule>
  </conditionalFormatting>
  <conditionalFormatting sqref="S105">
    <cfRule type="expression" dxfId="1266" priority="1267" stopIfTrue="1">
      <formula>$F105="無"</formula>
    </cfRule>
  </conditionalFormatting>
  <conditionalFormatting sqref="S105">
    <cfRule type="expression" dxfId="1265" priority="1266" stopIfTrue="1">
      <formula>$F105="無"</formula>
    </cfRule>
  </conditionalFormatting>
  <conditionalFormatting sqref="S105">
    <cfRule type="expression" dxfId="1264" priority="1265" stopIfTrue="1">
      <formula>$F105="無"</formula>
    </cfRule>
  </conditionalFormatting>
  <conditionalFormatting sqref="S105">
    <cfRule type="expression" dxfId="1263" priority="1264" stopIfTrue="1">
      <formula>$F105="無"</formula>
    </cfRule>
  </conditionalFormatting>
  <conditionalFormatting sqref="S105">
    <cfRule type="expression" dxfId="1262" priority="1263" stopIfTrue="1">
      <formula>$F105="無"</formula>
    </cfRule>
  </conditionalFormatting>
  <conditionalFormatting sqref="S105">
    <cfRule type="expression" dxfId="1261" priority="1262" stopIfTrue="1">
      <formula>$F105="無"</formula>
    </cfRule>
  </conditionalFormatting>
  <conditionalFormatting sqref="S105">
    <cfRule type="expression" dxfId="1260" priority="1261" stopIfTrue="1">
      <formula>$F105="無"</formula>
    </cfRule>
  </conditionalFormatting>
  <conditionalFormatting sqref="S105">
    <cfRule type="expression" dxfId="1259" priority="1260" stopIfTrue="1">
      <formula>$F105="無"</formula>
    </cfRule>
  </conditionalFormatting>
  <conditionalFormatting sqref="S105">
    <cfRule type="expression" dxfId="1258" priority="1259" stopIfTrue="1">
      <formula>$F105="無"</formula>
    </cfRule>
  </conditionalFormatting>
  <conditionalFormatting sqref="S105">
    <cfRule type="expression" dxfId="1257" priority="1258" stopIfTrue="1">
      <formula>$F105="無"</formula>
    </cfRule>
  </conditionalFormatting>
  <conditionalFormatting sqref="S105">
    <cfRule type="expression" dxfId="1256" priority="1257" stopIfTrue="1">
      <formula>$F105="無"</formula>
    </cfRule>
  </conditionalFormatting>
  <conditionalFormatting sqref="S105">
    <cfRule type="expression" dxfId="1255" priority="1256" stopIfTrue="1">
      <formula>$F105="無"</formula>
    </cfRule>
  </conditionalFormatting>
  <conditionalFormatting sqref="S105">
    <cfRule type="expression" dxfId="1254" priority="1255" stopIfTrue="1">
      <formula>$F105="無"</formula>
    </cfRule>
  </conditionalFormatting>
  <conditionalFormatting sqref="S105">
    <cfRule type="expression" dxfId="1253" priority="1254" stopIfTrue="1">
      <formula>$F105="無"</formula>
    </cfRule>
  </conditionalFormatting>
  <conditionalFormatting sqref="S105">
    <cfRule type="expression" dxfId="1252" priority="1253" stopIfTrue="1">
      <formula>$F105="無"</formula>
    </cfRule>
  </conditionalFormatting>
  <conditionalFormatting sqref="S105">
    <cfRule type="expression" dxfId="1251" priority="1252" stopIfTrue="1">
      <formula>$F105="無"</formula>
    </cfRule>
  </conditionalFormatting>
  <conditionalFormatting sqref="S105">
    <cfRule type="expression" dxfId="1250" priority="1251" stopIfTrue="1">
      <formula>$F105="無"</formula>
    </cfRule>
  </conditionalFormatting>
  <conditionalFormatting sqref="S105">
    <cfRule type="expression" dxfId="1249" priority="1250" stopIfTrue="1">
      <formula>$F105="無"</formula>
    </cfRule>
  </conditionalFormatting>
  <conditionalFormatting sqref="S105">
    <cfRule type="expression" dxfId="1248" priority="1249" stopIfTrue="1">
      <formula>$F105="無"</formula>
    </cfRule>
  </conditionalFormatting>
  <conditionalFormatting sqref="S105">
    <cfRule type="expression" dxfId="1247" priority="1248" stopIfTrue="1">
      <formula>$F105="無"</formula>
    </cfRule>
  </conditionalFormatting>
  <conditionalFormatting sqref="S105">
    <cfRule type="expression" dxfId="1246" priority="1247" stopIfTrue="1">
      <formula>$F105="無"</formula>
    </cfRule>
  </conditionalFormatting>
  <conditionalFormatting sqref="S105">
    <cfRule type="expression" dxfId="1245" priority="1246" stopIfTrue="1">
      <formula>$F105="無"</formula>
    </cfRule>
  </conditionalFormatting>
  <conditionalFormatting sqref="S105">
    <cfRule type="expression" dxfId="1244" priority="1245" stopIfTrue="1">
      <formula>$F105="無"</formula>
    </cfRule>
  </conditionalFormatting>
  <conditionalFormatting sqref="S105">
    <cfRule type="expression" dxfId="1243" priority="1244" stopIfTrue="1">
      <formula>$F105="無"</formula>
    </cfRule>
  </conditionalFormatting>
  <conditionalFormatting sqref="S105">
    <cfRule type="expression" dxfId="1242" priority="1243" stopIfTrue="1">
      <formula>$F105="無"</formula>
    </cfRule>
  </conditionalFormatting>
  <conditionalFormatting sqref="U105">
    <cfRule type="expression" dxfId="1241" priority="1204" stopIfTrue="1">
      <formula>$F105="無"</formula>
    </cfRule>
  </conditionalFormatting>
  <conditionalFormatting sqref="U105">
    <cfRule type="expression" dxfId="1240" priority="1203" stopIfTrue="1">
      <formula>$F105="無"</formula>
    </cfRule>
  </conditionalFormatting>
  <conditionalFormatting sqref="U105">
    <cfRule type="expression" dxfId="1239" priority="1202" stopIfTrue="1">
      <formula>$F105="無"</formula>
    </cfRule>
  </conditionalFormatting>
  <conditionalFormatting sqref="U105">
    <cfRule type="expression" dxfId="1238" priority="1201" stopIfTrue="1">
      <formula>$F105="無"</formula>
    </cfRule>
  </conditionalFormatting>
  <conditionalFormatting sqref="U105">
    <cfRule type="expression" dxfId="1237" priority="1200" stopIfTrue="1">
      <formula>$F105="無"</formula>
    </cfRule>
  </conditionalFormatting>
  <conditionalFormatting sqref="U105">
    <cfRule type="expression" dxfId="1236" priority="1199" stopIfTrue="1">
      <formula>$F105="無"</formula>
    </cfRule>
  </conditionalFormatting>
  <conditionalFormatting sqref="U105">
    <cfRule type="expression" dxfId="1235" priority="1198" stopIfTrue="1">
      <formula>$F105="無"</formula>
    </cfRule>
  </conditionalFormatting>
  <conditionalFormatting sqref="U105">
    <cfRule type="expression" dxfId="1234" priority="1197" stopIfTrue="1">
      <formula>$F105="無"</formula>
    </cfRule>
  </conditionalFormatting>
  <conditionalFormatting sqref="U105">
    <cfRule type="expression" dxfId="1233" priority="1196" stopIfTrue="1">
      <formula>$F105="無"</formula>
    </cfRule>
  </conditionalFormatting>
  <conditionalFormatting sqref="U105">
    <cfRule type="expression" dxfId="1232" priority="1195" stopIfTrue="1">
      <formula>$F105="無"</formula>
    </cfRule>
  </conditionalFormatting>
  <conditionalFormatting sqref="U105">
    <cfRule type="expression" dxfId="1231" priority="1194" stopIfTrue="1">
      <formula>$F105="無"</formula>
    </cfRule>
  </conditionalFormatting>
  <conditionalFormatting sqref="U105">
    <cfRule type="expression" dxfId="1230" priority="1193" stopIfTrue="1">
      <formula>$F105="無"</formula>
    </cfRule>
  </conditionalFormatting>
  <conditionalFormatting sqref="U105">
    <cfRule type="expression" dxfId="1229" priority="1192" stopIfTrue="1">
      <formula>$F105="無"</formula>
    </cfRule>
  </conditionalFormatting>
  <conditionalFormatting sqref="U105">
    <cfRule type="expression" dxfId="1228" priority="1191" stopIfTrue="1">
      <formula>$F105="無"</formula>
    </cfRule>
  </conditionalFormatting>
  <conditionalFormatting sqref="U105">
    <cfRule type="expression" dxfId="1227" priority="1190" stopIfTrue="1">
      <formula>$F105="無"</formula>
    </cfRule>
  </conditionalFormatting>
  <conditionalFormatting sqref="U105">
    <cfRule type="expression" dxfId="1226" priority="1189" stopIfTrue="1">
      <formula>$F105="無"</formula>
    </cfRule>
  </conditionalFormatting>
  <conditionalFormatting sqref="U105">
    <cfRule type="expression" dxfId="1225" priority="1188" stopIfTrue="1">
      <formula>$F105="無"</formula>
    </cfRule>
  </conditionalFormatting>
  <conditionalFormatting sqref="U105">
    <cfRule type="expression" dxfId="1224" priority="1187" stopIfTrue="1">
      <formula>$F105="無"</formula>
    </cfRule>
  </conditionalFormatting>
  <conditionalFormatting sqref="U105">
    <cfRule type="expression" dxfId="1223" priority="1186" stopIfTrue="1">
      <formula>$F105="無"</formula>
    </cfRule>
  </conditionalFormatting>
  <conditionalFormatting sqref="U105">
    <cfRule type="expression" dxfId="1222" priority="1185" stopIfTrue="1">
      <formula>$F105="無"</formula>
    </cfRule>
  </conditionalFormatting>
  <conditionalFormatting sqref="U105">
    <cfRule type="expression" dxfId="1221" priority="1242" stopIfTrue="1">
      <formula>$F105="無"</formula>
    </cfRule>
  </conditionalFormatting>
  <conditionalFormatting sqref="U105">
    <cfRule type="expression" dxfId="1220" priority="1241" stopIfTrue="1">
      <formula>$F105="無"</formula>
    </cfRule>
  </conditionalFormatting>
  <conditionalFormatting sqref="U105">
    <cfRule type="expression" dxfId="1219" priority="1240" stopIfTrue="1">
      <formula>$F105="無"</formula>
    </cfRule>
  </conditionalFormatting>
  <conditionalFormatting sqref="U105">
    <cfRule type="expression" dxfId="1218" priority="1239" stopIfTrue="1">
      <formula>$F105="無"</formula>
    </cfRule>
  </conditionalFormatting>
  <conditionalFormatting sqref="U105">
    <cfRule type="expression" dxfId="1217" priority="1238" stopIfTrue="1">
      <formula>$F105="無"</formula>
    </cfRule>
  </conditionalFormatting>
  <conditionalFormatting sqref="U105">
    <cfRule type="expression" dxfId="1216" priority="1237" stopIfTrue="1">
      <formula>$F105="無"</formula>
    </cfRule>
  </conditionalFormatting>
  <conditionalFormatting sqref="U105">
    <cfRule type="expression" dxfId="1215" priority="1236" stopIfTrue="1">
      <formula>$F105="無"</formula>
    </cfRule>
  </conditionalFormatting>
  <conditionalFormatting sqref="U105">
    <cfRule type="expression" dxfId="1214" priority="1235" stopIfTrue="1">
      <formula>$F105="無"</formula>
    </cfRule>
  </conditionalFormatting>
  <conditionalFormatting sqref="U105">
    <cfRule type="expression" dxfId="1213" priority="1234" stopIfTrue="1">
      <formula>$F105="無"</formula>
    </cfRule>
  </conditionalFormatting>
  <conditionalFormatting sqref="U105">
    <cfRule type="expression" dxfId="1212" priority="1233" stopIfTrue="1">
      <formula>$F105="無"</formula>
    </cfRule>
  </conditionalFormatting>
  <conditionalFormatting sqref="U105">
    <cfRule type="expression" dxfId="1211" priority="1232" stopIfTrue="1">
      <formula>$F105="無"</formula>
    </cfRule>
  </conditionalFormatting>
  <conditionalFormatting sqref="U105">
    <cfRule type="expression" dxfId="1210" priority="1231" stopIfTrue="1">
      <formula>$F105="無"</formula>
    </cfRule>
  </conditionalFormatting>
  <conditionalFormatting sqref="U105">
    <cfRule type="expression" dxfId="1209" priority="1230" stopIfTrue="1">
      <formula>$F105="無"</formula>
    </cfRule>
  </conditionalFormatting>
  <conditionalFormatting sqref="U105">
    <cfRule type="expression" dxfId="1208" priority="1229" stopIfTrue="1">
      <formula>$F105="無"</formula>
    </cfRule>
  </conditionalFormatting>
  <conditionalFormatting sqref="U105">
    <cfRule type="expression" dxfId="1207" priority="1228" stopIfTrue="1">
      <formula>$F105="無"</formula>
    </cfRule>
  </conditionalFormatting>
  <conditionalFormatting sqref="U105">
    <cfRule type="expression" dxfId="1206" priority="1227" stopIfTrue="1">
      <formula>$F105="無"</formula>
    </cfRule>
  </conditionalFormatting>
  <conditionalFormatting sqref="U105">
    <cfRule type="expression" dxfId="1205" priority="1226" stopIfTrue="1">
      <formula>$F105="無"</formula>
    </cfRule>
  </conditionalFormatting>
  <conditionalFormatting sqref="U105">
    <cfRule type="expression" dxfId="1204" priority="1225" stopIfTrue="1">
      <formula>$F105="無"</formula>
    </cfRule>
  </conditionalFormatting>
  <conditionalFormatting sqref="U105">
    <cfRule type="expression" dxfId="1203" priority="1224" stopIfTrue="1">
      <formula>$F105="無"</formula>
    </cfRule>
  </conditionalFormatting>
  <conditionalFormatting sqref="U105">
    <cfRule type="expression" dxfId="1202" priority="1223" stopIfTrue="1">
      <formula>$F105="無"</formula>
    </cfRule>
  </conditionalFormatting>
  <conditionalFormatting sqref="U105">
    <cfRule type="expression" dxfId="1201" priority="1222" stopIfTrue="1">
      <formula>$F105="無"</formula>
    </cfRule>
  </conditionalFormatting>
  <conditionalFormatting sqref="U105">
    <cfRule type="expression" dxfId="1200" priority="1221" stopIfTrue="1">
      <formula>$F105="無"</formula>
    </cfRule>
  </conditionalFormatting>
  <conditionalFormatting sqref="U105">
    <cfRule type="expression" dxfId="1199" priority="1220" stopIfTrue="1">
      <formula>$F105="無"</formula>
    </cfRule>
  </conditionalFormatting>
  <conditionalFormatting sqref="U105">
    <cfRule type="expression" dxfId="1198" priority="1219" stopIfTrue="1">
      <formula>$F105="無"</formula>
    </cfRule>
  </conditionalFormatting>
  <conditionalFormatting sqref="U105">
    <cfRule type="expression" dxfId="1197" priority="1218" stopIfTrue="1">
      <formula>$F105="無"</formula>
    </cfRule>
  </conditionalFormatting>
  <conditionalFormatting sqref="U105">
    <cfRule type="expression" dxfId="1196" priority="1217" stopIfTrue="1">
      <formula>$F105="無"</formula>
    </cfRule>
  </conditionalFormatting>
  <conditionalFormatting sqref="U105">
    <cfRule type="expression" dxfId="1195" priority="1216" stopIfTrue="1">
      <formula>$F105="無"</formula>
    </cfRule>
  </conditionalFormatting>
  <conditionalFormatting sqref="U105">
    <cfRule type="expression" dxfId="1194" priority="1215" stopIfTrue="1">
      <formula>$F105="無"</formula>
    </cfRule>
  </conditionalFormatting>
  <conditionalFormatting sqref="U105">
    <cfRule type="expression" dxfId="1193" priority="1214" stopIfTrue="1">
      <formula>$F105="無"</formula>
    </cfRule>
  </conditionalFormatting>
  <conditionalFormatting sqref="U105">
    <cfRule type="expression" dxfId="1192" priority="1213" stopIfTrue="1">
      <formula>$F105="無"</formula>
    </cfRule>
  </conditionalFormatting>
  <conditionalFormatting sqref="U105">
    <cfRule type="expression" dxfId="1191" priority="1212" stopIfTrue="1">
      <formula>$F105="無"</formula>
    </cfRule>
  </conditionalFormatting>
  <conditionalFormatting sqref="U105">
    <cfRule type="expression" dxfId="1190" priority="1211" stopIfTrue="1">
      <formula>$F105="無"</formula>
    </cfRule>
  </conditionalFormatting>
  <conditionalFormatting sqref="U105">
    <cfRule type="expression" dxfId="1189" priority="1210" stopIfTrue="1">
      <formula>$F105="無"</formula>
    </cfRule>
  </conditionalFormatting>
  <conditionalFormatting sqref="U105">
    <cfRule type="expression" dxfId="1188" priority="1209" stopIfTrue="1">
      <formula>$F105="無"</formula>
    </cfRule>
  </conditionalFormatting>
  <conditionalFormatting sqref="U105">
    <cfRule type="expression" dxfId="1187" priority="1208" stopIfTrue="1">
      <formula>$F105="無"</formula>
    </cfRule>
  </conditionalFormatting>
  <conditionalFormatting sqref="U105">
    <cfRule type="expression" dxfId="1186" priority="1207" stopIfTrue="1">
      <formula>$F105="無"</formula>
    </cfRule>
  </conditionalFormatting>
  <conditionalFormatting sqref="U105">
    <cfRule type="expression" dxfId="1185" priority="1206" stopIfTrue="1">
      <formula>$F105="無"</formula>
    </cfRule>
  </conditionalFormatting>
  <conditionalFormatting sqref="U105">
    <cfRule type="expression" dxfId="1184" priority="1205" stopIfTrue="1">
      <formula>$F105="無"</formula>
    </cfRule>
  </conditionalFormatting>
  <conditionalFormatting sqref="U105">
    <cfRule type="expression" dxfId="1183" priority="1184" stopIfTrue="1">
      <formula>$F105="無"</formula>
    </cfRule>
  </conditionalFormatting>
  <conditionalFormatting sqref="U105">
    <cfRule type="expression" dxfId="1182" priority="1183" stopIfTrue="1">
      <formula>$F105="無"</formula>
    </cfRule>
  </conditionalFormatting>
  <conditionalFormatting sqref="U105">
    <cfRule type="expression" dxfId="1181" priority="1182" stopIfTrue="1">
      <formula>$F105="無"</formula>
    </cfRule>
  </conditionalFormatting>
  <conditionalFormatting sqref="U105">
    <cfRule type="expression" dxfId="1180" priority="1181" stopIfTrue="1">
      <formula>$F105="無"</formula>
    </cfRule>
  </conditionalFormatting>
  <conditionalFormatting sqref="U105">
    <cfRule type="expression" dxfId="1179" priority="1180" stopIfTrue="1">
      <formula>$F105="無"</formula>
    </cfRule>
  </conditionalFormatting>
  <conditionalFormatting sqref="U105">
    <cfRule type="expression" dxfId="1178" priority="1179" stopIfTrue="1">
      <formula>$F105="無"</formula>
    </cfRule>
  </conditionalFormatting>
  <conditionalFormatting sqref="U105">
    <cfRule type="expression" dxfId="1177" priority="1178" stopIfTrue="1">
      <formula>$F105="無"</formula>
    </cfRule>
  </conditionalFormatting>
  <conditionalFormatting sqref="U105">
    <cfRule type="expression" dxfId="1176" priority="1177" stopIfTrue="1">
      <formula>$F105="無"</formula>
    </cfRule>
  </conditionalFormatting>
  <conditionalFormatting sqref="U105">
    <cfRule type="expression" dxfId="1175" priority="1176" stopIfTrue="1">
      <formula>$F105="無"</formula>
    </cfRule>
  </conditionalFormatting>
  <conditionalFormatting sqref="U105">
    <cfRule type="expression" dxfId="1174" priority="1175" stopIfTrue="1">
      <formula>$F105="無"</formula>
    </cfRule>
  </conditionalFormatting>
  <conditionalFormatting sqref="I106:J106 N106 P106 R106 T106 V106:AH106">
    <cfRule type="expression" dxfId="1173" priority="1174">
      <formula>$E106="無"</formula>
    </cfRule>
  </conditionalFormatting>
  <conditionalFormatting sqref="K106">
    <cfRule type="expression" dxfId="1172" priority="1173" stopIfTrue="1">
      <formula>$F106="無"</formula>
    </cfRule>
  </conditionalFormatting>
  <conditionalFormatting sqref="K106">
    <cfRule type="expression" dxfId="1171" priority="1172" stopIfTrue="1">
      <formula>$F106="無"</formula>
    </cfRule>
  </conditionalFormatting>
  <conditionalFormatting sqref="K106">
    <cfRule type="expression" dxfId="1170" priority="1171" stopIfTrue="1">
      <formula>$F106="無"</formula>
    </cfRule>
  </conditionalFormatting>
  <conditionalFormatting sqref="K106">
    <cfRule type="expression" dxfId="1169" priority="1170" stopIfTrue="1">
      <formula>$F106="無"</formula>
    </cfRule>
  </conditionalFormatting>
  <conditionalFormatting sqref="K106">
    <cfRule type="expression" dxfId="1168" priority="1169" stopIfTrue="1">
      <formula>$F106="無"</formula>
    </cfRule>
  </conditionalFormatting>
  <conditionalFormatting sqref="K106">
    <cfRule type="expression" dxfId="1167" priority="1168" stopIfTrue="1">
      <formula>$F106="無"</formula>
    </cfRule>
  </conditionalFormatting>
  <conditionalFormatting sqref="K106">
    <cfRule type="expression" dxfId="1166" priority="1167" stopIfTrue="1">
      <formula>$F106="無"</formula>
    </cfRule>
  </conditionalFormatting>
  <conditionalFormatting sqref="K106">
    <cfRule type="expression" dxfId="1165" priority="1166" stopIfTrue="1">
      <formula>$F106="無"</formula>
    </cfRule>
  </conditionalFormatting>
  <conditionalFormatting sqref="K106">
    <cfRule type="expression" dxfId="1164" priority="1165" stopIfTrue="1">
      <formula>$F106="無"</formula>
    </cfRule>
  </conditionalFormatting>
  <conditionalFormatting sqref="K106">
    <cfRule type="expression" dxfId="1163" priority="1164" stopIfTrue="1">
      <formula>$F106="無"</formula>
    </cfRule>
  </conditionalFormatting>
  <conditionalFormatting sqref="K106">
    <cfRule type="expression" dxfId="1162" priority="1163" stopIfTrue="1">
      <formula>$F106="無"</formula>
    </cfRule>
  </conditionalFormatting>
  <conditionalFormatting sqref="K106">
    <cfRule type="expression" dxfId="1161" priority="1162" stopIfTrue="1">
      <formula>$F106="無"</formula>
    </cfRule>
  </conditionalFormatting>
  <conditionalFormatting sqref="K106">
    <cfRule type="expression" dxfId="1160" priority="1161" stopIfTrue="1">
      <formula>$F106="無"</formula>
    </cfRule>
  </conditionalFormatting>
  <conditionalFormatting sqref="K106">
    <cfRule type="expression" dxfId="1159" priority="1160" stopIfTrue="1">
      <formula>$F106="無"</formula>
    </cfRule>
  </conditionalFormatting>
  <conditionalFormatting sqref="K106">
    <cfRule type="expression" dxfId="1158" priority="1159" stopIfTrue="1">
      <formula>$F106="無"</formula>
    </cfRule>
  </conditionalFormatting>
  <conditionalFormatting sqref="K106">
    <cfRule type="expression" dxfId="1157" priority="1158" stopIfTrue="1">
      <formula>$F106="無"</formula>
    </cfRule>
  </conditionalFormatting>
  <conditionalFormatting sqref="K106">
    <cfRule type="expression" dxfId="1156" priority="1157" stopIfTrue="1">
      <formula>$F106="無"</formula>
    </cfRule>
  </conditionalFormatting>
  <conditionalFormatting sqref="K106">
    <cfRule type="expression" dxfId="1155" priority="1156" stopIfTrue="1">
      <formula>$F106="無"</formula>
    </cfRule>
  </conditionalFormatting>
  <conditionalFormatting sqref="K106">
    <cfRule type="expression" dxfId="1154" priority="1155" stopIfTrue="1">
      <formula>$F106="無"</formula>
    </cfRule>
  </conditionalFormatting>
  <conditionalFormatting sqref="K106">
    <cfRule type="expression" dxfId="1153" priority="1154" stopIfTrue="1">
      <formula>$F106="無"</formula>
    </cfRule>
  </conditionalFormatting>
  <conditionalFormatting sqref="K106">
    <cfRule type="expression" dxfId="1152" priority="1153" stopIfTrue="1">
      <formula>$F106="無"</formula>
    </cfRule>
  </conditionalFormatting>
  <conditionalFormatting sqref="K106">
    <cfRule type="expression" dxfId="1151" priority="1152" stopIfTrue="1">
      <formula>$F106="無"</formula>
    </cfRule>
  </conditionalFormatting>
  <conditionalFormatting sqref="K106">
    <cfRule type="expression" dxfId="1150" priority="1151" stopIfTrue="1">
      <formula>$F106="無"</formula>
    </cfRule>
  </conditionalFormatting>
  <conditionalFormatting sqref="K106">
    <cfRule type="expression" dxfId="1149" priority="1150" stopIfTrue="1">
      <formula>$F106="無"</formula>
    </cfRule>
  </conditionalFormatting>
  <conditionalFormatting sqref="K106">
    <cfRule type="expression" dxfId="1148" priority="1149" stopIfTrue="1">
      <formula>$F106="無"</formula>
    </cfRule>
  </conditionalFormatting>
  <conditionalFormatting sqref="K106">
    <cfRule type="expression" dxfId="1147" priority="1148" stopIfTrue="1">
      <formula>$F106="無"</formula>
    </cfRule>
  </conditionalFormatting>
  <conditionalFormatting sqref="K106">
    <cfRule type="expression" dxfId="1146" priority="1147" stopIfTrue="1">
      <formula>$F106="無"</formula>
    </cfRule>
  </conditionalFormatting>
  <conditionalFormatting sqref="K106">
    <cfRule type="expression" dxfId="1145" priority="1146" stopIfTrue="1">
      <formula>$F106="無"</formula>
    </cfRule>
  </conditionalFormatting>
  <conditionalFormatting sqref="K106">
    <cfRule type="expression" dxfId="1144" priority="1145" stopIfTrue="1">
      <formula>$F106="無"</formula>
    </cfRule>
  </conditionalFormatting>
  <conditionalFormatting sqref="K106">
    <cfRule type="expression" dxfId="1143" priority="1144" stopIfTrue="1">
      <formula>$F106="無"</formula>
    </cfRule>
  </conditionalFormatting>
  <conditionalFormatting sqref="K106">
    <cfRule type="expression" dxfId="1142" priority="1143" stopIfTrue="1">
      <formula>$F106="無"</formula>
    </cfRule>
  </conditionalFormatting>
  <conditionalFormatting sqref="K106">
    <cfRule type="expression" dxfId="1141" priority="1142" stopIfTrue="1">
      <formula>$F106="無"</formula>
    </cfRule>
  </conditionalFormatting>
  <conditionalFormatting sqref="K106">
    <cfRule type="expression" dxfId="1140" priority="1141" stopIfTrue="1">
      <formula>$F106="無"</formula>
    </cfRule>
  </conditionalFormatting>
  <conditionalFormatting sqref="K106">
    <cfRule type="expression" dxfId="1139" priority="1140" stopIfTrue="1">
      <formula>$F106="無"</formula>
    </cfRule>
  </conditionalFormatting>
  <conditionalFormatting sqref="K106">
    <cfRule type="expression" dxfId="1138" priority="1139" stopIfTrue="1">
      <formula>$F106="無"</formula>
    </cfRule>
  </conditionalFormatting>
  <conditionalFormatting sqref="K106">
    <cfRule type="expression" dxfId="1137" priority="1138" stopIfTrue="1">
      <formula>$F106="無"</formula>
    </cfRule>
  </conditionalFormatting>
  <conditionalFormatting sqref="K106">
    <cfRule type="expression" dxfId="1136" priority="1137" stopIfTrue="1">
      <formula>$F106="無"</formula>
    </cfRule>
  </conditionalFormatting>
  <conditionalFormatting sqref="K106">
    <cfRule type="expression" dxfId="1135" priority="1136" stopIfTrue="1">
      <formula>$F106="無"</formula>
    </cfRule>
  </conditionalFormatting>
  <conditionalFormatting sqref="K106">
    <cfRule type="expression" dxfId="1134" priority="1135" stopIfTrue="1">
      <formula>$F106="無"</formula>
    </cfRule>
  </conditionalFormatting>
  <conditionalFormatting sqref="K106">
    <cfRule type="expression" dxfId="1133" priority="1134" stopIfTrue="1">
      <formula>$F106="無"</formula>
    </cfRule>
  </conditionalFormatting>
  <conditionalFormatting sqref="K106">
    <cfRule type="expression" dxfId="1132" priority="1133" stopIfTrue="1">
      <formula>$F106="無"</formula>
    </cfRule>
  </conditionalFormatting>
  <conditionalFormatting sqref="K106">
    <cfRule type="expression" dxfId="1131" priority="1132" stopIfTrue="1">
      <formula>$F106="無"</formula>
    </cfRule>
  </conditionalFormatting>
  <conditionalFormatting sqref="K106">
    <cfRule type="expression" dxfId="1130" priority="1131" stopIfTrue="1">
      <formula>$F106="無"</formula>
    </cfRule>
  </conditionalFormatting>
  <conditionalFormatting sqref="K106">
    <cfRule type="expression" dxfId="1129" priority="1130" stopIfTrue="1">
      <formula>$F106="無"</formula>
    </cfRule>
  </conditionalFormatting>
  <conditionalFormatting sqref="K106">
    <cfRule type="expression" dxfId="1128" priority="1129" stopIfTrue="1">
      <formula>$F106="無"</formula>
    </cfRule>
  </conditionalFormatting>
  <conditionalFormatting sqref="K106">
    <cfRule type="expression" dxfId="1127" priority="1128" stopIfTrue="1">
      <formula>$F106="無"</formula>
    </cfRule>
  </conditionalFormatting>
  <conditionalFormatting sqref="M106">
    <cfRule type="expression" dxfId="1126" priority="1127" stopIfTrue="1">
      <formula>$F106="無"</formula>
    </cfRule>
  </conditionalFormatting>
  <conditionalFormatting sqref="M106">
    <cfRule type="expression" dxfId="1125" priority="1126" stopIfTrue="1">
      <formula>$F106="無"</formula>
    </cfRule>
  </conditionalFormatting>
  <conditionalFormatting sqref="M106">
    <cfRule type="expression" dxfId="1124" priority="1125" stopIfTrue="1">
      <formula>$F106="無"</formula>
    </cfRule>
  </conditionalFormatting>
  <conditionalFormatting sqref="M106">
    <cfRule type="expression" dxfId="1123" priority="1124" stopIfTrue="1">
      <formula>$F106="無"</formula>
    </cfRule>
  </conditionalFormatting>
  <conditionalFormatting sqref="M106">
    <cfRule type="expression" dxfId="1122" priority="1123" stopIfTrue="1">
      <formula>$F106="無"</formula>
    </cfRule>
  </conditionalFormatting>
  <conditionalFormatting sqref="M106">
    <cfRule type="expression" dxfId="1121" priority="1122" stopIfTrue="1">
      <formula>$F106="無"</formula>
    </cfRule>
  </conditionalFormatting>
  <conditionalFormatting sqref="M106">
    <cfRule type="expression" dxfId="1120" priority="1121" stopIfTrue="1">
      <formula>$F106="無"</formula>
    </cfRule>
  </conditionalFormatting>
  <conditionalFormatting sqref="M106">
    <cfRule type="expression" dxfId="1119" priority="1120" stopIfTrue="1">
      <formula>$F106="無"</formula>
    </cfRule>
  </conditionalFormatting>
  <conditionalFormatting sqref="M106">
    <cfRule type="expression" dxfId="1118" priority="1119" stopIfTrue="1">
      <formula>$F106="無"</formula>
    </cfRule>
  </conditionalFormatting>
  <conditionalFormatting sqref="M106">
    <cfRule type="expression" dxfId="1117" priority="1118" stopIfTrue="1">
      <formula>$F106="無"</formula>
    </cfRule>
  </conditionalFormatting>
  <conditionalFormatting sqref="M106">
    <cfRule type="expression" dxfId="1116" priority="1117" stopIfTrue="1">
      <formula>$F106="無"</formula>
    </cfRule>
  </conditionalFormatting>
  <conditionalFormatting sqref="M106">
    <cfRule type="expression" dxfId="1115" priority="1116" stopIfTrue="1">
      <formula>$F106="無"</formula>
    </cfRule>
  </conditionalFormatting>
  <conditionalFormatting sqref="M106">
    <cfRule type="expression" dxfId="1114" priority="1115" stopIfTrue="1">
      <formula>$F106="無"</formula>
    </cfRule>
  </conditionalFormatting>
  <conditionalFormatting sqref="M106">
    <cfRule type="expression" dxfId="1113" priority="1114" stopIfTrue="1">
      <formula>$F106="無"</formula>
    </cfRule>
  </conditionalFormatting>
  <conditionalFormatting sqref="M106">
    <cfRule type="expression" dxfId="1112" priority="1113" stopIfTrue="1">
      <formula>$F106="無"</formula>
    </cfRule>
  </conditionalFormatting>
  <conditionalFormatting sqref="M106">
    <cfRule type="expression" dxfId="1111" priority="1112" stopIfTrue="1">
      <formula>$F106="無"</formula>
    </cfRule>
  </conditionalFormatting>
  <conditionalFormatting sqref="M106">
    <cfRule type="expression" dxfId="1110" priority="1111" stopIfTrue="1">
      <formula>$F106="無"</formula>
    </cfRule>
  </conditionalFormatting>
  <conditionalFormatting sqref="M106">
    <cfRule type="expression" dxfId="1109" priority="1110" stopIfTrue="1">
      <formula>$F106="無"</formula>
    </cfRule>
  </conditionalFormatting>
  <conditionalFormatting sqref="M106">
    <cfRule type="expression" dxfId="1108" priority="1109" stopIfTrue="1">
      <formula>$F106="無"</formula>
    </cfRule>
  </conditionalFormatting>
  <conditionalFormatting sqref="M106">
    <cfRule type="expression" dxfId="1107" priority="1108" stopIfTrue="1">
      <formula>$F106="無"</formula>
    </cfRule>
  </conditionalFormatting>
  <conditionalFormatting sqref="M106">
    <cfRule type="expression" dxfId="1106" priority="1107" stopIfTrue="1">
      <formula>$F106="無"</formula>
    </cfRule>
  </conditionalFormatting>
  <conditionalFormatting sqref="M106">
    <cfRule type="expression" dxfId="1105" priority="1106" stopIfTrue="1">
      <formula>$F106="無"</formula>
    </cfRule>
  </conditionalFormatting>
  <conditionalFormatting sqref="M106">
    <cfRule type="expression" dxfId="1104" priority="1105" stopIfTrue="1">
      <formula>$F106="無"</formula>
    </cfRule>
  </conditionalFormatting>
  <conditionalFormatting sqref="M106">
    <cfRule type="expression" dxfId="1103" priority="1104" stopIfTrue="1">
      <formula>$F106="無"</formula>
    </cfRule>
  </conditionalFormatting>
  <conditionalFormatting sqref="M106">
    <cfRule type="expression" dxfId="1102" priority="1103" stopIfTrue="1">
      <formula>$F106="無"</formula>
    </cfRule>
  </conditionalFormatting>
  <conditionalFormatting sqref="M106">
    <cfRule type="expression" dxfId="1101" priority="1102" stopIfTrue="1">
      <formula>$F106="無"</formula>
    </cfRule>
  </conditionalFormatting>
  <conditionalFormatting sqref="M106">
    <cfRule type="expression" dxfId="1100" priority="1101" stopIfTrue="1">
      <formula>$F106="無"</formula>
    </cfRule>
  </conditionalFormatting>
  <conditionalFormatting sqref="M106">
    <cfRule type="expression" dxfId="1099" priority="1100" stopIfTrue="1">
      <formula>$F106="無"</formula>
    </cfRule>
  </conditionalFormatting>
  <conditionalFormatting sqref="M106">
    <cfRule type="expression" dxfId="1098" priority="1099" stopIfTrue="1">
      <formula>$F106="無"</formula>
    </cfRule>
  </conditionalFormatting>
  <conditionalFormatting sqref="M106">
    <cfRule type="expression" dxfId="1097" priority="1098" stopIfTrue="1">
      <formula>$F106="無"</formula>
    </cfRule>
  </conditionalFormatting>
  <conditionalFormatting sqref="M106">
    <cfRule type="expression" dxfId="1096" priority="1097" stopIfTrue="1">
      <formula>$F106="無"</formula>
    </cfRule>
  </conditionalFormatting>
  <conditionalFormatting sqref="M106">
    <cfRule type="expression" dxfId="1095" priority="1096" stopIfTrue="1">
      <formula>$F106="無"</formula>
    </cfRule>
  </conditionalFormatting>
  <conditionalFormatting sqref="M106">
    <cfRule type="expression" dxfId="1094" priority="1095" stopIfTrue="1">
      <formula>$F106="無"</formula>
    </cfRule>
  </conditionalFormatting>
  <conditionalFormatting sqref="M106">
    <cfRule type="expression" dxfId="1093" priority="1094" stopIfTrue="1">
      <formula>$F106="無"</formula>
    </cfRule>
  </conditionalFormatting>
  <conditionalFormatting sqref="M106">
    <cfRule type="expression" dxfId="1092" priority="1093" stopIfTrue="1">
      <formula>$F106="無"</formula>
    </cfRule>
  </conditionalFormatting>
  <conditionalFormatting sqref="M106">
    <cfRule type="expression" dxfId="1091" priority="1092" stopIfTrue="1">
      <formula>$F106="無"</formula>
    </cfRule>
  </conditionalFormatting>
  <conditionalFormatting sqref="M106">
    <cfRule type="expression" dxfId="1090" priority="1091" stopIfTrue="1">
      <formula>$F106="無"</formula>
    </cfRule>
  </conditionalFormatting>
  <conditionalFormatting sqref="M106">
    <cfRule type="expression" dxfId="1089" priority="1090" stopIfTrue="1">
      <formula>$F106="無"</formula>
    </cfRule>
  </conditionalFormatting>
  <conditionalFormatting sqref="M106">
    <cfRule type="expression" dxfId="1088" priority="1089" stopIfTrue="1">
      <formula>$F106="無"</formula>
    </cfRule>
  </conditionalFormatting>
  <conditionalFormatting sqref="M106">
    <cfRule type="expression" dxfId="1087" priority="1088" stopIfTrue="1">
      <formula>$F106="無"</formula>
    </cfRule>
  </conditionalFormatting>
  <conditionalFormatting sqref="M106">
    <cfRule type="expression" dxfId="1086" priority="1087" stopIfTrue="1">
      <formula>$F106="無"</formula>
    </cfRule>
  </conditionalFormatting>
  <conditionalFormatting sqref="M106">
    <cfRule type="expression" dxfId="1085" priority="1086" stopIfTrue="1">
      <formula>$F106="無"</formula>
    </cfRule>
  </conditionalFormatting>
  <conditionalFormatting sqref="M106">
    <cfRule type="expression" dxfId="1084" priority="1085" stopIfTrue="1">
      <formula>$F106="無"</formula>
    </cfRule>
  </conditionalFormatting>
  <conditionalFormatting sqref="M106">
    <cfRule type="expression" dxfId="1083" priority="1084" stopIfTrue="1">
      <formula>$F106="無"</formula>
    </cfRule>
  </conditionalFormatting>
  <conditionalFormatting sqref="M106">
    <cfRule type="expression" dxfId="1082" priority="1083" stopIfTrue="1">
      <formula>$F106="無"</formula>
    </cfRule>
  </conditionalFormatting>
  <conditionalFormatting sqref="M106">
    <cfRule type="expression" dxfId="1081" priority="1082" stopIfTrue="1">
      <formula>$F106="無"</formula>
    </cfRule>
  </conditionalFormatting>
  <conditionalFormatting sqref="M106">
    <cfRule type="expression" dxfId="1080" priority="1081" stopIfTrue="1">
      <formula>$F106="無"</formula>
    </cfRule>
  </conditionalFormatting>
  <conditionalFormatting sqref="M106">
    <cfRule type="expression" dxfId="1079" priority="1080" stopIfTrue="1">
      <formula>$F106="無"</formula>
    </cfRule>
  </conditionalFormatting>
  <conditionalFormatting sqref="M106">
    <cfRule type="expression" dxfId="1078" priority="1079" stopIfTrue="1">
      <formula>$F106="無"</formula>
    </cfRule>
  </conditionalFormatting>
  <conditionalFormatting sqref="M106">
    <cfRule type="expression" dxfId="1077" priority="1078" stopIfTrue="1">
      <formula>$F106="無"</formula>
    </cfRule>
  </conditionalFormatting>
  <conditionalFormatting sqref="M106">
    <cfRule type="expression" dxfId="1076" priority="1077" stopIfTrue="1">
      <formula>$F106="無"</formula>
    </cfRule>
  </conditionalFormatting>
  <conditionalFormatting sqref="M106">
    <cfRule type="expression" dxfId="1075" priority="1076" stopIfTrue="1">
      <formula>$F106="無"</formula>
    </cfRule>
  </conditionalFormatting>
  <conditionalFormatting sqref="M106">
    <cfRule type="expression" dxfId="1074" priority="1075" stopIfTrue="1">
      <formula>$F106="無"</formula>
    </cfRule>
  </conditionalFormatting>
  <conditionalFormatting sqref="M106">
    <cfRule type="expression" dxfId="1073" priority="1074" stopIfTrue="1">
      <formula>$F106="無"</formula>
    </cfRule>
  </conditionalFormatting>
  <conditionalFormatting sqref="M106">
    <cfRule type="expression" dxfId="1072" priority="1073" stopIfTrue="1">
      <formula>$F106="無"</formula>
    </cfRule>
  </conditionalFormatting>
  <conditionalFormatting sqref="M106">
    <cfRule type="expression" dxfId="1071" priority="1072" stopIfTrue="1">
      <formula>$F106="無"</formula>
    </cfRule>
  </conditionalFormatting>
  <conditionalFormatting sqref="M106">
    <cfRule type="expression" dxfId="1070" priority="1071" stopIfTrue="1">
      <formula>$F106="無"</formula>
    </cfRule>
  </conditionalFormatting>
  <conditionalFormatting sqref="M106">
    <cfRule type="expression" dxfId="1069" priority="1070" stopIfTrue="1">
      <formula>$F106="無"</formula>
    </cfRule>
  </conditionalFormatting>
  <conditionalFormatting sqref="M106">
    <cfRule type="expression" dxfId="1068" priority="1069" stopIfTrue="1">
      <formula>$F106="無"</formula>
    </cfRule>
  </conditionalFormatting>
  <conditionalFormatting sqref="M106">
    <cfRule type="expression" dxfId="1067" priority="1068" stopIfTrue="1">
      <formula>$F106="無"</formula>
    </cfRule>
  </conditionalFormatting>
  <conditionalFormatting sqref="M106">
    <cfRule type="expression" dxfId="1066" priority="1067" stopIfTrue="1">
      <formula>$F106="無"</formula>
    </cfRule>
  </conditionalFormatting>
  <conditionalFormatting sqref="M106">
    <cfRule type="expression" dxfId="1065" priority="1066" stopIfTrue="1">
      <formula>$F106="無"</formula>
    </cfRule>
  </conditionalFormatting>
  <conditionalFormatting sqref="M106">
    <cfRule type="expression" dxfId="1064" priority="1065" stopIfTrue="1">
      <formula>$F106="無"</formula>
    </cfRule>
  </conditionalFormatting>
  <conditionalFormatting sqref="M106">
    <cfRule type="expression" dxfId="1063" priority="1064" stopIfTrue="1">
      <formula>$F106="無"</formula>
    </cfRule>
  </conditionalFormatting>
  <conditionalFormatting sqref="M106">
    <cfRule type="expression" dxfId="1062" priority="1063" stopIfTrue="1">
      <formula>$F106="無"</formula>
    </cfRule>
  </conditionalFormatting>
  <conditionalFormatting sqref="M106">
    <cfRule type="expression" dxfId="1061" priority="1062" stopIfTrue="1">
      <formula>$F106="無"</formula>
    </cfRule>
  </conditionalFormatting>
  <conditionalFormatting sqref="M106">
    <cfRule type="expression" dxfId="1060" priority="1061" stopIfTrue="1">
      <formula>$F106="無"</formula>
    </cfRule>
  </conditionalFormatting>
  <conditionalFormatting sqref="M106">
    <cfRule type="expression" dxfId="1059" priority="1060" stopIfTrue="1">
      <formula>$F106="無"</formula>
    </cfRule>
  </conditionalFormatting>
  <conditionalFormatting sqref="M106">
    <cfRule type="expression" dxfId="1058" priority="1059" stopIfTrue="1">
      <formula>$F106="無"</formula>
    </cfRule>
  </conditionalFormatting>
  <conditionalFormatting sqref="M106">
    <cfRule type="expression" dxfId="1057" priority="1058" stopIfTrue="1">
      <formula>$F106="無"</formula>
    </cfRule>
  </conditionalFormatting>
  <conditionalFormatting sqref="M106">
    <cfRule type="expression" dxfId="1056" priority="1057" stopIfTrue="1">
      <formula>$F106="無"</formula>
    </cfRule>
  </conditionalFormatting>
  <conditionalFormatting sqref="M106">
    <cfRule type="expression" dxfId="1055" priority="1056" stopIfTrue="1">
      <formula>$F106="無"</formula>
    </cfRule>
  </conditionalFormatting>
  <conditionalFormatting sqref="M106">
    <cfRule type="expression" dxfId="1054" priority="1055" stopIfTrue="1">
      <formula>$F106="無"</formula>
    </cfRule>
  </conditionalFormatting>
  <conditionalFormatting sqref="M106">
    <cfRule type="expression" dxfId="1053" priority="1054" stopIfTrue="1">
      <formula>$F106="無"</formula>
    </cfRule>
  </conditionalFormatting>
  <conditionalFormatting sqref="M106">
    <cfRule type="expression" dxfId="1052" priority="1053" stopIfTrue="1">
      <formula>$F106="無"</formula>
    </cfRule>
  </conditionalFormatting>
  <conditionalFormatting sqref="M106">
    <cfRule type="expression" dxfId="1051" priority="1052" stopIfTrue="1">
      <formula>$F106="無"</formula>
    </cfRule>
  </conditionalFormatting>
  <conditionalFormatting sqref="M106">
    <cfRule type="expression" dxfId="1050" priority="1051" stopIfTrue="1">
      <formula>$F106="無"</formula>
    </cfRule>
  </conditionalFormatting>
  <conditionalFormatting sqref="M106">
    <cfRule type="expression" dxfId="1049" priority="1050" stopIfTrue="1">
      <formula>$F106="無"</formula>
    </cfRule>
  </conditionalFormatting>
  <conditionalFormatting sqref="M106">
    <cfRule type="expression" dxfId="1048" priority="1049" stopIfTrue="1">
      <formula>$F106="無"</formula>
    </cfRule>
  </conditionalFormatting>
  <conditionalFormatting sqref="M106">
    <cfRule type="expression" dxfId="1047" priority="1048" stopIfTrue="1">
      <formula>$F106="無"</formula>
    </cfRule>
  </conditionalFormatting>
  <conditionalFormatting sqref="M106">
    <cfRule type="expression" dxfId="1046" priority="1047" stopIfTrue="1">
      <formula>$F106="無"</formula>
    </cfRule>
  </conditionalFormatting>
  <conditionalFormatting sqref="M106">
    <cfRule type="expression" dxfId="1045" priority="1046" stopIfTrue="1">
      <formula>$F106="無"</formula>
    </cfRule>
  </conditionalFormatting>
  <conditionalFormatting sqref="M106">
    <cfRule type="expression" dxfId="1044" priority="1045" stopIfTrue="1">
      <formula>$F106="無"</formula>
    </cfRule>
  </conditionalFormatting>
  <conditionalFormatting sqref="M106">
    <cfRule type="expression" dxfId="1043" priority="1044" stopIfTrue="1">
      <formula>$F106="無"</formula>
    </cfRule>
  </conditionalFormatting>
  <conditionalFormatting sqref="M106">
    <cfRule type="expression" dxfId="1042" priority="1043" stopIfTrue="1">
      <formula>$F106="無"</formula>
    </cfRule>
  </conditionalFormatting>
  <conditionalFormatting sqref="M106">
    <cfRule type="expression" dxfId="1041" priority="1042" stopIfTrue="1">
      <formula>$F106="無"</formula>
    </cfRule>
  </conditionalFormatting>
  <conditionalFormatting sqref="M106">
    <cfRule type="expression" dxfId="1040" priority="1041" stopIfTrue="1">
      <formula>$F106="無"</formula>
    </cfRule>
  </conditionalFormatting>
  <conditionalFormatting sqref="M106">
    <cfRule type="expression" dxfId="1039" priority="1040" stopIfTrue="1">
      <formula>$F106="無"</formula>
    </cfRule>
  </conditionalFormatting>
  <conditionalFormatting sqref="M106">
    <cfRule type="expression" dxfId="1038" priority="1039" stopIfTrue="1">
      <formula>$F106="無"</formula>
    </cfRule>
  </conditionalFormatting>
  <conditionalFormatting sqref="M106">
    <cfRule type="expression" dxfId="1037" priority="1038" stopIfTrue="1">
      <formula>$F106="無"</formula>
    </cfRule>
  </conditionalFormatting>
  <conditionalFormatting sqref="M106">
    <cfRule type="expression" dxfId="1036" priority="1037" stopIfTrue="1">
      <formula>$F106="無"</formula>
    </cfRule>
  </conditionalFormatting>
  <conditionalFormatting sqref="M106">
    <cfRule type="expression" dxfId="1035" priority="1036" stopIfTrue="1">
      <formula>$F106="無"</formula>
    </cfRule>
  </conditionalFormatting>
  <conditionalFormatting sqref="M106">
    <cfRule type="expression" dxfId="1034" priority="1035" stopIfTrue="1">
      <formula>$F106="無"</formula>
    </cfRule>
  </conditionalFormatting>
  <conditionalFormatting sqref="M106">
    <cfRule type="expression" dxfId="1033" priority="1034" stopIfTrue="1">
      <formula>$F106="無"</formula>
    </cfRule>
  </conditionalFormatting>
  <conditionalFormatting sqref="M106">
    <cfRule type="expression" dxfId="1032" priority="1033" stopIfTrue="1">
      <formula>$F106="無"</formula>
    </cfRule>
  </conditionalFormatting>
  <conditionalFormatting sqref="M106">
    <cfRule type="expression" dxfId="1031" priority="1032" stopIfTrue="1">
      <formula>$F106="無"</formula>
    </cfRule>
  </conditionalFormatting>
  <conditionalFormatting sqref="M106">
    <cfRule type="expression" dxfId="1030" priority="1031" stopIfTrue="1">
      <formula>$F106="無"</formula>
    </cfRule>
  </conditionalFormatting>
  <conditionalFormatting sqref="M106">
    <cfRule type="expression" dxfId="1029" priority="1030" stopIfTrue="1">
      <formula>$F106="無"</formula>
    </cfRule>
  </conditionalFormatting>
  <conditionalFormatting sqref="M106">
    <cfRule type="expression" dxfId="1028" priority="1029" stopIfTrue="1">
      <formula>$F106="無"</formula>
    </cfRule>
  </conditionalFormatting>
  <conditionalFormatting sqref="M106">
    <cfRule type="expression" dxfId="1027" priority="1028" stopIfTrue="1">
      <formula>$F106="無"</formula>
    </cfRule>
  </conditionalFormatting>
  <conditionalFormatting sqref="M106">
    <cfRule type="expression" dxfId="1026" priority="1027" stopIfTrue="1">
      <formula>$F106="無"</formula>
    </cfRule>
  </conditionalFormatting>
  <conditionalFormatting sqref="M106">
    <cfRule type="expression" dxfId="1025" priority="1026" stopIfTrue="1">
      <formula>$F106="無"</formula>
    </cfRule>
  </conditionalFormatting>
  <conditionalFormatting sqref="M106">
    <cfRule type="expression" dxfId="1024" priority="1025" stopIfTrue="1">
      <formula>$F106="無"</formula>
    </cfRule>
  </conditionalFormatting>
  <conditionalFormatting sqref="M106">
    <cfRule type="expression" dxfId="1023" priority="1024" stopIfTrue="1">
      <formula>$F106="無"</formula>
    </cfRule>
  </conditionalFormatting>
  <conditionalFormatting sqref="M106">
    <cfRule type="expression" dxfId="1022" priority="1023" stopIfTrue="1">
      <formula>$F106="無"</formula>
    </cfRule>
  </conditionalFormatting>
  <conditionalFormatting sqref="M106">
    <cfRule type="expression" dxfId="1021" priority="1022" stopIfTrue="1">
      <formula>$F106="無"</formula>
    </cfRule>
  </conditionalFormatting>
  <conditionalFormatting sqref="M106">
    <cfRule type="expression" dxfId="1020" priority="1021" stopIfTrue="1">
      <formula>$F106="無"</formula>
    </cfRule>
  </conditionalFormatting>
  <conditionalFormatting sqref="M106">
    <cfRule type="expression" dxfId="1019" priority="1020" stopIfTrue="1">
      <formula>$F106="無"</formula>
    </cfRule>
  </conditionalFormatting>
  <conditionalFormatting sqref="M106">
    <cfRule type="expression" dxfId="1018" priority="1019" stopIfTrue="1">
      <formula>$F106="無"</formula>
    </cfRule>
  </conditionalFormatting>
  <conditionalFormatting sqref="M106">
    <cfRule type="expression" dxfId="1017" priority="1018" stopIfTrue="1">
      <formula>$F106="無"</formula>
    </cfRule>
  </conditionalFormatting>
  <conditionalFormatting sqref="M106">
    <cfRule type="expression" dxfId="1016" priority="1017" stopIfTrue="1">
      <formula>$F106="無"</formula>
    </cfRule>
  </conditionalFormatting>
  <conditionalFormatting sqref="M106">
    <cfRule type="expression" dxfId="1015" priority="1016" stopIfTrue="1">
      <formula>$F106="無"</formula>
    </cfRule>
  </conditionalFormatting>
  <conditionalFormatting sqref="M106">
    <cfRule type="expression" dxfId="1014" priority="1015" stopIfTrue="1">
      <formula>$F106="無"</formula>
    </cfRule>
  </conditionalFormatting>
  <conditionalFormatting sqref="M106">
    <cfRule type="expression" dxfId="1013" priority="1014" stopIfTrue="1">
      <formula>$F106="無"</formula>
    </cfRule>
  </conditionalFormatting>
  <conditionalFormatting sqref="M106">
    <cfRule type="expression" dxfId="1012" priority="1013" stopIfTrue="1">
      <formula>$F106="無"</formula>
    </cfRule>
  </conditionalFormatting>
  <conditionalFormatting sqref="M106">
    <cfRule type="expression" dxfId="1011" priority="1012" stopIfTrue="1">
      <formula>$F106="無"</formula>
    </cfRule>
  </conditionalFormatting>
  <conditionalFormatting sqref="M106">
    <cfRule type="expression" dxfId="1010" priority="1011" stopIfTrue="1">
      <formula>$F106="無"</formula>
    </cfRule>
  </conditionalFormatting>
  <conditionalFormatting sqref="M106">
    <cfRule type="expression" dxfId="1009" priority="1010" stopIfTrue="1">
      <formula>$F106="無"</formula>
    </cfRule>
  </conditionalFormatting>
  <conditionalFormatting sqref="M106">
    <cfRule type="expression" dxfId="1008" priority="1009" stopIfTrue="1">
      <formula>$F106="無"</formula>
    </cfRule>
  </conditionalFormatting>
  <conditionalFormatting sqref="M106">
    <cfRule type="expression" dxfId="1007" priority="1008" stopIfTrue="1">
      <formula>$F106="無"</formula>
    </cfRule>
  </conditionalFormatting>
  <conditionalFormatting sqref="M106">
    <cfRule type="expression" dxfId="1006" priority="1007" stopIfTrue="1">
      <formula>$F106="無"</formula>
    </cfRule>
  </conditionalFormatting>
  <conditionalFormatting sqref="M106">
    <cfRule type="expression" dxfId="1005" priority="1006" stopIfTrue="1">
      <formula>$F106="無"</formula>
    </cfRule>
  </conditionalFormatting>
  <conditionalFormatting sqref="M106">
    <cfRule type="expression" dxfId="1004" priority="1005" stopIfTrue="1">
      <formula>$F106="無"</formula>
    </cfRule>
  </conditionalFormatting>
  <conditionalFormatting sqref="M106">
    <cfRule type="expression" dxfId="1003" priority="1004" stopIfTrue="1">
      <formula>$F106="無"</formula>
    </cfRule>
  </conditionalFormatting>
  <conditionalFormatting sqref="M106">
    <cfRule type="expression" dxfId="1002" priority="1003" stopIfTrue="1">
      <formula>$F106="無"</formula>
    </cfRule>
  </conditionalFormatting>
  <conditionalFormatting sqref="M106">
    <cfRule type="expression" dxfId="1001" priority="1002" stopIfTrue="1">
      <formula>$F106="無"</formula>
    </cfRule>
  </conditionalFormatting>
  <conditionalFormatting sqref="M106">
    <cfRule type="expression" dxfId="1000" priority="1001" stopIfTrue="1">
      <formula>$F106="無"</formula>
    </cfRule>
  </conditionalFormatting>
  <conditionalFormatting sqref="M106">
    <cfRule type="expression" dxfId="999" priority="1000" stopIfTrue="1">
      <formula>$F106="無"</formula>
    </cfRule>
  </conditionalFormatting>
  <conditionalFormatting sqref="M106">
    <cfRule type="expression" dxfId="998" priority="999" stopIfTrue="1">
      <formula>$F106="無"</formula>
    </cfRule>
  </conditionalFormatting>
  <conditionalFormatting sqref="M106">
    <cfRule type="expression" dxfId="997" priority="998" stopIfTrue="1">
      <formula>$F106="無"</formula>
    </cfRule>
  </conditionalFormatting>
  <conditionalFormatting sqref="M106">
    <cfRule type="expression" dxfId="996" priority="997" stopIfTrue="1">
      <formula>$F106="無"</formula>
    </cfRule>
  </conditionalFormatting>
  <conditionalFormatting sqref="M106">
    <cfRule type="expression" dxfId="995" priority="996" stopIfTrue="1">
      <formula>$F106="無"</formula>
    </cfRule>
  </conditionalFormatting>
  <conditionalFormatting sqref="M106">
    <cfRule type="expression" dxfId="994" priority="995" stopIfTrue="1">
      <formula>$F106="無"</formula>
    </cfRule>
  </conditionalFormatting>
  <conditionalFormatting sqref="M106">
    <cfRule type="expression" dxfId="993" priority="994" stopIfTrue="1">
      <formula>$F106="無"</formula>
    </cfRule>
  </conditionalFormatting>
  <conditionalFormatting sqref="M106">
    <cfRule type="expression" dxfId="992" priority="993" stopIfTrue="1">
      <formula>$F106="無"</formula>
    </cfRule>
  </conditionalFormatting>
  <conditionalFormatting sqref="M106">
    <cfRule type="expression" dxfId="991" priority="992" stopIfTrue="1">
      <formula>$F106="無"</formula>
    </cfRule>
  </conditionalFormatting>
  <conditionalFormatting sqref="M106">
    <cfRule type="expression" dxfId="990" priority="991" stopIfTrue="1">
      <formula>$F106="無"</formula>
    </cfRule>
  </conditionalFormatting>
  <conditionalFormatting sqref="M106">
    <cfRule type="expression" dxfId="989" priority="990" stopIfTrue="1">
      <formula>$F106="無"</formula>
    </cfRule>
  </conditionalFormatting>
  <conditionalFormatting sqref="M106">
    <cfRule type="expression" dxfId="988" priority="989" stopIfTrue="1">
      <formula>$F106="無"</formula>
    </cfRule>
  </conditionalFormatting>
  <conditionalFormatting sqref="M106">
    <cfRule type="expression" dxfId="987" priority="988" stopIfTrue="1">
      <formula>$F106="無"</formula>
    </cfRule>
  </conditionalFormatting>
  <conditionalFormatting sqref="M106">
    <cfRule type="expression" dxfId="986" priority="987" stopIfTrue="1">
      <formula>$F106="無"</formula>
    </cfRule>
  </conditionalFormatting>
  <conditionalFormatting sqref="M106">
    <cfRule type="expression" dxfId="985" priority="986" stopIfTrue="1">
      <formula>$F106="無"</formula>
    </cfRule>
  </conditionalFormatting>
  <conditionalFormatting sqref="M106">
    <cfRule type="expression" dxfId="984" priority="985" stopIfTrue="1">
      <formula>$F106="無"</formula>
    </cfRule>
  </conditionalFormatting>
  <conditionalFormatting sqref="M106">
    <cfRule type="expression" dxfId="983" priority="984" stopIfTrue="1">
      <formula>$F106="無"</formula>
    </cfRule>
  </conditionalFormatting>
  <conditionalFormatting sqref="M106">
    <cfRule type="expression" dxfId="982" priority="983" stopIfTrue="1">
      <formula>$F106="無"</formula>
    </cfRule>
  </conditionalFormatting>
  <conditionalFormatting sqref="M106">
    <cfRule type="expression" dxfId="981" priority="982" stopIfTrue="1">
      <formula>$F106="無"</formula>
    </cfRule>
  </conditionalFormatting>
  <conditionalFormatting sqref="M106">
    <cfRule type="expression" dxfId="980" priority="981" stopIfTrue="1">
      <formula>$F106="無"</formula>
    </cfRule>
  </conditionalFormatting>
  <conditionalFormatting sqref="M106">
    <cfRule type="expression" dxfId="979" priority="980" stopIfTrue="1">
      <formula>$F106="無"</formula>
    </cfRule>
  </conditionalFormatting>
  <conditionalFormatting sqref="M106">
    <cfRule type="expression" dxfId="978" priority="979" stopIfTrue="1">
      <formula>$F106="無"</formula>
    </cfRule>
  </conditionalFormatting>
  <conditionalFormatting sqref="M106">
    <cfRule type="expression" dxfId="977" priority="978" stopIfTrue="1">
      <formula>$F106="無"</formula>
    </cfRule>
  </conditionalFormatting>
  <conditionalFormatting sqref="M106">
    <cfRule type="expression" dxfId="976" priority="977" stopIfTrue="1">
      <formula>$F106="無"</formula>
    </cfRule>
  </conditionalFormatting>
  <conditionalFormatting sqref="M106">
    <cfRule type="expression" dxfId="975" priority="976" stopIfTrue="1">
      <formula>$F106="無"</formula>
    </cfRule>
  </conditionalFormatting>
  <conditionalFormatting sqref="M106">
    <cfRule type="expression" dxfId="974" priority="975" stopIfTrue="1">
      <formula>$F106="無"</formula>
    </cfRule>
  </conditionalFormatting>
  <conditionalFormatting sqref="M106">
    <cfRule type="expression" dxfId="973" priority="974" stopIfTrue="1">
      <formula>$F106="無"</formula>
    </cfRule>
  </conditionalFormatting>
  <conditionalFormatting sqref="M106">
    <cfRule type="expression" dxfId="972" priority="973" stopIfTrue="1">
      <formula>$F106="無"</formula>
    </cfRule>
  </conditionalFormatting>
  <conditionalFormatting sqref="M106">
    <cfRule type="expression" dxfId="971" priority="972" stopIfTrue="1">
      <formula>$F106="無"</formula>
    </cfRule>
  </conditionalFormatting>
  <conditionalFormatting sqref="M106">
    <cfRule type="expression" dxfId="970" priority="971" stopIfTrue="1">
      <formula>$F106="無"</formula>
    </cfRule>
  </conditionalFormatting>
  <conditionalFormatting sqref="M106">
    <cfRule type="expression" dxfId="969" priority="970" stopIfTrue="1">
      <formula>$F106="無"</formula>
    </cfRule>
  </conditionalFormatting>
  <conditionalFormatting sqref="M106">
    <cfRule type="expression" dxfId="968" priority="969" stopIfTrue="1">
      <formula>$F106="無"</formula>
    </cfRule>
  </conditionalFormatting>
  <conditionalFormatting sqref="M106">
    <cfRule type="expression" dxfId="967" priority="968" stopIfTrue="1">
      <formula>$F106="無"</formula>
    </cfRule>
  </conditionalFormatting>
  <conditionalFormatting sqref="M106">
    <cfRule type="expression" dxfId="966" priority="967" stopIfTrue="1">
      <formula>$F106="無"</formula>
    </cfRule>
  </conditionalFormatting>
  <conditionalFormatting sqref="M106">
    <cfRule type="expression" dxfId="965" priority="966" stopIfTrue="1">
      <formula>$F106="無"</formula>
    </cfRule>
  </conditionalFormatting>
  <conditionalFormatting sqref="M106">
    <cfRule type="expression" dxfId="964" priority="965" stopIfTrue="1">
      <formula>$F106="無"</formula>
    </cfRule>
  </conditionalFormatting>
  <conditionalFormatting sqref="M106">
    <cfRule type="expression" dxfId="963" priority="964" stopIfTrue="1">
      <formula>$F106="無"</formula>
    </cfRule>
  </conditionalFormatting>
  <conditionalFormatting sqref="M106">
    <cfRule type="expression" dxfId="962" priority="963" stopIfTrue="1">
      <formula>$F106="無"</formula>
    </cfRule>
  </conditionalFormatting>
  <conditionalFormatting sqref="M106">
    <cfRule type="expression" dxfId="961" priority="962" stopIfTrue="1">
      <formula>$F106="無"</formula>
    </cfRule>
  </conditionalFormatting>
  <conditionalFormatting sqref="M106">
    <cfRule type="expression" dxfId="960" priority="961" stopIfTrue="1">
      <formula>$F106="無"</formula>
    </cfRule>
  </conditionalFormatting>
  <conditionalFormatting sqref="M106">
    <cfRule type="expression" dxfId="959" priority="960" stopIfTrue="1">
      <formula>$F106="無"</formula>
    </cfRule>
  </conditionalFormatting>
  <conditionalFormatting sqref="M106">
    <cfRule type="expression" dxfId="958" priority="959" stopIfTrue="1">
      <formula>$F106="無"</formula>
    </cfRule>
  </conditionalFormatting>
  <conditionalFormatting sqref="M106">
    <cfRule type="expression" dxfId="957" priority="958" stopIfTrue="1">
      <formula>$F106="無"</formula>
    </cfRule>
  </conditionalFormatting>
  <conditionalFormatting sqref="M106">
    <cfRule type="expression" dxfId="956" priority="957" stopIfTrue="1">
      <formula>$F106="無"</formula>
    </cfRule>
  </conditionalFormatting>
  <conditionalFormatting sqref="M106">
    <cfRule type="expression" dxfId="955" priority="956" stopIfTrue="1">
      <formula>$F106="無"</formula>
    </cfRule>
  </conditionalFormatting>
  <conditionalFormatting sqref="M106">
    <cfRule type="expression" dxfId="954" priority="955" stopIfTrue="1">
      <formula>$F106="無"</formula>
    </cfRule>
  </conditionalFormatting>
  <conditionalFormatting sqref="M106">
    <cfRule type="expression" dxfId="953" priority="954" stopIfTrue="1">
      <formula>$F106="無"</formula>
    </cfRule>
  </conditionalFormatting>
  <conditionalFormatting sqref="M106">
    <cfRule type="expression" dxfId="952" priority="953" stopIfTrue="1">
      <formula>$F106="無"</formula>
    </cfRule>
  </conditionalFormatting>
  <conditionalFormatting sqref="M106">
    <cfRule type="expression" dxfId="951" priority="952" stopIfTrue="1">
      <formula>$F106="無"</formula>
    </cfRule>
  </conditionalFormatting>
  <conditionalFormatting sqref="M106">
    <cfRule type="expression" dxfId="950" priority="951" stopIfTrue="1">
      <formula>$F106="無"</formula>
    </cfRule>
  </conditionalFormatting>
  <conditionalFormatting sqref="M106">
    <cfRule type="expression" dxfId="949" priority="950" stopIfTrue="1">
      <formula>$F106="無"</formula>
    </cfRule>
  </conditionalFormatting>
  <conditionalFormatting sqref="M106">
    <cfRule type="expression" dxfId="948" priority="949" stopIfTrue="1">
      <formula>$F106="無"</formula>
    </cfRule>
  </conditionalFormatting>
  <conditionalFormatting sqref="M106">
    <cfRule type="expression" dxfId="947" priority="948" stopIfTrue="1">
      <formula>$F106="無"</formula>
    </cfRule>
  </conditionalFormatting>
  <conditionalFormatting sqref="M106">
    <cfRule type="expression" dxfId="946" priority="947" stopIfTrue="1">
      <formula>$F106="無"</formula>
    </cfRule>
  </conditionalFormatting>
  <conditionalFormatting sqref="M106">
    <cfRule type="expression" dxfId="945" priority="946" stopIfTrue="1">
      <formula>$F106="無"</formula>
    </cfRule>
  </conditionalFormatting>
  <conditionalFormatting sqref="M106">
    <cfRule type="expression" dxfId="944" priority="945" stopIfTrue="1">
      <formula>$F106="無"</formula>
    </cfRule>
  </conditionalFormatting>
  <conditionalFormatting sqref="M106">
    <cfRule type="expression" dxfId="943" priority="944" stopIfTrue="1">
      <formula>$F106="無"</formula>
    </cfRule>
  </conditionalFormatting>
  <conditionalFormatting sqref="M106">
    <cfRule type="expression" dxfId="942" priority="943" stopIfTrue="1">
      <formula>$F106="無"</formula>
    </cfRule>
  </conditionalFormatting>
  <conditionalFormatting sqref="M106">
    <cfRule type="expression" dxfId="941" priority="942" stopIfTrue="1">
      <formula>$F106="無"</formula>
    </cfRule>
  </conditionalFormatting>
  <conditionalFormatting sqref="M106">
    <cfRule type="expression" dxfId="940" priority="941" stopIfTrue="1">
      <formula>$F106="無"</formula>
    </cfRule>
  </conditionalFormatting>
  <conditionalFormatting sqref="M106">
    <cfRule type="expression" dxfId="939" priority="940" stopIfTrue="1">
      <formula>$F106="無"</formula>
    </cfRule>
  </conditionalFormatting>
  <conditionalFormatting sqref="M106">
    <cfRule type="expression" dxfId="938" priority="939" stopIfTrue="1">
      <formula>$F106="無"</formula>
    </cfRule>
  </conditionalFormatting>
  <conditionalFormatting sqref="M106">
    <cfRule type="expression" dxfId="937" priority="938" stopIfTrue="1">
      <formula>$F106="無"</formula>
    </cfRule>
  </conditionalFormatting>
  <conditionalFormatting sqref="M106">
    <cfRule type="expression" dxfId="936" priority="937" stopIfTrue="1">
      <formula>$F106="無"</formula>
    </cfRule>
  </conditionalFormatting>
  <conditionalFormatting sqref="M106">
    <cfRule type="expression" dxfId="935" priority="936" stopIfTrue="1">
      <formula>$F106="無"</formula>
    </cfRule>
  </conditionalFormatting>
  <conditionalFormatting sqref="M106">
    <cfRule type="expression" dxfId="934" priority="935" stopIfTrue="1">
      <formula>$F106="無"</formula>
    </cfRule>
  </conditionalFormatting>
  <conditionalFormatting sqref="M106">
    <cfRule type="expression" dxfId="933" priority="934" stopIfTrue="1">
      <formula>$F106="無"</formula>
    </cfRule>
  </conditionalFormatting>
  <conditionalFormatting sqref="M106">
    <cfRule type="expression" dxfId="932" priority="933" stopIfTrue="1">
      <formula>$F106="無"</formula>
    </cfRule>
  </conditionalFormatting>
  <conditionalFormatting sqref="M106">
    <cfRule type="expression" dxfId="931" priority="932" stopIfTrue="1">
      <formula>$F106="無"</formula>
    </cfRule>
  </conditionalFormatting>
  <conditionalFormatting sqref="M106">
    <cfRule type="expression" dxfId="930" priority="931" stopIfTrue="1">
      <formula>$F106="無"</formula>
    </cfRule>
  </conditionalFormatting>
  <conditionalFormatting sqref="M106">
    <cfRule type="expression" dxfId="929" priority="930" stopIfTrue="1">
      <formula>$F106="無"</formula>
    </cfRule>
  </conditionalFormatting>
  <conditionalFormatting sqref="M106">
    <cfRule type="expression" dxfId="928" priority="929" stopIfTrue="1">
      <formula>$F106="無"</formula>
    </cfRule>
  </conditionalFormatting>
  <conditionalFormatting sqref="M106">
    <cfRule type="expression" dxfId="927" priority="928" stopIfTrue="1">
      <formula>$F106="無"</formula>
    </cfRule>
  </conditionalFormatting>
  <conditionalFormatting sqref="M106">
    <cfRule type="expression" dxfId="926" priority="927" stopIfTrue="1">
      <formula>$F106="無"</formula>
    </cfRule>
  </conditionalFormatting>
  <conditionalFormatting sqref="M106">
    <cfRule type="expression" dxfId="925" priority="926" stopIfTrue="1">
      <formula>$F106="無"</formula>
    </cfRule>
  </conditionalFormatting>
  <conditionalFormatting sqref="M106">
    <cfRule type="expression" dxfId="924" priority="925" stopIfTrue="1">
      <formula>$F106="無"</formula>
    </cfRule>
  </conditionalFormatting>
  <conditionalFormatting sqref="M106">
    <cfRule type="expression" dxfId="923" priority="924" stopIfTrue="1">
      <formula>$F106="無"</formula>
    </cfRule>
  </conditionalFormatting>
  <conditionalFormatting sqref="M106">
    <cfRule type="expression" dxfId="922" priority="923" stopIfTrue="1">
      <formula>$F106="無"</formula>
    </cfRule>
  </conditionalFormatting>
  <conditionalFormatting sqref="M106">
    <cfRule type="expression" dxfId="921" priority="922" stopIfTrue="1">
      <formula>$F106="無"</formula>
    </cfRule>
  </conditionalFormatting>
  <conditionalFormatting sqref="M106">
    <cfRule type="expression" dxfId="920" priority="921" stopIfTrue="1">
      <formula>$F106="無"</formula>
    </cfRule>
  </conditionalFormatting>
  <conditionalFormatting sqref="M106">
    <cfRule type="expression" dxfId="919" priority="920" stopIfTrue="1">
      <formula>$F106="無"</formula>
    </cfRule>
  </conditionalFormatting>
  <conditionalFormatting sqref="M106">
    <cfRule type="expression" dxfId="918" priority="919" stopIfTrue="1">
      <formula>$F106="無"</formula>
    </cfRule>
  </conditionalFormatting>
  <conditionalFormatting sqref="M106">
    <cfRule type="expression" dxfId="917" priority="918" stopIfTrue="1">
      <formula>$F106="無"</formula>
    </cfRule>
  </conditionalFormatting>
  <conditionalFormatting sqref="M106">
    <cfRule type="expression" dxfId="916" priority="917" stopIfTrue="1">
      <formula>$F106="無"</formula>
    </cfRule>
  </conditionalFormatting>
  <conditionalFormatting sqref="M106">
    <cfRule type="expression" dxfId="915" priority="916" stopIfTrue="1">
      <formula>$F106="無"</formula>
    </cfRule>
  </conditionalFormatting>
  <conditionalFormatting sqref="M106">
    <cfRule type="expression" dxfId="914" priority="915" stopIfTrue="1">
      <formula>$F106="無"</formula>
    </cfRule>
  </conditionalFormatting>
  <conditionalFormatting sqref="M106">
    <cfRule type="expression" dxfId="913" priority="914" stopIfTrue="1">
      <formula>$F106="無"</formula>
    </cfRule>
  </conditionalFormatting>
  <conditionalFormatting sqref="M106">
    <cfRule type="expression" dxfId="912" priority="913" stopIfTrue="1">
      <formula>$F106="無"</formula>
    </cfRule>
  </conditionalFormatting>
  <conditionalFormatting sqref="M106">
    <cfRule type="expression" dxfId="911" priority="912" stopIfTrue="1">
      <formula>$F106="無"</formula>
    </cfRule>
  </conditionalFormatting>
  <conditionalFormatting sqref="M106">
    <cfRule type="expression" dxfId="910" priority="911" stopIfTrue="1">
      <formula>$F106="無"</formula>
    </cfRule>
  </conditionalFormatting>
  <conditionalFormatting sqref="M106">
    <cfRule type="expression" dxfId="909" priority="910" stopIfTrue="1">
      <formula>$F106="無"</formula>
    </cfRule>
  </conditionalFormatting>
  <conditionalFormatting sqref="M106">
    <cfRule type="expression" dxfId="908" priority="909" stopIfTrue="1">
      <formula>$F106="無"</formula>
    </cfRule>
  </conditionalFormatting>
  <conditionalFormatting sqref="M106">
    <cfRule type="expression" dxfId="907" priority="908" stopIfTrue="1">
      <formula>$F106="無"</formula>
    </cfRule>
  </conditionalFormatting>
  <conditionalFormatting sqref="M106">
    <cfRule type="expression" dxfId="906" priority="907" stopIfTrue="1">
      <formula>$F106="無"</formula>
    </cfRule>
  </conditionalFormatting>
  <conditionalFormatting sqref="M106">
    <cfRule type="expression" dxfId="905" priority="906" stopIfTrue="1">
      <formula>$F106="無"</formula>
    </cfRule>
  </conditionalFormatting>
  <conditionalFormatting sqref="M106">
    <cfRule type="expression" dxfId="904" priority="905" stopIfTrue="1">
      <formula>$F106="無"</formula>
    </cfRule>
  </conditionalFormatting>
  <conditionalFormatting sqref="M106">
    <cfRule type="expression" dxfId="903" priority="904" stopIfTrue="1">
      <formula>$F106="無"</formula>
    </cfRule>
  </conditionalFormatting>
  <conditionalFormatting sqref="M106">
    <cfRule type="expression" dxfId="902" priority="903" stopIfTrue="1">
      <formula>$F106="無"</formula>
    </cfRule>
  </conditionalFormatting>
  <conditionalFormatting sqref="M106">
    <cfRule type="expression" dxfId="901" priority="902" stopIfTrue="1">
      <formula>$F106="無"</formula>
    </cfRule>
  </conditionalFormatting>
  <conditionalFormatting sqref="M106">
    <cfRule type="expression" dxfId="900" priority="901" stopIfTrue="1">
      <formula>$F106="無"</formula>
    </cfRule>
  </conditionalFormatting>
  <conditionalFormatting sqref="M106">
    <cfRule type="expression" dxfId="899" priority="900" stopIfTrue="1">
      <formula>$F106="無"</formula>
    </cfRule>
  </conditionalFormatting>
  <conditionalFormatting sqref="O106">
    <cfRule type="expression" dxfId="898" priority="899" stopIfTrue="1">
      <formula>$F106="無"</formula>
    </cfRule>
  </conditionalFormatting>
  <conditionalFormatting sqref="O106">
    <cfRule type="expression" dxfId="897" priority="898" stopIfTrue="1">
      <formula>$F106="無"</formula>
    </cfRule>
  </conditionalFormatting>
  <conditionalFormatting sqref="O106">
    <cfRule type="expression" dxfId="896" priority="897" stopIfTrue="1">
      <formula>$F106="無"</formula>
    </cfRule>
  </conditionalFormatting>
  <conditionalFormatting sqref="O106">
    <cfRule type="expression" dxfId="895" priority="896" stopIfTrue="1">
      <formula>$F106="無"</formula>
    </cfRule>
  </conditionalFormatting>
  <conditionalFormatting sqref="O106">
    <cfRule type="expression" dxfId="894" priority="895" stopIfTrue="1">
      <formula>$F106="無"</formula>
    </cfRule>
  </conditionalFormatting>
  <conditionalFormatting sqref="O106">
    <cfRule type="expression" dxfId="893" priority="894" stopIfTrue="1">
      <formula>$F106="無"</formula>
    </cfRule>
  </conditionalFormatting>
  <conditionalFormatting sqref="O106">
    <cfRule type="expression" dxfId="892" priority="893" stopIfTrue="1">
      <formula>$F106="無"</formula>
    </cfRule>
  </conditionalFormatting>
  <conditionalFormatting sqref="O106">
    <cfRule type="expression" dxfId="891" priority="892" stopIfTrue="1">
      <formula>$F106="無"</formula>
    </cfRule>
  </conditionalFormatting>
  <conditionalFormatting sqref="O106">
    <cfRule type="expression" dxfId="890" priority="891" stopIfTrue="1">
      <formula>$F106="無"</formula>
    </cfRule>
  </conditionalFormatting>
  <conditionalFormatting sqref="O106">
    <cfRule type="expression" dxfId="889" priority="890" stopIfTrue="1">
      <formula>$F106="無"</formula>
    </cfRule>
  </conditionalFormatting>
  <conditionalFormatting sqref="O106">
    <cfRule type="expression" dxfId="888" priority="889" stopIfTrue="1">
      <formula>$F106="無"</formula>
    </cfRule>
  </conditionalFormatting>
  <conditionalFormatting sqref="O106">
    <cfRule type="expression" dxfId="887" priority="888" stopIfTrue="1">
      <formula>$F106="無"</formula>
    </cfRule>
  </conditionalFormatting>
  <conditionalFormatting sqref="O106">
    <cfRule type="expression" dxfId="886" priority="887" stopIfTrue="1">
      <formula>$F106="無"</formula>
    </cfRule>
  </conditionalFormatting>
  <conditionalFormatting sqref="O106">
    <cfRule type="expression" dxfId="885" priority="886" stopIfTrue="1">
      <formula>$F106="無"</formula>
    </cfRule>
  </conditionalFormatting>
  <conditionalFormatting sqref="O106">
    <cfRule type="expression" dxfId="884" priority="885" stopIfTrue="1">
      <formula>$F106="無"</formula>
    </cfRule>
  </conditionalFormatting>
  <conditionalFormatting sqref="O106">
    <cfRule type="expression" dxfId="883" priority="884" stopIfTrue="1">
      <formula>$F106="無"</formula>
    </cfRule>
  </conditionalFormatting>
  <conditionalFormatting sqref="O106">
    <cfRule type="expression" dxfId="882" priority="883" stopIfTrue="1">
      <formula>$F106="無"</formula>
    </cfRule>
  </conditionalFormatting>
  <conditionalFormatting sqref="O106">
    <cfRule type="expression" dxfId="881" priority="882" stopIfTrue="1">
      <formula>$F106="無"</formula>
    </cfRule>
  </conditionalFormatting>
  <conditionalFormatting sqref="O106">
    <cfRule type="expression" dxfId="880" priority="881" stopIfTrue="1">
      <formula>$F106="無"</formula>
    </cfRule>
  </conditionalFormatting>
  <conditionalFormatting sqref="O106">
    <cfRule type="expression" dxfId="879" priority="880" stopIfTrue="1">
      <formula>$F106="無"</formula>
    </cfRule>
  </conditionalFormatting>
  <conditionalFormatting sqref="O106">
    <cfRule type="expression" dxfId="878" priority="879" stopIfTrue="1">
      <formula>$F106="無"</formula>
    </cfRule>
  </conditionalFormatting>
  <conditionalFormatting sqref="O106">
    <cfRule type="expression" dxfId="877" priority="878" stopIfTrue="1">
      <formula>$F106="無"</formula>
    </cfRule>
  </conditionalFormatting>
  <conditionalFormatting sqref="O106">
    <cfRule type="expression" dxfId="876" priority="877" stopIfTrue="1">
      <formula>$F106="無"</formula>
    </cfRule>
  </conditionalFormatting>
  <conditionalFormatting sqref="O106">
    <cfRule type="expression" dxfId="875" priority="876" stopIfTrue="1">
      <formula>$F106="無"</formula>
    </cfRule>
  </conditionalFormatting>
  <conditionalFormatting sqref="O106">
    <cfRule type="expression" dxfId="874" priority="875" stopIfTrue="1">
      <formula>$F106="無"</formula>
    </cfRule>
  </conditionalFormatting>
  <conditionalFormatting sqref="O106">
    <cfRule type="expression" dxfId="873" priority="874" stopIfTrue="1">
      <formula>$F106="無"</formula>
    </cfRule>
  </conditionalFormatting>
  <conditionalFormatting sqref="O106">
    <cfRule type="expression" dxfId="872" priority="873" stopIfTrue="1">
      <formula>$F106="無"</formula>
    </cfRule>
  </conditionalFormatting>
  <conditionalFormatting sqref="O106">
    <cfRule type="expression" dxfId="871" priority="872" stopIfTrue="1">
      <formula>$F106="無"</formula>
    </cfRule>
  </conditionalFormatting>
  <conditionalFormatting sqref="O106">
    <cfRule type="expression" dxfId="870" priority="871" stopIfTrue="1">
      <formula>$F106="無"</formula>
    </cfRule>
  </conditionalFormatting>
  <conditionalFormatting sqref="O106">
    <cfRule type="expression" dxfId="869" priority="870" stopIfTrue="1">
      <formula>$F106="無"</formula>
    </cfRule>
  </conditionalFormatting>
  <conditionalFormatting sqref="O106">
    <cfRule type="expression" dxfId="868" priority="869" stopIfTrue="1">
      <formula>$F106="無"</formula>
    </cfRule>
  </conditionalFormatting>
  <conditionalFormatting sqref="O106">
    <cfRule type="expression" dxfId="867" priority="868" stopIfTrue="1">
      <formula>$F106="無"</formula>
    </cfRule>
  </conditionalFormatting>
  <conditionalFormatting sqref="O106">
    <cfRule type="expression" dxfId="866" priority="867" stopIfTrue="1">
      <formula>$F106="無"</formula>
    </cfRule>
  </conditionalFormatting>
  <conditionalFormatting sqref="O106">
    <cfRule type="expression" dxfId="865" priority="866" stopIfTrue="1">
      <formula>$F106="無"</formula>
    </cfRule>
  </conditionalFormatting>
  <conditionalFormatting sqref="O106">
    <cfRule type="expression" dxfId="864" priority="865" stopIfTrue="1">
      <formula>$F106="無"</formula>
    </cfRule>
  </conditionalFormatting>
  <conditionalFormatting sqref="O106">
    <cfRule type="expression" dxfId="863" priority="864" stopIfTrue="1">
      <formula>$F106="無"</formula>
    </cfRule>
  </conditionalFormatting>
  <conditionalFormatting sqref="O106">
    <cfRule type="expression" dxfId="862" priority="863" stopIfTrue="1">
      <formula>$F106="無"</formula>
    </cfRule>
  </conditionalFormatting>
  <conditionalFormatting sqref="O106">
    <cfRule type="expression" dxfId="861" priority="862" stopIfTrue="1">
      <formula>$F106="無"</formula>
    </cfRule>
  </conditionalFormatting>
  <conditionalFormatting sqref="O106">
    <cfRule type="expression" dxfId="860" priority="861" stopIfTrue="1">
      <formula>$F106="無"</formula>
    </cfRule>
  </conditionalFormatting>
  <conditionalFormatting sqref="O106">
    <cfRule type="expression" dxfId="859" priority="860" stopIfTrue="1">
      <formula>$F106="無"</formula>
    </cfRule>
  </conditionalFormatting>
  <conditionalFormatting sqref="O106">
    <cfRule type="expression" dxfId="858" priority="859" stopIfTrue="1">
      <formula>$F106="無"</formula>
    </cfRule>
  </conditionalFormatting>
  <conditionalFormatting sqref="O106">
    <cfRule type="expression" dxfId="857" priority="858" stopIfTrue="1">
      <formula>$F106="無"</formula>
    </cfRule>
  </conditionalFormatting>
  <conditionalFormatting sqref="O106">
    <cfRule type="expression" dxfId="856" priority="857" stopIfTrue="1">
      <formula>$F106="無"</formula>
    </cfRule>
  </conditionalFormatting>
  <conditionalFormatting sqref="O106">
    <cfRule type="expression" dxfId="855" priority="856" stopIfTrue="1">
      <formula>$F106="無"</formula>
    </cfRule>
  </conditionalFormatting>
  <conditionalFormatting sqref="O106">
    <cfRule type="expression" dxfId="854" priority="855" stopIfTrue="1">
      <formula>$F106="無"</formula>
    </cfRule>
  </conditionalFormatting>
  <conditionalFormatting sqref="O106">
    <cfRule type="expression" dxfId="853" priority="854" stopIfTrue="1">
      <formula>$F106="無"</formula>
    </cfRule>
  </conditionalFormatting>
  <conditionalFormatting sqref="O106">
    <cfRule type="expression" dxfId="852" priority="853" stopIfTrue="1">
      <formula>$F106="無"</formula>
    </cfRule>
  </conditionalFormatting>
  <conditionalFormatting sqref="O106">
    <cfRule type="expression" dxfId="851" priority="852" stopIfTrue="1">
      <formula>$F106="無"</formula>
    </cfRule>
  </conditionalFormatting>
  <conditionalFormatting sqref="O106">
    <cfRule type="expression" dxfId="850" priority="851" stopIfTrue="1">
      <formula>$F106="無"</formula>
    </cfRule>
  </conditionalFormatting>
  <conditionalFormatting sqref="O106">
    <cfRule type="expression" dxfId="849" priority="850" stopIfTrue="1">
      <formula>$F106="無"</formula>
    </cfRule>
  </conditionalFormatting>
  <conditionalFormatting sqref="O106">
    <cfRule type="expression" dxfId="848" priority="849" stopIfTrue="1">
      <formula>$F106="無"</formula>
    </cfRule>
  </conditionalFormatting>
  <conditionalFormatting sqref="O106">
    <cfRule type="expression" dxfId="847" priority="848" stopIfTrue="1">
      <formula>$F106="無"</formula>
    </cfRule>
  </conditionalFormatting>
  <conditionalFormatting sqref="O106">
    <cfRule type="expression" dxfId="846" priority="847" stopIfTrue="1">
      <formula>$F106="無"</formula>
    </cfRule>
  </conditionalFormatting>
  <conditionalFormatting sqref="O106">
    <cfRule type="expression" dxfId="845" priority="846" stopIfTrue="1">
      <formula>$F106="無"</formula>
    </cfRule>
  </conditionalFormatting>
  <conditionalFormatting sqref="O106">
    <cfRule type="expression" dxfId="844" priority="845" stopIfTrue="1">
      <formula>$F106="無"</formula>
    </cfRule>
  </conditionalFormatting>
  <conditionalFormatting sqref="O106">
    <cfRule type="expression" dxfId="843" priority="844" stopIfTrue="1">
      <formula>$F106="無"</formula>
    </cfRule>
  </conditionalFormatting>
  <conditionalFormatting sqref="O106">
    <cfRule type="expression" dxfId="842" priority="843" stopIfTrue="1">
      <formula>$F106="無"</formula>
    </cfRule>
  </conditionalFormatting>
  <conditionalFormatting sqref="O106">
    <cfRule type="expression" dxfId="841" priority="842" stopIfTrue="1">
      <formula>$F106="無"</formula>
    </cfRule>
  </conditionalFormatting>
  <conditionalFormatting sqref="O106">
    <cfRule type="expression" dxfId="840" priority="841" stopIfTrue="1">
      <formula>$F106="無"</formula>
    </cfRule>
  </conditionalFormatting>
  <conditionalFormatting sqref="Q106">
    <cfRule type="expression" dxfId="839" priority="840" stopIfTrue="1">
      <formula>$F106="無"</formula>
    </cfRule>
  </conditionalFormatting>
  <conditionalFormatting sqref="Q106">
    <cfRule type="expression" dxfId="838" priority="839" stopIfTrue="1">
      <formula>$F106="無"</formula>
    </cfRule>
  </conditionalFormatting>
  <conditionalFormatting sqref="Q106">
    <cfRule type="expression" dxfId="837" priority="838" stopIfTrue="1">
      <formula>$F106="無"</formula>
    </cfRule>
  </conditionalFormatting>
  <conditionalFormatting sqref="Q106">
    <cfRule type="expression" dxfId="836" priority="837" stopIfTrue="1">
      <formula>$F106="無"</formula>
    </cfRule>
  </conditionalFormatting>
  <conditionalFormatting sqref="Q106">
    <cfRule type="expression" dxfId="835" priority="836" stopIfTrue="1">
      <formula>$F106="無"</formula>
    </cfRule>
  </conditionalFormatting>
  <conditionalFormatting sqref="Q106">
    <cfRule type="expression" dxfId="834" priority="835" stopIfTrue="1">
      <formula>$F106="無"</formula>
    </cfRule>
  </conditionalFormatting>
  <conditionalFormatting sqref="Q106">
    <cfRule type="expression" dxfId="833" priority="834" stopIfTrue="1">
      <formula>$F106="無"</formula>
    </cfRule>
  </conditionalFormatting>
  <conditionalFormatting sqref="Q106">
    <cfRule type="expression" dxfId="832" priority="833" stopIfTrue="1">
      <formula>$F106="無"</formula>
    </cfRule>
  </conditionalFormatting>
  <conditionalFormatting sqref="Q106">
    <cfRule type="expression" dxfId="831" priority="832" stopIfTrue="1">
      <formula>$F106="無"</formula>
    </cfRule>
  </conditionalFormatting>
  <conditionalFormatting sqref="Q106">
    <cfRule type="expression" dxfId="830" priority="831" stopIfTrue="1">
      <formula>$F106="無"</formula>
    </cfRule>
  </conditionalFormatting>
  <conditionalFormatting sqref="Q106">
    <cfRule type="expression" dxfId="829" priority="830" stopIfTrue="1">
      <formula>$F106="無"</formula>
    </cfRule>
  </conditionalFormatting>
  <conditionalFormatting sqref="Q106">
    <cfRule type="expression" dxfId="828" priority="829" stopIfTrue="1">
      <formula>$F106="無"</formula>
    </cfRule>
  </conditionalFormatting>
  <conditionalFormatting sqref="Q106">
    <cfRule type="expression" dxfId="827" priority="828" stopIfTrue="1">
      <formula>$F106="無"</formula>
    </cfRule>
  </conditionalFormatting>
  <conditionalFormatting sqref="Q106">
    <cfRule type="expression" dxfId="826" priority="827" stopIfTrue="1">
      <formula>$F106="無"</formula>
    </cfRule>
  </conditionalFormatting>
  <conditionalFormatting sqref="Q106">
    <cfRule type="expression" dxfId="825" priority="826" stopIfTrue="1">
      <formula>$F106="無"</formula>
    </cfRule>
  </conditionalFormatting>
  <conditionalFormatting sqref="Q106">
    <cfRule type="expression" dxfId="824" priority="825" stopIfTrue="1">
      <formula>$F106="無"</formula>
    </cfRule>
  </conditionalFormatting>
  <conditionalFormatting sqref="Q106">
    <cfRule type="expression" dxfId="823" priority="824" stopIfTrue="1">
      <formula>$F106="無"</formula>
    </cfRule>
  </conditionalFormatting>
  <conditionalFormatting sqref="Q106">
    <cfRule type="expression" dxfId="822" priority="823" stopIfTrue="1">
      <formula>$F106="無"</formula>
    </cfRule>
  </conditionalFormatting>
  <conditionalFormatting sqref="Q106">
    <cfRule type="expression" dxfId="821" priority="822" stopIfTrue="1">
      <formula>$F106="無"</formula>
    </cfRule>
  </conditionalFormatting>
  <conditionalFormatting sqref="Q106">
    <cfRule type="expression" dxfId="820" priority="821" stopIfTrue="1">
      <formula>$F106="無"</formula>
    </cfRule>
  </conditionalFormatting>
  <conditionalFormatting sqref="Q106">
    <cfRule type="expression" dxfId="819" priority="820" stopIfTrue="1">
      <formula>$F106="無"</formula>
    </cfRule>
  </conditionalFormatting>
  <conditionalFormatting sqref="Q106">
    <cfRule type="expression" dxfId="818" priority="819" stopIfTrue="1">
      <formula>$F106="無"</formula>
    </cfRule>
  </conditionalFormatting>
  <conditionalFormatting sqref="Q106">
    <cfRule type="expression" dxfId="817" priority="818" stopIfTrue="1">
      <formula>$F106="無"</formula>
    </cfRule>
  </conditionalFormatting>
  <conditionalFormatting sqref="Q106">
    <cfRule type="expression" dxfId="816" priority="817" stopIfTrue="1">
      <formula>$F106="無"</formula>
    </cfRule>
  </conditionalFormatting>
  <conditionalFormatting sqref="Q106">
    <cfRule type="expression" dxfId="815" priority="816" stopIfTrue="1">
      <formula>$F106="無"</formula>
    </cfRule>
  </conditionalFormatting>
  <conditionalFormatting sqref="Q106">
    <cfRule type="expression" dxfId="814" priority="815" stopIfTrue="1">
      <formula>$F106="無"</formula>
    </cfRule>
  </conditionalFormatting>
  <conditionalFormatting sqref="Q106">
    <cfRule type="expression" dxfId="813" priority="814" stopIfTrue="1">
      <formula>$F106="無"</formula>
    </cfRule>
  </conditionalFormatting>
  <conditionalFormatting sqref="Q106">
    <cfRule type="expression" dxfId="812" priority="813" stopIfTrue="1">
      <formula>$F106="無"</formula>
    </cfRule>
  </conditionalFormatting>
  <conditionalFormatting sqref="Q106">
    <cfRule type="expression" dxfId="811" priority="812" stopIfTrue="1">
      <formula>$F106="無"</formula>
    </cfRule>
  </conditionalFormatting>
  <conditionalFormatting sqref="Q106">
    <cfRule type="expression" dxfId="810" priority="811" stopIfTrue="1">
      <formula>$F106="無"</formula>
    </cfRule>
  </conditionalFormatting>
  <conditionalFormatting sqref="Q106">
    <cfRule type="expression" dxfId="809" priority="810" stopIfTrue="1">
      <formula>$F106="無"</formula>
    </cfRule>
  </conditionalFormatting>
  <conditionalFormatting sqref="Q106">
    <cfRule type="expression" dxfId="808" priority="809" stopIfTrue="1">
      <formula>$F106="無"</formula>
    </cfRule>
  </conditionalFormatting>
  <conditionalFormatting sqref="Q106">
    <cfRule type="expression" dxfId="807" priority="808" stopIfTrue="1">
      <formula>$F106="無"</formula>
    </cfRule>
  </conditionalFormatting>
  <conditionalFormatting sqref="Q106">
    <cfRule type="expression" dxfId="806" priority="807" stopIfTrue="1">
      <formula>$F106="無"</formula>
    </cfRule>
  </conditionalFormatting>
  <conditionalFormatting sqref="Q106">
    <cfRule type="expression" dxfId="805" priority="806" stopIfTrue="1">
      <formula>$F106="無"</formula>
    </cfRule>
  </conditionalFormatting>
  <conditionalFormatting sqref="Q106">
    <cfRule type="expression" dxfId="804" priority="805" stopIfTrue="1">
      <formula>$F106="無"</formula>
    </cfRule>
  </conditionalFormatting>
  <conditionalFormatting sqref="Q106">
    <cfRule type="expression" dxfId="803" priority="804" stopIfTrue="1">
      <formula>$F106="無"</formula>
    </cfRule>
  </conditionalFormatting>
  <conditionalFormatting sqref="Q106">
    <cfRule type="expression" dxfId="802" priority="803" stopIfTrue="1">
      <formula>$F106="無"</formula>
    </cfRule>
  </conditionalFormatting>
  <conditionalFormatting sqref="Q106">
    <cfRule type="expression" dxfId="801" priority="802" stopIfTrue="1">
      <formula>$F106="無"</formula>
    </cfRule>
  </conditionalFormatting>
  <conditionalFormatting sqref="Q106">
    <cfRule type="expression" dxfId="800" priority="801" stopIfTrue="1">
      <formula>$F106="無"</formula>
    </cfRule>
  </conditionalFormatting>
  <conditionalFormatting sqref="Q106">
    <cfRule type="expression" dxfId="799" priority="800" stopIfTrue="1">
      <formula>$F106="無"</formula>
    </cfRule>
  </conditionalFormatting>
  <conditionalFormatting sqref="Q106">
    <cfRule type="expression" dxfId="798" priority="799" stopIfTrue="1">
      <formula>$F106="無"</formula>
    </cfRule>
  </conditionalFormatting>
  <conditionalFormatting sqref="Q106">
    <cfRule type="expression" dxfId="797" priority="798" stopIfTrue="1">
      <formula>$F106="無"</formula>
    </cfRule>
  </conditionalFormatting>
  <conditionalFormatting sqref="Q106">
    <cfRule type="expression" dxfId="796" priority="797" stopIfTrue="1">
      <formula>$F106="無"</formula>
    </cfRule>
  </conditionalFormatting>
  <conditionalFormatting sqref="Q106">
    <cfRule type="expression" dxfId="795" priority="796" stopIfTrue="1">
      <formula>$F106="無"</formula>
    </cfRule>
  </conditionalFormatting>
  <conditionalFormatting sqref="Q106">
    <cfRule type="expression" dxfId="794" priority="795" stopIfTrue="1">
      <formula>$F106="無"</formula>
    </cfRule>
  </conditionalFormatting>
  <conditionalFormatting sqref="Q106">
    <cfRule type="expression" dxfId="793" priority="794" stopIfTrue="1">
      <formula>$F106="無"</formula>
    </cfRule>
  </conditionalFormatting>
  <conditionalFormatting sqref="Q106">
    <cfRule type="expression" dxfId="792" priority="793" stopIfTrue="1">
      <formula>$F106="無"</formula>
    </cfRule>
  </conditionalFormatting>
  <conditionalFormatting sqref="Q106">
    <cfRule type="expression" dxfId="791" priority="792" stopIfTrue="1">
      <formula>$F106="無"</formula>
    </cfRule>
  </conditionalFormatting>
  <conditionalFormatting sqref="Q106">
    <cfRule type="expression" dxfId="790" priority="791" stopIfTrue="1">
      <formula>$F106="無"</formula>
    </cfRule>
  </conditionalFormatting>
  <conditionalFormatting sqref="Q106">
    <cfRule type="expression" dxfId="789" priority="790" stopIfTrue="1">
      <formula>$F106="無"</formula>
    </cfRule>
  </conditionalFormatting>
  <conditionalFormatting sqref="Q106">
    <cfRule type="expression" dxfId="788" priority="789" stopIfTrue="1">
      <formula>$F106="無"</formula>
    </cfRule>
  </conditionalFormatting>
  <conditionalFormatting sqref="Q106">
    <cfRule type="expression" dxfId="787" priority="788" stopIfTrue="1">
      <formula>$F106="無"</formula>
    </cfRule>
  </conditionalFormatting>
  <conditionalFormatting sqref="Q106">
    <cfRule type="expression" dxfId="786" priority="787" stopIfTrue="1">
      <formula>$F106="無"</formula>
    </cfRule>
  </conditionalFormatting>
  <conditionalFormatting sqref="Q106">
    <cfRule type="expression" dxfId="785" priority="786" stopIfTrue="1">
      <formula>$F106="無"</formula>
    </cfRule>
  </conditionalFormatting>
  <conditionalFormatting sqref="Q106">
    <cfRule type="expression" dxfId="784" priority="785" stopIfTrue="1">
      <formula>$F106="無"</formula>
    </cfRule>
  </conditionalFormatting>
  <conditionalFormatting sqref="Q106">
    <cfRule type="expression" dxfId="783" priority="784" stopIfTrue="1">
      <formula>$F106="無"</formula>
    </cfRule>
  </conditionalFormatting>
  <conditionalFormatting sqref="Q106">
    <cfRule type="expression" dxfId="782" priority="783" stopIfTrue="1">
      <formula>$F106="無"</formula>
    </cfRule>
  </conditionalFormatting>
  <conditionalFormatting sqref="Q106">
    <cfRule type="expression" dxfId="781" priority="782" stopIfTrue="1">
      <formula>$F106="無"</formula>
    </cfRule>
  </conditionalFormatting>
  <conditionalFormatting sqref="Q106">
    <cfRule type="expression" dxfId="780" priority="781" stopIfTrue="1">
      <formula>$F106="無"</formula>
    </cfRule>
  </conditionalFormatting>
  <conditionalFormatting sqref="Q106">
    <cfRule type="expression" dxfId="779" priority="780" stopIfTrue="1">
      <formula>$F106="無"</formula>
    </cfRule>
  </conditionalFormatting>
  <conditionalFormatting sqref="Q106">
    <cfRule type="expression" dxfId="778" priority="779" stopIfTrue="1">
      <formula>$F106="無"</formula>
    </cfRule>
  </conditionalFormatting>
  <conditionalFormatting sqref="Q106">
    <cfRule type="expression" dxfId="777" priority="778" stopIfTrue="1">
      <formula>$F106="無"</formula>
    </cfRule>
  </conditionalFormatting>
  <conditionalFormatting sqref="Q106">
    <cfRule type="expression" dxfId="776" priority="777" stopIfTrue="1">
      <formula>$F106="無"</formula>
    </cfRule>
  </conditionalFormatting>
  <conditionalFormatting sqref="Q106">
    <cfRule type="expression" dxfId="775" priority="776" stopIfTrue="1">
      <formula>$F106="無"</formula>
    </cfRule>
  </conditionalFormatting>
  <conditionalFormatting sqref="Q106">
    <cfRule type="expression" dxfId="774" priority="775" stopIfTrue="1">
      <formula>$F106="無"</formula>
    </cfRule>
  </conditionalFormatting>
  <conditionalFormatting sqref="Q106">
    <cfRule type="expression" dxfId="773" priority="774" stopIfTrue="1">
      <formula>$F106="無"</formula>
    </cfRule>
  </conditionalFormatting>
  <conditionalFormatting sqref="Q106">
    <cfRule type="expression" dxfId="772" priority="773" stopIfTrue="1">
      <formula>$F106="無"</formula>
    </cfRule>
  </conditionalFormatting>
  <conditionalFormatting sqref="Q106">
    <cfRule type="expression" dxfId="771" priority="772" stopIfTrue="1">
      <formula>$F106="無"</formula>
    </cfRule>
  </conditionalFormatting>
  <conditionalFormatting sqref="Q106">
    <cfRule type="expression" dxfId="770" priority="771" stopIfTrue="1">
      <formula>$F106="無"</formula>
    </cfRule>
  </conditionalFormatting>
  <conditionalFormatting sqref="Q106">
    <cfRule type="expression" dxfId="769" priority="770" stopIfTrue="1">
      <formula>$F106="無"</formula>
    </cfRule>
  </conditionalFormatting>
  <conditionalFormatting sqref="Q106">
    <cfRule type="expression" dxfId="768" priority="769" stopIfTrue="1">
      <formula>$F106="無"</formula>
    </cfRule>
  </conditionalFormatting>
  <conditionalFormatting sqref="Q106">
    <cfRule type="expression" dxfId="767" priority="768" stopIfTrue="1">
      <formula>$F106="無"</formula>
    </cfRule>
  </conditionalFormatting>
  <conditionalFormatting sqref="Q106">
    <cfRule type="expression" dxfId="766" priority="767" stopIfTrue="1">
      <formula>$F106="無"</formula>
    </cfRule>
  </conditionalFormatting>
  <conditionalFormatting sqref="Q106">
    <cfRule type="expression" dxfId="765" priority="766" stopIfTrue="1">
      <formula>$F106="無"</formula>
    </cfRule>
  </conditionalFormatting>
  <conditionalFormatting sqref="Q106">
    <cfRule type="expression" dxfId="764" priority="765" stopIfTrue="1">
      <formula>$F106="無"</formula>
    </cfRule>
  </conditionalFormatting>
  <conditionalFormatting sqref="Q106">
    <cfRule type="expression" dxfId="763" priority="764" stopIfTrue="1">
      <formula>$F106="無"</formula>
    </cfRule>
  </conditionalFormatting>
  <conditionalFormatting sqref="Q106">
    <cfRule type="expression" dxfId="762" priority="763" stopIfTrue="1">
      <formula>$F106="無"</formula>
    </cfRule>
  </conditionalFormatting>
  <conditionalFormatting sqref="Q106">
    <cfRule type="expression" dxfId="761" priority="762" stopIfTrue="1">
      <formula>$F106="無"</formula>
    </cfRule>
  </conditionalFormatting>
  <conditionalFormatting sqref="Q106">
    <cfRule type="expression" dxfId="760" priority="761" stopIfTrue="1">
      <formula>$F106="無"</formula>
    </cfRule>
  </conditionalFormatting>
  <conditionalFormatting sqref="Q106">
    <cfRule type="expression" dxfId="759" priority="760" stopIfTrue="1">
      <formula>$F106="無"</formula>
    </cfRule>
  </conditionalFormatting>
  <conditionalFormatting sqref="Q106">
    <cfRule type="expression" dxfId="758" priority="759" stopIfTrue="1">
      <formula>$F106="無"</formula>
    </cfRule>
  </conditionalFormatting>
  <conditionalFormatting sqref="Q106">
    <cfRule type="expression" dxfId="757" priority="758" stopIfTrue="1">
      <formula>$F106="無"</formula>
    </cfRule>
  </conditionalFormatting>
  <conditionalFormatting sqref="Q106">
    <cfRule type="expression" dxfId="756" priority="757" stopIfTrue="1">
      <formula>$F106="無"</formula>
    </cfRule>
  </conditionalFormatting>
  <conditionalFormatting sqref="Q106">
    <cfRule type="expression" dxfId="755" priority="756" stopIfTrue="1">
      <formula>$F106="無"</formula>
    </cfRule>
  </conditionalFormatting>
  <conditionalFormatting sqref="Q106">
    <cfRule type="expression" dxfId="754" priority="755" stopIfTrue="1">
      <formula>$F106="無"</formula>
    </cfRule>
  </conditionalFormatting>
  <conditionalFormatting sqref="Q106">
    <cfRule type="expression" dxfId="753" priority="754" stopIfTrue="1">
      <formula>$F106="無"</formula>
    </cfRule>
  </conditionalFormatting>
  <conditionalFormatting sqref="Q106">
    <cfRule type="expression" dxfId="752" priority="753" stopIfTrue="1">
      <formula>$F106="無"</formula>
    </cfRule>
  </conditionalFormatting>
  <conditionalFormatting sqref="Q106">
    <cfRule type="expression" dxfId="751" priority="752" stopIfTrue="1">
      <formula>$F106="無"</formula>
    </cfRule>
  </conditionalFormatting>
  <conditionalFormatting sqref="Q106">
    <cfRule type="expression" dxfId="750" priority="751" stopIfTrue="1">
      <formula>$F106="無"</formula>
    </cfRule>
  </conditionalFormatting>
  <conditionalFormatting sqref="Q106">
    <cfRule type="expression" dxfId="749" priority="750" stopIfTrue="1">
      <formula>$F106="無"</formula>
    </cfRule>
  </conditionalFormatting>
  <conditionalFormatting sqref="Q106">
    <cfRule type="expression" dxfId="748" priority="749" stopIfTrue="1">
      <formula>$F106="無"</formula>
    </cfRule>
  </conditionalFormatting>
  <conditionalFormatting sqref="Q106">
    <cfRule type="expression" dxfId="747" priority="748" stopIfTrue="1">
      <formula>$F106="無"</formula>
    </cfRule>
  </conditionalFormatting>
  <conditionalFormatting sqref="Q106">
    <cfRule type="expression" dxfId="746" priority="747" stopIfTrue="1">
      <formula>$F106="無"</formula>
    </cfRule>
  </conditionalFormatting>
  <conditionalFormatting sqref="Q106">
    <cfRule type="expression" dxfId="745" priority="746" stopIfTrue="1">
      <formula>$F106="無"</formula>
    </cfRule>
  </conditionalFormatting>
  <conditionalFormatting sqref="Q106">
    <cfRule type="expression" dxfId="744" priority="745" stopIfTrue="1">
      <formula>$F106="無"</formula>
    </cfRule>
  </conditionalFormatting>
  <conditionalFormatting sqref="Q106">
    <cfRule type="expression" dxfId="743" priority="744" stopIfTrue="1">
      <formula>$F106="無"</formula>
    </cfRule>
  </conditionalFormatting>
  <conditionalFormatting sqref="Q106">
    <cfRule type="expression" dxfId="742" priority="743" stopIfTrue="1">
      <formula>$F106="無"</formula>
    </cfRule>
  </conditionalFormatting>
  <conditionalFormatting sqref="Q106">
    <cfRule type="expression" dxfId="741" priority="742" stopIfTrue="1">
      <formula>$F106="無"</formula>
    </cfRule>
  </conditionalFormatting>
  <conditionalFormatting sqref="Q106">
    <cfRule type="expression" dxfId="740" priority="741" stopIfTrue="1">
      <formula>$F106="無"</formula>
    </cfRule>
  </conditionalFormatting>
  <conditionalFormatting sqref="Q106">
    <cfRule type="expression" dxfId="739" priority="740" stopIfTrue="1">
      <formula>$F106="無"</formula>
    </cfRule>
  </conditionalFormatting>
  <conditionalFormatting sqref="Q106">
    <cfRule type="expression" dxfId="738" priority="739" stopIfTrue="1">
      <formula>$F106="無"</formula>
    </cfRule>
  </conditionalFormatting>
  <conditionalFormatting sqref="Q106">
    <cfRule type="expression" dxfId="737" priority="738" stopIfTrue="1">
      <formula>$F106="無"</formula>
    </cfRule>
  </conditionalFormatting>
  <conditionalFormatting sqref="Q106">
    <cfRule type="expression" dxfId="736" priority="737" stopIfTrue="1">
      <formula>$F106="無"</formula>
    </cfRule>
  </conditionalFormatting>
  <conditionalFormatting sqref="Q106">
    <cfRule type="expression" dxfId="735" priority="736" stopIfTrue="1">
      <formula>$F106="無"</formula>
    </cfRule>
  </conditionalFormatting>
  <conditionalFormatting sqref="Q106">
    <cfRule type="expression" dxfId="734" priority="735" stopIfTrue="1">
      <formula>$F106="無"</formula>
    </cfRule>
  </conditionalFormatting>
  <conditionalFormatting sqref="Q106">
    <cfRule type="expression" dxfId="733" priority="734" stopIfTrue="1">
      <formula>$F106="無"</formula>
    </cfRule>
  </conditionalFormatting>
  <conditionalFormatting sqref="Q106">
    <cfRule type="expression" dxfId="732" priority="733" stopIfTrue="1">
      <formula>$F106="無"</formula>
    </cfRule>
  </conditionalFormatting>
  <conditionalFormatting sqref="Q106">
    <cfRule type="expression" dxfId="731" priority="732" stopIfTrue="1">
      <formula>$F106="無"</formula>
    </cfRule>
  </conditionalFormatting>
  <conditionalFormatting sqref="Q106">
    <cfRule type="expression" dxfId="730" priority="731" stopIfTrue="1">
      <formula>$F106="無"</formula>
    </cfRule>
  </conditionalFormatting>
  <conditionalFormatting sqref="Q106">
    <cfRule type="expression" dxfId="729" priority="730" stopIfTrue="1">
      <formula>$F106="無"</formula>
    </cfRule>
  </conditionalFormatting>
  <conditionalFormatting sqref="Q106">
    <cfRule type="expression" dxfId="728" priority="729" stopIfTrue="1">
      <formula>$F106="無"</formula>
    </cfRule>
  </conditionalFormatting>
  <conditionalFormatting sqref="Q106">
    <cfRule type="expression" dxfId="727" priority="728" stopIfTrue="1">
      <formula>$F106="無"</formula>
    </cfRule>
  </conditionalFormatting>
  <conditionalFormatting sqref="Q106">
    <cfRule type="expression" dxfId="726" priority="727" stopIfTrue="1">
      <formula>$F106="無"</formula>
    </cfRule>
  </conditionalFormatting>
  <conditionalFormatting sqref="Q106">
    <cfRule type="expression" dxfId="725" priority="726" stopIfTrue="1">
      <formula>$F106="無"</formula>
    </cfRule>
  </conditionalFormatting>
  <conditionalFormatting sqref="Q106">
    <cfRule type="expression" dxfId="724" priority="725" stopIfTrue="1">
      <formula>$F106="無"</formula>
    </cfRule>
  </conditionalFormatting>
  <conditionalFormatting sqref="Q106">
    <cfRule type="expression" dxfId="723" priority="724" stopIfTrue="1">
      <formula>$F106="無"</formula>
    </cfRule>
  </conditionalFormatting>
  <conditionalFormatting sqref="Q106">
    <cfRule type="expression" dxfId="722" priority="723" stopIfTrue="1">
      <formula>$F106="無"</formula>
    </cfRule>
  </conditionalFormatting>
  <conditionalFormatting sqref="Q106">
    <cfRule type="expression" dxfId="721" priority="722" stopIfTrue="1">
      <formula>$F106="無"</formula>
    </cfRule>
  </conditionalFormatting>
  <conditionalFormatting sqref="Q106">
    <cfRule type="expression" dxfId="720" priority="721" stopIfTrue="1">
      <formula>$F106="無"</formula>
    </cfRule>
  </conditionalFormatting>
  <conditionalFormatting sqref="Q106">
    <cfRule type="expression" dxfId="719" priority="720" stopIfTrue="1">
      <formula>$F106="無"</formula>
    </cfRule>
  </conditionalFormatting>
  <conditionalFormatting sqref="Q106">
    <cfRule type="expression" dxfId="718" priority="719" stopIfTrue="1">
      <formula>$F106="無"</formula>
    </cfRule>
  </conditionalFormatting>
  <conditionalFormatting sqref="Q106">
    <cfRule type="expression" dxfId="717" priority="718" stopIfTrue="1">
      <formula>$F106="無"</formula>
    </cfRule>
  </conditionalFormatting>
  <conditionalFormatting sqref="Q106">
    <cfRule type="expression" dxfId="716" priority="717" stopIfTrue="1">
      <formula>$F106="無"</formula>
    </cfRule>
  </conditionalFormatting>
  <conditionalFormatting sqref="Q106">
    <cfRule type="expression" dxfId="715" priority="716" stopIfTrue="1">
      <formula>$F106="無"</formula>
    </cfRule>
  </conditionalFormatting>
  <conditionalFormatting sqref="Q106">
    <cfRule type="expression" dxfId="714" priority="715" stopIfTrue="1">
      <formula>$F106="無"</formula>
    </cfRule>
  </conditionalFormatting>
  <conditionalFormatting sqref="Q106">
    <cfRule type="expression" dxfId="713" priority="714" stopIfTrue="1">
      <formula>$F106="無"</formula>
    </cfRule>
  </conditionalFormatting>
  <conditionalFormatting sqref="Q106">
    <cfRule type="expression" dxfId="712" priority="713" stopIfTrue="1">
      <formula>$F106="無"</formula>
    </cfRule>
  </conditionalFormatting>
  <conditionalFormatting sqref="Q106">
    <cfRule type="expression" dxfId="711" priority="712" stopIfTrue="1">
      <formula>$F106="無"</formula>
    </cfRule>
  </conditionalFormatting>
  <conditionalFormatting sqref="Q106">
    <cfRule type="expression" dxfId="710" priority="711" stopIfTrue="1">
      <formula>$F106="無"</formula>
    </cfRule>
  </conditionalFormatting>
  <conditionalFormatting sqref="Q106">
    <cfRule type="expression" dxfId="709" priority="710" stopIfTrue="1">
      <formula>$F106="無"</formula>
    </cfRule>
  </conditionalFormatting>
  <conditionalFormatting sqref="Q106">
    <cfRule type="expression" dxfId="708" priority="709" stopIfTrue="1">
      <formula>$F106="無"</formula>
    </cfRule>
  </conditionalFormatting>
  <conditionalFormatting sqref="Q106">
    <cfRule type="expression" dxfId="707" priority="708" stopIfTrue="1">
      <formula>$F106="無"</formula>
    </cfRule>
  </conditionalFormatting>
  <conditionalFormatting sqref="Q106">
    <cfRule type="expression" dxfId="706" priority="707" stopIfTrue="1">
      <formula>$F106="無"</formula>
    </cfRule>
  </conditionalFormatting>
  <conditionalFormatting sqref="Q106">
    <cfRule type="expression" dxfId="705" priority="706" stopIfTrue="1">
      <formula>$F106="無"</formula>
    </cfRule>
  </conditionalFormatting>
  <conditionalFormatting sqref="Q106">
    <cfRule type="expression" dxfId="704" priority="705" stopIfTrue="1">
      <formula>$F106="無"</formula>
    </cfRule>
  </conditionalFormatting>
  <conditionalFormatting sqref="Q106">
    <cfRule type="expression" dxfId="703" priority="704" stopIfTrue="1">
      <formula>$F106="無"</formula>
    </cfRule>
  </conditionalFormatting>
  <conditionalFormatting sqref="Q106">
    <cfRule type="expression" dxfId="702" priority="703" stopIfTrue="1">
      <formula>$F106="無"</formula>
    </cfRule>
  </conditionalFormatting>
  <conditionalFormatting sqref="Q106">
    <cfRule type="expression" dxfId="701" priority="702" stopIfTrue="1">
      <formula>$F106="無"</formula>
    </cfRule>
  </conditionalFormatting>
  <conditionalFormatting sqref="Q106">
    <cfRule type="expression" dxfId="700" priority="701" stopIfTrue="1">
      <formula>$F106="無"</formula>
    </cfRule>
  </conditionalFormatting>
  <conditionalFormatting sqref="Q106">
    <cfRule type="expression" dxfId="699" priority="700" stopIfTrue="1">
      <formula>$F106="無"</formula>
    </cfRule>
  </conditionalFormatting>
  <conditionalFormatting sqref="Q106">
    <cfRule type="expression" dxfId="698" priority="699" stopIfTrue="1">
      <formula>$F106="無"</formula>
    </cfRule>
  </conditionalFormatting>
  <conditionalFormatting sqref="Q106">
    <cfRule type="expression" dxfId="697" priority="698" stopIfTrue="1">
      <formula>$F106="無"</formula>
    </cfRule>
  </conditionalFormatting>
  <conditionalFormatting sqref="Q106">
    <cfRule type="expression" dxfId="696" priority="697" stopIfTrue="1">
      <formula>$F106="無"</formula>
    </cfRule>
  </conditionalFormatting>
  <conditionalFormatting sqref="Q106">
    <cfRule type="expression" dxfId="695" priority="696" stopIfTrue="1">
      <formula>$F106="無"</formula>
    </cfRule>
  </conditionalFormatting>
  <conditionalFormatting sqref="Q106">
    <cfRule type="expression" dxfId="694" priority="695" stopIfTrue="1">
      <formula>$F106="無"</formula>
    </cfRule>
  </conditionalFormatting>
  <conditionalFormatting sqref="Q106">
    <cfRule type="expression" dxfId="693" priority="694" stopIfTrue="1">
      <formula>$F106="無"</formula>
    </cfRule>
  </conditionalFormatting>
  <conditionalFormatting sqref="Q106">
    <cfRule type="expression" dxfId="692" priority="693" stopIfTrue="1">
      <formula>$F106="無"</formula>
    </cfRule>
  </conditionalFormatting>
  <conditionalFormatting sqref="Q106">
    <cfRule type="expression" dxfId="691" priority="692" stopIfTrue="1">
      <formula>$F106="無"</formula>
    </cfRule>
  </conditionalFormatting>
  <conditionalFormatting sqref="Q106">
    <cfRule type="expression" dxfId="690" priority="691" stopIfTrue="1">
      <formula>$F106="無"</formula>
    </cfRule>
  </conditionalFormatting>
  <conditionalFormatting sqref="Q106">
    <cfRule type="expression" dxfId="689" priority="690" stopIfTrue="1">
      <formula>$F106="無"</formula>
    </cfRule>
  </conditionalFormatting>
  <conditionalFormatting sqref="Q106">
    <cfRule type="expression" dxfId="688" priority="689" stopIfTrue="1">
      <formula>$F106="無"</formula>
    </cfRule>
  </conditionalFormatting>
  <conditionalFormatting sqref="Q106">
    <cfRule type="expression" dxfId="687" priority="688" stopIfTrue="1">
      <formula>$F106="無"</formula>
    </cfRule>
  </conditionalFormatting>
  <conditionalFormatting sqref="Q106">
    <cfRule type="expression" dxfId="686" priority="687" stopIfTrue="1">
      <formula>$F106="無"</formula>
    </cfRule>
  </conditionalFormatting>
  <conditionalFormatting sqref="Q106">
    <cfRule type="expression" dxfId="685" priority="686" stopIfTrue="1">
      <formula>$F106="無"</formula>
    </cfRule>
  </conditionalFormatting>
  <conditionalFormatting sqref="Q106">
    <cfRule type="expression" dxfId="684" priority="685" stopIfTrue="1">
      <formula>$F106="無"</formula>
    </cfRule>
  </conditionalFormatting>
  <conditionalFormatting sqref="Q106">
    <cfRule type="expression" dxfId="683" priority="684" stopIfTrue="1">
      <formula>$F106="無"</formula>
    </cfRule>
  </conditionalFormatting>
  <conditionalFormatting sqref="Q106">
    <cfRule type="expression" dxfId="682" priority="683" stopIfTrue="1">
      <formula>$F106="無"</formula>
    </cfRule>
  </conditionalFormatting>
  <conditionalFormatting sqref="Q106">
    <cfRule type="expression" dxfId="681" priority="682" stopIfTrue="1">
      <formula>$F106="無"</formula>
    </cfRule>
  </conditionalFormatting>
  <conditionalFormatting sqref="Q106">
    <cfRule type="expression" dxfId="680" priority="681" stopIfTrue="1">
      <formula>$F106="無"</formula>
    </cfRule>
  </conditionalFormatting>
  <conditionalFormatting sqref="Q106">
    <cfRule type="expression" dxfId="679" priority="680" stopIfTrue="1">
      <formula>$F106="無"</formula>
    </cfRule>
  </conditionalFormatting>
  <conditionalFormatting sqref="Q106">
    <cfRule type="expression" dxfId="678" priority="679" stopIfTrue="1">
      <formula>$F106="無"</formula>
    </cfRule>
  </conditionalFormatting>
  <conditionalFormatting sqref="Q106">
    <cfRule type="expression" dxfId="677" priority="678" stopIfTrue="1">
      <formula>$F106="無"</formula>
    </cfRule>
  </conditionalFormatting>
  <conditionalFormatting sqref="Q106">
    <cfRule type="expression" dxfId="676" priority="677" stopIfTrue="1">
      <formula>$F106="無"</formula>
    </cfRule>
  </conditionalFormatting>
  <conditionalFormatting sqref="Q106">
    <cfRule type="expression" dxfId="675" priority="676" stopIfTrue="1">
      <formula>$F106="無"</formula>
    </cfRule>
  </conditionalFormatting>
  <conditionalFormatting sqref="Q106">
    <cfRule type="expression" dxfId="674" priority="675" stopIfTrue="1">
      <formula>$F106="無"</formula>
    </cfRule>
  </conditionalFormatting>
  <conditionalFormatting sqref="Q106">
    <cfRule type="expression" dxfId="673" priority="674" stopIfTrue="1">
      <formula>$F106="無"</formula>
    </cfRule>
  </conditionalFormatting>
  <conditionalFormatting sqref="Q106">
    <cfRule type="expression" dxfId="672" priority="673" stopIfTrue="1">
      <formula>$F106="無"</formula>
    </cfRule>
  </conditionalFormatting>
  <conditionalFormatting sqref="Q106">
    <cfRule type="expression" dxfId="671" priority="672" stopIfTrue="1">
      <formula>$F106="無"</formula>
    </cfRule>
  </conditionalFormatting>
  <conditionalFormatting sqref="Q106">
    <cfRule type="expression" dxfId="670" priority="671" stopIfTrue="1">
      <formula>$F106="無"</formula>
    </cfRule>
  </conditionalFormatting>
  <conditionalFormatting sqref="Q106">
    <cfRule type="expression" dxfId="669" priority="670" stopIfTrue="1">
      <formula>$F106="無"</formula>
    </cfRule>
  </conditionalFormatting>
  <conditionalFormatting sqref="Q106">
    <cfRule type="expression" dxfId="668" priority="669" stopIfTrue="1">
      <formula>$F106="無"</formula>
    </cfRule>
  </conditionalFormatting>
  <conditionalFormatting sqref="Q106">
    <cfRule type="expression" dxfId="667" priority="668" stopIfTrue="1">
      <formula>$F106="無"</formula>
    </cfRule>
  </conditionalFormatting>
  <conditionalFormatting sqref="Q106">
    <cfRule type="expression" dxfId="666" priority="667" stopIfTrue="1">
      <formula>$F106="無"</formula>
    </cfRule>
  </conditionalFormatting>
  <conditionalFormatting sqref="Q106">
    <cfRule type="expression" dxfId="665" priority="666" stopIfTrue="1">
      <formula>$F106="無"</formula>
    </cfRule>
  </conditionalFormatting>
  <conditionalFormatting sqref="Q106">
    <cfRule type="expression" dxfId="664" priority="665" stopIfTrue="1">
      <formula>$F106="無"</formula>
    </cfRule>
  </conditionalFormatting>
  <conditionalFormatting sqref="Q106">
    <cfRule type="expression" dxfId="663" priority="664" stopIfTrue="1">
      <formula>$F106="無"</formula>
    </cfRule>
  </conditionalFormatting>
  <conditionalFormatting sqref="Q106">
    <cfRule type="expression" dxfId="662" priority="663" stopIfTrue="1">
      <formula>$F106="無"</formula>
    </cfRule>
  </conditionalFormatting>
  <conditionalFormatting sqref="Q106">
    <cfRule type="expression" dxfId="661" priority="662" stopIfTrue="1">
      <formula>$F106="無"</formula>
    </cfRule>
  </conditionalFormatting>
  <conditionalFormatting sqref="Q106">
    <cfRule type="expression" dxfId="660" priority="661" stopIfTrue="1">
      <formula>$F106="無"</formula>
    </cfRule>
  </conditionalFormatting>
  <conditionalFormatting sqref="Q106">
    <cfRule type="expression" dxfId="659" priority="660" stopIfTrue="1">
      <formula>$F106="無"</formula>
    </cfRule>
  </conditionalFormatting>
  <conditionalFormatting sqref="Q106">
    <cfRule type="expression" dxfId="658" priority="659" stopIfTrue="1">
      <formula>$F106="無"</formula>
    </cfRule>
  </conditionalFormatting>
  <conditionalFormatting sqref="Q106">
    <cfRule type="expression" dxfId="657" priority="658" stopIfTrue="1">
      <formula>$F106="無"</formula>
    </cfRule>
  </conditionalFormatting>
  <conditionalFormatting sqref="Q106">
    <cfRule type="expression" dxfId="656" priority="657" stopIfTrue="1">
      <formula>$F106="無"</formula>
    </cfRule>
  </conditionalFormatting>
  <conditionalFormatting sqref="Q106">
    <cfRule type="expression" dxfId="655" priority="656" stopIfTrue="1">
      <formula>$F106="無"</formula>
    </cfRule>
  </conditionalFormatting>
  <conditionalFormatting sqref="Q106">
    <cfRule type="expression" dxfId="654" priority="655" stopIfTrue="1">
      <formula>$F106="無"</formula>
    </cfRule>
  </conditionalFormatting>
  <conditionalFormatting sqref="Q106">
    <cfRule type="expression" dxfId="653" priority="654" stopIfTrue="1">
      <formula>$F106="無"</formula>
    </cfRule>
  </conditionalFormatting>
  <conditionalFormatting sqref="Q106">
    <cfRule type="expression" dxfId="652" priority="653" stopIfTrue="1">
      <formula>$F106="無"</formula>
    </cfRule>
  </conditionalFormatting>
  <conditionalFormatting sqref="Q106">
    <cfRule type="expression" dxfId="651" priority="652" stopIfTrue="1">
      <formula>$F106="無"</formula>
    </cfRule>
  </conditionalFormatting>
  <conditionalFormatting sqref="Q106">
    <cfRule type="expression" dxfId="650" priority="651" stopIfTrue="1">
      <formula>$F106="無"</formula>
    </cfRule>
  </conditionalFormatting>
  <conditionalFormatting sqref="Q106">
    <cfRule type="expression" dxfId="649" priority="650" stopIfTrue="1">
      <formula>$F106="無"</formula>
    </cfRule>
  </conditionalFormatting>
  <conditionalFormatting sqref="Q106">
    <cfRule type="expression" dxfId="648" priority="649" stopIfTrue="1">
      <formula>$F106="無"</formula>
    </cfRule>
  </conditionalFormatting>
  <conditionalFormatting sqref="Q106">
    <cfRule type="expression" dxfId="647" priority="648" stopIfTrue="1">
      <formula>$F106="無"</formula>
    </cfRule>
  </conditionalFormatting>
  <conditionalFormatting sqref="Q106">
    <cfRule type="expression" dxfId="646" priority="647" stopIfTrue="1">
      <formula>$F106="無"</formula>
    </cfRule>
  </conditionalFormatting>
  <conditionalFormatting sqref="Q106">
    <cfRule type="expression" dxfId="645" priority="646" stopIfTrue="1">
      <formula>$F106="無"</formula>
    </cfRule>
  </conditionalFormatting>
  <conditionalFormatting sqref="Q106">
    <cfRule type="expression" dxfId="644" priority="645" stopIfTrue="1">
      <formula>$F106="無"</formula>
    </cfRule>
  </conditionalFormatting>
  <conditionalFormatting sqref="Q106">
    <cfRule type="expression" dxfId="643" priority="644" stopIfTrue="1">
      <formula>$F106="無"</formula>
    </cfRule>
  </conditionalFormatting>
  <conditionalFormatting sqref="Q106">
    <cfRule type="expression" dxfId="642" priority="643" stopIfTrue="1">
      <formula>$F106="無"</formula>
    </cfRule>
  </conditionalFormatting>
  <conditionalFormatting sqref="Q106">
    <cfRule type="expression" dxfId="641" priority="642" stopIfTrue="1">
      <formula>$F106="無"</formula>
    </cfRule>
  </conditionalFormatting>
  <conditionalFormatting sqref="Q106">
    <cfRule type="expression" dxfId="640" priority="641" stopIfTrue="1">
      <formula>$F106="無"</formula>
    </cfRule>
  </conditionalFormatting>
  <conditionalFormatting sqref="Q106">
    <cfRule type="expression" dxfId="639" priority="640" stopIfTrue="1">
      <formula>$F106="無"</formula>
    </cfRule>
  </conditionalFormatting>
  <conditionalFormatting sqref="Q106">
    <cfRule type="expression" dxfId="638" priority="639" stopIfTrue="1">
      <formula>$F106="無"</formula>
    </cfRule>
  </conditionalFormatting>
  <conditionalFormatting sqref="Q106">
    <cfRule type="expression" dxfId="637" priority="638" stopIfTrue="1">
      <formula>$F106="無"</formula>
    </cfRule>
  </conditionalFormatting>
  <conditionalFormatting sqref="Q106">
    <cfRule type="expression" dxfId="636" priority="637" stopIfTrue="1">
      <formula>$F106="無"</formula>
    </cfRule>
  </conditionalFormatting>
  <conditionalFormatting sqref="Q106">
    <cfRule type="expression" dxfId="635" priority="636" stopIfTrue="1">
      <formula>$F106="無"</formula>
    </cfRule>
  </conditionalFormatting>
  <conditionalFormatting sqref="Q106">
    <cfRule type="expression" dxfId="634" priority="635" stopIfTrue="1">
      <formula>$F106="無"</formula>
    </cfRule>
  </conditionalFormatting>
  <conditionalFormatting sqref="Q106">
    <cfRule type="expression" dxfId="633" priority="634" stopIfTrue="1">
      <formula>$F106="無"</formula>
    </cfRule>
  </conditionalFormatting>
  <conditionalFormatting sqref="Q106">
    <cfRule type="expression" dxfId="632" priority="633" stopIfTrue="1">
      <formula>$F106="無"</formula>
    </cfRule>
  </conditionalFormatting>
  <conditionalFormatting sqref="Q106">
    <cfRule type="expression" dxfId="631" priority="632" stopIfTrue="1">
      <formula>$F106="無"</formula>
    </cfRule>
  </conditionalFormatting>
  <conditionalFormatting sqref="Q106">
    <cfRule type="expression" dxfId="630" priority="631" stopIfTrue="1">
      <formula>$F106="無"</formula>
    </cfRule>
  </conditionalFormatting>
  <conditionalFormatting sqref="Q106">
    <cfRule type="expression" dxfId="629" priority="630" stopIfTrue="1">
      <formula>$F106="無"</formula>
    </cfRule>
  </conditionalFormatting>
  <conditionalFormatting sqref="Q106">
    <cfRule type="expression" dxfId="628" priority="629" stopIfTrue="1">
      <formula>$F106="無"</formula>
    </cfRule>
  </conditionalFormatting>
  <conditionalFormatting sqref="Q106">
    <cfRule type="expression" dxfId="627" priority="628" stopIfTrue="1">
      <formula>$F106="無"</formula>
    </cfRule>
  </conditionalFormatting>
  <conditionalFormatting sqref="Q106">
    <cfRule type="expression" dxfId="626" priority="627" stopIfTrue="1">
      <formula>$F106="無"</formula>
    </cfRule>
  </conditionalFormatting>
  <conditionalFormatting sqref="Q106">
    <cfRule type="expression" dxfId="625" priority="626" stopIfTrue="1">
      <formula>$F106="無"</formula>
    </cfRule>
  </conditionalFormatting>
  <conditionalFormatting sqref="Q106">
    <cfRule type="expression" dxfId="624" priority="625" stopIfTrue="1">
      <formula>$F106="無"</formula>
    </cfRule>
  </conditionalFormatting>
  <conditionalFormatting sqref="Q106">
    <cfRule type="expression" dxfId="623" priority="624" stopIfTrue="1">
      <formula>$F106="無"</formula>
    </cfRule>
  </conditionalFormatting>
  <conditionalFormatting sqref="Q106">
    <cfRule type="expression" dxfId="622" priority="623" stopIfTrue="1">
      <formula>$F106="無"</formula>
    </cfRule>
  </conditionalFormatting>
  <conditionalFormatting sqref="Q106">
    <cfRule type="expression" dxfId="621" priority="622" stopIfTrue="1">
      <formula>$F106="無"</formula>
    </cfRule>
  </conditionalFormatting>
  <conditionalFormatting sqref="Q106">
    <cfRule type="expression" dxfId="620" priority="621" stopIfTrue="1">
      <formula>$F106="無"</formula>
    </cfRule>
  </conditionalFormatting>
  <conditionalFormatting sqref="Q106">
    <cfRule type="expression" dxfId="619" priority="620" stopIfTrue="1">
      <formula>$F106="無"</formula>
    </cfRule>
  </conditionalFormatting>
  <conditionalFormatting sqref="Q106">
    <cfRule type="expression" dxfId="618" priority="619" stopIfTrue="1">
      <formula>$F106="無"</formula>
    </cfRule>
  </conditionalFormatting>
  <conditionalFormatting sqref="Q106">
    <cfRule type="expression" dxfId="617" priority="618" stopIfTrue="1">
      <formula>$F106="無"</formula>
    </cfRule>
  </conditionalFormatting>
  <conditionalFormatting sqref="Q106">
    <cfRule type="expression" dxfId="616" priority="617" stopIfTrue="1">
      <formula>$F106="無"</formula>
    </cfRule>
  </conditionalFormatting>
  <conditionalFormatting sqref="Q106">
    <cfRule type="expression" dxfId="615" priority="616" stopIfTrue="1">
      <formula>$F106="無"</formula>
    </cfRule>
  </conditionalFormatting>
  <conditionalFormatting sqref="Q106">
    <cfRule type="expression" dxfId="614" priority="615" stopIfTrue="1">
      <formula>$F106="無"</formula>
    </cfRule>
  </conditionalFormatting>
  <conditionalFormatting sqref="Q106">
    <cfRule type="expression" dxfId="613" priority="614" stopIfTrue="1">
      <formula>$F106="無"</formula>
    </cfRule>
  </conditionalFormatting>
  <conditionalFormatting sqref="Q106">
    <cfRule type="expression" dxfId="612" priority="613" stopIfTrue="1">
      <formula>$F106="無"</formula>
    </cfRule>
  </conditionalFormatting>
  <conditionalFormatting sqref="Q106">
    <cfRule type="expression" dxfId="611" priority="612" stopIfTrue="1">
      <formula>$F106="無"</formula>
    </cfRule>
  </conditionalFormatting>
  <conditionalFormatting sqref="Q106">
    <cfRule type="expression" dxfId="610" priority="611" stopIfTrue="1">
      <formula>$F106="無"</formula>
    </cfRule>
  </conditionalFormatting>
  <conditionalFormatting sqref="Q106">
    <cfRule type="expression" dxfId="609" priority="610" stopIfTrue="1">
      <formula>$F106="無"</formula>
    </cfRule>
  </conditionalFormatting>
  <conditionalFormatting sqref="Q106">
    <cfRule type="expression" dxfId="608" priority="609" stopIfTrue="1">
      <formula>$F106="無"</formula>
    </cfRule>
  </conditionalFormatting>
  <conditionalFormatting sqref="Q106">
    <cfRule type="expression" dxfId="607" priority="608" stopIfTrue="1">
      <formula>$F106="無"</formula>
    </cfRule>
  </conditionalFormatting>
  <conditionalFormatting sqref="Q106">
    <cfRule type="expression" dxfId="606" priority="607" stopIfTrue="1">
      <formula>$F106="無"</formula>
    </cfRule>
  </conditionalFormatting>
  <conditionalFormatting sqref="Q106">
    <cfRule type="expression" dxfId="605" priority="606" stopIfTrue="1">
      <formula>$F106="無"</formula>
    </cfRule>
  </conditionalFormatting>
  <conditionalFormatting sqref="Q106">
    <cfRule type="expression" dxfId="604" priority="605" stopIfTrue="1">
      <formula>$F106="無"</formula>
    </cfRule>
  </conditionalFormatting>
  <conditionalFormatting sqref="Q106">
    <cfRule type="expression" dxfId="603" priority="604" stopIfTrue="1">
      <formula>$F106="無"</formula>
    </cfRule>
  </conditionalFormatting>
  <conditionalFormatting sqref="Q106">
    <cfRule type="expression" dxfId="602" priority="603" stopIfTrue="1">
      <formula>$F106="無"</formula>
    </cfRule>
  </conditionalFormatting>
  <conditionalFormatting sqref="Q106">
    <cfRule type="expression" dxfId="601" priority="602" stopIfTrue="1">
      <formula>$F106="無"</formula>
    </cfRule>
  </conditionalFormatting>
  <conditionalFormatting sqref="Q106">
    <cfRule type="expression" dxfId="600" priority="601" stopIfTrue="1">
      <formula>$F106="無"</formula>
    </cfRule>
  </conditionalFormatting>
  <conditionalFormatting sqref="Q106">
    <cfRule type="expression" dxfId="599" priority="600" stopIfTrue="1">
      <formula>$F106="無"</formula>
    </cfRule>
  </conditionalFormatting>
  <conditionalFormatting sqref="Q106">
    <cfRule type="expression" dxfId="598" priority="599" stopIfTrue="1">
      <formula>$F106="無"</formula>
    </cfRule>
  </conditionalFormatting>
  <conditionalFormatting sqref="Q106">
    <cfRule type="expression" dxfId="597" priority="598" stopIfTrue="1">
      <formula>$F106="無"</formula>
    </cfRule>
  </conditionalFormatting>
  <conditionalFormatting sqref="Q106">
    <cfRule type="expression" dxfId="596" priority="597" stopIfTrue="1">
      <formula>$F106="無"</formula>
    </cfRule>
  </conditionalFormatting>
  <conditionalFormatting sqref="Q106">
    <cfRule type="expression" dxfId="595" priority="596" stopIfTrue="1">
      <formula>$F106="無"</formula>
    </cfRule>
  </conditionalFormatting>
  <conditionalFormatting sqref="Q106">
    <cfRule type="expression" dxfId="594" priority="595" stopIfTrue="1">
      <formula>$F106="無"</formula>
    </cfRule>
  </conditionalFormatting>
  <conditionalFormatting sqref="Q106">
    <cfRule type="expression" dxfId="593" priority="594" stopIfTrue="1">
      <formula>$F106="無"</formula>
    </cfRule>
  </conditionalFormatting>
  <conditionalFormatting sqref="Q106">
    <cfRule type="expression" dxfId="592" priority="593" stopIfTrue="1">
      <formula>$F106="無"</formula>
    </cfRule>
  </conditionalFormatting>
  <conditionalFormatting sqref="Q106">
    <cfRule type="expression" dxfId="591" priority="592" stopIfTrue="1">
      <formula>$F106="無"</formula>
    </cfRule>
  </conditionalFormatting>
  <conditionalFormatting sqref="Q106">
    <cfRule type="expression" dxfId="590" priority="591" stopIfTrue="1">
      <formula>$F106="無"</formula>
    </cfRule>
  </conditionalFormatting>
  <conditionalFormatting sqref="Q106">
    <cfRule type="expression" dxfId="589" priority="590" stopIfTrue="1">
      <formula>$F106="無"</formula>
    </cfRule>
  </conditionalFormatting>
  <conditionalFormatting sqref="Q106">
    <cfRule type="expression" dxfId="588" priority="589" stopIfTrue="1">
      <formula>$F106="無"</formula>
    </cfRule>
  </conditionalFormatting>
  <conditionalFormatting sqref="Q106">
    <cfRule type="expression" dxfId="587" priority="588" stopIfTrue="1">
      <formula>$F106="無"</formula>
    </cfRule>
  </conditionalFormatting>
  <conditionalFormatting sqref="Q106">
    <cfRule type="expression" dxfId="586" priority="587" stopIfTrue="1">
      <formula>$F106="無"</formula>
    </cfRule>
  </conditionalFormatting>
  <conditionalFormatting sqref="Q106">
    <cfRule type="expression" dxfId="585" priority="586" stopIfTrue="1">
      <formula>$F106="無"</formula>
    </cfRule>
  </conditionalFormatting>
  <conditionalFormatting sqref="Q106">
    <cfRule type="expression" dxfId="584" priority="585" stopIfTrue="1">
      <formula>$F106="無"</formula>
    </cfRule>
  </conditionalFormatting>
  <conditionalFormatting sqref="Q106">
    <cfRule type="expression" dxfId="583" priority="584" stopIfTrue="1">
      <formula>$F106="無"</formula>
    </cfRule>
  </conditionalFormatting>
  <conditionalFormatting sqref="Q106">
    <cfRule type="expression" dxfId="582" priority="583" stopIfTrue="1">
      <formula>$F106="無"</formula>
    </cfRule>
  </conditionalFormatting>
  <conditionalFormatting sqref="S106">
    <cfRule type="expression" dxfId="581" priority="582" stopIfTrue="1">
      <formula>$F106="無"</formula>
    </cfRule>
  </conditionalFormatting>
  <conditionalFormatting sqref="S106">
    <cfRule type="expression" dxfId="580" priority="581" stopIfTrue="1">
      <formula>$F106="無"</formula>
    </cfRule>
  </conditionalFormatting>
  <conditionalFormatting sqref="S106">
    <cfRule type="expression" dxfId="579" priority="580" stopIfTrue="1">
      <formula>$F106="無"</formula>
    </cfRule>
  </conditionalFormatting>
  <conditionalFormatting sqref="S106">
    <cfRule type="expression" dxfId="578" priority="579" stopIfTrue="1">
      <formula>$F106="無"</formula>
    </cfRule>
  </conditionalFormatting>
  <conditionalFormatting sqref="S106">
    <cfRule type="expression" dxfId="577" priority="578" stopIfTrue="1">
      <formula>$F106="無"</formula>
    </cfRule>
  </conditionalFormatting>
  <conditionalFormatting sqref="S106">
    <cfRule type="expression" dxfId="576" priority="577" stopIfTrue="1">
      <formula>$F106="無"</formula>
    </cfRule>
  </conditionalFormatting>
  <conditionalFormatting sqref="S106">
    <cfRule type="expression" dxfId="575" priority="576" stopIfTrue="1">
      <formula>$F106="無"</formula>
    </cfRule>
  </conditionalFormatting>
  <conditionalFormatting sqref="S106">
    <cfRule type="expression" dxfId="574" priority="575" stopIfTrue="1">
      <formula>$F106="無"</formula>
    </cfRule>
  </conditionalFormatting>
  <conditionalFormatting sqref="S106">
    <cfRule type="expression" dxfId="573" priority="574" stopIfTrue="1">
      <formula>$F106="無"</formula>
    </cfRule>
  </conditionalFormatting>
  <conditionalFormatting sqref="S106">
    <cfRule type="expression" dxfId="572" priority="573" stopIfTrue="1">
      <formula>$F106="無"</formula>
    </cfRule>
  </conditionalFormatting>
  <conditionalFormatting sqref="S106">
    <cfRule type="expression" dxfId="571" priority="572" stopIfTrue="1">
      <formula>$F106="無"</formula>
    </cfRule>
  </conditionalFormatting>
  <conditionalFormatting sqref="S106">
    <cfRule type="expression" dxfId="570" priority="571" stopIfTrue="1">
      <formula>$F106="無"</formula>
    </cfRule>
  </conditionalFormatting>
  <conditionalFormatting sqref="S106">
    <cfRule type="expression" dxfId="569" priority="570" stopIfTrue="1">
      <formula>$F106="無"</formula>
    </cfRule>
  </conditionalFormatting>
  <conditionalFormatting sqref="S106">
    <cfRule type="expression" dxfId="568" priority="569" stopIfTrue="1">
      <formula>$F106="無"</formula>
    </cfRule>
  </conditionalFormatting>
  <conditionalFormatting sqref="S106">
    <cfRule type="expression" dxfId="567" priority="568" stopIfTrue="1">
      <formula>$F106="無"</formula>
    </cfRule>
  </conditionalFormatting>
  <conditionalFormatting sqref="S106">
    <cfRule type="expression" dxfId="566" priority="567" stopIfTrue="1">
      <formula>$F106="無"</formula>
    </cfRule>
  </conditionalFormatting>
  <conditionalFormatting sqref="S106">
    <cfRule type="expression" dxfId="565" priority="566" stopIfTrue="1">
      <formula>$F106="無"</formula>
    </cfRule>
  </conditionalFormatting>
  <conditionalFormatting sqref="S106">
    <cfRule type="expression" dxfId="564" priority="565" stopIfTrue="1">
      <formula>$F106="無"</formula>
    </cfRule>
  </conditionalFormatting>
  <conditionalFormatting sqref="S106">
    <cfRule type="expression" dxfId="563" priority="564" stopIfTrue="1">
      <formula>$F106="無"</formula>
    </cfRule>
  </conditionalFormatting>
  <conditionalFormatting sqref="S106">
    <cfRule type="expression" dxfId="562" priority="563" stopIfTrue="1">
      <formula>$F106="無"</formula>
    </cfRule>
  </conditionalFormatting>
  <conditionalFormatting sqref="S106">
    <cfRule type="expression" dxfId="561" priority="562" stopIfTrue="1">
      <formula>$F106="無"</formula>
    </cfRule>
  </conditionalFormatting>
  <conditionalFormatting sqref="S106">
    <cfRule type="expression" dxfId="560" priority="561" stopIfTrue="1">
      <formula>$F106="無"</formula>
    </cfRule>
  </conditionalFormatting>
  <conditionalFormatting sqref="S106">
    <cfRule type="expression" dxfId="559" priority="560" stopIfTrue="1">
      <formula>$F106="無"</formula>
    </cfRule>
  </conditionalFormatting>
  <conditionalFormatting sqref="S106">
    <cfRule type="expression" dxfId="558" priority="559" stopIfTrue="1">
      <formula>$F106="無"</formula>
    </cfRule>
  </conditionalFormatting>
  <conditionalFormatting sqref="S106">
    <cfRule type="expression" dxfId="557" priority="558" stopIfTrue="1">
      <formula>$F106="無"</formula>
    </cfRule>
  </conditionalFormatting>
  <conditionalFormatting sqref="S106">
    <cfRule type="expression" dxfId="556" priority="557" stopIfTrue="1">
      <formula>$F106="無"</formula>
    </cfRule>
  </conditionalFormatting>
  <conditionalFormatting sqref="S106">
    <cfRule type="expression" dxfId="555" priority="556" stopIfTrue="1">
      <formula>$F106="無"</formula>
    </cfRule>
  </conditionalFormatting>
  <conditionalFormatting sqref="S106">
    <cfRule type="expression" dxfId="554" priority="555" stopIfTrue="1">
      <formula>$F106="無"</formula>
    </cfRule>
  </conditionalFormatting>
  <conditionalFormatting sqref="S106">
    <cfRule type="expression" dxfId="553" priority="554" stopIfTrue="1">
      <formula>$F106="無"</formula>
    </cfRule>
  </conditionalFormatting>
  <conditionalFormatting sqref="S106">
    <cfRule type="expression" dxfId="552" priority="553" stopIfTrue="1">
      <formula>$F106="無"</formula>
    </cfRule>
  </conditionalFormatting>
  <conditionalFormatting sqref="S106">
    <cfRule type="expression" dxfId="551" priority="552" stopIfTrue="1">
      <formula>$F106="無"</formula>
    </cfRule>
  </conditionalFormatting>
  <conditionalFormatting sqref="S106">
    <cfRule type="expression" dxfId="550" priority="551" stopIfTrue="1">
      <formula>$F106="無"</formula>
    </cfRule>
  </conditionalFormatting>
  <conditionalFormatting sqref="S106">
    <cfRule type="expression" dxfId="549" priority="550" stopIfTrue="1">
      <formula>$F106="無"</formula>
    </cfRule>
  </conditionalFormatting>
  <conditionalFormatting sqref="S106">
    <cfRule type="expression" dxfId="548" priority="549" stopIfTrue="1">
      <formula>$F106="無"</formula>
    </cfRule>
  </conditionalFormatting>
  <conditionalFormatting sqref="S106">
    <cfRule type="expression" dxfId="547" priority="548" stopIfTrue="1">
      <formula>$F106="無"</formula>
    </cfRule>
  </conditionalFormatting>
  <conditionalFormatting sqref="S106">
    <cfRule type="expression" dxfId="546" priority="547" stopIfTrue="1">
      <formula>$F106="無"</formula>
    </cfRule>
  </conditionalFormatting>
  <conditionalFormatting sqref="S106">
    <cfRule type="expression" dxfId="545" priority="546" stopIfTrue="1">
      <formula>$F106="無"</formula>
    </cfRule>
  </conditionalFormatting>
  <conditionalFormatting sqref="S106">
    <cfRule type="expression" dxfId="544" priority="545" stopIfTrue="1">
      <formula>$F106="無"</formula>
    </cfRule>
  </conditionalFormatting>
  <conditionalFormatting sqref="S106">
    <cfRule type="expression" dxfId="543" priority="544" stopIfTrue="1">
      <formula>$F106="無"</formula>
    </cfRule>
  </conditionalFormatting>
  <conditionalFormatting sqref="S106">
    <cfRule type="expression" dxfId="542" priority="543" stopIfTrue="1">
      <formula>$F106="無"</formula>
    </cfRule>
  </conditionalFormatting>
  <conditionalFormatting sqref="S106">
    <cfRule type="expression" dxfId="541" priority="542" stopIfTrue="1">
      <formula>$F106="無"</formula>
    </cfRule>
  </conditionalFormatting>
  <conditionalFormatting sqref="S106">
    <cfRule type="expression" dxfId="540" priority="541" stopIfTrue="1">
      <formula>$F106="無"</formula>
    </cfRule>
  </conditionalFormatting>
  <conditionalFormatting sqref="S106">
    <cfRule type="expression" dxfId="539" priority="540" stopIfTrue="1">
      <formula>$F106="無"</formula>
    </cfRule>
  </conditionalFormatting>
  <conditionalFormatting sqref="S106">
    <cfRule type="expression" dxfId="538" priority="539" stopIfTrue="1">
      <formula>$F106="無"</formula>
    </cfRule>
  </conditionalFormatting>
  <conditionalFormatting sqref="S106">
    <cfRule type="expression" dxfId="537" priority="538" stopIfTrue="1">
      <formula>$F106="無"</formula>
    </cfRule>
  </conditionalFormatting>
  <conditionalFormatting sqref="S106">
    <cfRule type="expression" dxfId="536" priority="537" stopIfTrue="1">
      <formula>$F106="無"</formula>
    </cfRule>
  </conditionalFormatting>
  <conditionalFormatting sqref="S106">
    <cfRule type="expression" dxfId="535" priority="536" stopIfTrue="1">
      <formula>$F106="無"</formula>
    </cfRule>
  </conditionalFormatting>
  <conditionalFormatting sqref="S106">
    <cfRule type="expression" dxfId="534" priority="535" stopIfTrue="1">
      <formula>$F106="無"</formula>
    </cfRule>
  </conditionalFormatting>
  <conditionalFormatting sqref="S106">
    <cfRule type="expression" dxfId="533" priority="534" stopIfTrue="1">
      <formula>$F106="無"</formula>
    </cfRule>
  </conditionalFormatting>
  <conditionalFormatting sqref="S106">
    <cfRule type="expression" dxfId="532" priority="533" stopIfTrue="1">
      <formula>$F106="無"</formula>
    </cfRule>
  </conditionalFormatting>
  <conditionalFormatting sqref="S106">
    <cfRule type="expression" dxfId="531" priority="532" stopIfTrue="1">
      <formula>$F106="無"</formula>
    </cfRule>
  </conditionalFormatting>
  <conditionalFormatting sqref="S106">
    <cfRule type="expression" dxfId="530" priority="531" stopIfTrue="1">
      <formula>$F106="無"</formula>
    </cfRule>
  </conditionalFormatting>
  <conditionalFormatting sqref="S106">
    <cfRule type="expression" dxfId="529" priority="530" stopIfTrue="1">
      <formula>$F106="無"</formula>
    </cfRule>
  </conditionalFormatting>
  <conditionalFormatting sqref="S106">
    <cfRule type="expression" dxfId="528" priority="529" stopIfTrue="1">
      <formula>$F106="無"</formula>
    </cfRule>
  </conditionalFormatting>
  <conditionalFormatting sqref="S106">
    <cfRule type="expression" dxfId="527" priority="528" stopIfTrue="1">
      <formula>$F106="無"</formula>
    </cfRule>
  </conditionalFormatting>
  <conditionalFormatting sqref="S106">
    <cfRule type="expression" dxfId="526" priority="527" stopIfTrue="1">
      <formula>$F106="無"</formula>
    </cfRule>
  </conditionalFormatting>
  <conditionalFormatting sqref="S106">
    <cfRule type="expression" dxfId="525" priority="526" stopIfTrue="1">
      <formula>$F106="無"</formula>
    </cfRule>
  </conditionalFormatting>
  <conditionalFormatting sqref="S106">
    <cfRule type="expression" dxfId="524" priority="525" stopIfTrue="1">
      <formula>$F106="無"</formula>
    </cfRule>
  </conditionalFormatting>
  <conditionalFormatting sqref="S106">
    <cfRule type="expression" dxfId="523" priority="524" stopIfTrue="1">
      <formula>$F106="無"</formula>
    </cfRule>
  </conditionalFormatting>
  <conditionalFormatting sqref="S106">
    <cfRule type="expression" dxfId="522" priority="523" stopIfTrue="1">
      <formula>$F106="無"</formula>
    </cfRule>
  </conditionalFormatting>
  <conditionalFormatting sqref="S106">
    <cfRule type="expression" dxfId="521" priority="522" stopIfTrue="1">
      <formula>$F106="無"</formula>
    </cfRule>
  </conditionalFormatting>
  <conditionalFormatting sqref="S106">
    <cfRule type="expression" dxfId="520" priority="521" stopIfTrue="1">
      <formula>$F106="無"</formula>
    </cfRule>
  </conditionalFormatting>
  <conditionalFormatting sqref="S106">
    <cfRule type="expression" dxfId="519" priority="520" stopIfTrue="1">
      <formula>$F106="無"</formula>
    </cfRule>
  </conditionalFormatting>
  <conditionalFormatting sqref="S106">
    <cfRule type="expression" dxfId="518" priority="519" stopIfTrue="1">
      <formula>$F106="無"</formula>
    </cfRule>
  </conditionalFormatting>
  <conditionalFormatting sqref="S106">
    <cfRule type="expression" dxfId="517" priority="518" stopIfTrue="1">
      <formula>$F106="無"</formula>
    </cfRule>
  </conditionalFormatting>
  <conditionalFormatting sqref="S106">
    <cfRule type="expression" dxfId="516" priority="517" stopIfTrue="1">
      <formula>$F106="無"</formula>
    </cfRule>
  </conditionalFormatting>
  <conditionalFormatting sqref="S106">
    <cfRule type="expression" dxfId="515" priority="516" stopIfTrue="1">
      <formula>$F106="無"</formula>
    </cfRule>
  </conditionalFormatting>
  <conditionalFormatting sqref="S106">
    <cfRule type="expression" dxfId="514" priority="515" stopIfTrue="1">
      <formula>$F106="無"</formula>
    </cfRule>
  </conditionalFormatting>
  <conditionalFormatting sqref="S106">
    <cfRule type="expression" dxfId="513" priority="514" stopIfTrue="1">
      <formula>$F106="無"</formula>
    </cfRule>
  </conditionalFormatting>
  <conditionalFormatting sqref="S106">
    <cfRule type="expression" dxfId="512" priority="513" stopIfTrue="1">
      <formula>$F106="無"</formula>
    </cfRule>
  </conditionalFormatting>
  <conditionalFormatting sqref="S106">
    <cfRule type="expression" dxfId="511" priority="512" stopIfTrue="1">
      <formula>$F106="無"</formula>
    </cfRule>
  </conditionalFormatting>
  <conditionalFormatting sqref="S106">
    <cfRule type="expression" dxfId="510" priority="511" stopIfTrue="1">
      <formula>$F106="無"</formula>
    </cfRule>
  </conditionalFormatting>
  <conditionalFormatting sqref="S106">
    <cfRule type="expression" dxfId="509" priority="510" stopIfTrue="1">
      <formula>$F106="無"</formula>
    </cfRule>
  </conditionalFormatting>
  <conditionalFormatting sqref="S106">
    <cfRule type="expression" dxfId="508" priority="509" stopIfTrue="1">
      <formula>$F106="無"</formula>
    </cfRule>
  </conditionalFormatting>
  <conditionalFormatting sqref="S106">
    <cfRule type="expression" dxfId="507" priority="508" stopIfTrue="1">
      <formula>$F106="無"</formula>
    </cfRule>
  </conditionalFormatting>
  <conditionalFormatting sqref="S106">
    <cfRule type="expression" dxfId="506" priority="507" stopIfTrue="1">
      <formula>$F106="無"</formula>
    </cfRule>
  </conditionalFormatting>
  <conditionalFormatting sqref="S106">
    <cfRule type="expression" dxfId="505" priority="506" stopIfTrue="1">
      <formula>$F106="無"</formula>
    </cfRule>
  </conditionalFormatting>
  <conditionalFormatting sqref="S106">
    <cfRule type="expression" dxfId="504" priority="505" stopIfTrue="1">
      <formula>$F106="無"</formula>
    </cfRule>
  </conditionalFormatting>
  <conditionalFormatting sqref="S106">
    <cfRule type="expression" dxfId="503" priority="504" stopIfTrue="1">
      <formula>$F106="無"</formula>
    </cfRule>
  </conditionalFormatting>
  <conditionalFormatting sqref="S106">
    <cfRule type="expression" dxfId="502" priority="503" stopIfTrue="1">
      <formula>$F106="無"</formula>
    </cfRule>
  </conditionalFormatting>
  <conditionalFormatting sqref="S106">
    <cfRule type="expression" dxfId="501" priority="502" stopIfTrue="1">
      <formula>$F106="無"</formula>
    </cfRule>
  </conditionalFormatting>
  <conditionalFormatting sqref="S106">
    <cfRule type="expression" dxfId="500" priority="501" stopIfTrue="1">
      <formula>$F106="無"</formula>
    </cfRule>
  </conditionalFormatting>
  <conditionalFormatting sqref="S106">
    <cfRule type="expression" dxfId="499" priority="500" stopIfTrue="1">
      <formula>$F106="無"</formula>
    </cfRule>
  </conditionalFormatting>
  <conditionalFormatting sqref="S106">
    <cfRule type="expression" dxfId="498" priority="499" stopIfTrue="1">
      <formula>$F106="無"</formula>
    </cfRule>
  </conditionalFormatting>
  <conditionalFormatting sqref="S106">
    <cfRule type="expression" dxfId="497" priority="498" stopIfTrue="1">
      <formula>$F106="無"</formula>
    </cfRule>
  </conditionalFormatting>
  <conditionalFormatting sqref="S106">
    <cfRule type="expression" dxfId="496" priority="497" stopIfTrue="1">
      <formula>$F106="無"</formula>
    </cfRule>
  </conditionalFormatting>
  <conditionalFormatting sqref="S106">
    <cfRule type="expression" dxfId="495" priority="496" stopIfTrue="1">
      <formula>$F106="無"</formula>
    </cfRule>
  </conditionalFormatting>
  <conditionalFormatting sqref="S106">
    <cfRule type="expression" dxfId="494" priority="495" stopIfTrue="1">
      <formula>$F106="無"</formula>
    </cfRule>
  </conditionalFormatting>
  <conditionalFormatting sqref="S106">
    <cfRule type="expression" dxfId="493" priority="494" stopIfTrue="1">
      <formula>$F106="無"</formula>
    </cfRule>
  </conditionalFormatting>
  <conditionalFormatting sqref="S106">
    <cfRule type="expression" dxfId="492" priority="493" stopIfTrue="1">
      <formula>$F106="無"</formula>
    </cfRule>
  </conditionalFormatting>
  <conditionalFormatting sqref="S106">
    <cfRule type="expression" dxfId="491" priority="492" stopIfTrue="1">
      <formula>$F106="無"</formula>
    </cfRule>
  </conditionalFormatting>
  <conditionalFormatting sqref="S106">
    <cfRule type="expression" dxfId="490" priority="491" stopIfTrue="1">
      <formula>$F106="無"</formula>
    </cfRule>
  </conditionalFormatting>
  <conditionalFormatting sqref="S106">
    <cfRule type="expression" dxfId="489" priority="490" stopIfTrue="1">
      <formula>$F106="無"</formula>
    </cfRule>
  </conditionalFormatting>
  <conditionalFormatting sqref="S106">
    <cfRule type="expression" dxfId="488" priority="489" stopIfTrue="1">
      <formula>$F106="無"</formula>
    </cfRule>
  </conditionalFormatting>
  <conditionalFormatting sqref="S106">
    <cfRule type="expression" dxfId="487" priority="488" stopIfTrue="1">
      <formula>$F106="無"</formula>
    </cfRule>
  </conditionalFormatting>
  <conditionalFormatting sqref="S106">
    <cfRule type="expression" dxfId="486" priority="487" stopIfTrue="1">
      <formula>$F106="無"</formula>
    </cfRule>
  </conditionalFormatting>
  <conditionalFormatting sqref="S106">
    <cfRule type="expression" dxfId="485" priority="486" stopIfTrue="1">
      <formula>$F106="無"</formula>
    </cfRule>
  </conditionalFormatting>
  <conditionalFormatting sqref="S106">
    <cfRule type="expression" dxfId="484" priority="485" stopIfTrue="1">
      <formula>$F106="無"</formula>
    </cfRule>
  </conditionalFormatting>
  <conditionalFormatting sqref="S106">
    <cfRule type="expression" dxfId="483" priority="484" stopIfTrue="1">
      <formula>$F106="無"</formula>
    </cfRule>
  </conditionalFormatting>
  <conditionalFormatting sqref="S106">
    <cfRule type="expression" dxfId="482" priority="483" stopIfTrue="1">
      <formula>$F106="無"</formula>
    </cfRule>
  </conditionalFormatting>
  <conditionalFormatting sqref="S106">
    <cfRule type="expression" dxfId="481" priority="482" stopIfTrue="1">
      <formula>$F106="無"</formula>
    </cfRule>
  </conditionalFormatting>
  <conditionalFormatting sqref="S106">
    <cfRule type="expression" dxfId="480" priority="481" stopIfTrue="1">
      <formula>$F106="無"</formula>
    </cfRule>
  </conditionalFormatting>
  <conditionalFormatting sqref="S106">
    <cfRule type="expression" dxfId="479" priority="480" stopIfTrue="1">
      <formula>$F106="無"</formula>
    </cfRule>
  </conditionalFormatting>
  <conditionalFormatting sqref="S106">
    <cfRule type="expression" dxfId="478" priority="479" stopIfTrue="1">
      <formula>$F106="無"</formula>
    </cfRule>
  </conditionalFormatting>
  <conditionalFormatting sqref="S106">
    <cfRule type="expression" dxfId="477" priority="478" stopIfTrue="1">
      <formula>$F106="無"</formula>
    </cfRule>
  </conditionalFormatting>
  <conditionalFormatting sqref="S106">
    <cfRule type="expression" dxfId="476" priority="477" stopIfTrue="1">
      <formula>$F106="無"</formula>
    </cfRule>
  </conditionalFormatting>
  <conditionalFormatting sqref="S106">
    <cfRule type="expression" dxfId="475" priority="476" stopIfTrue="1">
      <formula>$F106="無"</formula>
    </cfRule>
  </conditionalFormatting>
  <conditionalFormatting sqref="S106">
    <cfRule type="expression" dxfId="474" priority="475" stopIfTrue="1">
      <formula>$F106="無"</formula>
    </cfRule>
  </conditionalFormatting>
  <conditionalFormatting sqref="S106">
    <cfRule type="expression" dxfId="473" priority="474" stopIfTrue="1">
      <formula>$F106="無"</formula>
    </cfRule>
  </conditionalFormatting>
  <conditionalFormatting sqref="S106">
    <cfRule type="expression" dxfId="472" priority="473" stopIfTrue="1">
      <formula>$F106="無"</formula>
    </cfRule>
  </conditionalFormatting>
  <conditionalFormatting sqref="S106">
    <cfRule type="expression" dxfId="471" priority="472" stopIfTrue="1">
      <formula>$F106="無"</formula>
    </cfRule>
  </conditionalFormatting>
  <conditionalFormatting sqref="S106">
    <cfRule type="expression" dxfId="470" priority="471" stopIfTrue="1">
      <formula>$F106="無"</formula>
    </cfRule>
  </conditionalFormatting>
  <conditionalFormatting sqref="S106">
    <cfRule type="expression" dxfId="469" priority="470" stopIfTrue="1">
      <formula>$F106="無"</formula>
    </cfRule>
  </conditionalFormatting>
  <conditionalFormatting sqref="S106">
    <cfRule type="expression" dxfId="468" priority="469" stopIfTrue="1">
      <formula>$F106="無"</formula>
    </cfRule>
  </conditionalFormatting>
  <conditionalFormatting sqref="S106">
    <cfRule type="expression" dxfId="467" priority="468" stopIfTrue="1">
      <formula>$F106="無"</formula>
    </cfRule>
  </conditionalFormatting>
  <conditionalFormatting sqref="S106">
    <cfRule type="expression" dxfId="466" priority="467" stopIfTrue="1">
      <formula>$F106="無"</formula>
    </cfRule>
  </conditionalFormatting>
  <conditionalFormatting sqref="S106">
    <cfRule type="expression" dxfId="465" priority="466" stopIfTrue="1">
      <formula>$F106="無"</formula>
    </cfRule>
  </conditionalFormatting>
  <conditionalFormatting sqref="S106">
    <cfRule type="expression" dxfId="464" priority="465" stopIfTrue="1">
      <formula>$F106="無"</formula>
    </cfRule>
  </conditionalFormatting>
  <conditionalFormatting sqref="S106">
    <cfRule type="expression" dxfId="463" priority="464" stopIfTrue="1">
      <formula>$F106="無"</formula>
    </cfRule>
  </conditionalFormatting>
  <conditionalFormatting sqref="S106">
    <cfRule type="expression" dxfId="462" priority="463" stopIfTrue="1">
      <formula>$F106="無"</formula>
    </cfRule>
  </conditionalFormatting>
  <conditionalFormatting sqref="S106">
    <cfRule type="expression" dxfId="461" priority="462" stopIfTrue="1">
      <formula>$F106="無"</formula>
    </cfRule>
  </conditionalFormatting>
  <conditionalFormatting sqref="S106">
    <cfRule type="expression" dxfId="460" priority="461" stopIfTrue="1">
      <formula>$F106="無"</formula>
    </cfRule>
  </conditionalFormatting>
  <conditionalFormatting sqref="S106">
    <cfRule type="expression" dxfId="459" priority="460" stopIfTrue="1">
      <formula>$F106="無"</formula>
    </cfRule>
  </conditionalFormatting>
  <conditionalFormatting sqref="S106">
    <cfRule type="expression" dxfId="458" priority="459" stopIfTrue="1">
      <formula>$F106="無"</formula>
    </cfRule>
  </conditionalFormatting>
  <conditionalFormatting sqref="S106">
    <cfRule type="expression" dxfId="457" priority="458" stopIfTrue="1">
      <formula>$F106="無"</formula>
    </cfRule>
  </conditionalFormatting>
  <conditionalFormatting sqref="S106">
    <cfRule type="expression" dxfId="456" priority="457" stopIfTrue="1">
      <formula>$F106="無"</formula>
    </cfRule>
  </conditionalFormatting>
  <conditionalFormatting sqref="S106">
    <cfRule type="expression" dxfId="455" priority="456" stopIfTrue="1">
      <formula>$F106="無"</formula>
    </cfRule>
  </conditionalFormatting>
  <conditionalFormatting sqref="S106">
    <cfRule type="expression" dxfId="454" priority="455" stopIfTrue="1">
      <formula>$F106="無"</formula>
    </cfRule>
  </conditionalFormatting>
  <conditionalFormatting sqref="S106">
    <cfRule type="expression" dxfId="453" priority="454" stopIfTrue="1">
      <formula>$F106="無"</formula>
    </cfRule>
  </conditionalFormatting>
  <conditionalFormatting sqref="S106">
    <cfRule type="expression" dxfId="452" priority="453" stopIfTrue="1">
      <formula>$F106="無"</formula>
    </cfRule>
  </conditionalFormatting>
  <conditionalFormatting sqref="S106">
    <cfRule type="expression" dxfId="451" priority="452" stopIfTrue="1">
      <formula>$F106="無"</formula>
    </cfRule>
  </conditionalFormatting>
  <conditionalFormatting sqref="S106">
    <cfRule type="expression" dxfId="450" priority="451" stopIfTrue="1">
      <formula>$F106="無"</formula>
    </cfRule>
  </conditionalFormatting>
  <conditionalFormatting sqref="S106">
    <cfRule type="expression" dxfId="449" priority="450" stopIfTrue="1">
      <formula>$F106="無"</formula>
    </cfRule>
  </conditionalFormatting>
  <conditionalFormatting sqref="S106">
    <cfRule type="expression" dxfId="448" priority="449" stopIfTrue="1">
      <formula>$F106="無"</formula>
    </cfRule>
  </conditionalFormatting>
  <conditionalFormatting sqref="S106">
    <cfRule type="expression" dxfId="447" priority="448" stopIfTrue="1">
      <formula>$F106="無"</formula>
    </cfRule>
  </conditionalFormatting>
  <conditionalFormatting sqref="S106">
    <cfRule type="expression" dxfId="446" priority="447" stopIfTrue="1">
      <formula>$F106="無"</formula>
    </cfRule>
  </conditionalFormatting>
  <conditionalFormatting sqref="S106">
    <cfRule type="expression" dxfId="445" priority="446" stopIfTrue="1">
      <formula>$F106="無"</formula>
    </cfRule>
  </conditionalFormatting>
  <conditionalFormatting sqref="S106">
    <cfRule type="expression" dxfId="444" priority="445" stopIfTrue="1">
      <formula>$F106="無"</formula>
    </cfRule>
  </conditionalFormatting>
  <conditionalFormatting sqref="S106">
    <cfRule type="expression" dxfId="443" priority="444" stopIfTrue="1">
      <formula>$F106="無"</formula>
    </cfRule>
  </conditionalFormatting>
  <conditionalFormatting sqref="S106">
    <cfRule type="expression" dxfId="442" priority="443" stopIfTrue="1">
      <formula>$F106="無"</formula>
    </cfRule>
  </conditionalFormatting>
  <conditionalFormatting sqref="S106">
    <cfRule type="expression" dxfId="441" priority="442" stopIfTrue="1">
      <formula>$F106="無"</formula>
    </cfRule>
  </conditionalFormatting>
  <conditionalFormatting sqref="S106">
    <cfRule type="expression" dxfId="440" priority="441" stopIfTrue="1">
      <formula>$F106="無"</formula>
    </cfRule>
  </conditionalFormatting>
  <conditionalFormatting sqref="S106">
    <cfRule type="expression" dxfId="439" priority="440" stopIfTrue="1">
      <formula>$F106="無"</formula>
    </cfRule>
  </conditionalFormatting>
  <conditionalFormatting sqref="S106">
    <cfRule type="expression" dxfId="438" priority="439" stopIfTrue="1">
      <formula>$F106="無"</formula>
    </cfRule>
  </conditionalFormatting>
  <conditionalFormatting sqref="S106">
    <cfRule type="expression" dxfId="437" priority="438" stopIfTrue="1">
      <formula>$F106="無"</formula>
    </cfRule>
  </conditionalFormatting>
  <conditionalFormatting sqref="S106">
    <cfRule type="expression" dxfId="436" priority="437" stopIfTrue="1">
      <formula>$F106="無"</formula>
    </cfRule>
  </conditionalFormatting>
  <conditionalFormatting sqref="S106">
    <cfRule type="expression" dxfId="435" priority="436" stopIfTrue="1">
      <formula>$F106="無"</formula>
    </cfRule>
  </conditionalFormatting>
  <conditionalFormatting sqref="S106">
    <cfRule type="expression" dxfId="434" priority="435" stopIfTrue="1">
      <formula>$F106="無"</formula>
    </cfRule>
  </conditionalFormatting>
  <conditionalFormatting sqref="S106">
    <cfRule type="expression" dxfId="433" priority="434" stopIfTrue="1">
      <formula>$F106="無"</formula>
    </cfRule>
  </conditionalFormatting>
  <conditionalFormatting sqref="S106">
    <cfRule type="expression" dxfId="432" priority="433" stopIfTrue="1">
      <formula>$F106="無"</formula>
    </cfRule>
  </conditionalFormatting>
  <conditionalFormatting sqref="S106">
    <cfRule type="expression" dxfId="431" priority="432" stopIfTrue="1">
      <formula>$F106="無"</formula>
    </cfRule>
  </conditionalFormatting>
  <conditionalFormatting sqref="S106">
    <cfRule type="expression" dxfId="430" priority="431" stopIfTrue="1">
      <formula>$F106="無"</formula>
    </cfRule>
  </conditionalFormatting>
  <conditionalFormatting sqref="S106">
    <cfRule type="expression" dxfId="429" priority="430" stopIfTrue="1">
      <formula>$F106="無"</formula>
    </cfRule>
  </conditionalFormatting>
  <conditionalFormatting sqref="S106">
    <cfRule type="expression" dxfId="428" priority="429" stopIfTrue="1">
      <formula>$F106="無"</formula>
    </cfRule>
  </conditionalFormatting>
  <conditionalFormatting sqref="S106">
    <cfRule type="expression" dxfId="427" priority="428" stopIfTrue="1">
      <formula>$F106="無"</formula>
    </cfRule>
  </conditionalFormatting>
  <conditionalFormatting sqref="S106">
    <cfRule type="expression" dxfId="426" priority="427" stopIfTrue="1">
      <formula>$F106="無"</formula>
    </cfRule>
  </conditionalFormatting>
  <conditionalFormatting sqref="S106">
    <cfRule type="expression" dxfId="425" priority="426" stopIfTrue="1">
      <formula>$F106="無"</formula>
    </cfRule>
  </conditionalFormatting>
  <conditionalFormatting sqref="S106">
    <cfRule type="expression" dxfId="424" priority="425" stopIfTrue="1">
      <formula>$F106="無"</formula>
    </cfRule>
  </conditionalFormatting>
  <conditionalFormatting sqref="S106">
    <cfRule type="expression" dxfId="423" priority="424" stopIfTrue="1">
      <formula>$F106="無"</formula>
    </cfRule>
  </conditionalFormatting>
  <conditionalFormatting sqref="S106">
    <cfRule type="expression" dxfId="422" priority="423" stopIfTrue="1">
      <formula>$F106="無"</formula>
    </cfRule>
  </conditionalFormatting>
  <conditionalFormatting sqref="S106">
    <cfRule type="expression" dxfId="421" priority="422" stopIfTrue="1">
      <formula>$F106="無"</formula>
    </cfRule>
  </conditionalFormatting>
  <conditionalFormatting sqref="S106">
    <cfRule type="expression" dxfId="420" priority="421" stopIfTrue="1">
      <formula>$F106="無"</formula>
    </cfRule>
  </conditionalFormatting>
  <conditionalFormatting sqref="S106">
    <cfRule type="expression" dxfId="419" priority="420" stopIfTrue="1">
      <formula>$F106="無"</formula>
    </cfRule>
  </conditionalFormatting>
  <conditionalFormatting sqref="S106">
    <cfRule type="expression" dxfId="418" priority="419" stopIfTrue="1">
      <formula>$F106="無"</formula>
    </cfRule>
  </conditionalFormatting>
  <conditionalFormatting sqref="S106">
    <cfRule type="expression" dxfId="417" priority="418" stopIfTrue="1">
      <formula>$F106="無"</formula>
    </cfRule>
  </conditionalFormatting>
  <conditionalFormatting sqref="S106">
    <cfRule type="expression" dxfId="416" priority="417" stopIfTrue="1">
      <formula>$F106="無"</formula>
    </cfRule>
  </conditionalFormatting>
  <conditionalFormatting sqref="S106">
    <cfRule type="expression" dxfId="415" priority="416" stopIfTrue="1">
      <formula>$F106="無"</formula>
    </cfRule>
  </conditionalFormatting>
  <conditionalFormatting sqref="S106">
    <cfRule type="expression" dxfId="414" priority="415" stopIfTrue="1">
      <formula>$F106="無"</formula>
    </cfRule>
  </conditionalFormatting>
  <conditionalFormatting sqref="S106">
    <cfRule type="expression" dxfId="413" priority="414" stopIfTrue="1">
      <formula>$F106="無"</formula>
    </cfRule>
  </conditionalFormatting>
  <conditionalFormatting sqref="S106">
    <cfRule type="expression" dxfId="412" priority="413" stopIfTrue="1">
      <formula>$F106="無"</formula>
    </cfRule>
  </conditionalFormatting>
  <conditionalFormatting sqref="S106">
    <cfRule type="expression" dxfId="411" priority="412" stopIfTrue="1">
      <formula>$F106="無"</formula>
    </cfRule>
  </conditionalFormatting>
  <conditionalFormatting sqref="S106">
    <cfRule type="expression" dxfId="410" priority="411" stopIfTrue="1">
      <formula>$F106="無"</formula>
    </cfRule>
  </conditionalFormatting>
  <conditionalFormatting sqref="S106">
    <cfRule type="expression" dxfId="409" priority="410" stopIfTrue="1">
      <formula>$F106="無"</formula>
    </cfRule>
  </conditionalFormatting>
  <conditionalFormatting sqref="S106">
    <cfRule type="expression" dxfId="408" priority="409" stopIfTrue="1">
      <formula>$F106="無"</formula>
    </cfRule>
  </conditionalFormatting>
  <conditionalFormatting sqref="S106">
    <cfRule type="expression" dxfId="407" priority="408" stopIfTrue="1">
      <formula>$F106="無"</formula>
    </cfRule>
  </conditionalFormatting>
  <conditionalFormatting sqref="S106">
    <cfRule type="expression" dxfId="406" priority="407" stopIfTrue="1">
      <formula>$F106="無"</formula>
    </cfRule>
  </conditionalFormatting>
  <conditionalFormatting sqref="S106">
    <cfRule type="expression" dxfId="405" priority="406" stopIfTrue="1">
      <formula>$F106="無"</formula>
    </cfRule>
  </conditionalFormatting>
  <conditionalFormatting sqref="S106">
    <cfRule type="expression" dxfId="404" priority="405" stopIfTrue="1">
      <formula>$F106="無"</formula>
    </cfRule>
  </conditionalFormatting>
  <conditionalFormatting sqref="S106">
    <cfRule type="expression" dxfId="403" priority="404" stopIfTrue="1">
      <formula>$F106="無"</formula>
    </cfRule>
  </conditionalFormatting>
  <conditionalFormatting sqref="S106">
    <cfRule type="expression" dxfId="402" priority="403" stopIfTrue="1">
      <formula>$F106="無"</formula>
    </cfRule>
  </conditionalFormatting>
  <conditionalFormatting sqref="S106">
    <cfRule type="expression" dxfId="401" priority="402" stopIfTrue="1">
      <formula>$F106="無"</formula>
    </cfRule>
  </conditionalFormatting>
  <conditionalFormatting sqref="S106">
    <cfRule type="expression" dxfId="400" priority="401" stopIfTrue="1">
      <formula>$F106="無"</formula>
    </cfRule>
  </conditionalFormatting>
  <conditionalFormatting sqref="S106">
    <cfRule type="expression" dxfId="399" priority="400" stopIfTrue="1">
      <formula>$F106="無"</formula>
    </cfRule>
  </conditionalFormatting>
  <conditionalFormatting sqref="S106">
    <cfRule type="expression" dxfId="398" priority="399" stopIfTrue="1">
      <formula>$F106="無"</formula>
    </cfRule>
  </conditionalFormatting>
  <conditionalFormatting sqref="S106">
    <cfRule type="expression" dxfId="397" priority="398" stopIfTrue="1">
      <formula>$F106="無"</formula>
    </cfRule>
  </conditionalFormatting>
  <conditionalFormatting sqref="S106">
    <cfRule type="expression" dxfId="396" priority="397" stopIfTrue="1">
      <formula>$F106="無"</formula>
    </cfRule>
  </conditionalFormatting>
  <conditionalFormatting sqref="S106">
    <cfRule type="expression" dxfId="395" priority="396" stopIfTrue="1">
      <formula>$F106="無"</formula>
    </cfRule>
  </conditionalFormatting>
  <conditionalFormatting sqref="S106">
    <cfRule type="expression" dxfId="394" priority="395" stopIfTrue="1">
      <formula>$F106="無"</formula>
    </cfRule>
  </conditionalFormatting>
  <conditionalFormatting sqref="S106">
    <cfRule type="expression" dxfId="393" priority="394" stopIfTrue="1">
      <formula>$F106="無"</formula>
    </cfRule>
  </conditionalFormatting>
  <conditionalFormatting sqref="S106">
    <cfRule type="expression" dxfId="392" priority="393" stopIfTrue="1">
      <formula>$F106="無"</formula>
    </cfRule>
  </conditionalFormatting>
  <conditionalFormatting sqref="S106">
    <cfRule type="expression" dxfId="391" priority="392" stopIfTrue="1">
      <formula>$F106="無"</formula>
    </cfRule>
  </conditionalFormatting>
  <conditionalFormatting sqref="S106">
    <cfRule type="expression" dxfId="390" priority="391" stopIfTrue="1">
      <formula>$F106="無"</formula>
    </cfRule>
  </conditionalFormatting>
  <conditionalFormatting sqref="S106">
    <cfRule type="expression" dxfId="389" priority="390" stopIfTrue="1">
      <formula>$F106="無"</formula>
    </cfRule>
  </conditionalFormatting>
  <conditionalFormatting sqref="S106">
    <cfRule type="expression" dxfId="388" priority="389" stopIfTrue="1">
      <formula>$F106="無"</formula>
    </cfRule>
  </conditionalFormatting>
  <conditionalFormatting sqref="S106">
    <cfRule type="expression" dxfId="387" priority="388" stopIfTrue="1">
      <formula>$F106="無"</formula>
    </cfRule>
  </conditionalFormatting>
  <conditionalFormatting sqref="S106">
    <cfRule type="expression" dxfId="386" priority="387" stopIfTrue="1">
      <formula>$F106="無"</formula>
    </cfRule>
  </conditionalFormatting>
  <conditionalFormatting sqref="S106">
    <cfRule type="expression" dxfId="385" priority="386" stopIfTrue="1">
      <formula>$F106="無"</formula>
    </cfRule>
  </conditionalFormatting>
  <conditionalFormatting sqref="S106">
    <cfRule type="expression" dxfId="384" priority="385" stopIfTrue="1">
      <formula>$F106="無"</formula>
    </cfRule>
  </conditionalFormatting>
  <conditionalFormatting sqref="S106">
    <cfRule type="expression" dxfId="383" priority="384" stopIfTrue="1">
      <formula>$F106="無"</formula>
    </cfRule>
  </conditionalFormatting>
  <conditionalFormatting sqref="S106">
    <cfRule type="expression" dxfId="382" priority="383" stopIfTrue="1">
      <formula>$F106="無"</formula>
    </cfRule>
  </conditionalFormatting>
  <conditionalFormatting sqref="S106">
    <cfRule type="expression" dxfId="381" priority="382" stopIfTrue="1">
      <formula>$F106="無"</formula>
    </cfRule>
  </conditionalFormatting>
  <conditionalFormatting sqref="S106">
    <cfRule type="expression" dxfId="380" priority="381" stopIfTrue="1">
      <formula>$F106="無"</formula>
    </cfRule>
  </conditionalFormatting>
  <conditionalFormatting sqref="S106">
    <cfRule type="expression" dxfId="379" priority="380" stopIfTrue="1">
      <formula>$F106="無"</formula>
    </cfRule>
  </conditionalFormatting>
  <conditionalFormatting sqref="S106">
    <cfRule type="expression" dxfId="378" priority="379" stopIfTrue="1">
      <formula>$F106="無"</formula>
    </cfRule>
  </conditionalFormatting>
  <conditionalFormatting sqref="S106">
    <cfRule type="expression" dxfId="377" priority="378" stopIfTrue="1">
      <formula>$F106="無"</formula>
    </cfRule>
  </conditionalFormatting>
  <conditionalFormatting sqref="S106">
    <cfRule type="expression" dxfId="376" priority="377" stopIfTrue="1">
      <formula>$F106="無"</formula>
    </cfRule>
  </conditionalFormatting>
  <conditionalFormatting sqref="S106">
    <cfRule type="expression" dxfId="375" priority="376" stopIfTrue="1">
      <formula>$F106="無"</formula>
    </cfRule>
  </conditionalFormatting>
  <conditionalFormatting sqref="S106">
    <cfRule type="expression" dxfId="374" priority="375" stopIfTrue="1">
      <formula>$F106="無"</formula>
    </cfRule>
  </conditionalFormatting>
  <conditionalFormatting sqref="S106">
    <cfRule type="expression" dxfId="373" priority="374" stopIfTrue="1">
      <formula>$F106="無"</formula>
    </cfRule>
  </conditionalFormatting>
  <conditionalFormatting sqref="S106">
    <cfRule type="expression" dxfId="372" priority="373" stopIfTrue="1">
      <formula>$F106="無"</formula>
    </cfRule>
  </conditionalFormatting>
  <conditionalFormatting sqref="S106">
    <cfRule type="expression" dxfId="371" priority="372" stopIfTrue="1">
      <formula>$F106="無"</formula>
    </cfRule>
  </conditionalFormatting>
  <conditionalFormatting sqref="S106">
    <cfRule type="expression" dxfId="370" priority="371" stopIfTrue="1">
      <formula>$F106="無"</formula>
    </cfRule>
  </conditionalFormatting>
  <conditionalFormatting sqref="S106">
    <cfRule type="expression" dxfId="369" priority="370" stopIfTrue="1">
      <formula>$F106="無"</formula>
    </cfRule>
  </conditionalFormatting>
  <conditionalFormatting sqref="S106">
    <cfRule type="expression" dxfId="368" priority="369" stopIfTrue="1">
      <formula>$F106="無"</formula>
    </cfRule>
  </conditionalFormatting>
  <conditionalFormatting sqref="S106">
    <cfRule type="expression" dxfId="367" priority="368" stopIfTrue="1">
      <formula>$F106="無"</formula>
    </cfRule>
  </conditionalFormatting>
  <conditionalFormatting sqref="S106">
    <cfRule type="expression" dxfId="366" priority="367" stopIfTrue="1">
      <formula>$F106="無"</formula>
    </cfRule>
  </conditionalFormatting>
  <conditionalFormatting sqref="S106">
    <cfRule type="expression" dxfId="365" priority="366" stopIfTrue="1">
      <formula>$F106="無"</formula>
    </cfRule>
  </conditionalFormatting>
  <conditionalFormatting sqref="S106">
    <cfRule type="expression" dxfId="364" priority="365" stopIfTrue="1">
      <formula>$F106="無"</formula>
    </cfRule>
  </conditionalFormatting>
  <conditionalFormatting sqref="S106">
    <cfRule type="expression" dxfId="363" priority="364" stopIfTrue="1">
      <formula>$F106="無"</formula>
    </cfRule>
  </conditionalFormatting>
  <conditionalFormatting sqref="S106">
    <cfRule type="expression" dxfId="362" priority="363" stopIfTrue="1">
      <formula>$F106="無"</formula>
    </cfRule>
  </conditionalFormatting>
  <conditionalFormatting sqref="S106">
    <cfRule type="expression" dxfId="361" priority="362" stopIfTrue="1">
      <formula>$F106="無"</formula>
    </cfRule>
  </conditionalFormatting>
  <conditionalFormatting sqref="S106">
    <cfRule type="expression" dxfId="360" priority="361" stopIfTrue="1">
      <formula>$F106="無"</formula>
    </cfRule>
  </conditionalFormatting>
  <conditionalFormatting sqref="S106">
    <cfRule type="expression" dxfId="359" priority="360" stopIfTrue="1">
      <formula>$F106="無"</formula>
    </cfRule>
  </conditionalFormatting>
  <conditionalFormatting sqref="S106">
    <cfRule type="expression" dxfId="358" priority="359" stopIfTrue="1">
      <formula>$F106="無"</formula>
    </cfRule>
  </conditionalFormatting>
  <conditionalFormatting sqref="S106">
    <cfRule type="expression" dxfId="357" priority="358" stopIfTrue="1">
      <formula>$F106="無"</formula>
    </cfRule>
  </conditionalFormatting>
  <conditionalFormatting sqref="S106">
    <cfRule type="expression" dxfId="356" priority="357" stopIfTrue="1">
      <formula>$F106="無"</formula>
    </cfRule>
  </conditionalFormatting>
  <conditionalFormatting sqref="S106">
    <cfRule type="expression" dxfId="355" priority="356" stopIfTrue="1">
      <formula>$F106="無"</formula>
    </cfRule>
  </conditionalFormatting>
  <conditionalFormatting sqref="S106">
    <cfRule type="expression" dxfId="354" priority="355" stopIfTrue="1">
      <formula>$F106="無"</formula>
    </cfRule>
  </conditionalFormatting>
  <conditionalFormatting sqref="S106">
    <cfRule type="expression" dxfId="353" priority="354" stopIfTrue="1">
      <formula>$F106="無"</formula>
    </cfRule>
  </conditionalFormatting>
  <conditionalFormatting sqref="S106">
    <cfRule type="expression" dxfId="352" priority="353" stopIfTrue="1">
      <formula>$F106="無"</formula>
    </cfRule>
  </conditionalFormatting>
  <conditionalFormatting sqref="S106">
    <cfRule type="expression" dxfId="351" priority="352" stopIfTrue="1">
      <formula>$F106="無"</formula>
    </cfRule>
  </conditionalFormatting>
  <conditionalFormatting sqref="S106">
    <cfRule type="expression" dxfId="350" priority="351" stopIfTrue="1">
      <formula>$F106="無"</formula>
    </cfRule>
  </conditionalFormatting>
  <conditionalFormatting sqref="S106">
    <cfRule type="expression" dxfId="349" priority="350" stopIfTrue="1">
      <formula>$F106="無"</formula>
    </cfRule>
  </conditionalFormatting>
  <conditionalFormatting sqref="S106">
    <cfRule type="expression" dxfId="348" priority="349" stopIfTrue="1">
      <formula>$F106="無"</formula>
    </cfRule>
  </conditionalFormatting>
  <conditionalFormatting sqref="S106">
    <cfRule type="expression" dxfId="347" priority="348" stopIfTrue="1">
      <formula>$F106="無"</formula>
    </cfRule>
  </conditionalFormatting>
  <conditionalFormatting sqref="S106">
    <cfRule type="expression" dxfId="346" priority="347" stopIfTrue="1">
      <formula>$F106="無"</formula>
    </cfRule>
  </conditionalFormatting>
  <conditionalFormatting sqref="S106">
    <cfRule type="expression" dxfId="345" priority="346" stopIfTrue="1">
      <formula>$F106="無"</formula>
    </cfRule>
  </conditionalFormatting>
  <conditionalFormatting sqref="S106">
    <cfRule type="expression" dxfId="344" priority="345" stopIfTrue="1">
      <formula>$F106="無"</formula>
    </cfRule>
  </conditionalFormatting>
  <conditionalFormatting sqref="S106">
    <cfRule type="expression" dxfId="343" priority="344" stopIfTrue="1">
      <formula>$F106="無"</formula>
    </cfRule>
  </conditionalFormatting>
  <conditionalFormatting sqref="S106">
    <cfRule type="expression" dxfId="342" priority="343" stopIfTrue="1">
      <formula>$F106="無"</formula>
    </cfRule>
  </conditionalFormatting>
  <conditionalFormatting sqref="S106">
    <cfRule type="expression" dxfId="341" priority="342" stopIfTrue="1">
      <formula>$F106="無"</formula>
    </cfRule>
  </conditionalFormatting>
  <conditionalFormatting sqref="S106">
    <cfRule type="expression" dxfId="340" priority="341" stopIfTrue="1">
      <formula>$F106="無"</formula>
    </cfRule>
  </conditionalFormatting>
  <conditionalFormatting sqref="S106">
    <cfRule type="expression" dxfId="339" priority="340" stopIfTrue="1">
      <formula>$F106="無"</formula>
    </cfRule>
  </conditionalFormatting>
  <conditionalFormatting sqref="S106">
    <cfRule type="expression" dxfId="338" priority="339" stopIfTrue="1">
      <formula>$F106="無"</formula>
    </cfRule>
  </conditionalFormatting>
  <conditionalFormatting sqref="S106">
    <cfRule type="expression" dxfId="337" priority="338" stopIfTrue="1">
      <formula>$F106="無"</formula>
    </cfRule>
  </conditionalFormatting>
  <conditionalFormatting sqref="S106">
    <cfRule type="expression" dxfId="336" priority="337" stopIfTrue="1">
      <formula>$F106="無"</formula>
    </cfRule>
  </conditionalFormatting>
  <conditionalFormatting sqref="U106">
    <cfRule type="expression" dxfId="335" priority="336" stopIfTrue="1">
      <formula>$F106="無"</formula>
    </cfRule>
  </conditionalFormatting>
  <conditionalFormatting sqref="U106">
    <cfRule type="expression" dxfId="334" priority="335" stopIfTrue="1">
      <formula>$F106="無"</formula>
    </cfRule>
  </conditionalFormatting>
  <conditionalFormatting sqref="U106">
    <cfRule type="expression" dxfId="333" priority="334" stopIfTrue="1">
      <formula>$F106="無"</formula>
    </cfRule>
  </conditionalFormatting>
  <conditionalFormatting sqref="U106">
    <cfRule type="expression" dxfId="332" priority="333" stopIfTrue="1">
      <formula>$F106="無"</formula>
    </cfRule>
  </conditionalFormatting>
  <conditionalFormatting sqref="U106">
    <cfRule type="expression" dxfId="331" priority="332" stopIfTrue="1">
      <formula>$F106="無"</formula>
    </cfRule>
  </conditionalFormatting>
  <conditionalFormatting sqref="U106">
    <cfRule type="expression" dxfId="330" priority="331" stopIfTrue="1">
      <formula>$F106="無"</formula>
    </cfRule>
  </conditionalFormatting>
  <conditionalFormatting sqref="U106">
    <cfRule type="expression" dxfId="329" priority="330" stopIfTrue="1">
      <formula>$F106="無"</formula>
    </cfRule>
  </conditionalFormatting>
  <conditionalFormatting sqref="U106">
    <cfRule type="expression" dxfId="328" priority="329" stopIfTrue="1">
      <formula>$F106="無"</formula>
    </cfRule>
  </conditionalFormatting>
  <conditionalFormatting sqref="U106">
    <cfRule type="expression" dxfId="327" priority="328" stopIfTrue="1">
      <formula>$F106="無"</formula>
    </cfRule>
  </conditionalFormatting>
  <conditionalFormatting sqref="U106">
    <cfRule type="expression" dxfId="326" priority="327" stopIfTrue="1">
      <formula>$F106="無"</formula>
    </cfRule>
  </conditionalFormatting>
  <conditionalFormatting sqref="U106">
    <cfRule type="expression" dxfId="325" priority="326" stopIfTrue="1">
      <formula>$F106="無"</formula>
    </cfRule>
  </conditionalFormatting>
  <conditionalFormatting sqref="U106">
    <cfRule type="expression" dxfId="324" priority="325" stopIfTrue="1">
      <formula>$F106="無"</formula>
    </cfRule>
  </conditionalFormatting>
  <conditionalFormatting sqref="U106">
    <cfRule type="expression" dxfId="323" priority="324" stopIfTrue="1">
      <formula>$F106="無"</formula>
    </cfRule>
  </conditionalFormatting>
  <conditionalFormatting sqref="U106">
    <cfRule type="expression" dxfId="322" priority="323" stopIfTrue="1">
      <formula>$F106="無"</formula>
    </cfRule>
  </conditionalFormatting>
  <conditionalFormatting sqref="U106">
    <cfRule type="expression" dxfId="321" priority="322" stopIfTrue="1">
      <formula>$F106="無"</formula>
    </cfRule>
  </conditionalFormatting>
  <conditionalFormatting sqref="U106">
    <cfRule type="expression" dxfId="320" priority="321" stopIfTrue="1">
      <formula>$F106="無"</formula>
    </cfRule>
  </conditionalFormatting>
  <conditionalFormatting sqref="U106">
    <cfRule type="expression" dxfId="319" priority="320" stopIfTrue="1">
      <formula>$F106="無"</formula>
    </cfRule>
  </conditionalFormatting>
  <conditionalFormatting sqref="U106">
    <cfRule type="expression" dxfId="318" priority="319" stopIfTrue="1">
      <formula>$F106="無"</formula>
    </cfRule>
  </conditionalFormatting>
  <conditionalFormatting sqref="U106">
    <cfRule type="expression" dxfId="317" priority="318" stopIfTrue="1">
      <formula>$F106="無"</formula>
    </cfRule>
  </conditionalFormatting>
  <conditionalFormatting sqref="U106">
    <cfRule type="expression" dxfId="316" priority="317" stopIfTrue="1">
      <formula>$F106="無"</formula>
    </cfRule>
  </conditionalFormatting>
  <conditionalFormatting sqref="U106">
    <cfRule type="expression" dxfId="315" priority="316" stopIfTrue="1">
      <formula>$F106="無"</formula>
    </cfRule>
  </conditionalFormatting>
  <conditionalFormatting sqref="U106">
    <cfRule type="expression" dxfId="314" priority="315" stopIfTrue="1">
      <formula>$F106="無"</formula>
    </cfRule>
  </conditionalFormatting>
  <conditionalFormatting sqref="U106">
    <cfRule type="expression" dxfId="313" priority="314" stopIfTrue="1">
      <formula>$F106="無"</formula>
    </cfRule>
  </conditionalFormatting>
  <conditionalFormatting sqref="U106">
    <cfRule type="expression" dxfId="312" priority="313" stopIfTrue="1">
      <formula>$F106="無"</formula>
    </cfRule>
  </conditionalFormatting>
  <conditionalFormatting sqref="U106">
    <cfRule type="expression" dxfId="311" priority="312" stopIfTrue="1">
      <formula>$F106="無"</formula>
    </cfRule>
  </conditionalFormatting>
  <conditionalFormatting sqref="U106">
    <cfRule type="expression" dxfId="310" priority="311" stopIfTrue="1">
      <formula>$F106="無"</formula>
    </cfRule>
  </conditionalFormatting>
  <conditionalFormatting sqref="U106">
    <cfRule type="expression" dxfId="309" priority="310" stopIfTrue="1">
      <formula>$F106="無"</formula>
    </cfRule>
  </conditionalFormatting>
  <conditionalFormatting sqref="U106">
    <cfRule type="expression" dxfId="308" priority="309" stopIfTrue="1">
      <formula>$F106="無"</formula>
    </cfRule>
  </conditionalFormatting>
  <conditionalFormatting sqref="U106">
    <cfRule type="expression" dxfId="307" priority="308" stopIfTrue="1">
      <formula>$F106="無"</formula>
    </cfRule>
  </conditionalFormatting>
  <conditionalFormatting sqref="U106">
    <cfRule type="expression" dxfId="306" priority="307" stopIfTrue="1">
      <formula>$F106="無"</formula>
    </cfRule>
  </conditionalFormatting>
  <conditionalFormatting sqref="U106">
    <cfRule type="expression" dxfId="305" priority="306" stopIfTrue="1">
      <formula>$F106="無"</formula>
    </cfRule>
  </conditionalFormatting>
  <conditionalFormatting sqref="U106">
    <cfRule type="expression" dxfId="304" priority="305" stopIfTrue="1">
      <formula>$F106="無"</formula>
    </cfRule>
  </conditionalFormatting>
  <conditionalFormatting sqref="U106">
    <cfRule type="expression" dxfId="303" priority="304" stopIfTrue="1">
      <formula>$F106="無"</formula>
    </cfRule>
  </conditionalFormatting>
  <conditionalFormatting sqref="U106">
    <cfRule type="expression" dxfId="302" priority="303" stopIfTrue="1">
      <formula>$F106="無"</formula>
    </cfRule>
  </conditionalFormatting>
  <conditionalFormatting sqref="U106">
    <cfRule type="expression" dxfId="301" priority="302" stopIfTrue="1">
      <formula>$F106="無"</formula>
    </cfRule>
  </conditionalFormatting>
  <conditionalFormatting sqref="U106">
    <cfRule type="expression" dxfId="300" priority="301" stopIfTrue="1">
      <formula>$F106="無"</formula>
    </cfRule>
  </conditionalFormatting>
  <conditionalFormatting sqref="U106">
    <cfRule type="expression" dxfId="299" priority="300" stopIfTrue="1">
      <formula>$F106="無"</formula>
    </cfRule>
  </conditionalFormatting>
  <conditionalFormatting sqref="U106">
    <cfRule type="expression" dxfId="298" priority="299" stopIfTrue="1">
      <formula>$F106="無"</formula>
    </cfRule>
  </conditionalFormatting>
  <conditionalFormatting sqref="U106">
    <cfRule type="expression" dxfId="297" priority="298" stopIfTrue="1">
      <formula>$F106="無"</formula>
    </cfRule>
  </conditionalFormatting>
  <conditionalFormatting sqref="U106">
    <cfRule type="expression" dxfId="296" priority="297" stopIfTrue="1">
      <formula>$F106="無"</formula>
    </cfRule>
  </conditionalFormatting>
  <conditionalFormatting sqref="U106">
    <cfRule type="expression" dxfId="295" priority="296" stopIfTrue="1">
      <formula>$F106="無"</formula>
    </cfRule>
  </conditionalFormatting>
  <conditionalFormatting sqref="U106">
    <cfRule type="expression" dxfId="294" priority="295" stopIfTrue="1">
      <formula>$F106="無"</formula>
    </cfRule>
  </conditionalFormatting>
  <conditionalFormatting sqref="U106">
    <cfRule type="expression" dxfId="293" priority="294" stopIfTrue="1">
      <formula>$F106="無"</formula>
    </cfRule>
  </conditionalFormatting>
  <conditionalFormatting sqref="U106">
    <cfRule type="expression" dxfId="292" priority="293" stopIfTrue="1">
      <formula>$F106="無"</formula>
    </cfRule>
  </conditionalFormatting>
  <conditionalFormatting sqref="U106">
    <cfRule type="expression" dxfId="291" priority="292" stopIfTrue="1">
      <formula>$F106="無"</formula>
    </cfRule>
  </conditionalFormatting>
  <conditionalFormatting sqref="U106">
    <cfRule type="expression" dxfId="290" priority="291" stopIfTrue="1">
      <formula>$F106="無"</formula>
    </cfRule>
  </conditionalFormatting>
  <conditionalFormatting sqref="U106">
    <cfRule type="expression" dxfId="289" priority="290" stopIfTrue="1">
      <formula>$F106="無"</formula>
    </cfRule>
  </conditionalFormatting>
  <conditionalFormatting sqref="U106">
    <cfRule type="expression" dxfId="288" priority="289" stopIfTrue="1">
      <formula>$F106="無"</formula>
    </cfRule>
  </conditionalFormatting>
  <conditionalFormatting sqref="U106">
    <cfRule type="expression" dxfId="287" priority="288" stopIfTrue="1">
      <formula>$F106="無"</formula>
    </cfRule>
  </conditionalFormatting>
  <conditionalFormatting sqref="U106">
    <cfRule type="expression" dxfId="286" priority="287" stopIfTrue="1">
      <formula>$F106="無"</formula>
    </cfRule>
  </conditionalFormatting>
  <conditionalFormatting sqref="U106">
    <cfRule type="expression" dxfId="285" priority="286" stopIfTrue="1">
      <formula>$F106="無"</formula>
    </cfRule>
  </conditionalFormatting>
  <conditionalFormatting sqref="U106">
    <cfRule type="expression" dxfId="284" priority="285" stopIfTrue="1">
      <formula>$F106="無"</formula>
    </cfRule>
  </conditionalFormatting>
  <conditionalFormatting sqref="U106">
    <cfRule type="expression" dxfId="283" priority="284" stopIfTrue="1">
      <formula>$F106="無"</formula>
    </cfRule>
  </conditionalFormatting>
  <conditionalFormatting sqref="U106">
    <cfRule type="expression" dxfId="282" priority="283" stopIfTrue="1">
      <formula>$F106="無"</formula>
    </cfRule>
  </conditionalFormatting>
  <conditionalFormatting sqref="U106">
    <cfRule type="expression" dxfId="281" priority="282" stopIfTrue="1">
      <formula>$F106="無"</formula>
    </cfRule>
  </conditionalFormatting>
  <conditionalFormatting sqref="U106">
    <cfRule type="expression" dxfId="280" priority="281" stopIfTrue="1">
      <formula>$F106="無"</formula>
    </cfRule>
  </conditionalFormatting>
  <conditionalFormatting sqref="U106">
    <cfRule type="expression" dxfId="279" priority="280" stopIfTrue="1">
      <formula>$F106="無"</formula>
    </cfRule>
  </conditionalFormatting>
  <conditionalFormatting sqref="U106">
    <cfRule type="expression" dxfId="278" priority="279" stopIfTrue="1">
      <formula>$F106="無"</formula>
    </cfRule>
  </conditionalFormatting>
  <conditionalFormatting sqref="U106">
    <cfRule type="expression" dxfId="277" priority="278" stopIfTrue="1">
      <formula>$F106="無"</formula>
    </cfRule>
  </conditionalFormatting>
  <conditionalFormatting sqref="U106">
    <cfRule type="expression" dxfId="276" priority="277" stopIfTrue="1">
      <formula>$F106="無"</formula>
    </cfRule>
  </conditionalFormatting>
  <conditionalFormatting sqref="U106">
    <cfRule type="expression" dxfId="275" priority="276" stopIfTrue="1">
      <formula>$F106="無"</formula>
    </cfRule>
  </conditionalFormatting>
  <conditionalFormatting sqref="U106">
    <cfRule type="expression" dxfId="274" priority="275" stopIfTrue="1">
      <formula>$F106="無"</formula>
    </cfRule>
  </conditionalFormatting>
  <conditionalFormatting sqref="U106">
    <cfRule type="expression" dxfId="273" priority="274" stopIfTrue="1">
      <formula>$F106="無"</formula>
    </cfRule>
  </conditionalFormatting>
  <conditionalFormatting sqref="U106">
    <cfRule type="expression" dxfId="272" priority="273" stopIfTrue="1">
      <formula>$F106="無"</formula>
    </cfRule>
  </conditionalFormatting>
  <conditionalFormatting sqref="U106">
    <cfRule type="expression" dxfId="271" priority="272" stopIfTrue="1">
      <formula>$F106="無"</formula>
    </cfRule>
  </conditionalFormatting>
  <conditionalFormatting sqref="U106">
    <cfRule type="expression" dxfId="270" priority="271" stopIfTrue="1">
      <formula>$F106="無"</formula>
    </cfRule>
  </conditionalFormatting>
  <conditionalFormatting sqref="U106">
    <cfRule type="expression" dxfId="269" priority="270" stopIfTrue="1">
      <formula>$F106="無"</formula>
    </cfRule>
  </conditionalFormatting>
  <conditionalFormatting sqref="U106">
    <cfRule type="expression" dxfId="268" priority="269" stopIfTrue="1">
      <formula>$F106="無"</formula>
    </cfRule>
  </conditionalFormatting>
  <conditionalFormatting sqref="U106">
    <cfRule type="expression" dxfId="267" priority="268" stopIfTrue="1">
      <formula>$F106="無"</formula>
    </cfRule>
  </conditionalFormatting>
  <conditionalFormatting sqref="U106">
    <cfRule type="expression" dxfId="266" priority="267" stopIfTrue="1">
      <formula>$F106="無"</formula>
    </cfRule>
  </conditionalFormatting>
  <conditionalFormatting sqref="U106">
    <cfRule type="expression" dxfId="265" priority="266" stopIfTrue="1">
      <formula>$F106="無"</formula>
    </cfRule>
  </conditionalFormatting>
  <conditionalFormatting sqref="U106">
    <cfRule type="expression" dxfId="264" priority="265" stopIfTrue="1">
      <formula>$F106="無"</formula>
    </cfRule>
  </conditionalFormatting>
  <conditionalFormatting sqref="U106">
    <cfRule type="expression" dxfId="263" priority="264" stopIfTrue="1">
      <formula>$F106="無"</formula>
    </cfRule>
  </conditionalFormatting>
  <conditionalFormatting sqref="U106">
    <cfRule type="expression" dxfId="262" priority="263" stopIfTrue="1">
      <formula>$F106="無"</formula>
    </cfRule>
  </conditionalFormatting>
  <conditionalFormatting sqref="U106">
    <cfRule type="expression" dxfId="261" priority="262" stopIfTrue="1">
      <formula>$F106="無"</formula>
    </cfRule>
  </conditionalFormatting>
  <conditionalFormatting sqref="U106">
    <cfRule type="expression" dxfId="260" priority="261" stopIfTrue="1">
      <formula>$F106="無"</formula>
    </cfRule>
  </conditionalFormatting>
  <conditionalFormatting sqref="U106">
    <cfRule type="expression" dxfId="259" priority="260" stopIfTrue="1">
      <formula>$F106="無"</formula>
    </cfRule>
  </conditionalFormatting>
  <conditionalFormatting sqref="U106">
    <cfRule type="expression" dxfId="258" priority="259" stopIfTrue="1">
      <formula>$F106="無"</formula>
    </cfRule>
  </conditionalFormatting>
  <conditionalFormatting sqref="U106">
    <cfRule type="expression" dxfId="257" priority="258" stopIfTrue="1">
      <formula>$F106="無"</formula>
    </cfRule>
  </conditionalFormatting>
  <conditionalFormatting sqref="U106">
    <cfRule type="expression" dxfId="256" priority="257" stopIfTrue="1">
      <formula>$F106="無"</formula>
    </cfRule>
  </conditionalFormatting>
  <conditionalFormatting sqref="U106">
    <cfRule type="expression" dxfId="255" priority="256" stopIfTrue="1">
      <formula>$F106="無"</formula>
    </cfRule>
  </conditionalFormatting>
  <conditionalFormatting sqref="U106">
    <cfRule type="expression" dxfId="254" priority="255" stopIfTrue="1">
      <formula>$F106="無"</formula>
    </cfRule>
  </conditionalFormatting>
  <conditionalFormatting sqref="U106">
    <cfRule type="expression" dxfId="253" priority="254" stopIfTrue="1">
      <formula>$F106="無"</formula>
    </cfRule>
  </conditionalFormatting>
  <conditionalFormatting sqref="U106">
    <cfRule type="expression" dxfId="252" priority="253" stopIfTrue="1">
      <formula>$F106="無"</formula>
    </cfRule>
  </conditionalFormatting>
  <conditionalFormatting sqref="U106">
    <cfRule type="expression" dxfId="251" priority="252" stopIfTrue="1">
      <formula>$F106="無"</formula>
    </cfRule>
  </conditionalFormatting>
  <conditionalFormatting sqref="U106">
    <cfRule type="expression" dxfId="250" priority="251" stopIfTrue="1">
      <formula>$F106="無"</formula>
    </cfRule>
  </conditionalFormatting>
  <conditionalFormatting sqref="U106">
    <cfRule type="expression" dxfId="249" priority="250" stopIfTrue="1">
      <formula>$F106="無"</formula>
    </cfRule>
  </conditionalFormatting>
  <conditionalFormatting sqref="U106">
    <cfRule type="expression" dxfId="248" priority="249" stopIfTrue="1">
      <formula>$F106="無"</formula>
    </cfRule>
  </conditionalFormatting>
  <conditionalFormatting sqref="U106">
    <cfRule type="expression" dxfId="247" priority="248" stopIfTrue="1">
      <formula>$F106="無"</formula>
    </cfRule>
  </conditionalFormatting>
  <conditionalFormatting sqref="U106">
    <cfRule type="expression" dxfId="246" priority="247" stopIfTrue="1">
      <formula>$F106="無"</formula>
    </cfRule>
  </conditionalFormatting>
  <conditionalFormatting sqref="U106">
    <cfRule type="expression" dxfId="245" priority="246" stopIfTrue="1">
      <formula>$F106="無"</formula>
    </cfRule>
  </conditionalFormatting>
  <conditionalFormatting sqref="U106">
    <cfRule type="expression" dxfId="244" priority="245" stopIfTrue="1">
      <formula>$F106="無"</formula>
    </cfRule>
  </conditionalFormatting>
  <conditionalFormatting sqref="U106">
    <cfRule type="expression" dxfId="243" priority="244" stopIfTrue="1">
      <formula>$F106="無"</formula>
    </cfRule>
  </conditionalFormatting>
  <conditionalFormatting sqref="U106">
    <cfRule type="expression" dxfId="242" priority="243" stopIfTrue="1">
      <formula>$F106="無"</formula>
    </cfRule>
  </conditionalFormatting>
  <conditionalFormatting sqref="U106">
    <cfRule type="expression" dxfId="241" priority="242" stopIfTrue="1">
      <formula>$F106="無"</formula>
    </cfRule>
  </conditionalFormatting>
  <conditionalFormatting sqref="U106">
    <cfRule type="expression" dxfId="240" priority="241" stopIfTrue="1">
      <formula>$F106="無"</formula>
    </cfRule>
  </conditionalFormatting>
  <conditionalFormatting sqref="U106">
    <cfRule type="expression" dxfId="239" priority="240" stopIfTrue="1">
      <formula>$F106="無"</formula>
    </cfRule>
  </conditionalFormatting>
  <conditionalFormatting sqref="U106">
    <cfRule type="expression" dxfId="238" priority="239" stopIfTrue="1">
      <formula>$F106="無"</formula>
    </cfRule>
  </conditionalFormatting>
  <conditionalFormatting sqref="U106">
    <cfRule type="expression" dxfId="237" priority="238" stopIfTrue="1">
      <formula>$F106="無"</formula>
    </cfRule>
  </conditionalFormatting>
  <conditionalFormatting sqref="U106">
    <cfRule type="expression" dxfId="236" priority="237" stopIfTrue="1">
      <formula>$F106="無"</formula>
    </cfRule>
  </conditionalFormatting>
  <conditionalFormatting sqref="U106">
    <cfRule type="expression" dxfId="235" priority="236" stopIfTrue="1">
      <formula>$F106="無"</formula>
    </cfRule>
  </conditionalFormatting>
  <conditionalFormatting sqref="U106">
    <cfRule type="expression" dxfId="234" priority="235" stopIfTrue="1">
      <formula>$F106="無"</formula>
    </cfRule>
  </conditionalFormatting>
  <conditionalFormatting sqref="U106">
    <cfRule type="expression" dxfId="233" priority="234" stopIfTrue="1">
      <formula>$F106="無"</formula>
    </cfRule>
  </conditionalFormatting>
  <conditionalFormatting sqref="U106">
    <cfRule type="expression" dxfId="232" priority="233" stopIfTrue="1">
      <formula>$F106="無"</formula>
    </cfRule>
  </conditionalFormatting>
  <conditionalFormatting sqref="U106">
    <cfRule type="expression" dxfId="231" priority="232" stopIfTrue="1">
      <formula>$F106="無"</formula>
    </cfRule>
  </conditionalFormatting>
  <conditionalFormatting sqref="U106">
    <cfRule type="expression" dxfId="230" priority="231" stopIfTrue="1">
      <formula>$F106="無"</formula>
    </cfRule>
  </conditionalFormatting>
  <conditionalFormatting sqref="U106">
    <cfRule type="expression" dxfId="229" priority="230" stopIfTrue="1">
      <formula>$F106="無"</formula>
    </cfRule>
  </conditionalFormatting>
  <conditionalFormatting sqref="U106">
    <cfRule type="expression" dxfId="228" priority="229" stopIfTrue="1">
      <formula>$F106="無"</formula>
    </cfRule>
  </conditionalFormatting>
  <conditionalFormatting sqref="U106">
    <cfRule type="expression" dxfId="227" priority="228" stopIfTrue="1">
      <formula>$F106="無"</formula>
    </cfRule>
  </conditionalFormatting>
  <conditionalFormatting sqref="U106">
    <cfRule type="expression" dxfId="226" priority="227" stopIfTrue="1">
      <formula>$F106="無"</formula>
    </cfRule>
  </conditionalFormatting>
  <conditionalFormatting sqref="U106">
    <cfRule type="expression" dxfId="225" priority="226" stopIfTrue="1">
      <formula>$F106="無"</formula>
    </cfRule>
  </conditionalFormatting>
  <conditionalFormatting sqref="U106">
    <cfRule type="expression" dxfId="224" priority="225" stopIfTrue="1">
      <formula>$F106="無"</formula>
    </cfRule>
  </conditionalFormatting>
  <conditionalFormatting sqref="U106">
    <cfRule type="expression" dxfId="223" priority="224" stopIfTrue="1">
      <formula>$F106="無"</formula>
    </cfRule>
  </conditionalFormatting>
  <conditionalFormatting sqref="U106">
    <cfRule type="expression" dxfId="222" priority="223" stopIfTrue="1">
      <formula>$F106="無"</formula>
    </cfRule>
  </conditionalFormatting>
  <conditionalFormatting sqref="U106">
    <cfRule type="expression" dxfId="221" priority="222" stopIfTrue="1">
      <formula>$F106="無"</formula>
    </cfRule>
  </conditionalFormatting>
  <conditionalFormatting sqref="U106">
    <cfRule type="expression" dxfId="220" priority="221" stopIfTrue="1">
      <formula>$F106="無"</formula>
    </cfRule>
  </conditionalFormatting>
  <conditionalFormatting sqref="U106">
    <cfRule type="expression" dxfId="219" priority="220" stopIfTrue="1">
      <formula>$F106="無"</formula>
    </cfRule>
  </conditionalFormatting>
  <conditionalFormatting sqref="U106">
    <cfRule type="expression" dxfId="218" priority="219" stopIfTrue="1">
      <formula>$F106="無"</formula>
    </cfRule>
  </conditionalFormatting>
  <conditionalFormatting sqref="U106">
    <cfRule type="expression" dxfId="217" priority="218" stopIfTrue="1">
      <formula>$F106="無"</formula>
    </cfRule>
  </conditionalFormatting>
  <conditionalFormatting sqref="U106">
    <cfRule type="expression" dxfId="216" priority="217" stopIfTrue="1">
      <formula>$F106="無"</formula>
    </cfRule>
  </conditionalFormatting>
  <conditionalFormatting sqref="U106">
    <cfRule type="expression" dxfId="215" priority="216" stopIfTrue="1">
      <formula>$F106="無"</formula>
    </cfRule>
  </conditionalFormatting>
  <conditionalFormatting sqref="U106">
    <cfRule type="expression" dxfId="214" priority="215" stopIfTrue="1">
      <formula>$F106="無"</formula>
    </cfRule>
  </conditionalFormatting>
  <conditionalFormatting sqref="U106">
    <cfRule type="expression" dxfId="213" priority="214" stopIfTrue="1">
      <formula>$F106="無"</formula>
    </cfRule>
  </conditionalFormatting>
  <conditionalFormatting sqref="U106">
    <cfRule type="expression" dxfId="212" priority="213" stopIfTrue="1">
      <formula>$F106="無"</formula>
    </cfRule>
  </conditionalFormatting>
  <conditionalFormatting sqref="U106">
    <cfRule type="expression" dxfId="211" priority="212" stopIfTrue="1">
      <formula>$F106="無"</formula>
    </cfRule>
  </conditionalFormatting>
  <conditionalFormatting sqref="U106">
    <cfRule type="expression" dxfId="210" priority="211" stopIfTrue="1">
      <formula>$F106="無"</formula>
    </cfRule>
  </conditionalFormatting>
  <conditionalFormatting sqref="U106">
    <cfRule type="expression" dxfId="209" priority="210" stopIfTrue="1">
      <formula>$F106="無"</formula>
    </cfRule>
  </conditionalFormatting>
  <conditionalFormatting sqref="U106">
    <cfRule type="expression" dxfId="208" priority="209" stopIfTrue="1">
      <formula>$F106="無"</formula>
    </cfRule>
  </conditionalFormatting>
  <conditionalFormatting sqref="U106">
    <cfRule type="expression" dxfId="207" priority="208" stopIfTrue="1">
      <formula>$F106="無"</formula>
    </cfRule>
  </conditionalFormatting>
  <conditionalFormatting sqref="U106">
    <cfRule type="expression" dxfId="206" priority="207" stopIfTrue="1">
      <formula>$F106="無"</formula>
    </cfRule>
  </conditionalFormatting>
  <conditionalFormatting sqref="U106">
    <cfRule type="expression" dxfId="205" priority="206" stopIfTrue="1">
      <formula>$F106="無"</formula>
    </cfRule>
  </conditionalFormatting>
  <conditionalFormatting sqref="U106">
    <cfRule type="expression" dxfId="204" priority="205" stopIfTrue="1">
      <formula>$F106="無"</formula>
    </cfRule>
  </conditionalFormatting>
  <conditionalFormatting sqref="U106">
    <cfRule type="expression" dxfId="203" priority="204" stopIfTrue="1">
      <formula>$F106="無"</formula>
    </cfRule>
  </conditionalFormatting>
  <conditionalFormatting sqref="U106">
    <cfRule type="expression" dxfId="202" priority="203" stopIfTrue="1">
      <formula>$F106="無"</formula>
    </cfRule>
  </conditionalFormatting>
  <conditionalFormatting sqref="U106">
    <cfRule type="expression" dxfId="201" priority="202" stopIfTrue="1">
      <formula>$F106="無"</formula>
    </cfRule>
  </conditionalFormatting>
  <conditionalFormatting sqref="U106">
    <cfRule type="expression" dxfId="200" priority="201" stopIfTrue="1">
      <formula>$F106="無"</formula>
    </cfRule>
  </conditionalFormatting>
  <conditionalFormatting sqref="U106">
    <cfRule type="expression" dxfId="199" priority="200" stopIfTrue="1">
      <formula>$F106="無"</formula>
    </cfRule>
  </conditionalFormatting>
  <conditionalFormatting sqref="U106">
    <cfRule type="expression" dxfId="198" priority="199" stopIfTrue="1">
      <formula>$F106="無"</formula>
    </cfRule>
  </conditionalFormatting>
  <conditionalFormatting sqref="U106">
    <cfRule type="expression" dxfId="197" priority="198" stopIfTrue="1">
      <formula>$F106="無"</formula>
    </cfRule>
  </conditionalFormatting>
  <conditionalFormatting sqref="U106">
    <cfRule type="expression" dxfId="196" priority="197" stopIfTrue="1">
      <formula>$F106="無"</formula>
    </cfRule>
  </conditionalFormatting>
  <conditionalFormatting sqref="U106">
    <cfRule type="expression" dxfId="195" priority="196" stopIfTrue="1">
      <formula>$F106="無"</formula>
    </cfRule>
  </conditionalFormatting>
  <conditionalFormatting sqref="U106">
    <cfRule type="expression" dxfId="194" priority="195" stopIfTrue="1">
      <formula>$F106="無"</formula>
    </cfRule>
  </conditionalFormatting>
  <conditionalFormatting sqref="U106">
    <cfRule type="expression" dxfId="193" priority="194" stopIfTrue="1">
      <formula>$F106="無"</formula>
    </cfRule>
  </conditionalFormatting>
  <conditionalFormatting sqref="U106">
    <cfRule type="expression" dxfId="192" priority="193" stopIfTrue="1">
      <formula>$F106="無"</formula>
    </cfRule>
  </conditionalFormatting>
  <conditionalFormatting sqref="U106">
    <cfRule type="expression" dxfId="191" priority="192" stopIfTrue="1">
      <formula>$F106="無"</formula>
    </cfRule>
  </conditionalFormatting>
  <conditionalFormatting sqref="U106">
    <cfRule type="expression" dxfId="190" priority="191" stopIfTrue="1">
      <formula>$F106="無"</formula>
    </cfRule>
  </conditionalFormatting>
  <conditionalFormatting sqref="U106">
    <cfRule type="expression" dxfId="189" priority="190" stopIfTrue="1">
      <formula>$F106="無"</formula>
    </cfRule>
  </conditionalFormatting>
  <conditionalFormatting sqref="U106">
    <cfRule type="expression" dxfId="188" priority="189" stopIfTrue="1">
      <formula>$F106="無"</formula>
    </cfRule>
  </conditionalFormatting>
  <conditionalFormatting sqref="U106">
    <cfRule type="expression" dxfId="187" priority="188" stopIfTrue="1">
      <formula>$F106="無"</formula>
    </cfRule>
  </conditionalFormatting>
  <conditionalFormatting sqref="U106">
    <cfRule type="expression" dxfId="186" priority="187" stopIfTrue="1">
      <formula>$F106="無"</formula>
    </cfRule>
  </conditionalFormatting>
  <conditionalFormatting sqref="U106">
    <cfRule type="expression" dxfId="185" priority="186" stopIfTrue="1">
      <formula>$F106="無"</formula>
    </cfRule>
  </conditionalFormatting>
  <conditionalFormatting sqref="U106">
    <cfRule type="expression" dxfId="184" priority="185" stopIfTrue="1">
      <formula>$F106="無"</formula>
    </cfRule>
  </conditionalFormatting>
  <conditionalFormatting sqref="U106">
    <cfRule type="expression" dxfId="183" priority="184" stopIfTrue="1">
      <formula>$F106="無"</formula>
    </cfRule>
  </conditionalFormatting>
  <conditionalFormatting sqref="U106">
    <cfRule type="expression" dxfId="182" priority="183" stopIfTrue="1">
      <formula>$F106="無"</formula>
    </cfRule>
  </conditionalFormatting>
  <conditionalFormatting sqref="U106">
    <cfRule type="expression" dxfId="181" priority="182" stopIfTrue="1">
      <formula>$F106="無"</formula>
    </cfRule>
  </conditionalFormatting>
  <conditionalFormatting sqref="U106">
    <cfRule type="expression" dxfId="180" priority="181" stopIfTrue="1">
      <formula>$F106="無"</formula>
    </cfRule>
  </conditionalFormatting>
  <conditionalFormatting sqref="U106">
    <cfRule type="expression" dxfId="179" priority="180" stopIfTrue="1">
      <formula>$F106="無"</formula>
    </cfRule>
  </conditionalFormatting>
  <conditionalFormatting sqref="U106">
    <cfRule type="expression" dxfId="178" priority="179" stopIfTrue="1">
      <formula>$F106="無"</formula>
    </cfRule>
  </conditionalFormatting>
  <conditionalFormatting sqref="U106">
    <cfRule type="expression" dxfId="177" priority="178" stopIfTrue="1">
      <formula>$F106="無"</formula>
    </cfRule>
  </conditionalFormatting>
  <conditionalFormatting sqref="U106">
    <cfRule type="expression" dxfId="176" priority="177" stopIfTrue="1">
      <formula>$F106="無"</formula>
    </cfRule>
  </conditionalFormatting>
  <conditionalFormatting sqref="U106">
    <cfRule type="expression" dxfId="175" priority="176" stopIfTrue="1">
      <formula>$F106="無"</formula>
    </cfRule>
  </conditionalFormatting>
  <conditionalFormatting sqref="U106">
    <cfRule type="expression" dxfId="174" priority="175" stopIfTrue="1">
      <formula>$F106="無"</formula>
    </cfRule>
  </conditionalFormatting>
  <conditionalFormatting sqref="U106">
    <cfRule type="expression" dxfId="173" priority="174" stopIfTrue="1">
      <formula>$F106="無"</formula>
    </cfRule>
  </conditionalFormatting>
  <conditionalFormatting sqref="U106">
    <cfRule type="expression" dxfId="172" priority="173" stopIfTrue="1">
      <formula>$F106="無"</formula>
    </cfRule>
  </conditionalFormatting>
  <conditionalFormatting sqref="U106">
    <cfRule type="expression" dxfId="171" priority="172" stopIfTrue="1">
      <formula>$F106="無"</formula>
    </cfRule>
  </conditionalFormatting>
  <conditionalFormatting sqref="U106">
    <cfRule type="expression" dxfId="170" priority="171" stopIfTrue="1">
      <formula>$F106="無"</formula>
    </cfRule>
  </conditionalFormatting>
  <conditionalFormatting sqref="U106">
    <cfRule type="expression" dxfId="169" priority="170" stopIfTrue="1">
      <formula>$F106="無"</formula>
    </cfRule>
  </conditionalFormatting>
  <conditionalFormatting sqref="U106">
    <cfRule type="expression" dxfId="168" priority="169" stopIfTrue="1">
      <formula>$F106="無"</formula>
    </cfRule>
  </conditionalFormatting>
  <conditionalFormatting sqref="U106">
    <cfRule type="expression" dxfId="167" priority="168" stopIfTrue="1">
      <formula>$F106="無"</formula>
    </cfRule>
  </conditionalFormatting>
  <conditionalFormatting sqref="U106">
    <cfRule type="expression" dxfId="166" priority="167" stopIfTrue="1">
      <formula>$F106="無"</formula>
    </cfRule>
  </conditionalFormatting>
  <conditionalFormatting sqref="U106">
    <cfRule type="expression" dxfId="165" priority="166" stopIfTrue="1">
      <formula>$F106="無"</formula>
    </cfRule>
  </conditionalFormatting>
  <conditionalFormatting sqref="U106">
    <cfRule type="expression" dxfId="164" priority="165" stopIfTrue="1">
      <formula>$F106="無"</formula>
    </cfRule>
  </conditionalFormatting>
  <conditionalFormatting sqref="U106">
    <cfRule type="expression" dxfId="163" priority="164" stopIfTrue="1">
      <formula>$F106="無"</formula>
    </cfRule>
  </conditionalFormatting>
  <conditionalFormatting sqref="U106">
    <cfRule type="expression" dxfId="162" priority="163" stopIfTrue="1">
      <formula>$F106="無"</formula>
    </cfRule>
  </conditionalFormatting>
  <conditionalFormatting sqref="U106">
    <cfRule type="expression" dxfId="161" priority="162" stopIfTrue="1">
      <formula>$F106="無"</formula>
    </cfRule>
  </conditionalFormatting>
  <conditionalFormatting sqref="U106">
    <cfRule type="expression" dxfId="160" priority="161" stopIfTrue="1">
      <formula>$F106="無"</formula>
    </cfRule>
  </conditionalFormatting>
  <conditionalFormatting sqref="U106">
    <cfRule type="expression" dxfId="159" priority="160" stopIfTrue="1">
      <formula>$F106="無"</formula>
    </cfRule>
  </conditionalFormatting>
  <conditionalFormatting sqref="U106">
    <cfRule type="expression" dxfId="158" priority="159" stopIfTrue="1">
      <formula>$F106="無"</formula>
    </cfRule>
  </conditionalFormatting>
  <conditionalFormatting sqref="U106">
    <cfRule type="expression" dxfId="157" priority="158" stopIfTrue="1">
      <formula>$F106="無"</formula>
    </cfRule>
  </conditionalFormatting>
  <conditionalFormatting sqref="U106">
    <cfRule type="expression" dxfId="156" priority="157" stopIfTrue="1">
      <formula>$F106="無"</formula>
    </cfRule>
  </conditionalFormatting>
  <conditionalFormatting sqref="U106">
    <cfRule type="expression" dxfId="155" priority="156" stopIfTrue="1">
      <formula>$F106="無"</formula>
    </cfRule>
  </conditionalFormatting>
  <conditionalFormatting sqref="U106">
    <cfRule type="expression" dxfId="154" priority="155" stopIfTrue="1">
      <formula>$F106="無"</formula>
    </cfRule>
  </conditionalFormatting>
  <conditionalFormatting sqref="U106">
    <cfRule type="expression" dxfId="153" priority="154" stopIfTrue="1">
      <formula>$F106="無"</formula>
    </cfRule>
  </conditionalFormatting>
  <conditionalFormatting sqref="U106">
    <cfRule type="expression" dxfId="152" priority="153" stopIfTrue="1">
      <formula>$F106="無"</formula>
    </cfRule>
  </conditionalFormatting>
  <conditionalFormatting sqref="U106">
    <cfRule type="expression" dxfId="151" priority="152" stopIfTrue="1">
      <formula>$F106="無"</formula>
    </cfRule>
  </conditionalFormatting>
  <conditionalFormatting sqref="U106">
    <cfRule type="expression" dxfId="150" priority="151" stopIfTrue="1">
      <formula>$F106="無"</formula>
    </cfRule>
  </conditionalFormatting>
  <conditionalFormatting sqref="U106">
    <cfRule type="expression" dxfId="149" priority="150" stopIfTrue="1">
      <formula>$F106="無"</formula>
    </cfRule>
  </conditionalFormatting>
  <conditionalFormatting sqref="U106">
    <cfRule type="expression" dxfId="148" priority="149" stopIfTrue="1">
      <formula>$F106="無"</formula>
    </cfRule>
  </conditionalFormatting>
  <conditionalFormatting sqref="U106">
    <cfRule type="expression" dxfId="147" priority="148" stopIfTrue="1">
      <formula>$F106="無"</formula>
    </cfRule>
  </conditionalFormatting>
  <conditionalFormatting sqref="U106">
    <cfRule type="expression" dxfId="146" priority="147" stopIfTrue="1">
      <formula>$F106="無"</formula>
    </cfRule>
  </conditionalFormatting>
  <conditionalFormatting sqref="U106">
    <cfRule type="expression" dxfId="145" priority="146" stopIfTrue="1">
      <formula>$F106="無"</formula>
    </cfRule>
  </conditionalFormatting>
  <conditionalFormatting sqref="U106">
    <cfRule type="expression" dxfId="144" priority="145" stopIfTrue="1">
      <formula>$F106="無"</formula>
    </cfRule>
  </conditionalFormatting>
  <conditionalFormatting sqref="U106">
    <cfRule type="expression" dxfId="143" priority="144" stopIfTrue="1">
      <formula>$F106="無"</formula>
    </cfRule>
  </conditionalFormatting>
  <conditionalFormatting sqref="U106">
    <cfRule type="expression" dxfId="142" priority="143" stopIfTrue="1">
      <formula>$F106="無"</formula>
    </cfRule>
  </conditionalFormatting>
  <conditionalFormatting sqref="U106">
    <cfRule type="expression" dxfId="141" priority="142" stopIfTrue="1">
      <formula>$F106="無"</formula>
    </cfRule>
  </conditionalFormatting>
  <conditionalFormatting sqref="U106">
    <cfRule type="expression" dxfId="140" priority="141" stopIfTrue="1">
      <formula>$F106="無"</formula>
    </cfRule>
  </conditionalFormatting>
  <conditionalFormatting sqref="U106">
    <cfRule type="expression" dxfId="139" priority="140" stopIfTrue="1">
      <formula>$F106="無"</formula>
    </cfRule>
  </conditionalFormatting>
  <conditionalFormatting sqref="U106">
    <cfRule type="expression" dxfId="138" priority="139" stopIfTrue="1">
      <formula>$F106="無"</formula>
    </cfRule>
  </conditionalFormatting>
  <conditionalFormatting sqref="U106">
    <cfRule type="expression" dxfId="137" priority="138" stopIfTrue="1">
      <formula>$F106="無"</formula>
    </cfRule>
  </conditionalFormatting>
  <conditionalFormatting sqref="U106">
    <cfRule type="expression" dxfId="136" priority="137" stopIfTrue="1">
      <formula>$F106="無"</formula>
    </cfRule>
  </conditionalFormatting>
  <conditionalFormatting sqref="U106">
    <cfRule type="expression" dxfId="135" priority="136" stopIfTrue="1">
      <formula>$F106="無"</formula>
    </cfRule>
  </conditionalFormatting>
  <conditionalFormatting sqref="U106">
    <cfRule type="expression" dxfId="134" priority="135" stopIfTrue="1">
      <formula>$F106="無"</formula>
    </cfRule>
  </conditionalFormatting>
  <conditionalFormatting sqref="U106">
    <cfRule type="expression" dxfId="133" priority="134" stopIfTrue="1">
      <formula>$F106="無"</formula>
    </cfRule>
  </conditionalFormatting>
  <conditionalFormatting sqref="U106">
    <cfRule type="expression" dxfId="132" priority="133" stopIfTrue="1">
      <formula>$F106="無"</formula>
    </cfRule>
  </conditionalFormatting>
  <conditionalFormatting sqref="U106">
    <cfRule type="expression" dxfId="131" priority="132" stopIfTrue="1">
      <formula>$F106="無"</formula>
    </cfRule>
  </conditionalFormatting>
  <conditionalFormatting sqref="U106">
    <cfRule type="expression" dxfId="130" priority="131" stopIfTrue="1">
      <formula>$F106="無"</formula>
    </cfRule>
  </conditionalFormatting>
  <conditionalFormatting sqref="U106">
    <cfRule type="expression" dxfId="129" priority="130" stopIfTrue="1">
      <formula>$F106="無"</formula>
    </cfRule>
  </conditionalFormatting>
  <conditionalFormatting sqref="U106">
    <cfRule type="expression" dxfId="128" priority="129" stopIfTrue="1">
      <formula>$F106="無"</formula>
    </cfRule>
  </conditionalFormatting>
  <conditionalFormatting sqref="U106">
    <cfRule type="expression" dxfId="127" priority="128" stopIfTrue="1">
      <formula>$F106="無"</formula>
    </cfRule>
  </conditionalFormatting>
  <conditionalFormatting sqref="U106">
    <cfRule type="expression" dxfId="126" priority="127" stopIfTrue="1">
      <formula>$F106="無"</formula>
    </cfRule>
  </conditionalFormatting>
  <conditionalFormatting sqref="U106">
    <cfRule type="expression" dxfId="125" priority="126" stopIfTrue="1">
      <formula>$F106="無"</formula>
    </cfRule>
  </conditionalFormatting>
  <conditionalFormatting sqref="U106">
    <cfRule type="expression" dxfId="124" priority="125" stopIfTrue="1">
      <formula>$F106="無"</formula>
    </cfRule>
  </conditionalFormatting>
  <conditionalFormatting sqref="U106">
    <cfRule type="expression" dxfId="123" priority="124" stopIfTrue="1">
      <formula>$F106="無"</formula>
    </cfRule>
  </conditionalFormatting>
  <conditionalFormatting sqref="U106">
    <cfRule type="expression" dxfId="122" priority="123" stopIfTrue="1">
      <formula>$F106="無"</formula>
    </cfRule>
  </conditionalFormatting>
  <conditionalFormatting sqref="U106">
    <cfRule type="expression" dxfId="121" priority="122" stopIfTrue="1">
      <formula>$F106="無"</formula>
    </cfRule>
  </conditionalFormatting>
  <conditionalFormatting sqref="U106">
    <cfRule type="expression" dxfId="120" priority="121" stopIfTrue="1">
      <formula>$F106="無"</formula>
    </cfRule>
  </conditionalFormatting>
  <conditionalFormatting sqref="U106">
    <cfRule type="expression" dxfId="119" priority="120" stopIfTrue="1">
      <formula>$F106="無"</formula>
    </cfRule>
  </conditionalFormatting>
  <conditionalFormatting sqref="U106">
    <cfRule type="expression" dxfId="118" priority="119" stopIfTrue="1">
      <formula>$F106="無"</formula>
    </cfRule>
  </conditionalFormatting>
  <conditionalFormatting sqref="U106">
    <cfRule type="expression" dxfId="117" priority="118" stopIfTrue="1">
      <formula>$F106="無"</formula>
    </cfRule>
  </conditionalFormatting>
  <conditionalFormatting sqref="U106">
    <cfRule type="expression" dxfId="116" priority="117" stopIfTrue="1">
      <formula>$F106="無"</formula>
    </cfRule>
  </conditionalFormatting>
  <conditionalFormatting sqref="U106">
    <cfRule type="expression" dxfId="115" priority="116" stopIfTrue="1">
      <formula>$F106="無"</formula>
    </cfRule>
  </conditionalFormatting>
  <conditionalFormatting sqref="U106">
    <cfRule type="expression" dxfId="114" priority="115" stopIfTrue="1">
      <formula>$F106="無"</formula>
    </cfRule>
  </conditionalFormatting>
  <conditionalFormatting sqref="U106">
    <cfRule type="expression" dxfId="113" priority="114" stopIfTrue="1">
      <formula>$F106="無"</formula>
    </cfRule>
  </conditionalFormatting>
  <conditionalFormatting sqref="U106">
    <cfRule type="expression" dxfId="112" priority="113" stopIfTrue="1">
      <formula>$F106="無"</formula>
    </cfRule>
  </conditionalFormatting>
  <conditionalFormatting sqref="U106">
    <cfRule type="expression" dxfId="111" priority="112" stopIfTrue="1">
      <formula>$F106="無"</formula>
    </cfRule>
  </conditionalFormatting>
  <conditionalFormatting sqref="U106">
    <cfRule type="expression" dxfId="110" priority="111" stopIfTrue="1">
      <formula>$F106="無"</formula>
    </cfRule>
  </conditionalFormatting>
  <conditionalFormatting sqref="U106">
    <cfRule type="expression" dxfId="109" priority="110" stopIfTrue="1">
      <formula>$F106="無"</formula>
    </cfRule>
  </conditionalFormatting>
  <conditionalFormatting sqref="U106">
    <cfRule type="expression" dxfId="108" priority="109" stopIfTrue="1">
      <formula>$F106="無"</formula>
    </cfRule>
  </conditionalFormatting>
  <conditionalFormatting sqref="U106">
    <cfRule type="expression" dxfId="107" priority="108" stopIfTrue="1">
      <formula>$F106="無"</formula>
    </cfRule>
  </conditionalFormatting>
  <conditionalFormatting sqref="U106">
    <cfRule type="expression" dxfId="106" priority="107" stopIfTrue="1">
      <formula>$F106="無"</formula>
    </cfRule>
  </conditionalFormatting>
  <conditionalFormatting sqref="U106">
    <cfRule type="expression" dxfId="105" priority="106" stopIfTrue="1">
      <formula>$F106="無"</formula>
    </cfRule>
  </conditionalFormatting>
  <conditionalFormatting sqref="U106">
    <cfRule type="expression" dxfId="104" priority="105" stopIfTrue="1">
      <formula>$F106="無"</formula>
    </cfRule>
  </conditionalFormatting>
  <conditionalFormatting sqref="U106">
    <cfRule type="expression" dxfId="103" priority="104" stopIfTrue="1">
      <formula>$F106="無"</formula>
    </cfRule>
  </conditionalFormatting>
  <conditionalFormatting sqref="U106">
    <cfRule type="expression" dxfId="102" priority="103" stopIfTrue="1">
      <formula>$F106="無"</formula>
    </cfRule>
  </conditionalFormatting>
  <conditionalFormatting sqref="U106">
    <cfRule type="expression" dxfId="101" priority="102" stopIfTrue="1">
      <formula>$F106="無"</formula>
    </cfRule>
  </conditionalFormatting>
  <conditionalFormatting sqref="U106">
    <cfRule type="expression" dxfId="100" priority="101" stopIfTrue="1">
      <formula>$F106="無"</formula>
    </cfRule>
  </conditionalFormatting>
  <conditionalFormatting sqref="U106">
    <cfRule type="expression" dxfId="99" priority="100" stopIfTrue="1">
      <formula>$F106="無"</formula>
    </cfRule>
  </conditionalFormatting>
  <conditionalFormatting sqref="U106">
    <cfRule type="expression" dxfId="98" priority="99" stopIfTrue="1">
      <formula>$F106="無"</formula>
    </cfRule>
  </conditionalFormatting>
  <conditionalFormatting sqref="U106">
    <cfRule type="expression" dxfId="97" priority="98" stopIfTrue="1">
      <formula>$F106="無"</formula>
    </cfRule>
  </conditionalFormatting>
  <conditionalFormatting sqref="U106">
    <cfRule type="expression" dxfId="96" priority="97" stopIfTrue="1">
      <formula>$F106="無"</formula>
    </cfRule>
  </conditionalFormatting>
  <conditionalFormatting sqref="U106">
    <cfRule type="expression" dxfId="95" priority="96" stopIfTrue="1">
      <formula>$F106="無"</formula>
    </cfRule>
  </conditionalFormatting>
  <conditionalFormatting sqref="U106">
    <cfRule type="expression" dxfId="94" priority="95" stopIfTrue="1">
      <formula>$F106="無"</formula>
    </cfRule>
  </conditionalFormatting>
  <conditionalFormatting sqref="U106">
    <cfRule type="expression" dxfId="93" priority="94" stopIfTrue="1">
      <formula>$F106="無"</formula>
    </cfRule>
  </conditionalFormatting>
  <conditionalFormatting sqref="U106">
    <cfRule type="expression" dxfId="92" priority="93" stopIfTrue="1">
      <formula>$F106="無"</formula>
    </cfRule>
  </conditionalFormatting>
  <conditionalFormatting sqref="L106">
    <cfRule type="expression" dxfId="91" priority="92">
      <formula>$E106="無"</formula>
    </cfRule>
  </conditionalFormatting>
  <conditionalFormatting sqref="I109:M109 O109:AH109">
    <cfRule type="expression" dxfId="90" priority="91">
      <formula>$F109="無"</formula>
    </cfRule>
  </conditionalFormatting>
  <conditionalFormatting sqref="N109">
    <cfRule type="expression" dxfId="89" priority="90">
      <formula>$E109="無"</formula>
    </cfRule>
  </conditionalFormatting>
  <conditionalFormatting sqref="I132:Q132 S132:AH132">
    <cfRule type="expression" dxfId="88" priority="89">
      <formula>$F132="無"</formula>
    </cfRule>
  </conditionalFormatting>
  <conditionalFormatting sqref="R132">
    <cfRule type="expression" dxfId="87" priority="88">
      <formula>$E132="無"</formula>
    </cfRule>
  </conditionalFormatting>
  <conditionalFormatting sqref="K140:AH141">
    <cfRule type="expression" dxfId="86" priority="87">
      <formula>$F140="無"</formula>
    </cfRule>
  </conditionalFormatting>
  <conditionalFormatting sqref="I140">
    <cfRule type="expression" dxfId="85" priority="86" stopIfTrue="1">
      <formula>$F140="無"</formula>
    </cfRule>
  </conditionalFormatting>
  <conditionalFormatting sqref="I140">
    <cfRule type="expression" dxfId="84" priority="85" stopIfTrue="1">
      <formula>$F140="無"</formula>
    </cfRule>
  </conditionalFormatting>
  <conditionalFormatting sqref="I140">
    <cfRule type="expression" dxfId="83" priority="84" stopIfTrue="1">
      <formula>$F140="無"</formula>
    </cfRule>
  </conditionalFormatting>
  <conditionalFormatting sqref="J140">
    <cfRule type="expression" dxfId="82" priority="83" stopIfTrue="1">
      <formula>$F140="無"</formula>
    </cfRule>
  </conditionalFormatting>
  <conditionalFormatting sqref="J141">
    <cfRule type="expression" dxfId="81" priority="82" stopIfTrue="1">
      <formula>$F141="無"</formula>
    </cfRule>
  </conditionalFormatting>
  <conditionalFormatting sqref="K143:K144">
    <cfRule type="expression" dxfId="80" priority="81">
      <formula>$F143="無"</formula>
    </cfRule>
  </conditionalFormatting>
  <conditionalFormatting sqref="J143">
    <cfRule type="expression" dxfId="79" priority="80" stopIfTrue="1">
      <formula>$F143="無"</formula>
    </cfRule>
  </conditionalFormatting>
  <conditionalFormatting sqref="J144">
    <cfRule type="expression" dxfId="78" priority="79" stopIfTrue="1">
      <formula>$F144="無"</formula>
    </cfRule>
  </conditionalFormatting>
  <conditionalFormatting sqref="P149:P150 N149:N150 R149:R150 T149:T150 V149:AG150">
    <cfRule type="expression" dxfId="77" priority="78" stopIfTrue="1">
      <formula>$F149="無"</formula>
    </cfRule>
  </conditionalFormatting>
  <conditionalFormatting sqref="R149">
    <cfRule type="expression" dxfId="76" priority="77" stopIfTrue="1">
      <formula>$F149="無"</formula>
    </cfRule>
  </conditionalFormatting>
  <conditionalFormatting sqref="R149">
    <cfRule type="expression" dxfId="75" priority="76" stopIfTrue="1">
      <formula>$F149="無"</formula>
    </cfRule>
  </conditionalFormatting>
  <conditionalFormatting sqref="R149">
    <cfRule type="expression" dxfId="74" priority="75" stopIfTrue="1">
      <formula>$F149="無"</formula>
    </cfRule>
  </conditionalFormatting>
  <conditionalFormatting sqref="R149">
    <cfRule type="expression" dxfId="73" priority="74" stopIfTrue="1">
      <formula>$F149="無"</formula>
    </cfRule>
  </conditionalFormatting>
  <conditionalFormatting sqref="R149">
    <cfRule type="expression" dxfId="72" priority="73" stopIfTrue="1">
      <formula>$F149="無"</formula>
    </cfRule>
  </conditionalFormatting>
  <conditionalFormatting sqref="AG150">
    <cfRule type="expression" dxfId="71" priority="72" stopIfTrue="1">
      <formula>$F150="無"</formula>
    </cfRule>
  </conditionalFormatting>
  <conditionalFormatting sqref="AG150">
    <cfRule type="expression" dxfId="70" priority="71" stopIfTrue="1">
      <formula>$F150="無"</formula>
    </cfRule>
  </conditionalFormatting>
  <conditionalFormatting sqref="AG150">
    <cfRule type="expression" dxfId="69" priority="70" stopIfTrue="1">
      <formula>$F150="無"</formula>
    </cfRule>
  </conditionalFormatting>
  <conditionalFormatting sqref="AG150">
    <cfRule type="expression" dxfId="68" priority="69" stopIfTrue="1">
      <formula>$F150="無"</formula>
    </cfRule>
  </conditionalFormatting>
  <conditionalFormatting sqref="N151">
    <cfRule type="expression" dxfId="67" priority="68" stopIfTrue="1">
      <formula>$F151="無"</formula>
    </cfRule>
  </conditionalFormatting>
  <conditionalFormatting sqref="P149:P150">
    <cfRule type="expression" dxfId="66" priority="67" stopIfTrue="1">
      <formula>$F149="無"</formula>
    </cfRule>
  </conditionalFormatting>
  <conditionalFormatting sqref="V149:W150">
    <cfRule type="expression" dxfId="65" priority="66" stopIfTrue="1">
      <formula>$F149="無"</formula>
    </cfRule>
  </conditionalFormatting>
  <conditionalFormatting sqref="X149:Y150">
    <cfRule type="expression" dxfId="64" priority="65" stopIfTrue="1">
      <formula>$F149="無"</formula>
    </cfRule>
  </conditionalFormatting>
  <conditionalFormatting sqref="Z149:AA150">
    <cfRule type="expression" dxfId="63" priority="64" stopIfTrue="1">
      <formula>$F149="無"</formula>
    </cfRule>
  </conditionalFormatting>
  <conditionalFormatting sqref="AB149:AC150">
    <cfRule type="expression" dxfId="62" priority="63" stopIfTrue="1">
      <formula>$F149="無"</formula>
    </cfRule>
  </conditionalFormatting>
  <conditionalFormatting sqref="AH151">
    <cfRule type="expression" dxfId="61" priority="62" stopIfTrue="1">
      <formula>$F151="無"</formula>
    </cfRule>
  </conditionalFormatting>
  <conditionalFormatting sqref="M149:M150">
    <cfRule type="expression" dxfId="60" priority="60" stopIfTrue="1">
      <formula>$F149="無"</formula>
    </cfRule>
  </conditionalFormatting>
  <conditionalFormatting sqref="K149:K150">
    <cfRule type="expression" dxfId="59" priority="61" stopIfTrue="1">
      <formula>$F149="無"</formula>
    </cfRule>
  </conditionalFormatting>
  <conditionalFormatting sqref="M149:M150">
    <cfRule type="expression" dxfId="58" priority="59" stopIfTrue="1">
      <formula>$F149="無"</formula>
    </cfRule>
  </conditionalFormatting>
  <conditionalFormatting sqref="M149:M150">
    <cfRule type="expression" dxfId="57" priority="58" stopIfTrue="1">
      <formula>$F149="無"</formula>
    </cfRule>
  </conditionalFormatting>
  <conditionalFormatting sqref="M149:M150">
    <cfRule type="expression" dxfId="56" priority="57" stopIfTrue="1">
      <formula>$F149="無"</formula>
    </cfRule>
  </conditionalFormatting>
  <conditionalFormatting sqref="M149:M150">
    <cfRule type="expression" dxfId="55" priority="56" stopIfTrue="1">
      <formula>$F149="無"</formula>
    </cfRule>
  </conditionalFormatting>
  <conditionalFormatting sqref="M149:M150">
    <cfRule type="expression" dxfId="54" priority="55" stopIfTrue="1">
      <formula>$F149="無"</formula>
    </cfRule>
  </conditionalFormatting>
  <conditionalFormatting sqref="M149:M150">
    <cfRule type="expression" dxfId="53" priority="54" stopIfTrue="1">
      <formula>$F149="無"</formula>
    </cfRule>
  </conditionalFormatting>
  <conditionalFormatting sqref="M149:M150">
    <cfRule type="expression" dxfId="52" priority="53" stopIfTrue="1">
      <formula>$F149="無"</formula>
    </cfRule>
  </conditionalFormatting>
  <conditionalFormatting sqref="M149:M150">
    <cfRule type="expression" dxfId="51" priority="52" stopIfTrue="1">
      <formula>$F149="無"</formula>
    </cfRule>
  </conditionalFormatting>
  <conditionalFormatting sqref="M149:M150">
    <cfRule type="expression" dxfId="50" priority="51" stopIfTrue="1">
      <formula>$F149="無"</formula>
    </cfRule>
  </conditionalFormatting>
  <conditionalFormatting sqref="M149:M150">
    <cfRule type="expression" dxfId="49" priority="50" stopIfTrue="1">
      <formula>$F149="無"</formula>
    </cfRule>
  </conditionalFormatting>
  <conditionalFormatting sqref="M149:M150">
    <cfRule type="expression" dxfId="48" priority="49" stopIfTrue="1">
      <formula>$F149="無"</formula>
    </cfRule>
  </conditionalFormatting>
  <conditionalFormatting sqref="M149:M150">
    <cfRule type="expression" dxfId="47" priority="48" stopIfTrue="1">
      <formula>$F149="無"</formula>
    </cfRule>
  </conditionalFormatting>
  <conditionalFormatting sqref="M149:M150">
    <cfRule type="expression" dxfId="46" priority="47" stopIfTrue="1">
      <formula>$F149="無"</formula>
    </cfRule>
  </conditionalFormatting>
  <conditionalFormatting sqref="M149:M150">
    <cfRule type="expression" dxfId="45" priority="46" stopIfTrue="1">
      <formula>$F149="無"</formula>
    </cfRule>
  </conditionalFormatting>
  <conditionalFormatting sqref="M149:M150">
    <cfRule type="expression" dxfId="44" priority="45" stopIfTrue="1">
      <formula>$F149="無"</formula>
    </cfRule>
  </conditionalFormatting>
  <conditionalFormatting sqref="O149:O150">
    <cfRule type="expression" dxfId="43" priority="44" stopIfTrue="1">
      <formula>$F149="無"</formula>
    </cfRule>
  </conditionalFormatting>
  <conditionalFormatting sqref="O149:O150">
    <cfRule type="expression" dxfId="42" priority="43" stopIfTrue="1">
      <formula>$F149="無"</formula>
    </cfRule>
  </conditionalFormatting>
  <conditionalFormatting sqref="O149:O150">
    <cfRule type="expression" dxfId="41" priority="42" stopIfTrue="1">
      <formula>$F149="無"</formula>
    </cfRule>
  </conditionalFormatting>
  <conditionalFormatting sqref="O149:O150">
    <cfRule type="expression" dxfId="40" priority="41" stopIfTrue="1">
      <formula>$F149="無"</formula>
    </cfRule>
  </conditionalFormatting>
  <conditionalFormatting sqref="O149:O150">
    <cfRule type="expression" dxfId="39" priority="40" stopIfTrue="1">
      <formula>$F149="無"</formula>
    </cfRule>
  </conditionalFormatting>
  <conditionalFormatting sqref="O149:O150">
    <cfRule type="expression" dxfId="38" priority="39" stopIfTrue="1">
      <formula>$F149="無"</formula>
    </cfRule>
  </conditionalFormatting>
  <conditionalFormatting sqref="O149:O150">
    <cfRule type="expression" dxfId="37" priority="38" stopIfTrue="1">
      <formula>$F149="無"</formula>
    </cfRule>
  </conditionalFormatting>
  <conditionalFormatting sqref="O149:O150">
    <cfRule type="expression" dxfId="36" priority="37" stopIfTrue="1">
      <formula>$F149="無"</formula>
    </cfRule>
  </conditionalFormatting>
  <conditionalFormatting sqref="O149:O150">
    <cfRule type="expression" dxfId="35" priority="36" stopIfTrue="1">
      <formula>$F149="無"</formula>
    </cfRule>
  </conditionalFormatting>
  <conditionalFormatting sqref="O149:O150">
    <cfRule type="expression" dxfId="34" priority="35" stopIfTrue="1">
      <formula>$F149="無"</formula>
    </cfRule>
  </conditionalFormatting>
  <conditionalFormatting sqref="O149:O150">
    <cfRule type="expression" dxfId="33" priority="34" stopIfTrue="1">
      <formula>$F149="無"</formula>
    </cfRule>
  </conditionalFormatting>
  <conditionalFormatting sqref="O149:O150">
    <cfRule type="expression" dxfId="32" priority="33" stopIfTrue="1">
      <formula>$F149="無"</formula>
    </cfRule>
  </conditionalFormatting>
  <conditionalFormatting sqref="O149:O150">
    <cfRule type="expression" dxfId="31" priority="32" stopIfTrue="1">
      <formula>$F149="無"</formula>
    </cfRule>
  </conditionalFormatting>
  <conditionalFormatting sqref="O149:O150">
    <cfRule type="expression" dxfId="30" priority="31" stopIfTrue="1">
      <formula>$F149="無"</formula>
    </cfRule>
  </conditionalFormatting>
  <conditionalFormatting sqref="O149:O150">
    <cfRule type="expression" dxfId="29" priority="30" stopIfTrue="1">
      <formula>$F149="無"</formula>
    </cfRule>
  </conditionalFormatting>
  <conditionalFormatting sqref="O149:O150">
    <cfRule type="expression" dxfId="28" priority="29" stopIfTrue="1">
      <formula>$F149="無"</formula>
    </cfRule>
  </conditionalFormatting>
  <conditionalFormatting sqref="Q149:Q150">
    <cfRule type="expression" dxfId="27" priority="28" stopIfTrue="1">
      <formula>$F149="無"</formula>
    </cfRule>
  </conditionalFormatting>
  <conditionalFormatting sqref="Q149:Q150">
    <cfRule type="expression" dxfId="26" priority="27" stopIfTrue="1">
      <formula>$F149="無"</formula>
    </cfRule>
  </conditionalFormatting>
  <conditionalFormatting sqref="S149:S150">
    <cfRule type="expression" dxfId="25" priority="26" stopIfTrue="1">
      <formula>$F149="無"</formula>
    </cfRule>
  </conditionalFormatting>
  <conditionalFormatting sqref="S149">
    <cfRule type="expression" dxfId="24" priority="25" stopIfTrue="1">
      <formula>$F149="無"</formula>
    </cfRule>
  </conditionalFormatting>
  <conditionalFormatting sqref="S149">
    <cfRule type="expression" dxfId="23" priority="24" stopIfTrue="1">
      <formula>$F149="無"</formula>
    </cfRule>
  </conditionalFormatting>
  <conditionalFormatting sqref="S149">
    <cfRule type="expression" dxfId="22" priority="23" stopIfTrue="1">
      <formula>$F149="無"</formula>
    </cfRule>
  </conditionalFormatting>
  <conditionalFormatting sqref="S149">
    <cfRule type="expression" dxfId="21" priority="22" stopIfTrue="1">
      <formula>$F149="無"</formula>
    </cfRule>
  </conditionalFormatting>
  <conditionalFormatting sqref="S149:S150">
    <cfRule type="expression" dxfId="20" priority="21" stopIfTrue="1">
      <formula>$F149="無"</formula>
    </cfRule>
  </conditionalFormatting>
  <conditionalFormatting sqref="S149">
    <cfRule type="expression" dxfId="19" priority="20" stopIfTrue="1">
      <formula>$F149="無"</formula>
    </cfRule>
  </conditionalFormatting>
  <conditionalFormatting sqref="S149">
    <cfRule type="expression" dxfId="18" priority="19" stopIfTrue="1">
      <formula>$F149="無"</formula>
    </cfRule>
  </conditionalFormatting>
  <conditionalFormatting sqref="S149">
    <cfRule type="expression" dxfId="17" priority="18" stopIfTrue="1">
      <formula>$F149="無"</formula>
    </cfRule>
  </conditionalFormatting>
  <conditionalFormatting sqref="S149">
    <cfRule type="expression" dxfId="16" priority="17" stopIfTrue="1">
      <formula>$F149="無"</formula>
    </cfRule>
  </conditionalFormatting>
  <conditionalFormatting sqref="U149:U150">
    <cfRule type="expression" dxfId="15" priority="16" stopIfTrue="1">
      <formula>$F149="無"</formula>
    </cfRule>
  </conditionalFormatting>
  <conditionalFormatting sqref="U149:U150">
    <cfRule type="expression" dxfId="14" priority="15" stopIfTrue="1">
      <formula>$F149="無"</formula>
    </cfRule>
  </conditionalFormatting>
  <conditionalFormatting sqref="L149:L150">
    <cfRule type="expression" dxfId="13" priority="14" stopIfTrue="1">
      <formula>$F149="無"</formula>
    </cfRule>
  </conditionalFormatting>
  <conditionalFormatting sqref="J149:J150">
    <cfRule type="expression" dxfId="12" priority="13" stopIfTrue="1">
      <formula>$F149="無"</formula>
    </cfRule>
  </conditionalFormatting>
  <conditionalFormatting sqref="AH149:AH150">
    <cfRule type="expression" dxfId="11" priority="12" stopIfTrue="1">
      <formula>$F149="無"</formula>
    </cfRule>
  </conditionalFormatting>
  <conditionalFormatting sqref="K157:O157">
    <cfRule type="expression" dxfId="10" priority="11">
      <formula>$F157="無"</formula>
    </cfRule>
  </conditionalFormatting>
  <conditionalFormatting sqref="J157">
    <cfRule type="expression" dxfId="9" priority="10" stopIfTrue="1">
      <formula>$F157="無"</formula>
    </cfRule>
  </conditionalFormatting>
  <conditionalFormatting sqref="G51">
    <cfRule type="expression" dxfId="8" priority="8">
      <formula>$F51="無"</formula>
    </cfRule>
  </conditionalFormatting>
  <conditionalFormatting sqref="G51">
    <cfRule type="expression" dxfId="7" priority="9">
      <formula>$G51="▼ 選択"</formula>
    </cfRule>
  </conditionalFormatting>
  <conditionalFormatting sqref="G70">
    <cfRule type="expression" dxfId="6" priority="6">
      <formula>$F70="無"</formula>
    </cfRule>
  </conditionalFormatting>
  <conditionalFormatting sqref="G70">
    <cfRule type="expression" dxfId="5" priority="7">
      <formula>$G70="▼ 選択"</formula>
    </cfRule>
  </conditionalFormatting>
  <conditionalFormatting sqref="G87">
    <cfRule type="expression" dxfId="4" priority="4">
      <formula>$F87="無"</formula>
    </cfRule>
  </conditionalFormatting>
  <conditionalFormatting sqref="G87">
    <cfRule type="expression" dxfId="3" priority="5">
      <formula>$G87="▼ 選択"</formula>
    </cfRule>
  </conditionalFormatting>
  <conditionalFormatting sqref="G90">
    <cfRule type="expression" dxfId="2" priority="2">
      <formula>$F90="無"</formula>
    </cfRule>
  </conditionalFormatting>
  <conditionalFormatting sqref="G90">
    <cfRule type="expression" dxfId="1" priority="3">
      <formula>$G90="▼ 選択"</formula>
    </cfRule>
  </conditionalFormatting>
  <conditionalFormatting sqref="X41">
    <cfRule type="expression" dxfId="0" priority="1" stopIfTrue="1">
      <formula>$F41="無"</formula>
    </cfRule>
  </conditionalFormatting>
  <dataValidations count="16">
    <dataValidation type="list" allowBlank="1" showInputMessage="1" showErrorMessage="1" sqref="G90" xr:uid="{00000000-0002-0000-0C00-000000000000}">
      <formula1>"▼ 選択,1回/2年,1回/3年"</formula1>
    </dataValidation>
    <dataValidation type="list" allowBlank="1" showInputMessage="1" showErrorMessage="1" sqref="G70" xr:uid="{00000000-0002-0000-0C00-000001000000}">
      <formula1>"▼ 選択,6回/年,2回/年"</formula1>
    </dataValidation>
    <dataValidation type="list" allowBlank="1" showInputMessage="1" showErrorMessage="1" sqref="G51" xr:uid="{00000000-0002-0000-0C00-000002000000}">
      <formula1>"▼ 選択,1回/月,1回/年"</formula1>
    </dataValidation>
    <dataValidation type="list" allowBlank="1" showInputMessage="1" showErrorMessage="1" sqref="E13" xr:uid="{00000000-0002-0000-0C00-000003000000}">
      <formula1>"▼ 選択,有(防火・防災),有(防火),無"</formula1>
    </dataValidation>
    <dataValidation type="list" allowBlank="1" showInputMessage="1" showErrorMessage="1" sqref="I17:I24" xr:uid="{00000000-0002-0000-0C00-000004000000}">
      <formula1>$J$2:$K$2</formula1>
    </dataValidation>
    <dataValidation type="list" allowBlank="1" showInputMessage="1" showErrorMessage="1" sqref="R8:W8 J8:P8 F13:I13 F170:F200 F39:F164" xr:uid="{00000000-0002-0000-0C00-000005000000}">
      <formula1>"▼ 選択,有,無"</formula1>
    </dataValidation>
    <dataValidation type="list" allowBlank="1" showInputMessage="1" showErrorMessage="1" sqref="D13" xr:uid="{00000000-0002-0000-0C00-000006000000}">
      <formula1>"▼ 選択,特定,非特定"</formula1>
    </dataValidation>
    <dataValidation type="list" allowBlank="1" showInputMessage="1" showErrorMessage="1" sqref="Q8" xr:uid="{00000000-0002-0000-0C00-000007000000}">
      <formula1>"▼ 選択,簡易専用水道方式,直結増圧送水方式"</formula1>
    </dataValidation>
    <dataValidation type="list" allowBlank="1" showInputMessage="1" showErrorMessage="1" sqref="G86" xr:uid="{00000000-0002-0000-0C00-000008000000}">
      <formula1>"▼ 選択,1回/25年,1回/30年"</formula1>
    </dataValidation>
    <dataValidation type="list" allowBlank="1" showInputMessage="1" showErrorMessage="1" sqref="G77 G52 G80" xr:uid="{00000000-0002-0000-0C00-000009000000}">
      <formula1>"▼ 選択,1回/年,2回/年"</formula1>
    </dataValidation>
    <dataValidation type="list" allowBlank="1" showInputMessage="1" showErrorMessage="1" sqref="G74:G75 G87" xr:uid="{00000000-0002-0000-0C00-00000A000000}">
      <formula1>"▼ 選択,1回/年,1回/3年"</formula1>
    </dataValidation>
    <dataValidation type="list" allowBlank="1" showInputMessage="1" showErrorMessage="1" sqref="G93" xr:uid="{00000000-0002-0000-0C00-00000B000000}">
      <formula1>"▼ 選択,1回/年,1回/2年,1回/3年,1回/4年"</formula1>
    </dataValidation>
    <dataValidation type="list" allowBlank="1" showInputMessage="1" showErrorMessage="1" sqref="G119" xr:uid="{00000000-0002-0000-0C00-00000C000000}">
      <formula1>"▼ 選択,1回/年,1回/4年"</formula1>
    </dataValidation>
    <dataValidation type="list" allowBlank="1" showInputMessage="1" showErrorMessage="1" sqref="D158:D164" xr:uid="{00000000-0002-0000-0C00-00000D000000}">
      <formula1>"法定,-,SC統一基準,SBM管理基準"</formula1>
    </dataValidation>
    <dataValidation type="list" allowBlank="1" showInputMessage="1" showErrorMessage="1" sqref="B8" xr:uid="{00000000-0002-0000-0C00-00000E000000}">
      <formula1>"▼選択,東京,大阪,札幌,横浜,名古屋,福岡"</formula1>
    </dataValidation>
    <dataValidation type="list" allowBlank="1" showInputMessage="1" showErrorMessage="1" sqref="B13" xr:uid="{00000000-0002-0000-0C00-00000F000000}">
      <formula1>"▼選択,14項,15項,16項のイ"</formula1>
    </dataValidation>
  </dataValidations>
  <pageMargins left="0.70866141732283472" right="0.31496062992125984" top="0.55118110236220474" bottom="0.35433070866141736" header="0.31496062992125984" footer="0.11811023622047245"/>
  <pageSetup paperSize="8" scale="30" fitToHeight="0" orientation="landscape" r:id="rId1"/>
  <rowBreaks count="1" manualBreakCount="1">
    <brk id="122" max="33" man="1"/>
  </rowBreak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EB07C-6BCE-40AC-BBAB-1BD6381C2A12}">
  <sheetPr codeName="Sheet14"/>
  <dimension ref="B6:D79"/>
  <sheetViews>
    <sheetView topLeftCell="A13" workbookViewId="0">
      <selection activeCell="F36" sqref="F36"/>
    </sheetView>
  </sheetViews>
  <sheetFormatPr defaultRowHeight="13.2"/>
  <cols>
    <col min="2" max="2" width="15.77734375" customWidth="1"/>
    <col min="4" max="4" width="17.77734375" customWidth="1"/>
  </cols>
  <sheetData>
    <row r="6" spans="2:4">
      <c r="B6" t="s">
        <v>766</v>
      </c>
      <c r="D6" t="s">
        <v>767</v>
      </c>
    </row>
    <row r="7" spans="2:4">
      <c r="B7" s="887">
        <v>45316</v>
      </c>
      <c r="D7" s="888" t="s">
        <v>768</v>
      </c>
    </row>
    <row r="8" spans="2:4">
      <c r="B8" s="889" t="s">
        <v>769</v>
      </c>
      <c r="D8" s="890" t="s">
        <v>770</v>
      </c>
    </row>
    <row r="9" spans="2:4">
      <c r="B9" s="889">
        <v>45333</v>
      </c>
      <c r="D9" s="890" t="s">
        <v>771</v>
      </c>
    </row>
    <row r="10" spans="2:4">
      <c r="B10" s="889">
        <v>45334</v>
      </c>
      <c r="D10" s="890" t="s">
        <v>772</v>
      </c>
    </row>
    <row r="11" spans="2:4">
      <c r="B11" s="889">
        <v>45345</v>
      </c>
      <c r="D11" s="890" t="s">
        <v>773</v>
      </c>
    </row>
    <row r="12" spans="2:4">
      <c r="B12" s="889">
        <v>45371</v>
      </c>
      <c r="D12" s="890" t="s">
        <v>774</v>
      </c>
    </row>
    <row r="13" spans="2:4">
      <c r="B13" s="889">
        <v>45411</v>
      </c>
      <c r="D13" s="890" t="s">
        <v>775</v>
      </c>
    </row>
    <row r="14" spans="2:4">
      <c r="B14" s="889">
        <v>45415</v>
      </c>
      <c r="D14" s="890" t="s">
        <v>776</v>
      </c>
    </row>
    <row r="15" spans="2:4">
      <c r="B15" s="889">
        <v>45416</v>
      </c>
      <c r="D15" s="890" t="s">
        <v>644</v>
      </c>
    </row>
    <row r="16" spans="2:4">
      <c r="B16" s="889">
        <v>45417</v>
      </c>
      <c r="D16" s="890" t="s">
        <v>777</v>
      </c>
    </row>
    <row r="17" spans="2:4">
      <c r="B17" s="889">
        <v>45418</v>
      </c>
      <c r="D17" s="890" t="s">
        <v>778</v>
      </c>
    </row>
    <row r="18" spans="2:4">
      <c r="B18" s="889">
        <v>45488</v>
      </c>
      <c r="D18" s="890" t="s">
        <v>779</v>
      </c>
    </row>
    <row r="19" spans="2:4">
      <c r="B19" s="889">
        <v>45515</v>
      </c>
      <c r="D19" s="890" t="s">
        <v>780</v>
      </c>
    </row>
    <row r="20" spans="2:4">
      <c r="B20" s="889">
        <v>45516</v>
      </c>
      <c r="D20" s="890"/>
    </row>
    <row r="21" spans="2:4">
      <c r="B21" s="889">
        <v>45551</v>
      </c>
      <c r="D21" s="890"/>
    </row>
    <row r="22" spans="2:4">
      <c r="B22" s="889">
        <v>45557</v>
      </c>
      <c r="D22" s="890"/>
    </row>
    <row r="23" spans="2:4">
      <c r="B23" s="891">
        <v>45558</v>
      </c>
      <c r="D23" s="890"/>
    </row>
    <row r="24" spans="2:4">
      <c r="B24" s="891">
        <v>45579</v>
      </c>
      <c r="D24" s="890"/>
    </row>
    <row r="25" spans="2:4">
      <c r="B25" s="891">
        <v>45599</v>
      </c>
      <c r="D25" s="890"/>
    </row>
    <row r="26" spans="2:4">
      <c r="B26" s="891">
        <v>45600</v>
      </c>
      <c r="D26" s="890"/>
    </row>
    <row r="27" spans="2:4">
      <c r="B27" s="891">
        <v>45619</v>
      </c>
      <c r="D27" s="890"/>
    </row>
    <row r="28" spans="2:4">
      <c r="B28" s="891">
        <v>44927</v>
      </c>
      <c r="D28" s="890"/>
    </row>
    <row r="29" spans="2:4">
      <c r="B29" s="891">
        <v>44928</v>
      </c>
      <c r="D29" s="890"/>
    </row>
    <row r="30" spans="2:4">
      <c r="B30" s="891">
        <v>44935</v>
      </c>
      <c r="D30" s="890"/>
    </row>
    <row r="31" spans="2:4">
      <c r="B31" s="891">
        <v>44968</v>
      </c>
      <c r="D31" s="890"/>
    </row>
    <row r="32" spans="2:4">
      <c r="B32" s="891">
        <v>44980</v>
      </c>
      <c r="D32" s="890"/>
    </row>
    <row r="33" spans="2:4">
      <c r="B33" s="891">
        <v>45006</v>
      </c>
      <c r="D33" s="890"/>
    </row>
    <row r="34" spans="2:4">
      <c r="B34" s="891">
        <v>45045</v>
      </c>
      <c r="D34" s="890"/>
    </row>
    <row r="35" spans="2:4">
      <c r="B35" s="891">
        <v>45049</v>
      </c>
      <c r="D35" s="892"/>
    </row>
    <row r="36" spans="2:4">
      <c r="B36" s="891">
        <v>45050</v>
      </c>
      <c r="D36" s="893"/>
    </row>
    <row r="37" spans="2:4">
      <c r="B37" s="891">
        <v>45051</v>
      </c>
      <c r="D37" s="894"/>
    </row>
    <row r="38" spans="2:4">
      <c r="B38" s="891">
        <v>45124</v>
      </c>
      <c r="D38" s="894"/>
    </row>
    <row r="39" spans="2:4">
      <c r="B39" s="891">
        <v>45149</v>
      </c>
      <c r="D39" s="894"/>
    </row>
    <row r="40" spans="2:4">
      <c r="B40" s="891">
        <v>45187</v>
      </c>
      <c r="D40" s="894"/>
    </row>
    <row r="41" spans="2:4">
      <c r="B41" s="891">
        <v>45192</v>
      </c>
      <c r="D41" s="894"/>
    </row>
    <row r="42" spans="2:4">
      <c r="B42" s="891">
        <v>45208</v>
      </c>
      <c r="D42" s="894"/>
    </row>
    <row r="43" spans="2:4">
      <c r="B43" s="891" t="s">
        <v>781</v>
      </c>
      <c r="D43" s="894"/>
    </row>
    <row r="44" spans="2:4">
      <c r="B44" s="891">
        <v>45253</v>
      </c>
      <c r="D44" s="894"/>
    </row>
    <row r="45" spans="2:4">
      <c r="B45" s="895">
        <v>45404</v>
      </c>
      <c r="D45" s="894"/>
    </row>
    <row r="46" spans="2:4">
      <c r="B46" s="895">
        <v>45293</v>
      </c>
      <c r="D46" s="896"/>
    </row>
    <row r="47" spans="2:4">
      <c r="B47" s="895">
        <v>45292</v>
      </c>
      <c r="D47" s="896"/>
    </row>
    <row r="48" spans="2:4">
      <c r="B48" s="895">
        <v>45782</v>
      </c>
      <c r="D48" s="896"/>
    </row>
    <row r="49" spans="2:4">
      <c r="B49" s="895"/>
      <c r="D49" s="896"/>
    </row>
    <row r="50" spans="2:4">
      <c r="B50" s="895"/>
      <c r="D50" s="896"/>
    </row>
    <row r="51" spans="2:4">
      <c r="B51" s="895"/>
      <c r="D51" s="896"/>
    </row>
    <row r="52" spans="2:4">
      <c r="B52" s="897"/>
      <c r="D52" s="896"/>
    </row>
    <row r="53" spans="2:4">
      <c r="D53" s="896"/>
    </row>
    <row r="54" spans="2:4">
      <c r="D54" s="896"/>
    </row>
    <row r="55" spans="2:4">
      <c r="D55" s="896"/>
    </row>
    <row r="56" spans="2:4">
      <c r="D56" s="896"/>
    </row>
    <row r="57" spans="2:4">
      <c r="D57" s="896"/>
    </row>
    <row r="58" spans="2:4">
      <c r="D58" s="896"/>
    </row>
    <row r="59" spans="2:4">
      <c r="D59" s="896"/>
    </row>
    <row r="60" spans="2:4">
      <c r="D60" s="896"/>
    </row>
    <row r="61" spans="2:4">
      <c r="D61" s="896"/>
    </row>
    <row r="62" spans="2:4">
      <c r="D62" s="896"/>
    </row>
    <row r="63" spans="2:4">
      <c r="D63" s="896"/>
    </row>
    <row r="64" spans="2:4">
      <c r="D64" s="896"/>
    </row>
    <row r="65" spans="4:4">
      <c r="D65" s="896"/>
    </row>
    <row r="66" spans="4:4">
      <c r="D66" s="896"/>
    </row>
    <row r="67" spans="4:4">
      <c r="D67" s="896"/>
    </row>
    <row r="68" spans="4:4">
      <c r="D68" s="896"/>
    </row>
    <row r="69" spans="4:4">
      <c r="D69" s="896"/>
    </row>
    <row r="70" spans="4:4">
      <c r="D70" s="896"/>
    </row>
    <row r="71" spans="4:4">
      <c r="D71" s="896"/>
    </row>
    <row r="72" spans="4:4">
      <c r="D72" s="896"/>
    </row>
    <row r="73" spans="4:4">
      <c r="D73" s="896"/>
    </row>
    <row r="74" spans="4:4">
      <c r="D74" s="896"/>
    </row>
    <row r="75" spans="4:4">
      <c r="D75" s="896"/>
    </row>
    <row r="76" spans="4:4">
      <c r="D76" s="896"/>
    </row>
    <row r="77" spans="4:4">
      <c r="D77" s="896"/>
    </row>
    <row r="78" spans="4:4">
      <c r="D78" s="896"/>
    </row>
    <row r="79" spans="4:4">
      <c r="D79" s="896"/>
    </row>
  </sheetData>
  <phoneticPr fontId="7"/>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12</vt:i4>
      </vt:variant>
    </vt:vector>
  </HeadingPairs>
  <TitlesOfParts>
    <vt:vector size="26" baseType="lpstr">
      <vt:lpstr>SBM表紙</vt:lpstr>
      <vt:lpstr>SBM目次</vt:lpstr>
      <vt:lpstr>所見</vt:lpstr>
      <vt:lpstr>SBM管理概要①</vt:lpstr>
      <vt:lpstr>SBM管理概要②</vt:lpstr>
      <vt:lpstr>SBM管理概要③</vt:lpstr>
      <vt:lpstr>SBM管理概要④</vt:lpstr>
      <vt:lpstr>SBM管理概要⑤、その他⑥</vt:lpstr>
      <vt:lpstr>水道光熱使用量</vt:lpstr>
      <vt:lpstr>来月度作業予定</vt:lpstr>
      <vt:lpstr>2023年度管理計画（業者） </vt:lpstr>
      <vt:lpstr>2023年度管理計画（設備）</vt:lpstr>
      <vt:lpstr>2023年度年間管理表(基準表)</vt:lpstr>
      <vt:lpstr>各種データ</vt:lpstr>
      <vt:lpstr>'2023年度管理計画（設備）'!Print_Area</vt:lpstr>
      <vt:lpstr>'2023年度年間管理表(基準表)'!Print_Area</vt:lpstr>
      <vt:lpstr>SBM管理概要①!Print_Area</vt:lpstr>
      <vt:lpstr>SBM管理概要②!Print_Area</vt:lpstr>
      <vt:lpstr>SBM管理概要③!Print_Area</vt:lpstr>
      <vt:lpstr>SBM管理概要④!Print_Area</vt:lpstr>
      <vt:lpstr>'SBM管理概要⑤、その他⑥'!Print_Area</vt:lpstr>
      <vt:lpstr>SBM表紙!Print_Area</vt:lpstr>
      <vt:lpstr>SBM目次!Print_Area</vt:lpstr>
      <vt:lpstr>所見!Print_Area</vt:lpstr>
      <vt:lpstr>水道光熱使用量!Print_Area</vt:lpstr>
      <vt:lpstr>来月度作業予定!Print_Area</vt:lpstr>
    </vt:vector>
  </TitlesOfParts>
  <Company>エス・シー・ビルサービス㈱</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エリアセンター設備にて作成</dc:subject>
  <dc:creator>エリアセンター設備</dc:creator>
  <cp:lastModifiedBy>user</cp:lastModifiedBy>
  <cp:revision>1</cp:revision>
  <cp:lastPrinted>2023-05-07T21:38:23Z</cp:lastPrinted>
  <dcterms:created xsi:type="dcterms:W3CDTF">2000-05-15T09:23:30Z</dcterms:created>
  <dcterms:modified xsi:type="dcterms:W3CDTF">2023-06-02T09:57:53Z</dcterms:modified>
</cp:coreProperties>
</file>